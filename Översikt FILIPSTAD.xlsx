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46204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4</v>
      </c>
      <c r="I2" t="n">
        <v>3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11</v>
      </c>
      <c r="R2" s="2" t="inlineStr">
        <is>
          <t>Gränsticka
Knärot
Dropptaggsvamp
Tallticka
Ullticka
Vedtrappmossa
Grön sköldmossa
Rostfläck
Vedticka
Spillkråka
Tjäder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47888-2021</t>
        </is>
      </c>
      <c r="B3" s="1" t="n">
        <v>44448</v>
      </c>
      <c r="C3" s="1" t="n">
        <v>46204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9</v>
      </c>
      <c r="H3" t="n">
        <v>3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Vårärt
Grönkulla
Skogsknipprot
Svart trolldruva
Tibast
Tvåblad
Underviol</t>
        </is>
      </c>
      <c r="S3">
        <f>HYPERLINK("https://klasma.github.io/Logging_1782/artfynd/A 47888-2021 artfynd.xlsx", "A 47888-2021")</f>
        <v/>
      </c>
      <c r="T3">
        <f>HYPERLINK("https://klasma.github.io/Logging_1782/kartor/A 47888-2021 karta.png", "A 47888-2021")</f>
        <v/>
      </c>
      <c r="V3">
        <f>HYPERLINK("https://klasma.github.io/Logging_1782/klagomål/A 47888-2021 FSC-klagomål.docx", "A 47888-2021")</f>
        <v/>
      </c>
      <c r="W3">
        <f>HYPERLINK("https://klasma.github.io/Logging_1782/klagomålsmail/A 47888-2021 FSC-klagomål mail.docx", "A 47888-2021")</f>
        <v/>
      </c>
      <c r="X3">
        <f>HYPERLINK("https://klasma.github.io/Logging_1782/tillsyn/A 47888-2021 tillsynsbegäran.docx", "A 47888-2021")</f>
        <v/>
      </c>
      <c r="Y3">
        <f>HYPERLINK("https://klasma.github.io/Logging_1782/tillsynsmail/A 47888-2021 tillsynsbegäran mail.docx", "A 47888-2021")</f>
        <v/>
      </c>
    </row>
    <row r="4" ht="15" customHeight="1">
      <c r="A4" t="inlineStr">
        <is>
          <t>A 58718-2021</t>
        </is>
      </c>
      <c r="B4" s="1" t="n">
        <v>44489</v>
      </c>
      <c r="C4" s="1" t="n">
        <v>46204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12.2</v>
      </c>
      <c r="H4" t="n">
        <v>0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Garnlav
Dropptaggsvamp
Skuggblåslav
Ullticka
Vedtrappmossa
Bollvitmossa
Bronshjon</t>
        </is>
      </c>
      <c r="S4">
        <f>HYPERLINK("https://klasma.github.io/Logging_1782/artfynd/A 58718-2021 artfynd.xlsx", "A 58718-2021")</f>
        <v/>
      </c>
      <c r="T4">
        <f>HYPERLINK("https://klasma.github.io/Logging_1782/kartor/A 58718-2021 karta.png", "A 58718-2021")</f>
        <v/>
      </c>
      <c r="V4">
        <f>HYPERLINK("https://klasma.github.io/Logging_1782/klagomål/A 58718-2021 FSC-klagomål.docx", "A 58718-2021")</f>
        <v/>
      </c>
      <c r="W4">
        <f>HYPERLINK("https://klasma.github.io/Logging_1782/klagomålsmail/A 58718-2021 FSC-klagomål mail.docx", "A 58718-2021")</f>
        <v/>
      </c>
      <c r="X4">
        <f>HYPERLINK("https://klasma.github.io/Logging_1782/tillsyn/A 58718-2021 tillsynsbegäran.docx", "A 58718-2021")</f>
        <v/>
      </c>
      <c r="Y4">
        <f>HYPERLINK("https://klasma.github.io/Logging_1782/tillsynsmail/A 58718-2021 tillsynsbegäran mail.docx", "A 58718-2021")</f>
        <v/>
      </c>
    </row>
    <row r="5" ht="15" customHeight="1">
      <c r="A5" t="inlineStr">
        <is>
          <t>A 45602-2025</t>
        </is>
      </c>
      <c r="B5" s="1" t="n">
        <v>45922</v>
      </c>
      <c r="C5" s="1" t="n">
        <v>46204</v>
      </c>
      <c r="D5" t="inlineStr">
        <is>
          <t>VÄRMLANDS LÄN</t>
        </is>
      </c>
      <c r="E5" t="inlineStr">
        <is>
          <t>FILIPSTAD</t>
        </is>
      </c>
      <c r="G5" t="n">
        <v>6.2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Veckticka
Vårärt
Blåsfliksmossa
Mörk husmossa
Tibast</t>
        </is>
      </c>
      <c r="S5">
        <f>HYPERLINK("https://klasma.github.io/Logging_1782/artfynd/A 45602-2025 artfynd.xlsx", "A 45602-2025")</f>
        <v/>
      </c>
      <c r="T5">
        <f>HYPERLINK("https://klasma.github.io/Logging_1782/kartor/A 45602-2025 karta.png", "A 45602-2025")</f>
        <v/>
      </c>
      <c r="V5">
        <f>HYPERLINK("https://klasma.github.io/Logging_1782/klagomål/A 45602-2025 FSC-klagomål.docx", "A 45602-2025")</f>
        <v/>
      </c>
      <c r="W5">
        <f>HYPERLINK("https://klasma.github.io/Logging_1782/klagomålsmail/A 45602-2025 FSC-klagomål mail.docx", "A 45602-2025")</f>
        <v/>
      </c>
      <c r="X5">
        <f>HYPERLINK("https://klasma.github.io/Logging_1782/tillsyn/A 45602-2025 tillsynsbegäran.docx", "A 45602-2025")</f>
        <v/>
      </c>
      <c r="Y5">
        <f>HYPERLINK("https://klasma.github.io/Logging_1782/tillsynsmail/A 45602-2025 tillsynsbegäran mail.docx", "A 45602-2025")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46204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Garnlav
Kattfotslav
Bollvitmossa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26186-2026</t>
        </is>
      </c>
      <c r="B7" s="1" t="n">
        <v>46182</v>
      </c>
      <c r="C7" s="1" t="n">
        <v>46204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5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Ullticka
Grön sköldmossa
Korallblylav
Mörk husmossa
Blåsippa</t>
        </is>
      </c>
      <c r="S7">
        <f>HYPERLINK("https://klasma.github.io/Logging_1782/artfynd/A 26186-2026 artfynd.xlsx", "A 26186-2026")</f>
        <v/>
      </c>
      <c r="T7">
        <f>HYPERLINK("https://klasma.github.io/Logging_1782/kartor/A 26186-2026 karta.png", "A 26186-2026")</f>
        <v/>
      </c>
      <c r="V7">
        <f>HYPERLINK("https://klasma.github.io/Logging_1782/klagomål/A 26186-2026 FSC-klagomål.docx", "A 26186-2026")</f>
        <v/>
      </c>
      <c r="W7">
        <f>HYPERLINK("https://klasma.github.io/Logging_1782/klagomålsmail/A 26186-2026 FSC-klagomål mail.docx", "A 26186-2026")</f>
        <v/>
      </c>
      <c r="X7">
        <f>HYPERLINK("https://klasma.github.io/Logging_1782/tillsyn/A 26186-2026 tillsynsbegäran.docx", "A 26186-2026")</f>
        <v/>
      </c>
      <c r="Y7">
        <f>HYPERLINK("https://klasma.github.io/Logging_1782/tillsynsmail/A 26186-2026 tillsynsbegäran mail.docx", "A 26186-2026")</f>
        <v/>
      </c>
    </row>
    <row r="8" ht="15" customHeight="1">
      <c r="A8" t="inlineStr">
        <is>
          <t>A 65201-2023</t>
        </is>
      </c>
      <c r="B8" s="1" t="n">
        <v>45289</v>
      </c>
      <c r="C8" s="1" t="n">
        <v>46204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7.5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Brunpudrad nållav
Vedtrappmossa
Blåsippa</t>
        </is>
      </c>
      <c r="S8">
        <f>HYPERLINK("https://klasma.github.io/Logging_1782/artfynd/A 65201-2023 artfynd.xlsx", "A 65201-2023")</f>
        <v/>
      </c>
      <c r="T8">
        <f>HYPERLINK("https://klasma.github.io/Logging_1782/kartor/A 65201-2023 karta.png", "A 65201-2023")</f>
        <v/>
      </c>
      <c r="U8">
        <f>HYPERLINK("https://klasma.github.io/Logging_1782/knärot/A 65201-2023 karta knärot.png", "A 65201-2023")</f>
        <v/>
      </c>
      <c r="V8">
        <f>HYPERLINK("https://klasma.github.io/Logging_1782/klagomål/A 65201-2023 FSC-klagomål.docx", "A 65201-2023")</f>
        <v/>
      </c>
      <c r="W8">
        <f>HYPERLINK("https://klasma.github.io/Logging_1782/klagomålsmail/A 65201-2023 FSC-klagomål mail.docx", "A 65201-2023")</f>
        <v/>
      </c>
      <c r="X8">
        <f>HYPERLINK("https://klasma.github.io/Logging_1782/tillsyn/A 65201-2023 tillsynsbegäran.docx", "A 65201-2023")</f>
        <v/>
      </c>
      <c r="Y8">
        <f>HYPERLINK("https://klasma.github.io/Logging_1782/tillsynsmail/A 65201-2023 tillsynsbegäran mail.docx", "A 65201-2023")</f>
        <v/>
      </c>
    </row>
    <row r="9" ht="15" customHeight="1">
      <c r="A9" t="inlineStr">
        <is>
          <t>A 38138-2024</t>
        </is>
      </c>
      <c r="B9" s="1" t="n">
        <v>45545</v>
      </c>
      <c r="C9" s="1" t="n">
        <v>46204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1.6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Garnlav
Dropptaggsvamp
Skuggblåslav
Fläcknycklar</t>
        </is>
      </c>
      <c r="S9">
        <f>HYPERLINK("https://klasma.github.io/Logging_1782/artfynd/A 38138-2024 artfynd.xlsx", "A 38138-2024")</f>
        <v/>
      </c>
      <c r="T9">
        <f>HYPERLINK("https://klasma.github.io/Logging_1782/kartor/A 38138-2024 karta.png", "A 38138-2024")</f>
        <v/>
      </c>
      <c r="V9">
        <f>HYPERLINK("https://klasma.github.io/Logging_1782/klagomål/A 38138-2024 FSC-klagomål.docx", "A 38138-2024")</f>
        <v/>
      </c>
      <c r="W9">
        <f>HYPERLINK("https://klasma.github.io/Logging_1782/klagomålsmail/A 38138-2024 FSC-klagomål mail.docx", "A 38138-2024")</f>
        <v/>
      </c>
      <c r="X9">
        <f>HYPERLINK("https://klasma.github.io/Logging_1782/tillsyn/A 38138-2024 tillsynsbegäran.docx", "A 38138-2024")</f>
        <v/>
      </c>
      <c r="Y9">
        <f>HYPERLINK("https://klasma.github.io/Logging_1782/tillsynsmail/A 38138-2024 tillsynsbegäran mail.docx", "A 38138-2024")</f>
        <v/>
      </c>
    </row>
    <row r="10" ht="15" customHeight="1">
      <c r="A10" t="inlineStr">
        <is>
          <t>A 45714-2025</t>
        </is>
      </c>
      <c r="B10" s="1" t="n">
        <v>45923</v>
      </c>
      <c r="C10" s="1" t="n">
        <v>46204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Brunklöver
Skuggblåslav
Bårdlav</t>
        </is>
      </c>
      <c r="S10">
        <f>HYPERLINK("https://klasma.github.io/Logging_1782/artfynd/A 45714-2025 artfynd.xlsx", "A 45714-2025")</f>
        <v/>
      </c>
      <c r="T10">
        <f>HYPERLINK("https://klasma.github.io/Logging_1782/kartor/A 45714-2025 karta.png", "A 45714-2025")</f>
        <v/>
      </c>
      <c r="V10">
        <f>HYPERLINK("https://klasma.github.io/Logging_1782/klagomål/A 45714-2025 FSC-klagomål.docx", "A 45714-2025")</f>
        <v/>
      </c>
      <c r="W10">
        <f>HYPERLINK("https://klasma.github.io/Logging_1782/klagomålsmail/A 45714-2025 FSC-klagomål mail.docx", "A 45714-2025")</f>
        <v/>
      </c>
      <c r="X10">
        <f>HYPERLINK("https://klasma.github.io/Logging_1782/tillsyn/A 45714-2025 tillsynsbegäran.docx", "A 45714-2025")</f>
        <v/>
      </c>
      <c r="Y10">
        <f>HYPERLINK("https://klasma.github.io/Logging_1782/tillsynsmail/A 45714-2025 tillsynsbegäran mail.docx", "A 45714-2025")</f>
        <v/>
      </c>
    </row>
    <row r="11" ht="15" customHeight="1">
      <c r="A11" t="inlineStr">
        <is>
          <t>A 43333-2023</t>
        </is>
      </c>
      <c r="B11" s="1" t="n">
        <v>45183</v>
      </c>
      <c r="C11" s="1" t="n">
        <v>46204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19.4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Norsk näverlav
Skuggblåslav
Grön sköldmossa</t>
        </is>
      </c>
      <c r="S11">
        <f>HYPERLINK("https://klasma.github.io/Logging_1782/artfynd/A 43333-2023 artfynd.xlsx", "A 43333-2023")</f>
        <v/>
      </c>
      <c r="T11">
        <f>HYPERLINK("https://klasma.github.io/Logging_1782/kartor/A 43333-2023 karta.png", "A 43333-2023")</f>
        <v/>
      </c>
      <c r="V11">
        <f>HYPERLINK("https://klasma.github.io/Logging_1782/klagomål/A 43333-2023 FSC-klagomål.docx", "A 43333-2023")</f>
        <v/>
      </c>
      <c r="W11">
        <f>HYPERLINK("https://klasma.github.io/Logging_1782/klagomålsmail/A 43333-2023 FSC-klagomål mail.docx", "A 43333-2023")</f>
        <v/>
      </c>
      <c r="X11">
        <f>HYPERLINK("https://klasma.github.io/Logging_1782/tillsyn/A 43333-2023 tillsynsbegäran.docx", "A 43333-2023")</f>
        <v/>
      </c>
      <c r="Y11">
        <f>HYPERLINK("https://klasma.github.io/Logging_1782/tillsynsmail/A 43333-2023 tillsynsbegäran mail.docx", "A 43333-2023")</f>
        <v/>
      </c>
    </row>
    <row r="12" ht="15" customHeight="1">
      <c r="A12" t="inlineStr">
        <is>
          <t>A 62116-2025</t>
        </is>
      </c>
      <c r="B12" s="1" t="n">
        <v>46006</v>
      </c>
      <c r="C12" s="1" t="n">
        <v>46204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13.6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Tjäder
Orre
Fläcknycklar</t>
        </is>
      </c>
      <c r="S12">
        <f>HYPERLINK("https://klasma.github.io/Logging_1782/artfynd/A 62116-2025 artfynd.xlsx", "A 62116-2025")</f>
        <v/>
      </c>
      <c r="T12">
        <f>HYPERLINK("https://klasma.github.io/Logging_1782/kartor/A 62116-2025 karta.png", "A 62116-2025")</f>
        <v/>
      </c>
      <c r="V12">
        <f>HYPERLINK("https://klasma.github.io/Logging_1782/klagomål/A 62116-2025 FSC-klagomål.docx", "A 62116-2025")</f>
        <v/>
      </c>
      <c r="W12">
        <f>HYPERLINK("https://klasma.github.io/Logging_1782/klagomålsmail/A 62116-2025 FSC-klagomål mail.docx", "A 62116-2025")</f>
        <v/>
      </c>
      <c r="X12">
        <f>HYPERLINK("https://klasma.github.io/Logging_1782/tillsyn/A 62116-2025 tillsynsbegäran.docx", "A 62116-2025")</f>
        <v/>
      </c>
      <c r="Y12">
        <f>HYPERLINK("https://klasma.github.io/Logging_1782/tillsynsmail/A 62116-2025 tillsynsbegäran mail.docx", "A 62116-2025")</f>
        <v/>
      </c>
      <c r="Z12">
        <f>HYPERLINK("https://klasma.github.io/Logging_1782/fåglar/A 62116-2025 prioriterade fågelarter.docx", "A 62116-2025")</f>
        <v/>
      </c>
    </row>
    <row r="13" ht="15" customHeight="1">
      <c r="A13" t="inlineStr">
        <is>
          <t>A 38134-2024</t>
        </is>
      </c>
      <c r="B13" s="1" t="n">
        <v>45545</v>
      </c>
      <c r="C13" s="1" t="n">
        <v>46204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2.4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Garnlav
Dropptaggsvamp
Skuggblåslav</t>
        </is>
      </c>
      <c r="S13">
        <f>HYPERLINK("https://klasma.github.io/Logging_1782/artfynd/A 38134-2024 artfynd.xlsx", "A 38134-2024")</f>
        <v/>
      </c>
      <c r="T13">
        <f>HYPERLINK("https://klasma.github.io/Logging_1782/kartor/A 38134-2024 karta.png", "A 38134-2024")</f>
        <v/>
      </c>
      <c r="V13">
        <f>HYPERLINK("https://klasma.github.io/Logging_1782/klagomål/A 38134-2024 FSC-klagomål.docx", "A 38134-2024")</f>
        <v/>
      </c>
      <c r="W13">
        <f>HYPERLINK("https://klasma.github.io/Logging_1782/klagomålsmail/A 38134-2024 FSC-klagomål mail.docx", "A 38134-2024")</f>
        <v/>
      </c>
      <c r="X13">
        <f>HYPERLINK("https://klasma.github.io/Logging_1782/tillsyn/A 38134-2024 tillsynsbegäran.docx", "A 38134-2024")</f>
        <v/>
      </c>
      <c r="Y13">
        <f>HYPERLINK("https://klasma.github.io/Logging_1782/tillsynsmail/A 38134-2024 tillsynsbegäran mail.docx", "A 38134-2024")</f>
        <v/>
      </c>
    </row>
    <row r="14" ht="15" customHeight="1">
      <c r="A14" t="inlineStr">
        <is>
          <t>A 63625-2023</t>
        </is>
      </c>
      <c r="B14" s="1" t="n">
        <v>45275</v>
      </c>
      <c r="C14" s="1" t="n">
        <v>46204</v>
      </c>
      <c r="D14" t="inlineStr">
        <is>
          <t>VÄRMLANDS LÄN</t>
        </is>
      </c>
      <c r="E14" t="inlineStr">
        <is>
          <t>FILIPSTAD</t>
        </is>
      </c>
      <c r="G14" t="n">
        <v>1.9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Smalfotad taggsvamp
Vaddporing
Utter</t>
        </is>
      </c>
      <c r="S14">
        <f>HYPERLINK("https://klasma.github.io/Logging_1782/artfynd/A 63625-2023 artfynd.xlsx", "A 63625-2023")</f>
        <v/>
      </c>
      <c r="T14">
        <f>HYPERLINK("https://klasma.github.io/Logging_1782/kartor/A 63625-2023 karta.png", "A 63625-2023")</f>
        <v/>
      </c>
      <c r="V14">
        <f>HYPERLINK("https://klasma.github.io/Logging_1782/klagomål/A 63625-2023 FSC-klagomål.docx", "A 63625-2023")</f>
        <v/>
      </c>
      <c r="W14">
        <f>HYPERLINK("https://klasma.github.io/Logging_1782/klagomålsmail/A 63625-2023 FSC-klagomål mail.docx", "A 63625-2023")</f>
        <v/>
      </c>
      <c r="X14">
        <f>HYPERLINK("https://klasma.github.io/Logging_1782/tillsyn/A 63625-2023 tillsynsbegäran.docx", "A 63625-2023")</f>
        <v/>
      </c>
      <c r="Y14">
        <f>HYPERLINK("https://klasma.github.io/Logging_1782/tillsynsmail/A 63625-2023 tillsynsbegäran mail.docx", "A 63625-2023")</f>
        <v/>
      </c>
    </row>
    <row r="15" ht="15" customHeight="1">
      <c r="A15" t="inlineStr">
        <is>
          <t>A 45523-2022</t>
        </is>
      </c>
      <c r="B15" s="1" t="n">
        <v>44845</v>
      </c>
      <c r="C15" s="1" t="n">
        <v>46204</v>
      </c>
      <c r="D15" t="inlineStr">
        <is>
          <t>VÄRMLANDS LÄN</t>
        </is>
      </c>
      <c r="E15" t="inlineStr">
        <is>
          <t>FILIPSTAD</t>
        </is>
      </c>
      <c r="G15" t="n">
        <v>7.7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Bronshjon
Korallblylav</t>
        </is>
      </c>
      <c r="S15">
        <f>HYPERLINK("https://klasma.github.io/Logging_1782/artfynd/A 45523-2022 artfynd.xlsx", "A 45523-2022")</f>
        <v/>
      </c>
      <c r="T15">
        <f>HYPERLINK("https://klasma.github.io/Logging_1782/kartor/A 45523-2022 karta.png", "A 45523-2022")</f>
        <v/>
      </c>
      <c r="V15">
        <f>HYPERLINK("https://klasma.github.io/Logging_1782/klagomål/A 45523-2022 FSC-klagomål.docx", "A 45523-2022")</f>
        <v/>
      </c>
      <c r="W15">
        <f>HYPERLINK("https://klasma.github.io/Logging_1782/klagomålsmail/A 45523-2022 FSC-klagomål mail.docx", "A 45523-2022")</f>
        <v/>
      </c>
      <c r="X15">
        <f>HYPERLINK("https://klasma.github.io/Logging_1782/tillsyn/A 45523-2022 tillsynsbegäran.docx", "A 45523-2022")</f>
        <v/>
      </c>
      <c r="Y15">
        <f>HYPERLINK("https://klasma.github.io/Logging_1782/tillsynsmail/A 45523-2022 tillsynsbegäran mail.docx", "A 45523-2022")</f>
        <v/>
      </c>
    </row>
    <row r="16" ht="15" customHeight="1">
      <c r="A16" t="inlineStr">
        <is>
          <t>A 38132-2024</t>
        </is>
      </c>
      <c r="B16" s="1" t="n">
        <v>45545</v>
      </c>
      <c r="C16" s="1" t="n">
        <v>46204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Bronshjon
Fläcknycklar</t>
        </is>
      </c>
      <c r="S16">
        <f>HYPERLINK("https://klasma.github.io/Logging_1782/artfynd/A 38132-2024 artfynd.xlsx", "A 38132-2024")</f>
        <v/>
      </c>
      <c r="T16">
        <f>HYPERLINK("https://klasma.github.io/Logging_1782/kartor/A 38132-2024 karta.png", "A 38132-2024")</f>
        <v/>
      </c>
      <c r="V16">
        <f>HYPERLINK("https://klasma.github.io/Logging_1782/klagomål/A 38132-2024 FSC-klagomål.docx", "A 38132-2024")</f>
        <v/>
      </c>
      <c r="W16">
        <f>HYPERLINK("https://klasma.github.io/Logging_1782/klagomålsmail/A 38132-2024 FSC-klagomål mail.docx", "A 38132-2024")</f>
        <v/>
      </c>
      <c r="X16">
        <f>HYPERLINK("https://klasma.github.io/Logging_1782/tillsyn/A 38132-2024 tillsynsbegäran.docx", "A 38132-2024")</f>
        <v/>
      </c>
      <c r="Y16">
        <f>HYPERLINK("https://klasma.github.io/Logging_1782/tillsynsmail/A 38132-2024 tillsynsbegäran mail.docx", "A 38132-2024")</f>
        <v/>
      </c>
    </row>
    <row r="17" ht="15" customHeight="1">
      <c r="A17" t="inlineStr">
        <is>
          <t>A 51103-2025</t>
        </is>
      </c>
      <c r="B17" s="1" t="n">
        <v>45947</v>
      </c>
      <c r="C17" s="1" t="n">
        <v>46204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8.300000000000001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Grönsiska
Smålom</t>
        </is>
      </c>
      <c r="S17">
        <f>HYPERLINK("https://klasma.github.io/Logging_1782/artfynd/A 51103-2025 artfynd.xlsx", "A 51103-2025")</f>
        <v/>
      </c>
      <c r="T17">
        <f>HYPERLINK("https://klasma.github.io/Logging_1782/kartor/A 51103-2025 karta.png", "A 51103-2025")</f>
        <v/>
      </c>
      <c r="V17">
        <f>HYPERLINK("https://klasma.github.io/Logging_1782/klagomål/A 51103-2025 FSC-klagomål.docx", "A 51103-2025")</f>
        <v/>
      </c>
      <c r="W17">
        <f>HYPERLINK("https://klasma.github.io/Logging_1782/klagomålsmail/A 51103-2025 FSC-klagomål mail.docx", "A 51103-2025")</f>
        <v/>
      </c>
      <c r="X17">
        <f>HYPERLINK("https://klasma.github.io/Logging_1782/tillsyn/A 51103-2025 tillsynsbegäran.docx", "A 51103-2025")</f>
        <v/>
      </c>
      <c r="Y17">
        <f>HYPERLINK("https://klasma.github.io/Logging_1782/tillsynsmail/A 51103-2025 tillsynsbegäran mail.docx", "A 51103-2025")</f>
        <v/>
      </c>
      <c r="Z17">
        <f>HYPERLINK("https://klasma.github.io/Logging_1782/fåglar/A 51103-2025 prioriterade fågelarter.docx", "A 51103-2025")</f>
        <v/>
      </c>
    </row>
    <row r="18" ht="15" customHeight="1">
      <c r="A18" t="inlineStr">
        <is>
          <t>A 16139-2025</t>
        </is>
      </c>
      <c r="B18" s="1" t="n">
        <v>45750</v>
      </c>
      <c r="C18" s="1" t="n">
        <v>46204</v>
      </c>
      <c r="D18" t="inlineStr">
        <is>
          <t>VÄRMLANDS LÄN</t>
        </is>
      </c>
      <c r="E18" t="inlineStr">
        <is>
          <t>FILIPSTAD</t>
        </is>
      </c>
      <c r="G18" t="n">
        <v>18.2</v>
      </c>
      <c r="H18" t="n">
        <v>0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Garnlav
Bronshjon</t>
        </is>
      </c>
      <c r="S18">
        <f>HYPERLINK("https://klasma.github.io/Logging_1782/artfynd/A 16139-2025 artfynd.xlsx", "A 16139-2025")</f>
        <v/>
      </c>
      <c r="T18">
        <f>HYPERLINK("https://klasma.github.io/Logging_1782/kartor/A 16139-2025 karta.png", "A 16139-2025")</f>
        <v/>
      </c>
      <c r="V18">
        <f>HYPERLINK("https://klasma.github.io/Logging_1782/klagomål/A 16139-2025 FSC-klagomål.docx", "A 16139-2025")</f>
        <v/>
      </c>
      <c r="W18">
        <f>HYPERLINK("https://klasma.github.io/Logging_1782/klagomålsmail/A 16139-2025 FSC-klagomål mail.docx", "A 16139-2025")</f>
        <v/>
      </c>
      <c r="X18">
        <f>HYPERLINK("https://klasma.github.io/Logging_1782/tillsyn/A 16139-2025 tillsynsbegäran.docx", "A 16139-2025")</f>
        <v/>
      </c>
      <c r="Y18">
        <f>HYPERLINK("https://klasma.github.io/Logging_1782/tillsynsmail/A 16139-2025 tillsynsbegäran mail.docx", "A 16139-2025")</f>
        <v/>
      </c>
    </row>
    <row r="19" ht="15" customHeight="1">
      <c r="A19" t="inlineStr">
        <is>
          <t>A 51922-2024</t>
        </is>
      </c>
      <c r="B19" s="1" t="n">
        <v>45607</v>
      </c>
      <c r="C19" s="1" t="n">
        <v>46204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Läderlappslav
Tjäder</t>
        </is>
      </c>
      <c r="S19">
        <f>HYPERLINK("https://klasma.github.io/Logging_1782/artfynd/A 51922-2024 artfynd.xlsx", "A 51922-2024")</f>
        <v/>
      </c>
      <c r="T19">
        <f>HYPERLINK("https://klasma.github.io/Logging_1782/kartor/A 51922-2024 karta.png", "A 51922-2024")</f>
        <v/>
      </c>
      <c r="V19">
        <f>HYPERLINK("https://klasma.github.io/Logging_1782/klagomål/A 51922-2024 FSC-klagomål.docx", "A 51922-2024")</f>
        <v/>
      </c>
      <c r="W19">
        <f>HYPERLINK("https://klasma.github.io/Logging_1782/klagomålsmail/A 51922-2024 FSC-klagomål mail.docx", "A 51922-2024")</f>
        <v/>
      </c>
      <c r="X19">
        <f>HYPERLINK("https://klasma.github.io/Logging_1782/tillsyn/A 51922-2024 tillsynsbegäran.docx", "A 51922-2024")</f>
        <v/>
      </c>
      <c r="Y19">
        <f>HYPERLINK("https://klasma.github.io/Logging_1782/tillsynsmail/A 51922-2024 tillsynsbegäran mail.docx", "A 51922-2024")</f>
        <v/>
      </c>
      <c r="Z19">
        <f>HYPERLINK("https://klasma.github.io/Logging_1782/fåglar/A 51922-2024 prioriterade fågelarter.docx", "A 51922-2024")</f>
        <v/>
      </c>
    </row>
    <row r="20" ht="15" customHeight="1">
      <c r="A20" t="inlineStr">
        <is>
          <t>A 29469-2026</t>
        </is>
      </c>
      <c r="B20" s="1" t="n">
        <v>46203</v>
      </c>
      <c r="C20" s="1" t="n">
        <v>46204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21.6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Igelkott
Fläcknycklar</t>
        </is>
      </c>
      <c r="S20">
        <f>HYPERLINK("https://klasma.github.io/Logging_1782/artfynd/A 29469-2026 artfynd.xlsx", "A 29469-2026")</f>
        <v/>
      </c>
      <c r="T20">
        <f>HYPERLINK("https://klasma.github.io/Logging_1782/kartor/A 29469-2026 karta.png", "A 29469-2026")</f>
        <v/>
      </c>
      <c r="V20">
        <f>HYPERLINK("https://klasma.github.io/Logging_1782/klagomål/A 29469-2026 FSC-klagomål.docx", "A 29469-2026")</f>
        <v/>
      </c>
      <c r="W20">
        <f>HYPERLINK("https://klasma.github.io/Logging_1782/klagomålsmail/A 29469-2026 FSC-klagomål mail.docx", "A 29469-2026")</f>
        <v/>
      </c>
      <c r="X20">
        <f>HYPERLINK("https://klasma.github.io/Logging_1782/tillsyn/A 29469-2026 tillsynsbegäran.docx", "A 29469-2026")</f>
        <v/>
      </c>
      <c r="Y20">
        <f>HYPERLINK("https://klasma.github.io/Logging_1782/tillsynsmail/A 29469-2026 tillsynsbegäran mail.docx", "A 29469-2026")</f>
        <v/>
      </c>
    </row>
    <row r="21" ht="15" customHeight="1">
      <c r="A21" t="inlineStr">
        <is>
          <t>A 17274-2024</t>
        </is>
      </c>
      <c r="B21" s="1" t="n">
        <v>45414</v>
      </c>
      <c r="C21" s="1" t="n">
        <v>46204</v>
      </c>
      <c r="D21" t="inlineStr">
        <is>
          <t>VÄRMLANDS LÄN</t>
        </is>
      </c>
      <c r="E21" t="inlineStr">
        <is>
          <t>FILIPSTAD</t>
        </is>
      </c>
      <c r="F21" t="inlineStr">
        <is>
          <t>Kommuner</t>
        </is>
      </c>
      <c r="G21" t="n">
        <v>5.8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Dropptaggsvamp
Talltita</t>
        </is>
      </c>
      <c r="S21">
        <f>HYPERLINK("https://klasma.github.io/Logging_1782/artfynd/A 17274-2024 artfynd.xlsx", "A 17274-2024")</f>
        <v/>
      </c>
      <c r="T21">
        <f>HYPERLINK("https://klasma.github.io/Logging_1782/kartor/A 17274-2024 karta.png", "A 17274-2024")</f>
        <v/>
      </c>
      <c r="V21">
        <f>HYPERLINK("https://klasma.github.io/Logging_1782/klagomål/A 17274-2024 FSC-klagomål.docx", "A 17274-2024")</f>
        <v/>
      </c>
      <c r="W21">
        <f>HYPERLINK("https://klasma.github.io/Logging_1782/klagomålsmail/A 17274-2024 FSC-klagomål mail.docx", "A 17274-2024")</f>
        <v/>
      </c>
      <c r="X21">
        <f>HYPERLINK("https://klasma.github.io/Logging_1782/tillsyn/A 17274-2024 tillsynsbegäran.docx", "A 17274-2024")</f>
        <v/>
      </c>
      <c r="Y21">
        <f>HYPERLINK("https://klasma.github.io/Logging_1782/tillsynsmail/A 17274-2024 tillsynsbegäran mail.docx", "A 17274-2024")</f>
        <v/>
      </c>
      <c r="Z21">
        <f>HYPERLINK("https://klasma.github.io/Logging_1782/fåglar/A 17274-2024 prioriterade fågelarter.docx", "A 17274-2024")</f>
        <v/>
      </c>
    </row>
    <row r="22" ht="15" customHeight="1">
      <c r="A22" t="inlineStr">
        <is>
          <t>A 19945-2023</t>
        </is>
      </c>
      <c r="B22" s="1" t="n">
        <v>45054</v>
      </c>
      <c r="C22" s="1" t="n">
        <v>46204</v>
      </c>
      <c r="D22" t="inlineStr">
        <is>
          <t>VÄRMLANDS LÄN</t>
        </is>
      </c>
      <c r="E22" t="inlineStr">
        <is>
          <t>FILIPSTAD</t>
        </is>
      </c>
      <c r="G22" t="n">
        <v>3.3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Guckusko
Kransrams</t>
        </is>
      </c>
      <c r="S22">
        <f>HYPERLINK("https://klasma.github.io/Logging_1782/artfynd/A 19945-2023 artfynd.xlsx", "A 19945-2023")</f>
        <v/>
      </c>
      <c r="T22">
        <f>HYPERLINK("https://klasma.github.io/Logging_1782/kartor/A 19945-2023 karta.png", "A 19945-2023")</f>
        <v/>
      </c>
      <c r="V22">
        <f>HYPERLINK("https://klasma.github.io/Logging_1782/klagomål/A 19945-2023 FSC-klagomål.docx", "A 19945-2023")</f>
        <v/>
      </c>
      <c r="W22">
        <f>HYPERLINK("https://klasma.github.io/Logging_1782/klagomålsmail/A 19945-2023 FSC-klagomål mail.docx", "A 19945-2023")</f>
        <v/>
      </c>
      <c r="X22">
        <f>HYPERLINK("https://klasma.github.io/Logging_1782/tillsyn/A 19945-2023 tillsynsbegäran.docx", "A 19945-2023")</f>
        <v/>
      </c>
      <c r="Y22">
        <f>HYPERLINK("https://klasma.github.io/Logging_1782/tillsynsmail/A 19945-2023 tillsynsbegäran mail.docx", "A 19945-2023")</f>
        <v/>
      </c>
    </row>
    <row r="23" ht="15" customHeight="1">
      <c r="A23" t="inlineStr">
        <is>
          <t>A 62572-2021</t>
        </is>
      </c>
      <c r="B23" s="1" t="n">
        <v>44503</v>
      </c>
      <c r="C23" s="1" t="n">
        <v>46204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46.9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Garnlav</t>
        </is>
      </c>
      <c r="S23">
        <f>HYPERLINK("https://klasma.github.io/Logging_1782/artfynd/A 62572-2021 artfynd.xlsx", "A 62572-2021")</f>
        <v/>
      </c>
      <c r="T23">
        <f>HYPERLINK("https://klasma.github.io/Logging_1782/kartor/A 62572-2021 karta.png", "A 62572-2021")</f>
        <v/>
      </c>
      <c r="V23">
        <f>HYPERLINK("https://klasma.github.io/Logging_1782/klagomål/A 62572-2021 FSC-klagomål.docx", "A 62572-2021")</f>
        <v/>
      </c>
      <c r="W23">
        <f>HYPERLINK("https://klasma.github.io/Logging_1782/klagomålsmail/A 62572-2021 FSC-klagomål mail.docx", "A 62572-2021")</f>
        <v/>
      </c>
      <c r="X23">
        <f>HYPERLINK("https://klasma.github.io/Logging_1782/tillsyn/A 62572-2021 tillsynsbegäran.docx", "A 62572-2021")</f>
        <v/>
      </c>
      <c r="Y23">
        <f>HYPERLINK("https://klasma.github.io/Logging_1782/tillsynsmail/A 62572-2021 tillsynsbegäran mail.docx", "A 62572-2021")</f>
        <v/>
      </c>
    </row>
    <row r="24" ht="15" customHeight="1">
      <c r="A24" t="inlineStr">
        <is>
          <t>A 20754-2022</t>
        </is>
      </c>
      <c r="B24" s="1" t="n">
        <v>44701</v>
      </c>
      <c r="C24" s="1" t="n">
        <v>46204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13.6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HYPERLINK("https://klasma.github.io/Logging_1782/artfynd/A 20754-2022 artfynd.xlsx", "A 20754-2022")</f>
        <v/>
      </c>
      <c r="T24">
        <f>HYPERLINK("https://klasma.github.io/Logging_1782/kartor/A 20754-2022 karta.png", "A 20754-2022")</f>
        <v/>
      </c>
      <c r="V24">
        <f>HYPERLINK("https://klasma.github.io/Logging_1782/klagomål/A 20754-2022 FSC-klagomål.docx", "A 20754-2022")</f>
        <v/>
      </c>
      <c r="W24">
        <f>HYPERLINK("https://klasma.github.io/Logging_1782/klagomålsmail/A 20754-2022 FSC-klagomål mail.docx", "A 20754-2022")</f>
        <v/>
      </c>
      <c r="X24">
        <f>HYPERLINK("https://klasma.github.io/Logging_1782/tillsyn/A 20754-2022 tillsynsbegäran.docx", "A 20754-2022")</f>
        <v/>
      </c>
      <c r="Y24">
        <f>HYPERLINK("https://klasma.github.io/Logging_1782/tillsynsmail/A 20754-2022 tillsynsbegäran mail.docx", "A 20754-2022")</f>
        <v/>
      </c>
    </row>
    <row r="25" ht="15" customHeight="1">
      <c r="A25" t="inlineStr">
        <is>
          <t>A 30652-2025</t>
        </is>
      </c>
      <c r="B25" s="1" t="n">
        <v>45831</v>
      </c>
      <c r="C25" s="1" t="n">
        <v>46204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4.3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HYPERLINK("https://klasma.github.io/Logging_1782/artfynd/A 30652-2025 artfynd.xlsx", "A 30652-2025")</f>
        <v/>
      </c>
      <c r="T25">
        <f>HYPERLINK("https://klasma.github.io/Logging_1782/kartor/A 30652-2025 karta.png", "A 30652-2025")</f>
        <v/>
      </c>
      <c r="V25">
        <f>HYPERLINK("https://klasma.github.io/Logging_1782/klagomål/A 30652-2025 FSC-klagomål.docx", "A 30652-2025")</f>
        <v/>
      </c>
      <c r="W25">
        <f>HYPERLINK("https://klasma.github.io/Logging_1782/klagomålsmail/A 30652-2025 FSC-klagomål mail.docx", "A 30652-2025")</f>
        <v/>
      </c>
      <c r="X25">
        <f>HYPERLINK("https://klasma.github.io/Logging_1782/tillsyn/A 30652-2025 tillsynsbegäran.docx", "A 30652-2025")</f>
        <v/>
      </c>
      <c r="Y25">
        <f>HYPERLINK("https://klasma.github.io/Logging_1782/tillsynsmail/A 30652-2025 tillsynsbegäran mail.docx", "A 30652-2025")</f>
        <v/>
      </c>
      <c r="Z25">
        <f>HYPERLINK("https://klasma.github.io/Logging_1782/fåglar/A 30652-2025 prioriterade fågelarter.docx", "A 30652-2025")</f>
        <v/>
      </c>
    </row>
    <row r="26" ht="15" customHeight="1">
      <c r="A26" t="inlineStr">
        <is>
          <t>A 874-2025</t>
        </is>
      </c>
      <c r="B26" s="1" t="n">
        <v>45665</v>
      </c>
      <c r="C26" s="1" t="n">
        <v>46204</v>
      </c>
      <c r="D26" t="inlineStr">
        <is>
          <t>VÄRMLANDS LÄN</t>
        </is>
      </c>
      <c r="E26" t="inlineStr">
        <is>
          <t>FILIPSTAD</t>
        </is>
      </c>
      <c r="F26" t="inlineStr">
        <is>
          <t>Kyrkan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Kamjordstjärna</t>
        </is>
      </c>
      <c r="S26">
        <f>HYPERLINK("https://klasma.github.io/Logging_1782/artfynd/A 874-2025 artfynd.xlsx", "A 874-2025")</f>
        <v/>
      </c>
      <c r="T26">
        <f>HYPERLINK("https://klasma.github.io/Logging_1782/kartor/A 874-2025 karta.png", "A 874-2025")</f>
        <v/>
      </c>
      <c r="V26">
        <f>HYPERLINK("https://klasma.github.io/Logging_1782/klagomål/A 874-2025 FSC-klagomål.docx", "A 874-2025")</f>
        <v/>
      </c>
      <c r="W26">
        <f>HYPERLINK("https://klasma.github.io/Logging_1782/klagomålsmail/A 874-2025 FSC-klagomål mail.docx", "A 874-2025")</f>
        <v/>
      </c>
      <c r="X26">
        <f>HYPERLINK("https://klasma.github.io/Logging_1782/tillsyn/A 874-2025 tillsynsbegäran.docx", "A 874-2025")</f>
        <v/>
      </c>
      <c r="Y26">
        <f>HYPERLINK("https://klasma.github.io/Logging_1782/tillsynsmail/A 874-2025 tillsynsbegäran mail.docx", "A 874-2025")</f>
        <v/>
      </c>
    </row>
    <row r="27" ht="15" customHeight="1">
      <c r="A27" t="inlineStr">
        <is>
          <t>A 45781-2025</t>
        </is>
      </c>
      <c r="B27" s="1" t="n">
        <v>45923</v>
      </c>
      <c r="C27" s="1" t="n">
        <v>46204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2.6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Brunklöver</t>
        </is>
      </c>
      <c r="S27">
        <f>HYPERLINK("https://klasma.github.io/Logging_1782/artfynd/A 45781-2025 artfynd.xlsx", "A 45781-2025")</f>
        <v/>
      </c>
      <c r="T27">
        <f>HYPERLINK("https://klasma.github.io/Logging_1782/kartor/A 45781-2025 karta.png", "A 45781-2025")</f>
        <v/>
      </c>
      <c r="V27">
        <f>HYPERLINK("https://klasma.github.io/Logging_1782/klagomål/A 45781-2025 FSC-klagomål.docx", "A 45781-2025")</f>
        <v/>
      </c>
      <c r="W27">
        <f>HYPERLINK("https://klasma.github.io/Logging_1782/klagomålsmail/A 45781-2025 FSC-klagomål mail.docx", "A 45781-2025")</f>
        <v/>
      </c>
      <c r="X27">
        <f>HYPERLINK("https://klasma.github.io/Logging_1782/tillsyn/A 45781-2025 tillsynsbegäran.docx", "A 45781-2025")</f>
        <v/>
      </c>
      <c r="Y27">
        <f>HYPERLINK("https://klasma.github.io/Logging_1782/tillsynsmail/A 45781-2025 tillsynsbegäran mail.docx", "A 45781-2025")</f>
        <v/>
      </c>
    </row>
    <row r="28" ht="15" customHeight="1">
      <c r="A28" t="inlineStr">
        <is>
          <t>A 38140-2024</t>
        </is>
      </c>
      <c r="B28" s="1" t="n">
        <v>45545</v>
      </c>
      <c r="C28" s="1" t="n">
        <v>46204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HYPERLINK("https://klasma.github.io/Logging_1782/artfynd/A 38140-2024 artfynd.xlsx", "A 38140-2024")</f>
        <v/>
      </c>
      <c r="T28">
        <f>HYPERLINK("https://klasma.github.io/Logging_1782/kartor/A 38140-2024 karta.png", "A 38140-2024")</f>
        <v/>
      </c>
      <c r="V28">
        <f>HYPERLINK("https://klasma.github.io/Logging_1782/klagomål/A 38140-2024 FSC-klagomål.docx", "A 38140-2024")</f>
        <v/>
      </c>
      <c r="W28">
        <f>HYPERLINK("https://klasma.github.io/Logging_1782/klagomålsmail/A 38140-2024 FSC-klagomål mail.docx", "A 38140-2024")</f>
        <v/>
      </c>
      <c r="X28">
        <f>HYPERLINK("https://klasma.github.io/Logging_1782/tillsyn/A 38140-2024 tillsynsbegäran.docx", "A 38140-2024")</f>
        <v/>
      </c>
      <c r="Y28">
        <f>HYPERLINK("https://klasma.github.io/Logging_1782/tillsynsmail/A 38140-2024 tillsynsbegäran mail.docx", "A 38140-2024")</f>
        <v/>
      </c>
    </row>
    <row r="29" ht="15" customHeight="1">
      <c r="A29" t="inlineStr">
        <is>
          <t>A 58734-2025</t>
        </is>
      </c>
      <c r="B29" s="1" t="n">
        <v>45986</v>
      </c>
      <c r="C29" s="1" t="n">
        <v>46204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18.2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HYPERLINK("https://klasma.github.io/Logging_1782/artfynd/A 58734-2025 artfynd.xlsx", "A 58734-2025")</f>
        <v/>
      </c>
      <c r="T29">
        <f>HYPERLINK("https://klasma.github.io/Logging_1782/kartor/A 58734-2025 karta.png", "A 58734-2025")</f>
        <v/>
      </c>
      <c r="V29">
        <f>HYPERLINK("https://klasma.github.io/Logging_1782/klagomål/A 58734-2025 FSC-klagomål.docx", "A 58734-2025")</f>
        <v/>
      </c>
      <c r="W29">
        <f>HYPERLINK("https://klasma.github.io/Logging_1782/klagomålsmail/A 58734-2025 FSC-klagomål mail.docx", "A 58734-2025")</f>
        <v/>
      </c>
      <c r="X29">
        <f>HYPERLINK("https://klasma.github.io/Logging_1782/tillsyn/A 58734-2025 tillsynsbegäran.docx", "A 58734-2025")</f>
        <v/>
      </c>
      <c r="Y29">
        <f>HYPERLINK("https://klasma.github.io/Logging_1782/tillsynsmail/A 58734-2025 tillsynsbegäran mail.docx", "A 58734-2025")</f>
        <v/>
      </c>
      <c r="Z29">
        <f>HYPERLINK("https://klasma.github.io/Logging_1782/fåglar/A 58734-2025 prioriterade fågelarter.docx", "A 58734-2025")</f>
        <v/>
      </c>
    </row>
    <row r="30" ht="15" customHeight="1">
      <c r="A30" t="inlineStr">
        <is>
          <t>A 17529-2026</t>
        </is>
      </c>
      <c r="B30" s="1" t="n">
        <v>46120</v>
      </c>
      <c r="C30" s="1" t="n">
        <v>46204</v>
      </c>
      <c r="D30" t="inlineStr">
        <is>
          <t>VÄRMLANDS LÄN</t>
        </is>
      </c>
      <c r="E30" t="inlineStr">
        <is>
          <t>FILIPSTAD</t>
        </is>
      </c>
      <c r="G30" t="n">
        <v>7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Ädellav</t>
        </is>
      </c>
      <c r="S30">
        <f>HYPERLINK("https://klasma.github.io/Logging_1782/artfynd/A 17529-2026 artfynd.xlsx", "A 17529-2026")</f>
        <v/>
      </c>
      <c r="T30">
        <f>HYPERLINK("https://klasma.github.io/Logging_1782/kartor/A 17529-2026 karta.png", "A 17529-2026")</f>
        <v/>
      </c>
      <c r="V30">
        <f>HYPERLINK("https://klasma.github.io/Logging_1782/klagomål/A 17529-2026 FSC-klagomål.docx", "A 17529-2026")</f>
        <v/>
      </c>
      <c r="W30">
        <f>HYPERLINK("https://klasma.github.io/Logging_1782/klagomålsmail/A 17529-2026 FSC-klagomål mail.docx", "A 17529-2026")</f>
        <v/>
      </c>
      <c r="X30">
        <f>HYPERLINK("https://klasma.github.io/Logging_1782/tillsyn/A 17529-2026 tillsynsbegäran.docx", "A 17529-2026")</f>
        <v/>
      </c>
      <c r="Y30">
        <f>HYPERLINK("https://klasma.github.io/Logging_1782/tillsynsmail/A 17529-2026 tillsynsbegäran mail.docx", "A 17529-2026")</f>
        <v/>
      </c>
    </row>
    <row r="31" ht="15" customHeight="1">
      <c r="A31" t="inlineStr">
        <is>
          <t>A 4560-2025</t>
        </is>
      </c>
      <c r="B31" s="1" t="n">
        <v>45687</v>
      </c>
      <c r="C31" s="1" t="n">
        <v>46204</v>
      </c>
      <c r="D31" t="inlineStr">
        <is>
          <t>VÄRMLANDS LÄN</t>
        </is>
      </c>
      <c r="E31" t="inlineStr">
        <is>
          <t>FILIPSTAD</t>
        </is>
      </c>
      <c r="G31" t="n">
        <v>13.6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Skrovlig taggsvamp</t>
        </is>
      </c>
      <c r="S31">
        <f>HYPERLINK("https://klasma.github.io/Logging_1782/artfynd/A 4560-2025 artfynd.xlsx", "A 4560-2025")</f>
        <v/>
      </c>
      <c r="T31">
        <f>HYPERLINK("https://klasma.github.io/Logging_1782/kartor/A 4560-2025 karta.png", "A 4560-2025")</f>
        <v/>
      </c>
      <c r="V31">
        <f>HYPERLINK("https://klasma.github.io/Logging_1782/klagomål/A 4560-2025 FSC-klagomål.docx", "A 4560-2025")</f>
        <v/>
      </c>
      <c r="W31">
        <f>HYPERLINK("https://klasma.github.io/Logging_1782/klagomålsmail/A 4560-2025 FSC-klagomål mail.docx", "A 4560-2025")</f>
        <v/>
      </c>
      <c r="X31">
        <f>HYPERLINK("https://klasma.github.io/Logging_1782/tillsyn/A 4560-2025 tillsynsbegäran.docx", "A 4560-2025")</f>
        <v/>
      </c>
      <c r="Y31">
        <f>HYPERLINK("https://klasma.github.io/Logging_1782/tillsynsmail/A 4560-2025 tillsynsbegäran mail.docx", "A 4560-2025")</f>
        <v/>
      </c>
    </row>
    <row r="32" ht="15" customHeight="1">
      <c r="A32" t="inlineStr">
        <is>
          <t>A 10138-2024</t>
        </is>
      </c>
      <c r="B32" s="1" t="n">
        <v>45364</v>
      </c>
      <c r="C32" s="1" t="n">
        <v>46204</v>
      </c>
      <c r="D32" t="inlineStr">
        <is>
          <t>VÄRMLANDS LÄN</t>
        </is>
      </c>
      <c r="E32" t="inlineStr">
        <is>
          <t>FILIPSTAD</t>
        </is>
      </c>
      <c r="F32" t="inlineStr">
        <is>
          <t>Kommuner</t>
        </is>
      </c>
      <c r="G32" t="n">
        <v>6.8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Purpurknipprot</t>
        </is>
      </c>
      <c r="S32">
        <f>HYPERLINK("https://klasma.github.io/Logging_1782/artfynd/A 10138-2024 artfynd.xlsx", "A 10138-2024")</f>
        <v/>
      </c>
      <c r="T32">
        <f>HYPERLINK("https://klasma.github.io/Logging_1782/kartor/A 10138-2024 karta.png", "A 10138-2024")</f>
        <v/>
      </c>
      <c r="V32">
        <f>HYPERLINK("https://klasma.github.io/Logging_1782/klagomål/A 10138-2024 FSC-klagomål.docx", "A 10138-2024")</f>
        <v/>
      </c>
      <c r="W32">
        <f>HYPERLINK("https://klasma.github.io/Logging_1782/klagomålsmail/A 10138-2024 FSC-klagomål mail.docx", "A 10138-2024")</f>
        <v/>
      </c>
      <c r="X32">
        <f>HYPERLINK("https://klasma.github.io/Logging_1782/tillsyn/A 10138-2024 tillsynsbegäran.docx", "A 10138-2024")</f>
        <v/>
      </c>
      <c r="Y32">
        <f>HYPERLINK("https://klasma.github.io/Logging_1782/tillsynsmail/A 10138-2024 tillsynsbegäran mail.docx", "A 10138-2024")</f>
        <v/>
      </c>
    </row>
    <row r="33" ht="15" customHeight="1">
      <c r="A33" t="inlineStr">
        <is>
          <t>A 25862-2026</t>
        </is>
      </c>
      <c r="B33" s="1" t="n">
        <v>46178</v>
      </c>
      <c r="C33" s="1" t="n">
        <v>46204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3.5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Talltaggsvamp</t>
        </is>
      </c>
      <c r="S33">
        <f>HYPERLINK("https://klasma.github.io/Logging_1782/artfynd/A 25862-2026 artfynd.xlsx", "A 25862-2026")</f>
        <v/>
      </c>
      <c r="T33">
        <f>HYPERLINK("https://klasma.github.io/Logging_1782/kartor/A 25862-2026 karta.png", "A 25862-2026")</f>
        <v/>
      </c>
      <c r="V33">
        <f>HYPERLINK("https://klasma.github.io/Logging_1782/klagomål/A 25862-2026 FSC-klagomål.docx", "A 25862-2026")</f>
        <v/>
      </c>
      <c r="W33">
        <f>HYPERLINK("https://klasma.github.io/Logging_1782/klagomålsmail/A 25862-2026 FSC-klagomål mail.docx", "A 25862-2026")</f>
        <v/>
      </c>
      <c r="X33">
        <f>HYPERLINK("https://klasma.github.io/Logging_1782/tillsyn/A 25862-2026 tillsynsbegäran.docx", "A 25862-2026")</f>
        <v/>
      </c>
      <c r="Y33">
        <f>HYPERLINK("https://klasma.github.io/Logging_1782/tillsynsmail/A 25862-2026 tillsynsbegäran mail.docx", "A 25862-2026")</f>
        <v/>
      </c>
    </row>
    <row r="34" ht="15" customHeight="1">
      <c r="A34" t="inlineStr">
        <is>
          <t>A 34145-2024</t>
        </is>
      </c>
      <c r="B34" s="1" t="n">
        <v>45524</v>
      </c>
      <c r="C34" s="1" t="n">
        <v>46204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4.5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Brunklöver</t>
        </is>
      </c>
      <c r="S34">
        <f>HYPERLINK("https://klasma.github.io/Logging_1782/artfynd/A 34145-2024 artfynd.xlsx", "A 34145-2024")</f>
        <v/>
      </c>
      <c r="T34">
        <f>HYPERLINK("https://klasma.github.io/Logging_1782/kartor/A 34145-2024 karta.png", "A 34145-2024")</f>
        <v/>
      </c>
      <c r="V34">
        <f>HYPERLINK("https://klasma.github.io/Logging_1782/klagomål/A 34145-2024 FSC-klagomål.docx", "A 34145-2024")</f>
        <v/>
      </c>
      <c r="W34">
        <f>HYPERLINK("https://klasma.github.io/Logging_1782/klagomålsmail/A 34145-2024 FSC-klagomål mail.docx", "A 34145-2024")</f>
        <v/>
      </c>
      <c r="X34">
        <f>HYPERLINK("https://klasma.github.io/Logging_1782/tillsyn/A 34145-2024 tillsynsbegäran.docx", "A 34145-2024")</f>
        <v/>
      </c>
      <c r="Y34">
        <f>HYPERLINK("https://klasma.github.io/Logging_1782/tillsynsmail/A 34145-2024 tillsynsbegäran mail.docx", "A 34145-2024")</f>
        <v/>
      </c>
    </row>
    <row r="35" ht="15" customHeight="1">
      <c r="A35" t="inlineStr">
        <is>
          <t>A 51522-2022</t>
        </is>
      </c>
      <c r="B35" s="1" t="n">
        <v>44869</v>
      </c>
      <c r="C35" s="1" t="n">
        <v>46204</v>
      </c>
      <c r="D35" t="inlineStr">
        <is>
          <t>VÄRMLANDS LÄN</t>
        </is>
      </c>
      <c r="E35" t="inlineStr">
        <is>
          <t>FILIPSTAD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HYPERLINK("https://klasma.github.io/Logging_1782/artfynd/A 51522-2022 artfynd.xlsx", "A 51522-2022")</f>
        <v/>
      </c>
      <c r="T35">
        <f>HYPERLINK("https://klasma.github.io/Logging_1782/kartor/A 51522-2022 karta.png", "A 51522-2022")</f>
        <v/>
      </c>
      <c r="V35">
        <f>HYPERLINK("https://klasma.github.io/Logging_1782/klagomål/A 51522-2022 FSC-klagomål.docx", "A 51522-2022")</f>
        <v/>
      </c>
      <c r="W35">
        <f>HYPERLINK("https://klasma.github.io/Logging_1782/klagomålsmail/A 51522-2022 FSC-klagomål mail.docx", "A 51522-2022")</f>
        <v/>
      </c>
      <c r="X35">
        <f>HYPERLINK("https://klasma.github.io/Logging_1782/tillsyn/A 51522-2022 tillsynsbegäran.docx", "A 51522-2022")</f>
        <v/>
      </c>
      <c r="Y35">
        <f>HYPERLINK("https://klasma.github.io/Logging_1782/tillsynsmail/A 51522-2022 tillsynsbegäran mail.docx", "A 51522-2022")</f>
        <v/>
      </c>
    </row>
    <row r="36" ht="15" customHeight="1">
      <c r="A36" t="inlineStr">
        <is>
          <t>A 23046-2023</t>
        </is>
      </c>
      <c r="B36" s="1" t="n">
        <v>45075</v>
      </c>
      <c r="C36" s="1" t="n">
        <v>46204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1.7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HYPERLINK("https://klasma.github.io/Logging_1782/artfynd/A 23046-2023 artfynd.xlsx", "A 23046-2023")</f>
        <v/>
      </c>
      <c r="T36">
        <f>HYPERLINK("https://klasma.github.io/Logging_1782/kartor/A 23046-2023 karta.png", "A 23046-2023")</f>
        <v/>
      </c>
      <c r="U36">
        <f>HYPERLINK("https://klasma.github.io/Logging_1782/knärot/A 23046-2023 karta knärot.png", "A 23046-2023")</f>
        <v/>
      </c>
      <c r="V36">
        <f>HYPERLINK("https://klasma.github.io/Logging_1782/klagomål/A 23046-2023 FSC-klagomål.docx", "A 23046-2023")</f>
        <v/>
      </c>
      <c r="W36">
        <f>HYPERLINK("https://klasma.github.io/Logging_1782/klagomålsmail/A 23046-2023 FSC-klagomål mail.docx", "A 23046-2023")</f>
        <v/>
      </c>
      <c r="X36">
        <f>HYPERLINK("https://klasma.github.io/Logging_1782/tillsyn/A 23046-2023 tillsynsbegäran.docx", "A 23046-2023")</f>
        <v/>
      </c>
      <c r="Y36">
        <f>HYPERLINK("https://klasma.github.io/Logging_1782/tillsynsmail/A 23046-2023 tillsynsbegäran mail.docx", "A 23046-2023")</f>
        <v/>
      </c>
    </row>
    <row r="37" ht="15" customHeight="1">
      <c r="A37" t="inlineStr">
        <is>
          <t>A 11453-2025</t>
        </is>
      </c>
      <c r="B37" s="1" t="n">
        <v>45726</v>
      </c>
      <c r="C37" s="1" t="n">
        <v>46204</v>
      </c>
      <c r="D37" t="inlineStr">
        <is>
          <t>VÄRMLANDS LÄN</t>
        </is>
      </c>
      <c r="E37" t="inlineStr">
        <is>
          <t>FILIPSTAD</t>
        </is>
      </c>
      <c r="G37" t="n">
        <v>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Purpurknipprot</t>
        </is>
      </c>
      <c r="S37">
        <f>HYPERLINK("https://klasma.github.io/Logging_1782/artfynd/A 11453-2025 artfynd.xlsx", "A 11453-2025")</f>
        <v/>
      </c>
      <c r="T37">
        <f>HYPERLINK("https://klasma.github.io/Logging_1782/kartor/A 11453-2025 karta.png", "A 11453-2025")</f>
        <v/>
      </c>
      <c r="V37">
        <f>HYPERLINK("https://klasma.github.io/Logging_1782/klagomål/A 11453-2025 FSC-klagomål.docx", "A 11453-2025")</f>
        <v/>
      </c>
      <c r="W37">
        <f>HYPERLINK("https://klasma.github.io/Logging_1782/klagomålsmail/A 11453-2025 FSC-klagomål mail.docx", "A 11453-2025")</f>
        <v/>
      </c>
      <c r="X37">
        <f>HYPERLINK("https://klasma.github.io/Logging_1782/tillsyn/A 11453-2025 tillsynsbegäran.docx", "A 11453-2025")</f>
        <v/>
      </c>
      <c r="Y37">
        <f>HYPERLINK("https://klasma.github.io/Logging_1782/tillsynsmail/A 11453-2025 tillsynsbegäran mail.docx", "A 11453-2025")</f>
        <v/>
      </c>
    </row>
    <row r="38" ht="15" customHeight="1">
      <c r="A38" t="inlineStr">
        <is>
          <t>A 25916-2025</t>
        </is>
      </c>
      <c r="B38" s="1" t="n">
        <v>45804</v>
      </c>
      <c r="C38" s="1" t="n">
        <v>46204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26.4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HYPERLINK("https://klasma.github.io/Logging_1782/artfynd/A 25916-2025 artfynd.xlsx", "A 25916-2025")</f>
        <v/>
      </c>
      <c r="T38">
        <f>HYPERLINK("https://klasma.github.io/Logging_1782/kartor/A 25916-2025 karta.png", "A 25916-2025")</f>
        <v/>
      </c>
      <c r="V38">
        <f>HYPERLINK("https://klasma.github.io/Logging_1782/klagomål/A 25916-2025 FSC-klagomål.docx", "A 25916-2025")</f>
        <v/>
      </c>
      <c r="W38">
        <f>HYPERLINK("https://klasma.github.io/Logging_1782/klagomålsmail/A 25916-2025 FSC-klagomål mail.docx", "A 25916-2025")</f>
        <v/>
      </c>
      <c r="X38">
        <f>HYPERLINK("https://klasma.github.io/Logging_1782/tillsyn/A 25916-2025 tillsynsbegäran.docx", "A 25916-2025")</f>
        <v/>
      </c>
      <c r="Y38">
        <f>HYPERLINK("https://klasma.github.io/Logging_1782/tillsynsmail/A 25916-2025 tillsynsbegäran mail.docx", "A 25916-2025")</f>
        <v/>
      </c>
    </row>
    <row r="39" ht="15" customHeight="1">
      <c r="A39" t="inlineStr">
        <is>
          <t>A 8482-2022</t>
        </is>
      </c>
      <c r="B39" s="1" t="n">
        <v>44613</v>
      </c>
      <c r="C39" s="1" t="n">
        <v>46204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52992-2021</t>
        </is>
      </c>
      <c r="B40" s="1" t="n">
        <v>44467</v>
      </c>
      <c r="C40" s="1" t="n">
        <v>46204</v>
      </c>
      <c r="D40" t="inlineStr">
        <is>
          <t>VÄRMLANDS LÄN</t>
        </is>
      </c>
      <c r="E40" t="inlineStr">
        <is>
          <t>FILIPSTAD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15932-2022</t>
        </is>
      </c>
      <c r="B41" s="1" t="n">
        <v>44664</v>
      </c>
      <c r="C41" s="1" t="n">
        <v>46204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11.5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63144-2021</t>
        </is>
      </c>
      <c r="B42" s="1" t="n">
        <v>44505</v>
      </c>
      <c r="C42" s="1" t="n">
        <v>46204</v>
      </c>
      <c r="D42" t="inlineStr">
        <is>
          <t>VÄRMLANDS LÄN</t>
        </is>
      </c>
      <c r="E42" t="inlineStr">
        <is>
          <t>FILIPSTAD</t>
        </is>
      </c>
      <c r="G42" t="n">
        <v>24.3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44401-2021</t>
        </is>
      </c>
      <c r="B43" s="1" t="n">
        <v>44435</v>
      </c>
      <c r="C43" s="1" t="n">
        <v>46204</v>
      </c>
      <c r="D43" t="inlineStr">
        <is>
          <t>VÄRMLANDS LÄN</t>
        </is>
      </c>
      <c r="E43" t="inlineStr">
        <is>
          <t>FILIPSTAD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50914-2021</t>
        </is>
      </c>
      <c r="B44" s="1" t="n">
        <v>44460</v>
      </c>
      <c r="C44" s="1" t="n">
        <v>46204</v>
      </c>
      <c r="D44" t="inlineStr">
        <is>
          <t>VÄRMLANDS LÄN</t>
        </is>
      </c>
      <c r="E44" t="inlineStr">
        <is>
          <t>FILIPSTAD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7415-2022</t>
        </is>
      </c>
      <c r="B45" s="1" t="n">
        <v>44606</v>
      </c>
      <c r="C45" s="1" t="n">
        <v>46204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28198-2022</t>
        </is>
      </c>
      <c r="B46" s="1" t="n">
        <v>44746</v>
      </c>
      <c r="C46" s="1" t="n">
        <v>46204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49736-2021</t>
        </is>
      </c>
      <c r="B47" s="1" t="n">
        <v>44453</v>
      </c>
      <c r="C47" s="1" t="n">
        <v>46204</v>
      </c>
      <c r="D47" t="inlineStr">
        <is>
          <t>VÄRMLANDS LÄN</t>
        </is>
      </c>
      <c r="E47" t="inlineStr">
        <is>
          <t>FILIPSTAD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52384-2021</t>
        </is>
      </c>
      <c r="B48" s="1" t="n">
        <v>44465</v>
      </c>
      <c r="C48" s="1" t="n">
        <v>46204</v>
      </c>
      <c r="D48" t="inlineStr">
        <is>
          <t>VÄRMLANDS LÄN</t>
        </is>
      </c>
      <c r="E48" t="inlineStr">
        <is>
          <t>FILIPSTAD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37783-2021</t>
        </is>
      </c>
      <c r="B49" s="1" t="n">
        <v>44401</v>
      </c>
      <c r="C49" s="1" t="n">
        <v>46204</v>
      </c>
      <c r="D49" t="inlineStr">
        <is>
          <t>VÄRMLANDS LÄN</t>
        </is>
      </c>
      <c r="E49" t="inlineStr">
        <is>
          <t>FILIPSTAD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37784-2021</t>
        </is>
      </c>
      <c r="B50" s="1" t="n">
        <v>44401</v>
      </c>
      <c r="C50" s="1" t="n">
        <v>46204</v>
      </c>
      <c r="D50" t="inlineStr">
        <is>
          <t>VÄRMLANDS LÄN</t>
        </is>
      </c>
      <c r="E50" t="inlineStr">
        <is>
          <t>FILIPSTAD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24442-2022</t>
        </is>
      </c>
      <c r="B51" s="1" t="n">
        <v>44726</v>
      </c>
      <c r="C51" s="1" t="n">
        <v>46204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30.7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63714-2021</t>
        </is>
      </c>
      <c r="B52" s="1" t="n">
        <v>44505</v>
      </c>
      <c r="C52" s="1" t="n">
        <v>46204</v>
      </c>
      <c r="D52" t="inlineStr">
        <is>
          <t>VÄRMLANDS LÄN</t>
        </is>
      </c>
      <c r="E52" t="inlineStr">
        <is>
          <t>FILIPSTAD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14077-2022</t>
        </is>
      </c>
      <c r="B53" s="1" t="n">
        <v>44651</v>
      </c>
      <c r="C53" s="1" t="n">
        <v>46204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18.7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50063-2021</t>
        </is>
      </c>
      <c r="B54" s="1" t="n">
        <v>44456</v>
      </c>
      <c r="C54" s="1" t="n">
        <v>46204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23063-2022</t>
        </is>
      </c>
      <c r="B55" s="1" t="n">
        <v>44719</v>
      </c>
      <c r="C55" s="1" t="n">
        <v>46204</v>
      </c>
      <c r="D55" t="inlineStr">
        <is>
          <t>VÄRMLANDS LÄN</t>
        </is>
      </c>
      <c r="E55" t="inlineStr">
        <is>
          <t>FILIPSTAD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7292-2022</t>
        </is>
      </c>
      <c r="B56" s="1" t="n">
        <v>44606</v>
      </c>
      <c r="C56" s="1" t="n">
        <v>46204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22356-2022</t>
        </is>
      </c>
      <c r="B57" s="1" t="n">
        <v>44713</v>
      </c>
      <c r="C57" s="1" t="n">
        <v>46204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57090-2021</t>
        </is>
      </c>
      <c r="B58" s="1" t="n">
        <v>44482</v>
      </c>
      <c r="C58" s="1" t="n">
        <v>46204</v>
      </c>
      <c r="D58" t="inlineStr">
        <is>
          <t>VÄRMLANDS LÄN</t>
        </is>
      </c>
      <c r="E58" t="inlineStr">
        <is>
          <t>FILIPSTAD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32680-2022</t>
        </is>
      </c>
      <c r="B59" s="1" t="n">
        <v>44783</v>
      </c>
      <c r="C59" s="1" t="n">
        <v>46204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30.5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47693-2022</t>
        </is>
      </c>
      <c r="B60" s="1" t="n">
        <v>44854</v>
      </c>
      <c r="C60" s="1" t="n">
        <v>46204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35712-2022</t>
        </is>
      </c>
      <c r="B61" s="1" t="n">
        <v>44799</v>
      </c>
      <c r="C61" s="1" t="n">
        <v>46204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19626-2022</t>
        </is>
      </c>
      <c r="B62" s="1" t="n">
        <v>44694</v>
      </c>
      <c r="C62" s="1" t="n">
        <v>46204</v>
      </c>
      <c r="D62" t="inlineStr">
        <is>
          <t>VÄRMLANDS LÄN</t>
        </is>
      </c>
      <c r="E62" t="inlineStr">
        <is>
          <t>FILIPSTAD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59954-2021</t>
        </is>
      </c>
      <c r="B63" s="1" t="n">
        <v>44494</v>
      </c>
      <c r="C63" s="1" t="n">
        <v>46204</v>
      </c>
      <c r="D63" t="inlineStr">
        <is>
          <t>VÄRMLANDS LÄN</t>
        </is>
      </c>
      <c r="E63" t="inlineStr">
        <is>
          <t>FILIPSTAD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14074-2022</t>
        </is>
      </c>
      <c r="B64" s="1" t="n">
        <v>44651</v>
      </c>
      <c r="C64" s="1" t="n">
        <v>46204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66376-2021</t>
        </is>
      </c>
      <c r="B65" s="1" t="n">
        <v>44518</v>
      </c>
      <c r="C65" s="1" t="n">
        <v>46204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9.800000000000001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64526-2021</t>
        </is>
      </c>
      <c r="B66" s="1" t="n">
        <v>44511</v>
      </c>
      <c r="C66" s="1" t="n">
        <v>46204</v>
      </c>
      <c r="D66" t="inlineStr">
        <is>
          <t>VÄRMLANDS LÄN</t>
        </is>
      </c>
      <c r="E66" t="inlineStr">
        <is>
          <t>FILIPSTAD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50009-2021</t>
        </is>
      </c>
      <c r="B67" s="1" t="n">
        <v>44454</v>
      </c>
      <c r="C67" s="1" t="n">
        <v>46204</v>
      </c>
      <c r="D67" t="inlineStr">
        <is>
          <t>VÄRMLANDS LÄN</t>
        </is>
      </c>
      <c r="E67" t="inlineStr">
        <is>
          <t>FILIPSTAD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14582-2022</t>
        </is>
      </c>
      <c r="B68" s="1" t="n">
        <v>44655</v>
      </c>
      <c r="C68" s="1" t="n">
        <v>46204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57087-2021</t>
        </is>
      </c>
      <c r="B69" s="1" t="n">
        <v>44482</v>
      </c>
      <c r="C69" s="1" t="n">
        <v>46204</v>
      </c>
      <c r="D69" t="inlineStr">
        <is>
          <t>VÄRMLANDS LÄN</t>
        </is>
      </c>
      <c r="E69" t="inlineStr">
        <is>
          <t>FILIPSTAD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5928-2022</t>
        </is>
      </c>
      <c r="B70" s="1" t="n">
        <v>44598</v>
      </c>
      <c r="C70" s="1" t="n">
        <v>46204</v>
      </c>
      <c r="D70" t="inlineStr">
        <is>
          <t>VÄRMLANDS LÄN</t>
        </is>
      </c>
      <c r="E70" t="inlineStr">
        <is>
          <t>FILIPSTAD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9270-2023</t>
        </is>
      </c>
      <c r="B71" s="1" t="n">
        <v>44980</v>
      </c>
      <c r="C71" s="1" t="n">
        <v>46204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2437-2025</t>
        </is>
      </c>
      <c r="B72" s="1" t="n">
        <v>45674</v>
      </c>
      <c r="C72" s="1" t="n">
        <v>46204</v>
      </c>
      <c r="D72" t="inlineStr">
        <is>
          <t>VÄRMLANDS LÄN</t>
        </is>
      </c>
      <c r="E72" t="inlineStr">
        <is>
          <t>FILIPSTAD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54398-2024</t>
        </is>
      </c>
      <c r="B73" s="1" t="n">
        <v>45617</v>
      </c>
      <c r="C73" s="1" t="n">
        <v>46204</v>
      </c>
      <c r="D73" t="inlineStr">
        <is>
          <t>VÄRMLANDS LÄN</t>
        </is>
      </c>
      <c r="E73" t="inlineStr">
        <is>
          <t>FILIPSTAD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36809-2022</t>
        </is>
      </c>
      <c r="B74" s="1" t="n">
        <v>44805</v>
      </c>
      <c r="C74" s="1" t="n">
        <v>46204</v>
      </c>
      <c r="D74" t="inlineStr">
        <is>
          <t>VÄRMLANDS LÄN</t>
        </is>
      </c>
      <c r="E74" t="inlineStr">
        <is>
          <t>FILIPSTAD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34116-2024</t>
        </is>
      </c>
      <c r="B75" s="1" t="n">
        <v>45524</v>
      </c>
      <c r="C75" s="1" t="n">
        <v>46204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12247-2022</t>
        </is>
      </c>
      <c r="B76" s="1" t="n">
        <v>44637</v>
      </c>
      <c r="C76" s="1" t="n">
        <v>46204</v>
      </c>
      <c r="D76" t="inlineStr">
        <is>
          <t>VÄRMLANDS LÄN</t>
        </is>
      </c>
      <c r="E76" t="inlineStr">
        <is>
          <t>FILIPSTAD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25737-2023</t>
        </is>
      </c>
      <c r="B77" s="1" t="n">
        <v>45090</v>
      </c>
      <c r="C77" s="1" t="n">
        <v>46204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50904-2023</t>
        </is>
      </c>
      <c r="B78" s="1" t="n">
        <v>45218</v>
      </c>
      <c r="C78" s="1" t="n">
        <v>46204</v>
      </c>
      <c r="D78" t="inlineStr">
        <is>
          <t>VÄRMLANDS LÄN</t>
        </is>
      </c>
      <c r="E78" t="inlineStr">
        <is>
          <t>FILIPSTAD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5803-2023</t>
        </is>
      </c>
      <c r="B79" s="1" t="n">
        <v>44963</v>
      </c>
      <c r="C79" s="1" t="n">
        <v>46204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17788-2024</t>
        </is>
      </c>
      <c r="B80" s="1" t="n">
        <v>45418</v>
      </c>
      <c r="C80" s="1" t="n">
        <v>46204</v>
      </c>
      <c r="D80" t="inlineStr">
        <is>
          <t>VÄRMLANDS LÄN</t>
        </is>
      </c>
      <c r="E80" t="inlineStr">
        <is>
          <t>FILIPSTAD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45511-2024</t>
        </is>
      </c>
      <c r="B81" s="1" t="n">
        <v>45578</v>
      </c>
      <c r="C81" s="1" t="n">
        <v>46204</v>
      </c>
      <c r="D81" t="inlineStr">
        <is>
          <t>VÄRMLANDS LÄN</t>
        </is>
      </c>
      <c r="E81" t="inlineStr">
        <is>
          <t>FILIPSTAD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37577-2023</t>
        </is>
      </c>
      <c r="B82" s="1" t="n">
        <v>45159</v>
      </c>
      <c r="C82" s="1" t="n">
        <v>46204</v>
      </c>
      <c r="D82" t="inlineStr">
        <is>
          <t>VÄRMLANDS LÄN</t>
        </is>
      </c>
      <c r="E82" t="inlineStr">
        <is>
          <t>FILIPSTAD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57531-2024</t>
        </is>
      </c>
      <c r="B83" s="1" t="n">
        <v>45630</v>
      </c>
      <c r="C83" s="1" t="n">
        <v>46204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14582-2025</t>
        </is>
      </c>
      <c r="B84" s="1" t="n">
        <v>45742</v>
      </c>
      <c r="C84" s="1" t="n">
        <v>46204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19705-2025</t>
        </is>
      </c>
      <c r="B85" s="1" t="n">
        <v>45771</v>
      </c>
      <c r="C85" s="1" t="n">
        <v>46204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27107-2024</t>
        </is>
      </c>
      <c r="B86" s="1" t="n">
        <v>45471</v>
      </c>
      <c r="C86" s="1" t="n">
        <v>46204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27789-2022</t>
        </is>
      </c>
      <c r="B87" s="1" t="n">
        <v>44743</v>
      </c>
      <c r="C87" s="1" t="n">
        <v>46204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39566-2023</t>
        </is>
      </c>
      <c r="B88" s="1" t="n">
        <v>45167</v>
      </c>
      <c r="C88" s="1" t="n">
        <v>46204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14268-2024</t>
        </is>
      </c>
      <c r="B89" s="1" t="n">
        <v>45393</v>
      </c>
      <c r="C89" s="1" t="n">
        <v>46204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51985-2023</t>
        </is>
      </c>
      <c r="B90" s="1" t="n">
        <v>45223</v>
      </c>
      <c r="C90" s="1" t="n">
        <v>46204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18138-2022</t>
        </is>
      </c>
      <c r="B91" s="1" t="n">
        <v>44684</v>
      </c>
      <c r="C91" s="1" t="n">
        <v>46204</v>
      </c>
      <c r="D91" t="inlineStr">
        <is>
          <t>VÄRMLANDS LÄN</t>
        </is>
      </c>
      <c r="E91" t="inlineStr">
        <is>
          <t>FILIPSTAD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16103-2025</t>
        </is>
      </c>
      <c r="B92" s="1" t="n">
        <v>45750</v>
      </c>
      <c r="C92" s="1" t="n">
        <v>46204</v>
      </c>
      <c r="D92" t="inlineStr">
        <is>
          <t>VÄRMLANDS LÄN</t>
        </is>
      </c>
      <c r="E92" t="inlineStr">
        <is>
          <t>FILIPSTAD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5846-2023</t>
        </is>
      </c>
      <c r="B93" s="1" t="n">
        <v>44963</v>
      </c>
      <c r="C93" s="1" t="n">
        <v>46204</v>
      </c>
      <c r="D93" t="inlineStr">
        <is>
          <t>VÄRMLANDS LÄN</t>
        </is>
      </c>
      <c r="E93" t="inlineStr">
        <is>
          <t>FILIPSTAD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43059-2024</t>
        </is>
      </c>
      <c r="B94" s="1" t="n">
        <v>45567</v>
      </c>
      <c r="C94" s="1" t="n">
        <v>46204</v>
      </c>
      <c r="D94" t="inlineStr">
        <is>
          <t>VÄRMLANDS LÄN</t>
        </is>
      </c>
      <c r="E94" t="inlineStr">
        <is>
          <t>FILIPSTAD</t>
        </is>
      </c>
      <c r="F94" t="inlineStr">
        <is>
          <t>Kyrkan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51945-2023</t>
        </is>
      </c>
      <c r="B95" s="1" t="n">
        <v>45223</v>
      </c>
      <c r="C95" s="1" t="n">
        <v>46204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53034-2022</t>
        </is>
      </c>
      <c r="B96" s="1" t="n">
        <v>44876</v>
      </c>
      <c r="C96" s="1" t="n">
        <v>46204</v>
      </c>
      <c r="D96" t="inlineStr">
        <is>
          <t>VÄRMLANDS LÄN</t>
        </is>
      </c>
      <c r="E96" t="inlineStr">
        <is>
          <t>FILIPSTAD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55978-2022</t>
        </is>
      </c>
      <c r="B97" s="1" t="n">
        <v>44889</v>
      </c>
      <c r="C97" s="1" t="n">
        <v>46204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50776-2024</t>
        </is>
      </c>
      <c r="B98" s="1" t="n">
        <v>45602</v>
      </c>
      <c r="C98" s="1" t="n">
        <v>46204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15.5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46546-2021</t>
        </is>
      </c>
      <c r="B99" s="1" t="n">
        <v>44445</v>
      </c>
      <c r="C99" s="1" t="n">
        <v>46204</v>
      </c>
      <c r="D99" t="inlineStr">
        <is>
          <t>VÄRMLANDS LÄN</t>
        </is>
      </c>
      <c r="E99" t="inlineStr">
        <is>
          <t>FILIPSTAD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23382-2024</t>
        </is>
      </c>
      <c r="B100" s="1" t="n">
        <v>45453</v>
      </c>
      <c r="C100" s="1" t="n">
        <v>46204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47436-2024</t>
        </is>
      </c>
      <c r="B101" s="1" t="n">
        <v>45587</v>
      </c>
      <c r="C101" s="1" t="n">
        <v>46204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37945-2024</t>
        </is>
      </c>
      <c r="B102" s="1" t="n">
        <v>45544</v>
      </c>
      <c r="C102" s="1" t="n">
        <v>46204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48524-2023</t>
        </is>
      </c>
      <c r="B103" s="1" t="n">
        <v>45208</v>
      </c>
      <c r="C103" s="1" t="n">
        <v>46204</v>
      </c>
      <c r="D103" t="inlineStr">
        <is>
          <t>VÄRMLANDS LÄN</t>
        </is>
      </c>
      <c r="E103" t="inlineStr">
        <is>
          <t>FILIPSTAD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36680-2023</t>
        </is>
      </c>
      <c r="B104" s="1" t="n">
        <v>45153</v>
      </c>
      <c r="C104" s="1" t="n">
        <v>46204</v>
      </c>
      <c r="D104" t="inlineStr">
        <is>
          <t>VÄRMLANDS LÄN</t>
        </is>
      </c>
      <c r="E104" t="inlineStr">
        <is>
          <t>FILIPSTAD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41983-2023</t>
        </is>
      </c>
      <c r="B105" s="1" t="n">
        <v>45177</v>
      </c>
      <c r="C105" s="1" t="n">
        <v>46204</v>
      </c>
      <c r="D105" t="inlineStr">
        <is>
          <t>VÄRMLANDS LÄN</t>
        </is>
      </c>
      <c r="E105" t="inlineStr">
        <is>
          <t>FILIPSTAD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1042-2023</t>
        </is>
      </c>
      <c r="B106" s="1" t="n">
        <v>44935</v>
      </c>
      <c r="C106" s="1" t="n">
        <v>46204</v>
      </c>
      <c r="D106" t="inlineStr">
        <is>
          <t>VÄRMLANDS LÄN</t>
        </is>
      </c>
      <c r="E106" t="inlineStr">
        <is>
          <t>FILIPSTAD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4462-2025</t>
        </is>
      </c>
      <c r="B107" s="1" t="n">
        <v>45686</v>
      </c>
      <c r="C107" s="1" t="n">
        <v>46204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50856-2022</t>
        </is>
      </c>
      <c r="B108" s="1" t="n">
        <v>44867</v>
      </c>
      <c r="C108" s="1" t="n">
        <v>46204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30049-2025</t>
        </is>
      </c>
      <c r="B109" s="1" t="n">
        <v>45826</v>
      </c>
      <c r="C109" s="1" t="n">
        <v>46204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29885-2025</t>
        </is>
      </c>
      <c r="B110" s="1" t="n">
        <v>45826</v>
      </c>
      <c r="C110" s="1" t="n">
        <v>46204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29964-2025</t>
        </is>
      </c>
      <c r="B111" s="1" t="n">
        <v>45826</v>
      </c>
      <c r="C111" s="1" t="n">
        <v>46204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23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30169-2025</t>
        </is>
      </c>
      <c r="B112" s="1" t="n">
        <v>45827</v>
      </c>
      <c r="C112" s="1" t="n">
        <v>46204</v>
      </c>
      <c r="D112" t="inlineStr">
        <is>
          <t>VÄRMLANDS LÄN</t>
        </is>
      </c>
      <c r="E112" t="inlineStr">
        <is>
          <t>FILIPSTAD</t>
        </is>
      </c>
      <c r="F112" t="inlineStr">
        <is>
          <t>Kyrkan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7430-2026</t>
        </is>
      </c>
      <c r="B113" s="1" t="n">
        <v>46059</v>
      </c>
      <c r="C113" s="1" t="n">
        <v>46204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31172-2025</t>
        </is>
      </c>
      <c r="B114" s="1" t="n">
        <v>45832</v>
      </c>
      <c r="C114" s="1" t="n">
        <v>46204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21608-2023</t>
        </is>
      </c>
      <c r="B115" s="1" t="n">
        <v>45063</v>
      </c>
      <c r="C115" s="1" t="n">
        <v>46204</v>
      </c>
      <c r="D115" t="inlineStr">
        <is>
          <t>VÄRMLANDS LÄN</t>
        </is>
      </c>
      <c r="E115" t="inlineStr">
        <is>
          <t>FILIPSTAD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71971-2021</t>
        </is>
      </c>
      <c r="B116" s="1" t="n">
        <v>44544</v>
      </c>
      <c r="C116" s="1" t="n">
        <v>46204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57212-2023</t>
        </is>
      </c>
      <c r="B117" s="1" t="n">
        <v>45245</v>
      </c>
      <c r="C117" s="1" t="n">
        <v>46204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32032-2025</t>
        </is>
      </c>
      <c r="B118" s="1" t="n">
        <v>45835</v>
      </c>
      <c r="C118" s="1" t="n">
        <v>46204</v>
      </c>
      <c r="D118" t="inlineStr">
        <is>
          <t>VÄRMLANDS LÄN</t>
        </is>
      </c>
      <c r="E118" t="inlineStr">
        <is>
          <t>FILIPSTAD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32183-2025</t>
        </is>
      </c>
      <c r="B119" s="1" t="n">
        <v>45835</v>
      </c>
      <c r="C119" s="1" t="n">
        <v>46204</v>
      </c>
      <c r="D119" t="inlineStr">
        <is>
          <t>VÄRMLANDS LÄN</t>
        </is>
      </c>
      <c r="E119" t="inlineStr">
        <is>
          <t>FILIPSTAD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31883-2025</t>
        </is>
      </c>
      <c r="B120" s="1" t="n">
        <v>45834</v>
      </c>
      <c r="C120" s="1" t="n">
        <v>46204</v>
      </c>
      <c r="D120" t="inlineStr">
        <is>
          <t>VÄRMLANDS LÄN</t>
        </is>
      </c>
      <c r="E120" t="inlineStr">
        <is>
          <t>FILIPSTAD</t>
        </is>
      </c>
      <c r="G120" t="n">
        <v>18.7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16063-2025</t>
        </is>
      </c>
      <c r="B121" s="1" t="n">
        <v>45749</v>
      </c>
      <c r="C121" s="1" t="n">
        <v>46204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30165-2025</t>
        </is>
      </c>
      <c r="B122" s="1" t="n">
        <v>45827</v>
      </c>
      <c r="C122" s="1" t="n">
        <v>46204</v>
      </c>
      <c r="D122" t="inlineStr">
        <is>
          <t>VÄRMLANDS LÄN</t>
        </is>
      </c>
      <c r="E122" t="inlineStr">
        <is>
          <t>FILIPSTAD</t>
        </is>
      </c>
      <c r="F122" t="inlineStr">
        <is>
          <t>Kyrkan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4743-2025</t>
        </is>
      </c>
      <c r="B123" s="1" t="n">
        <v>45688</v>
      </c>
      <c r="C123" s="1" t="n">
        <v>46204</v>
      </c>
      <c r="D123" t="inlineStr">
        <is>
          <t>VÄRMLANDS LÄN</t>
        </is>
      </c>
      <c r="E123" t="inlineStr">
        <is>
          <t>FILIPSTAD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33407-2025</t>
        </is>
      </c>
      <c r="B124" s="1" t="n">
        <v>45841</v>
      </c>
      <c r="C124" s="1" t="n">
        <v>46204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8139-2026</t>
        </is>
      </c>
      <c r="B125" s="1" t="n">
        <v>46064</v>
      </c>
      <c r="C125" s="1" t="n">
        <v>46204</v>
      </c>
      <c r="D125" t="inlineStr">
        <is>
          <t>VÄRMLANDS LÄN</t>
        </is>
      </c>
      <c r="E125" t="inlineStr">
        <is>
          <t>FILIPSTAD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60524-2024</t>
        </is>
      </c>
      <c r="B126" s="1" t="n">
        <v>45643</v>
      </c>
      <c r="C126" s="1" t="n">
        <v>46204</v>
      </c>
      <c r="D126" t="inlineStr">
        <is>
          <t>VÄRMLANDS LÄN</t>
        </is>
      </c>
      <c r="E126" t="inlineStr">
        <is>
          <t>FILIPSTAD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29426-2023</t>
        </is>
      </c>
      <c r="B127" s="1" t="n">
        <v>45106</v>
      </c>
      <c r="C127" s="1" t="n">
        <v>46204</v>
      </c>
      <c r="D127" t="inlineStr">
        <is>
          <t>VÄRMLANDS LÄN</t>
        </is>
      </c>
      <c r="E127" t="inlineStr">
        <is>
          <t>FILIPSTAD</t>
        </is>
      </c>
      <c r="F127" t="inlineStr">
        <is>
          <t>Kyrkan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40764-2025</t>
        </is>
      </c>
      <c r="B128" s="1" t="n">
        <v>45897</v>
      </c>
      <c r="C128" s="1" t="n">
        <v>46204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8.1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30077-2025</t>
        </is>
      </c>
      <c r="B129" s="1" t="n">
        <v>45826</v>
      </c>
      <c r="C129" s="1" t="n">
        <v>46204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10338-2025</t>
        </is>
      </c>
      <c r="B130" s="1" t="n">
        <v>45720</v>
      </c>
      <c r="C130" s="1" t="n">
        <v>46204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41718-2025</t>
        </is>
      </c>
      <c r="B131" s="1" t="n">
        <v>45902</v>
      </c>
      <c r="C131" s="1" t="n">
        <v>46204</v>
      </c>
      <c r="D131" t="inlineStr">
        <is>
          <t>VÄRMLANDS LÄN</t>
        </is>
      </c>
      <c r="E131" t="inlineStr">
        <is>
          <t>FILIPSTAD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33368-2022</t>
        </is>
      </c>
      <c r="B132" s="1" t="n">
        <v>44788</v>
      </c>
      <c r="C132" s="1" t="n">
        <v>46204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18999-2024</t>
        </is>
      </c>
      <c r="B133" s="1" t="n">
        <v>45427</v>
      </c>
      <c r="C133" s="1" t="n">
        <v>46204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59436-2024</t>
        </is>
      </c>
      <c r="B134" s="1" t="n">
        <v>45638</v>
      </c>
      <c r="C134" s="1" t="n">
        <v>46204</v>
      </c>
      <c r="D134" t="inlineStr">
        <is>
          <t>VÄRMLANDS LÄN</t>
        </is>
      </c>
      <c r="E134" t="inlineStr">
        <is>
          <t>FILIPSTAD</t>
        </is>
      </c>
      <c r="F134" t="inlineStr">
        <is>
          <t>Kyrkan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29825-2023</t>
        </is>
      </c>
      <c r="B135" s="1" t="n">
        <v>45107</v>
      </c>
      <c r="C135" s="1" t="n">
        <v>46204</v>
      </c>
      <c r="D135" t="inlineStr">
        <is>
          <t>VÄRMLANDS LÄN</t>
        </is>
      </c>
      <c r="E135" t="inlineStr">
        <is>
          <t>FILIPSTAD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20811-2025</t>
        </is>
      </c>
      <c r="B136" s="1" t="n">
        <v>45776</v>
      </c>
      <c r="C136" s="1" t="n">
        <v>46204</v>
      </c>
      <c r="D136" t="inlineStr">
        <is>
          <t>VÄRMLANDS LÄN</t>
        </is>
      </c>
      <c r="E136" t="inlineStr">
        <is>
          <t>FILIPSTAD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43064-2025</t>
        </is>
      </c>
      <c r="B137" s="1" t="n">
        <v>45909</v>
      </c>
      <c r="C137" s="1" t="n">
        <v>46204</v>
      </c>
      <c r="D137" t="inlineStr">
        <is>
          <t>VÄRMLANDS LÄN</t>
        </is>
      </c>
      <c r="E137" t="inlineStr">
        <is>
          <t>FILIPSTAD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36582-2025</t>
        </is>
      </c>
      <c r="B138" s="1" t="n">
        <v>45870</v>
      </c>
      <c r="C138" s="1" t="n">
        <v>46204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43571-2025</t>
        </is>
      </c>
      <c r="B139" s="1" t="n">
        <v>45911</v>
      </c>
      <c r="C139" s="1" t="n">
        <v>46204</v>
      </c>
      <c r="D139" t="inlineStr">
        <is>
          <t>VÄRMLANDS LÄN</t>
        </is>
      </c>
      <c r="E139" t="inlineStr">
        <is>
          <t>FILIPSTAD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10279-2026</t>
        </is>
      </c>
      <c r="B140" s="1" t="n">
        <v>46076</v>
      </c>
      <c r="C140" s="1" t="n">
        <v>46204</v>
      </c>
      <c r="D140" t="inlineStr">
        <is>
          <t>VÄRMLANDS LÄN</t>
        </is>
      </c>
      <c r="E140" t="inlineStr">
        <is>
          <t>FILIPSTAD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31306-2023</t>
        </is>
      </c>
      <c r="B141" s="1" t="n">
        <v>45114</v>
      </c>
      <c r="C141" s="1" t="n">
        <v>46204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8692-2025</t>
        </is>
      </c>
      <c r="B142" s="1" t="n">
        <v>45712</v>
      </c>
      <c r="C142" s="1" t="n">
        <v>46204</v>
      </c>
      <c r="D142" t="inlineStr">
        <is>
          <t>VÄRMLANDS LÄN</t>
        </is>
      </c>
      <c r="E142" t="inlineStr">
        <is>
          <t>FILIPSTAD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6674-2025</t>
        </is>
      </c>
      <c r="B143" s="1" t="n">
        <v>45700</v>
      </c>
      <c r="C143" s="1" t="n">
        <v>46204</v>
      </c>
      <c r="D143" t="inlineStr">
        <is>
          <t>VÄRMLANDS LÄN</t>
        </is>
      </c>
      <c r="E143" t="inlineStr">
        <is>
          <t>FILIPSTAD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57244-2023</t>
        </is>
      </c>
      <c r="B144" s="1" t="n">
        <v>45245</v>
      </c>
      <c r="C144" s="1" t="n">
        <v>46204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46282-2025</t>
        </is>
      </c>
      <c r="B145" s="1" t="n">
        <v>45925</v>
      </c>
      <c r="C145" s="1" t="n">
        <v>46204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46204-2025</t>
        </is>
      </c>
      <c r="B146" s="1" t="n">
        <v>45924</v>
      </c>
      <c r="C146" s="1" t="n">
        <v>46204</v>
      </c>
      <c r="D146" t="inlineStr">
        <is>
          <t>VÄRMLANDS LÄN</t>
        </is>
      </c>
      <c r="E146" t="inlineStr">
        <is>
          <t>FILIPSTAD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38175-2025</t>
        </is>
      </c>
      <c r="B147" s="1" t="n">
        <v>45882</v>
      </c>
      <c r="C147" s="1" t="n">
        <v>46204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46906-2025</t>
        </is>
      </c>
      <c r="B148" s="1" t="n">
        <v>45929</v>
      </c>
      <c r="C148" s="1" t="n">
        <v>46204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47566-2025</t>
        </is>
      </c>
      <c r="B149" s="1" t="n">
        <v>45931</v>
      </c>
      <c r="C149" s="1" t="n">
        <v>46204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47633-2025</t>
        </is>
      </c>
      <c r="B150" s="1" t="n">
        <v>45931</v>
      </c>
      <c r="C150" s="1" t="n">
        <v>46204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43233-2023</t>
        </is>
      </c>
      <c r="B151" s="1" t="n">
        <v>45180</v>
      </c>
      <c r="C151" s="1" t="n">
        <v>46204</v>
      </c>
      <c r="D151" t="inlineStr">
        <is>
          <t>VÄRMLANDS LÄN</t>
        </is>
      </c>
      <c r="E151" t="inlineStr">
        <is>
          <t>FILIPSTAD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22830-2023</t>
        </is>
      </c>
      <c r="B152" s="1" t="n">
        <v>45072</v>
      </c>
      <c r="C152" s="1" t="n">
        <v>46204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22866-2023</t>
        </is>
      </c>
      <c r="B153" s="1" t="n">
        <v>45072</v>
      </c>
      <c r="C153" s="1" t="n">
        <v>46204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11313-2026</t>
        </is>
      </c>
      <c r="B154" s="1" t="n">
        <v>46080</v>
      </c>
      <c r="C154" s="1" t="n">
        <v>46204</v>
      </c>
      <c r="D154" t="inlineStr">
        <is>
          <t>VÄRMLANDS LÄN</t>
        </is>
      </c>
      <c r="E154" t="inlineStr">
        <is>
          <t>FILIPSTAD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47911-2025</t>
        </is>
      </c>
      <c r="B155" s="1" t="n">
        <v>45932</v>
      </c>
      <c r="C155" s="1" t="n">
        <v>46204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46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48103-2025</t>
        </is>
      </c>
      <c r="B156" s="1" t="n">
        <v>45933</v>
      </c>
      <c r="C156" s="1" t="n">
        <v>46204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62787-2023</t>
        </is>
      </c>
      <c r="B157" s="1" t="n">
        <v>45271</v>
      </c>
      <c r="C157" s="1" t="n">
        <v>46204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12509-2026</t>
        </is>
      </c>
      <c r="B158" s="1" t="n">
        <v>46090</v>
      </c>
      <c r="C158" s="1" t="n">
        <v>46204</v>
      </c>
      <c r="D158" t="inlineStr">
        <is>
          <t>VÄRMLANDS LÄN</t>
        </is>
      </c>
      <c r="E158" t="inlineStr">
        <is>
          <t>FILIPSTAD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12491-2026</t>
        </is>
      </c>
      <c r="B159" s="1" t="n">
        <v>46090</v>
      </c>
      <c r="C159" s="1" t="n">
        <v>46204</v>
      </c>
      <c r="D159" t="inlineStr">
        <is>
          <t>VÄRMLANDS LÄN</t>
        </is>
      </c>
      <c r="E159" t="inlineStr">
        <is>
          <t>FILIPSTAD</t>
        </is>
      </c>
      <c r="G159" t="n">
        <v>8.6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12216-2026</t>
        </is>
      </c>
      <c r="B160" s="1" t="n">
        <v>46087</v>
      </c>
      <c r="C160" s="1" t="n">
        <v>46204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40244-2023</t>
        </is>
      </c>
      <c r="B161" s="1" t="n">
        <v>45169</v>
      </c>
      <c r="C161" s="1" t="n">
        <v>46204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12498-2026</t>
        </is>
      </c>
      <c r="B162" s="1" t="n">
        <v>46090</v>
      </c>
      <c r="C162" s="1" t="n">
        <v>46204</v>
      </c>
      <c r="D162" t="inlineStr">
        <is>
          <t>VÄRMLANDS LÄN</t>
        </is>
      </c>
      <c r="E162" t="inlineStr">
        <is>
          <t>FILIPSTAD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12943-2026</t>
        </is>
      </c>
      <c r="B163" s="1" t="n">
        <v>46092</v>
      </c>
      <c r="C163" s="1" t="n">
        <v>46204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12955-2026</t>
        </is>
      </c>
      <c r="B164" s="1" t="n">
        <v>46092</v>
      </c>
      <c r="C164" s="1" t="n">
        <v>46204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49935-2025</t>
        </is>
      </c>
      <c r="B165" s="1" t="n">
        <v>45940</v>
      </c>
      <c r="C165" s="1" t="n">
        <v>46204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50199-2025</t>
        </is>
      </c>
      <c r="B166" s="1" t="n">
        <v>45943</v>
      </c>
      <c r="C166" s="1" t="n">
        <v>46204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13553-2026</t>
        </is>
      </c>
      <c r="B167" s="1" t="n">
        <v>46094</v>
      </c>
      <c r="C167" s="1" t="n">
        <v>46204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50195-2025</t>
        </is>
      </c>
      <c r="B168" s="1" t="n">
        <v>45943</v>
      </c>
      <c r="C168" s="1" t="n">
        <v>46204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50032-2025</t>
        </is>
      </c>
      <c r="B169" s="1" t="n">
        <v>45943</v>
      </c>
      <c r="C169" s="1" t="n">
        <v>46204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50167-2025</t>
        </is>
      </c>
      <c r="B170" s="1" t="n">
        <v>45943</v>
      </c>
      <c r="C170" s="1" t="n">
        <v>46204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49878-2025</t>
        </is>
      </c>
      <c r="B171" s="1" t="n">
        <v>45940</v>
      </c>
      <c r="C171" s="1" t="n">
        <v>46204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13393-2026</t>
        </is>
      </c>
      <c r="B172" s="1" t="n">
        <v>46094</v>
      </c>
      <c r="C172" s="1" t="n">
        <v>46204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422-2025</t>
        </is>
      </c>
      <c r="B173" s="1" t="n">
        <v>45664</v>
      </c>
      <c r="C173" s="1" t="n">
        <v>46204</v>
      </c>
      <c r="D173" t="inlineStr">
        <is>
          <t>VÄRMLANDS LÄN</t>
        </is>
      </c>
      <c r="E173" t="inlineStr">
        <is>
          <t>FILIPSTAD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13555-2026</t>
        </is>
      </c>
      <c r="B174" s="1" t="n">
        <v>46094</v>
      </c>
      <c r="C174" s="1" t="n">
        <v>46204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13387-2026</t>
        </is>
      </c>
      <c r="B175" s="1" t="n">
        <v>46094</v>
      </c>
      <c r="C175" s="1" t="n">
        <v>46204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13520-2026</t>
        </is>
      </c>
      <c r="B176" s="1" t="n">
        <v>46094</v>
      </c>
      <c r="C176" s="1" t="n">
        <v>46204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51039-2025</t>
        </is>
      </c>
      <c r="B177" s="1" t="n">
        <v>45947</v>
      </c>
      <c r="C177" s="1" t="n">
        <v>46204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50996-2025</t>
        </is>
      </c>
      <c r="B178" s="1" t="n">
        <v>45947</v>
      </c>
      <c r="C178" s="1" t="n">
        <v>46204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51031-2025</t>
        </is>
      </c>
      <c r="B179" s="1" t="n">
        <v>45947</v>
      </c>
      <c r="C179" s="1" t="n">
        <v>46204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19351-2025</t>
        </is>
      </c>
      <c r="B180" s="1" t="n">
        <v>45769</v>
      </c>
      <c r="C180" s="1" t="n">
        <v>46204</v>
      </c>
      <c r="D180" t="inlineStr">
        <is>
          <t>VÄRMLANDS LÄN</t>
        </is>
      </c>
      <c r="E180" t="inlineStr">
        <is>
          <t>FILIPSTAD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51355-2025</t>
        </is>
      </c>
      <c r="B181" s="1" t="n">
        <v>45950</v>
      </c>
      <c r="C181" s="1" t="n">
        <v>46204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51790-2025</t>
        </is>
      </c>
      <c r="B182" s="1" t="n">
        <v>45951</v>
      </c>
      <c r="C182" s="1" t="n">
        <v>46204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57588-2023</t>
        </is>
      </c>
      <c r="B183" s="1" t="n">
        <v>45246</v>
      </c>
      <c r="C183" s="1" t="n">
        <v>46204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13955-2026</t>
        </is>
      </c>
      <c r="B184" s="1" t="n">
        <v>46098</v>
      </c>
      <c r="C184" s="1" t="n">
        <v>46204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51572-2025</t>
        </is>
      </c>
      <c r="B185" s="1" t="n">
        <v>45951</v>
      </c>
      <c r="C185" s="1" t="n">
        <v>46204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13863-2026</t>
        </is>
      </c>
      <c r="B186" s="1" t="n">
        <v>46098</v>
      </c>
      <c r="C186" s="1" t="n">
        <v>46204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13.7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1750-2025</t>
        </is>
      </c>
      <c r="B187" s="1" t="n">
        <v>45671</v>
      </c>
      <c r="C187" s="1" t="n">
        <v>46204</v>
      </c>
      <c r="D187" t="inlineStr">
        <is>
          <t>VÄRMLANDS LÄN</t>
        </is>
      </c>
      <c r="E187" t="inlineStr">
        <is>
          <t>FILIPSTAD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14315-2026</t>
        </is>
      </c>
      <c r="B188" s="1" t="n">
        <v>46099</v>
      </c>
      <c r="C188" s="1" t="n">
        <v>46204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52329-2025</t>
        </is>
      </c>
      <c r="B189" s="1" t="n">
        <v>45953</v>
      </c>
      <c r="C189" s="1" t="n">
        <v>46204</v>
      </c>
      <c r="D189" t="inlineStr">
        <is>
          <t>VÄRMLANDS LÄN</t>
        </is>
      </c>
      <c r="E189" t="inlineStr">
        <is>
          <t>FILIPSTAD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14379-2026</t>
        </is>
      </c>
      <c r="B190" s="1" t="n">
        <v>46100</v>
      </c>
      <c r="C190" s="1" t="n">
        <v>46204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491-2024</t>
        </is>
      </c>
      <c r="B191" s="1" t="n">
        <v>45299</v>
      </c>
      <c r="C191" s="1" t="n">
        <v>46204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16371-2024</t>
        </is>
      </c>
      <c r="B192" s="1" t="n">
        <v>45407</v>
      </c>
      <c r="C192" s="1" t="n">
        <v>46204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52518-2025</t>
        </is>
      </c>
      <c r="B193" s="1" t="n">
        <v>45954</v>
      </c>
      <c r="C193" s="1" t="n">
        <v>46204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869-2025</t>
        </is>
      </c>
      <c r="B194" s="1" t="n">
        <v>45665</v>
      </c>
      <c r="C194" s="1" t="n">
        <v>46204</v>
      </c>
      <c r="D194" t="inlineStr">
        <is>
          <t>VÄRMLANDS LÄN</t>
        </is>
      </c>
      <c r="E194" t="inlineStr">
        <is>
          <t>FILIPSTAD</t>
        </is>
      </c>
      <c r="G194" t="n">
        <v>11.7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33967-2023</t>
        </is>
      </c>
      <c r="B195" s="1" t="n">
        <v>45124</v>
      </c>
      <c r="C195" s="1" t="n">
        <v>46204</v>
      </c>
      <c r="D195" t="inlineStr">
        <is>
          <t>VÄRMLANDS LÄN</t>
        </is>
      </c>
      <c r="E195" t="inlineStr">
        <is>
          <t>FILIPSTAD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53395-2025</t>
        </is>
      </c>
      <c r="B196" s="1" t="n">
        <v>45959</v>
      </c>
      <c r="C196" s="1" t="n">
        <v>46204</v>
      </c>
      <c r="D196" t="inlineStr">
        <is>
          <t>VÄRMLANDS LÄN</t>
        </is>
      </c>
      <c r="E196" t="inlineStr">
        <is>
          <t>FILIPSTAD</t>
        </is>
      </c>
      <c r="F196" t="inlineStr">
        <is>
          <t>Kyrkan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53325-2025</t>
        </is>
      </c>
      <c r="B197" s="1" t="n">
        <v>45959</v>
      </c>
      <c r="C197" s="1" t="n">
        <v>46204</v>
      </c>
      <c r="D197" t="inlineStr">
        <is>
          <t>VÄRMLANDS LÄN</t>
        </is>
      </c>
      <c r="E197" t="inlineStr">
        <is>
          <t>FILIPSTAD</t>
        </is>
      </c>
      <c r="F197" t="inlineStr">
        <is>
          <t>Kyrkan</t>
        </is>
      </c>
      <c r="G197" t="n">
        <v>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53655-2025</t>
        </is>
      </c>
      <c r="B198" s="1" t="n">
        <v>45960</v>
      </c>
      <c r="C198" s="1" t="n">
        <v>46204</v>
      </c>
      <c r="D198" t="inlineStr">
        <is>
          <t>VÄRMLANDS LÄN</t>
        </is>
      </c>
      <c r="E198" t="inlineStr">
        <is>
          <t>FILIPSTAD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53575-2025</t>
        </is>
      </c>
      <c r="B199" s="1" t="n">
        <v>45960</v>
      </c>
      <c r="C199" s="1" t="n">
        <v>46204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53649-2025</t>
        </is>
      </c>
      <c r="B200" s="1" t="n">
        <v>45960</v>
      </c>
      <c r="C200" s="1" t="n">
        <v>46204</v>
      </c>
      <c r="D200" t="inlineStr">
        <is>
          <t>VÄRMLANDS LÄN</t>
        </is>
      </c>
      <c r="E200" t="inlineStr">
        <is>
          <t>FILIPSTAD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54328-2025</t>
        </is>
      </c>
      <c r="B201" s="1" t="n">
        <v>45965</v>
      </c>
      <c r="C201" s="1" t="n">
        <v>46204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54497-2025</t>
        </is>
      </c>
      <c r="B202" s="1" t="n">
        <v>45965</v>
      </c>
      <c r="C202" s="1" t="n">
        <v>46204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62540-2023</t>
        </is>
      </c>
      <c r="B203" s="1" t="n">
        <v>45267</v>
      </c>
      <c r="C203" s="1" t="n">
        <v>46204</v>
      </c>
      <c r="D203" t="inlineStr">
        <is>
          <t>VÄRMLANDS LÄN</t>
        </is>
      </c>
      <c r="E203" t="inlineStr">
        <is>
          <t>FILIPSTAD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15644-2026</t>
        </is>
      </c>
      <c r="B204" s="1" t="n">
        <v>46106</v>
      </c>
      <c r="C204" s="1" t="n">
        <v>46204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63482-2021</t>
        </is>
      </c>
      <c r="B205" s="1" t="n">
        <v>44508</v>
      </c>
      <c r="C205" s="1" t="n">
        <v>46204</v>
      </c>
      <c r="D205" t="inlineStr">
        <is>
          <t>VÄRMLANDS LÄN</t>
        </is>
      </c>
      <c r="E205" t="inlineStr">
        <is>
          <t>FILIPSTAD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15228-2025</t>
        </is>
      </c>
      <c r="B206" s="1" t="n">
        <v>45744</v>
      </c>
      <c r="C206" s="1" t="n">
        <v>46204</v>
      </c>
      <c r="D206" t="inlineStr">
        <is>
          <t>VÄRMLANDS LÄN</t>
        </is>
      </c>
      <c r="E206" t="inlineStr">
        <is>
          <t>FILIPSTAD</t>
        </is>
      </c>
      <c r="F206" t="inlineStr">
        <is>
          <t>Kommuner</t>
        </is>
      </c>
      <c r="G206" t="n">
        <v>17.7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59296-2023</t>
        </is>
      </c>
      <c r="B207" s="1" t="n">
        <v>45253</v>
      </c>
      <c r="C207" s="1" t="n">
        <v>46204</v>
      </c>
      <c r="D207" t="inlineStr">
        <is>
          <t>VÄRMLANDS LÄN</t>
        </is>
      </c>
      <c r="E207" t="inlineStr">
        <is>
          <t>FILIPSTAD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55173-2025</t>
        </is>
      </c>
      <c r="B208" s="1" t="n">
        <v>45968</v>
      </c>
      <c r="C208" s="1" t="n">
        <v>46204</v>
      </c>
      <c r="D208" t="inlineStr">
        <is>
          <t>VÄRMLANDS LÄN</t>
        </is>
      </c>
      <c r="E208" t="inlineStr">
        <is>
          <t>FILIPSTAD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55175-2025</t>
        </is>
      </c>
      <c r="B209" s="1" t="n">
        <v>45968</v>
      </c>
      <c r="C209" s="1" t="n">
        <v>46204</v>
      </c>
      <c r="D209" t="inlineStr">
        <is>
          <t>VÄRMLANDS LÄN</t>
        </is>
      </c>
      <c r="E209" t="inlineStr">
        <is>
          <t>FILIPSTAD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56840-2024</t>
        </is>
      </c>
      <c r="B210" s="1" t="n">
        <v>45628</v>
      </c>
      <c r="C210" s="1" t="n">
        <v>46204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15619-2026</t>
        </is>
      </c>
      <c r="B211" s="1" t="n">
        <v>46106</v>
      </c>
      <c r="C211" s="1" t="n">
        <v>46204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15645-2026</t>
        </is>
      </c>
      <c r="B212" s="1" t="n">
        <v>46106</v>
      </c>
      <c r="C212" s="1" t="n">
        <v>46204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16584-2024</t>
        </is>
      </c>
      <c r="B213" s="1" t="n">
        <v>45408</v>
      </c>
      <c r="C213" s="1" t="n">
        <v>46204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15459-2026</t>
        </is>
      </c>
      <c r="B214" s="1" t="n">
        <v>46106</v>
      </c>
      <c r="C214" s="1" t="n">
        <v>46204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11.8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55579-2025</t>
        </is>
      </c>
      <c r="B215" s="1" t="n">
        <v>45971</v>
      </c>
      <c r="C215" s="1" t="n">
        <v>46204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55514-2025</t>
        </is>
      </c>
      <c r="B216" s="1" t="n">
        <v>45971</v>
      </c>
      <c r="C216" s="1" t="n">
        <v>46204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13.3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56062-2025</t>
        </is>
      </c>
      <c r="B217" s="1" t="n">
        <v>45973</v>
      </c>
      <c r="C217" s="1" t="n">
        <v>46204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56008-2025</t>
        </is>
      </c>
      <c r="B218" s="1" t="n">
        <v>45973</v>
      </c>
      <c r="C218" s="1" t="n">
        <v>46204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15412-2026</t>
        </is>
      </c>
      <c r="B219" s="1" t="n">
        <v>46106</v>
      </c>
      <c r="C219" s="1" t="n">
        <v>46204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56028-2025</t>
        </is>
      </c>
      <c r="B220" s="1" t="n">
        <v>45973</v>
      </c>
      <c r="C220" s="1" t="n">
        <v>46204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56086-2025</t>
        </is>
      </c>
      <c r="B221" s="1" t="n">
        <v>45973</v>
      </c>
      <c r="C221" s="1" t="n">
        <v>46204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56032-2025</t>
        </is>
      </c>
      <c r="B222" s="1" t="n">
        <v>45973</v>
      </c>
      <c r="C222" s="1" t="n">
        <v>46204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56045-2025</t>
        </is>
      </c>
      <c r="B223" s="1" t="n">
        <v>45973</v>
      </c>
      <c r="C223" s="1" t="n">
        <v>46204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56037-2025</t>
        </is>
      </c>
      <c r="B224" s="1" t="n">
        <v>45973</v>
      </c>
      <c r="C224" s="1" t="n">
        <v>46204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56083-2025</t>
        </is>
      </c>
      <c r="B225" s="1" t="n">
        <v>45973</v>
      </c>
      <c r="C225" s="1" t="n">
        <v>46204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55668-2025</t>
        </is>
      </c>
      <c r="B226" s="1" t="n">
        <v>45972</v>
      </c>
      <c r="C226" s="1" t="n">
        <v>46204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15197-2026</t>
        </is>
      </c>
      <c r="B227" s="1" t="n">
        <v>46105</v>
      </c>
      <c r="C227" s="1" t="n">
        <v>46204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56180-2025</t>
        </is>
      </c>
      <c r="B228" s="1" t="n">
        <v>45974</v>
      </c>
      <c r="C228" s="1" t="n">
        <v>46204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25338-2023</t>
        </is>
      </c>
      <c r="B229" s="1" t="n">
        <v>45087</v>
      </c>
      <c r="C229" s="1" t="n">
        <v>46204</v>
      </c>
      <c r="D229" t="inlineStr">
        <is>
          <t>VÄRMLANDS LÄN</t>
        </is>
      </c>
      <c r="E229" t="inlineStr">
        <is>
          <t>FILIPSTAD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25375-2023</t>
        </is>
      </c>
      <c r="B230" s="1" t="n">
        <v>45088</v>
      </c>
      <c r="C230" s="1" t="n">
        <v>46204</v>
      </c>
      <c r="D230" t="inlineStr">
        <is>
          <t>VÄRMLANDS LÄN</t>
        </is>
      </c>
      <c r="E230" t="inlineStr">
        <is>
          <t>FILIPSTAD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56201-2025</t>
        </is>
      </c>
      <c r="B231" s="1" t="n">
        <v>45974</v>
      </c>
      <c r="C231" s="1" t="n">
        <v>46204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56182-2025</t>
        </is>
      </c>
      <c r="B232" s="1" t="n">
        <v>45974</v>
      </c>
      <c r="C232" s="1" t="n">
        <v>46204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56184-2025</t>
        </is>
      </c>
      <c r="B233" s="1" t="n">
        <v>45974</v>
      </c>
      <c r="C233" s="1" t="n">
        <v>46204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56158-2025</t>
        </is>
      </c>
      <c r="B234" s="1" t="n">
        <v>45974</v>
      </c>
      <c r="C234" s="1" t="n">
        <v>46204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56167-2025</t>
        </is>
      </c>
      <c r="B235" s="1" t="n">
        <v>45974</v>
      </c>
      <c r="C235" s="1" t="n">
        <v>46204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4620-2024</t>
        </is>
      </c>
      <c r="B236" s="1" t="n">
        <v>45328</v>
      </c>
      <c r="C236" s="1" t="n">
        <v>46204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56925-2025</t>
        </is>
      </c>
      <c r="B237" s="1" t="n">
        <v>45978</v>
      </c>
      <c r="C237" s="1" t="n">
        <v>46204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18.8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16009-2026</t>
        </is>
      </c>
      <c r="B238" s="1" t="n">
        <v>46108</v>
      </c>
      <c r="C238" s="1" t="n">
        <v>46204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15848-2026</t>
        </is>
      </c>
      <c r="B239" s="1" t="n">
        <v>46107</v>
      </c>
      <c r="C239" s="1" t="n">
        <v>46204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15920-2026</t>
        </is>
      </c>
      <c r="B240" s="1" t="n">
        <v>46107</v>
      </c>
      <c r="C240" s="1" t="n">
        <v>46204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16100-2025</t>
        </is>
      </c>
      <c r="B241" s="1" t="n">
        <v>45750</v>
      </c>
      <c r="C241" s="1" t="n">
        <v>46204</v>
      </c>
      <c r="D241" t="inlineStr">
        <is>
          <t>VÄRMLANDS LÄN</t>
        </is>
      </c>
      <c r="E241" t="inlineStr">
        <is>
          <t>FILIPSTAD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39633-2023</t>
        </is>
      </c>
      <c r="B242" s="1" t="n">
        <v>45167</v>
      </c>
      <c r="C242" s="1" t="n">
        <v>46204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57872-2025</t>
        </is>
      </c>
      <c r="B243" s="1" t="n">
        <v>45981</v>
      </c>
      <c r="C243" s="1" t="n">
        <v>46204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58019-2025</t>
        </is>
      </c>
      <c r="B244" s="1" t="n">
        <v>45982</v>
      </c>
      <c r="C244" s="1" t="n">
        <v>46204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28.4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15889-2026</t>
        </is>
      </c>
      <c r="B245" s="1" t="n">
        <v>46107</v>
      </c>
      <c r="C245" s="1" t="n">
        <v>46204</v>
      </c>
      <c r="D245" t="inlineStr">
        <is>
          <t>VÄRMLANDS LÄN</t>
        </is>
      </c>
      <c r="E245" t="inlineStr">
        <is>
          <t>FILIPSTAD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58389-2025</t>
        </is>
      </c>
      <c r="B246" s="1" t="n">
        <v>45985</v>
      </c>
      <c r="C246" s="1" t="n">
        <v>46204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58211-2025</t>
        </is>
      </c>
      <c r="B247" s="1" t="n">
        <v>45985</v>
      </c>
      <c r="C247" s="1" t="n">
        <v>46204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61741-2022</t>
        </is>
      </c>
      <c r="B248" s="1" t="n">
        <v>44911</v>
      </c>
      <c r="C248" s="1" t="n">
        <v>46204</v>
      </c>
      <c r="D248" t="inlineStr">
        <is>
          <t>VÄRMLANDS LÄN</t>
        </is>
      </c>
      <c r="E248" t="inlineStr">
        <is>
          <t>FILIPSTAD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16050-2026</t>
        </is>
      </c>
      <c r="B249" s="1" t="n">
        <v>46108</v>
      </c>
      <c r="C249" s="1" t="n">
        <v>46204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16040-2026</t>
        </is>
      </c>
      <c r="B250" s="1" t="n">
        <v>46108</v>
      </c>
      <c r="C250" s="1" t="n">
        <v>46204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60296-2023</t>
        </is>
      </c>
      <c r="B251" s="1" t="n">
        <v>45257</v>
      </c>
      <c r="C251" s="1" t="n">
        <v>46204</v>
      </c>
      <c r="D251" t="inlineStr">
        <is>
          <t>VÄRMLANDS LÄN</t>
        </is>
      </c>
      <c r="E251" t="inlineStr">
        <is>
          <t>FILIPSTAD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28161-2023</t>
        </is>
      </c>
      <c r="B252" s="1" t="n">
        <v>45093</v>
      </c>
      <c r="C252" s="1" t="n">
        <v>46204</v>
      </c>
      <c r="D252" t="inlineStr">
        <is>
          <t>VÄRMLANDS LÄN</t>
        </is>
      </c>
      <c r="E252" t="inlineStr">
        <is>
          <t>FILIPSTAD</t>
        </is>
      </c>
      <c r="F252" t="inlineStr">
        <is>
          <t>Kommuner</t>
        </is>
      </c>
      <c r="G252" t="n">
        <v>15.4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59290-2025</t>
        </is>
      </c>
      <c r="B253" s="1" t="n">
        <v>45988</v>
      </c>
      <c r="C253" s="1" t="n">
        <v>46204</v>
      </c>
      <c r="D253" t="inlineStr">
        <is>
          <t>VÄRMLANDS LÄN</t>
        </is>
      </c>
      <c r="E253" t="inlineStr">
        <is>
          <t>FILIPSTAD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59414-2025</t>
        </is>
      </c>
      <c r="B254" s="1" t="n">
        <v>45989</v>
      </c>
      <c r="C254" s="1" t="n">
        <v>46204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59406-2025</t>
        </is>
      </c>
      <c r="B255" s="1" t="n">
        <v>45989</v>
      </c>
      <c r="C255" s="1" t="n">
        <v>46204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8.9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59410-2025</t>
        </is>
      </c>
      <c r="B256" s="1" t="n">
        <v>45989</v>
      </c>
      <c r="C256" s="1" t="n">
        <v>46204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59423-2025</t>
        </is>
      </c>
      <c r="B257" s="1" t="n">
        <v>45989</v>
      </c>
      <c r="C257" s="1" t="n">
        <v>46204</v>
      </c>
      <c r="D257" t="inlineStr">
        <is>
          <t>VÄRMLANDS LÄN</t>
        </is>
      </c>
      <c r="E257" t="inlineStr">
        <is>
          <t>FILIPSTAD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20663-2024</t>
        </is>
      </c>
      <c r="B258" s="1" t="n">
        <v>45436</v>
      </c>
      <c r="C258" s="1" t="n">
        <v>46204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17795-2024</t>
        </is>
      </c>
      <c r="B259" s="1" t="n">
        <v>45418</v>
      </c>
      <c r="C259" s="1" t="n">
        <v>46204</v>
      </c>
      <c r="D259" t="inlineStr">
        <is>
          <t>VÄRMLANDS LÄN</t>
        </is>
      </c>
      <c r="E259" t="inlineStr">
        <is>
          <t>FILIPSTAD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59712-2025</t>
        </is>
      </c>
      <c r="B260" s="1" t="n">
        <v>45992</v>
      </c>
      <c r="C260" s="1" t="n">
        <v>46204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59707-2025</t>
        </is>
      </c>
      <c r="B261" s="1" t="n">
        <v>45992</v>
      </c>
      <c r="C261" s="1" t="n">
        <v>46204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59709-2025</t>
        </is>
      </c>
      <c r="B262" s="1" t="n">
        <v>45992</v>
      </c>
      <c r="C262" s="1" t="n">
        <v>46204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59966-2025</t>
        </is>
      </c>
      <c r="B263" s="1" t="n">
        <v>45993</v>
      </c>
      <c r="C263" s="1" t="n">
        <v>46204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37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59929-2025</t>
        </is>
      </c>
      <c r="B264" s="1" t="n">
        <v>45993</v>
      </c>
      <c r="C264" s="1" t="n">
        <v>46204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44384-2021</t>
        </is>
      </c>
      <c r="B265" s="1" t="n">
        <v>44435</v>
      </c>
      <c r="C265" s="1" t="n">
        <v>46204</v>
      </c>
      <c r="D265" t="inlineStr">
        <is>
          <t>VÄRMLANDS LÄN</t>
        </is>
      </c>
      <c r="E265" t="inlineStr">
        <is>
          <t>FILIPSTAD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16975-2026</t>
        </is>
      </c>
      <c r="B266" s="1" t="n">
        <v>46114</v>
      </c>
      <c r="C266" s="1" t="n">
        <v>46204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8.1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60433-2025</t>
        </is>
      </c>
      <c r="B267" s="1" t="n">
        <v>45995</v>
      </c>
      <c r="C267" s="1" t="n">
        <v>46204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60550-2025</t>
        </is>
      </c>
      <c r="B268" s="1" t="n">
        <v>45995</v>
      </c>
      <c r="C268" s="1" t="n">
        <v>46204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60396-2025</t>
        </is>
      </c>
      <c r="B269" s="1" t="n">
        <v>45995</v>
      </c>
      <c r="C269" s="1" t="n">
        <v>46204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53348-2023</t>
        </is>
      </c>
      <c r="B270" s="1" t="n">
        <v>45229</v>
      </c>
      <c r="C270" s="1" t="n">
        <v>46204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14275-2024</t>
        </is>
      </c>
      <c r="B271" s="1" t="n">
        <v>45393</v>
      </c>
      <c r="C271" s="1" t="n">
        <v>46204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60821-2025</t>
        </is>
      </c>
      <c r="B272" s="1" t="n">
        <v>45999</v>
      </c>
      <c r="C272" s="1" t="n">
        <v>46204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7.6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60653-2025</t>
        </is>
      </c>
      <c r="B273" s="1" t="n">
        <v>45996</v>
      </c>
      <c r="C273" s="1" t="n">
        <v>46204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14459-2023</t>
        </is>
      </c>
      <c r="B274" s="1" t="n">
        <v>45012</v>
      </c>
      <c r="C274" s="1" t="n">
        <v>46204</v>
      </c>
      <c r="D274" t="inlineStr">
        <is>
          <t>VÄRMLANDS LÄN</t>
        </is>
      </c>
      <c r="E274" t="inlineStr">
        <is>
          <t>FILIPSTAD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61069-2025</t>
        </is>
      </c>
      <c r="B275" s="1" t="n">
        <v>46000</v>
      </c>
      <c r="C275" s="1" t="n">
        <v>46204</v>
      </c>
      <c r="D275" t="inlineStr">
        <is>
          <t>VÄRMLANDS LÄN</t>
        </is>
      </c>
      <c r="E275" t="inlineStr">
        <is>
          <t>FILIPSTAD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61492-2025</t>
        </is>
      </c>
      <c r="B276" s="1" t="n">
        <v>46001</v>
      </c>
      <c r="C276" s="1" t="n">
        <v>46204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61047-2025</t>
        </is>
      </c>
      <c r="B277" s="1" t="n">
        <v>46000</v>
      </c>
      <c r="C277" s="1" t="n">
        <v>46204</v>
      </c>
      <c r="D277" t="inlineStr">
        <is>
          <t>VÄRMLANDS LÄN</t>
        </is>
      </c>
      <c r="E277" t="inlineStr">
        <is>
          <t>FILIPSTAD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61391-2025</t>
        </is>
      </c>
      <c r="B278" s="1" t="n">
        <v>46001</v>
      </c>
      <c r="C278" s="1" t="n">
        <v>46204</v>
      </c>
      <c r="D278" t="inlineStr">
        <is>
          <t>VÄRMLANDS LÄN</t>
        </is>
      </c>
      <c r="E278" t="inlineStr">
        <is>
          <t>FILIPSTAD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61362-2025</t>
        </is>
      </c>
      <c r="B279" s="1" t="n">
        <v>46001</v>
      </c>
      <c r="C279" s="1" t="n">
        <v>46204</v>
      </c>
      <c r="D279" t="inlineStr">
        <is>
          <t>VÄRMLANDS LÄN</t>
        </is>
      </c>
      <c r="E279" t="inlineStr">
        <is>
          <t>FILIPSTAD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61417-2025</t>
        </is>
      </c>
      <c r="B280" s="1" t="n">
        <v>46001</v>
      </c>
      <c r="C280" s="1" t="n">
        <v>46204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61482-2025</t>
        </is>
      </c>
      <c r="B281" s="1" t="n">
        <v>46001</v>
      </c>
      <c r="C281" s="1" t="n">
        <v>46204</v>
      </c>
      <c r="D281" t="inlineStr">
        <is>
          <t>VÄRMLANDS LÄN</t>
        </is>
      </c>
      <c r="E281" t="inlineStr">
        <is>
          <t>FILIPSTAD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61327-2025</t>
        </is>
      </c>
      <c r="B282" s="1" t="n">
        <v>46001</v>
      </c>
      <c r="C282" s="1" t="n">
        <v>46204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17278-2026</t>
        </is>
      </c>
      <c r="B283" s="1" t="n">
        <v>46119</v>
      </c>
      <c r="C283" s="1" t="n">
        <v>46204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17326-2026</t>
        </is>
      </c>
      <c r="B284" s="1" t="n">
        <v>46119</v>
      </c>
      <c r="C284" s="1" t="n">
        <v>46204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61823-2025</t>
        </is>
      </c>
      <c r="B285" s="1" t="n">
        <v>46003</v>
      </c>
      <c r="C285" s="1" t="n">
        <v>46204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61976-2025</t>
        </is>
      </c>
      <c r="B286" s="1" t="n">
        <v>46003</v>
      </c>
      <c r="C286" s="1" t="n">
        <v>46204</v>
      </c>
      <c r="D286" t="inlineStr">
        <is>
          <t>VÄRMLANDS LÄN</t>
        </is>
      </c>
      <c r="E286" t="inlineStr">
        <is>
          <t>FILIPSTAD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62021-2025</t>
        </is>
      </c>
      <c r="B287" s="1" t="n">
        <v>46003</v>
      </c>
      <c r="C287" s="1" t="n">
        <v>46204</v>
      </c>
      <c r="D287" t="inlineStr">
        <is>
          <t>VÄRMLANDS LÄN</t>
        </is>
      </c>
      <c r="E287" t="inlineStr">
        <is>
          <t>FILIPSTAD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19159-2024</t>
        </is>
      </c>
      <c r="B288" s="1" t="n">
        <v>45428</v>
      </c>
      <c r="C288" s="1" t="n">
        <v>46204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61566-2025</t>
        </is>
      </c>
      <c r="B289" s="1" t="n">
        <v>46001</v>
      </c>
      <c r="C289" s="1" t="n">
        <v>46204</v>
      </c>
      <c r="D289" t="inlineStr">
        <is>
          <t>VÄRMLANDS LÄN</t>
        </is>
      </c>
      <c r="E289" t="inlineStr">
        <is>
          <t>FILIPSTAD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61793-2025</t>
        </is>
      </c>
      <c r="B290" s="1" t="n">
        <v>46002</v>
      </c>
      <c r="C290" s="1" t="n">
        <v>46204</v>
      </c>
      <c r="D290" t="inlineStr">
        <is>
          <t>VÄRMLANDS LÄN</t>
        </is>
      </c>
      <c r="E290" t="inlineStr">
        <is>
          <t>FILIPSTAD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61719-2025</t>
        </is>
      </c>
      <c r="B291" s="1" t="n">
        <v>46002</v>
      </c>
      <c r="C291" s="1" t="n">
        <v>46204</v>
      </c>
      <c r="D291" t="inlineStr">
        <is>
          <t>VÄRMLANDS LÄN</t>
        </is>
      </c>
      <c r="E291" t="inlineStr">
        <is>
          <t>FILIPSTAD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17292-2026</t>
        </is>
      </c>
      <c r="B292" s="1" t="n">
        <v>46119</v>
      </c>
      <c r="C292" s="1" t="n">
        <v>46204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61717-2025</t>
        </is>
      </c>
      <c r="B293" s="1" t="n">
        <v>46002</v>
      </c>
      <c r="C293" s="1" t="n">
        <v>46204</v>
      </c>
      <c r="D293" t="inlineStr">
        <is>
          <t>VÄRMLANDS LÄN</t>
        </is>
      </c>
      <c r="E293" t="inlineStr">
        <is>
          <t>FILIPSTAD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36251-2022</t>
        </is>
      </c>
      <c r="B294" s="1" t="n">
        <v>44803</v>
      </c>
      <c r="C294" s="1" t="n">
        <v>46204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62252-2025</t>
        </is>
      </c>
      <c r="B295" s="1" t="n">
        <v>46006</v>
      </c>
      <c r="C295" s="1" t="n">
        <v>46204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10136-2024</t>
        </is>
      </c>
      <c r="B296" s="1" t="n">
        <v>45364</v>
      </c>
      <c r="C296" s="1" t="n">
        <v>46204</v>
      </c>
      <c r="D296" t="inlineStr">
        <is>
          <t>VÄRMLANDS LÄN</t>
        </is>
      </c>
      <c r="E296" t="inlineStr">
        <is>
          <t>FILIPSTAD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15-2025</t>
        </is>
      </c>
      <c r="B297" s="1" t="n">
        <v>45658</v>
      </c>
      <c r="C297" s="1" t="n">
        <v>46204</v>
      </c>
      <c r="D297" t="inlineStr">
        <is>
          <t>VÄRMLANDS LÄN</t>
        </is>
      </c>
      <c r="E297" t="inlineStr">
        <is>
          <t>FILIPSTAD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62243-2025</t>
        </is>
      </c>
      <c r="B298" s="1" t="n">
        <v>46006</v>
      </c>
      <c r="C298" s="1" t="n">
        <v>46204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54127-2023</t>
        </is>
      </c>
      <c r="B299" s="1" t="n">
        <v>45232</v>
      </c>
      <c r="C299" s="1" t="n">
        <v>46204</v>
      </c>
      <c r="D299" t="inlineStr">
        <is>
          <t>VÄRMLANDS LÄN</t>
        </is>
      </c>
      <c r="E299" t="inlineStr">
        <is>
          <t>FILIPSTAD</t>
        </is>
      </c>
      <c r="G299" t="n">
        <v>15.5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17531-2026</t>
        </is>
      </c>
      <c r="B300" s="1" t="n">
        <v>46120</v>
      </c>
      <c r="C300" s="1" t="n">
        <v>46204</v>
      </c>
      <c r="D300" t="inlineStr">
        <is>
          <t>VÄRMLANDS LÄN</t>
        </is>
      </c>
      <c r="E300" t="inlineStr">
        <is>
          <t>FILIPSTAD</t>
        </is>
      </c>
      <c r="G300" t="n">
        <v>9.699999999999999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62034-2025</t>
        </is>
      </c>
      <c r="B301" s="1" t="n">
        <v>46004</v>
      </c>
      <c r="C301" s="1" t="n">
        <v>46204</v>
      </c>
      <c r="D301" t="inlineStr">
        <is>
          <t>VÄRMLANDS LÄN</t>
        </is>
      </c>
      <c r="E301" t="inlineStr">
        <is>
          <t>FILIPSTAD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23529-2026</t>
        </is>
      </c>
      <c r="B302" s="1" t="n">
        <v>46163</v>
      </c>
      <c r="C302" s="1" t="n">
        <v>46204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20.3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23576-2026</t>
        </is>
      </c>
      <c r="B303" s="1" t="n">
        <v>46163</v>
      </c>
      <c r="C303" s="1" t="n">
        <v>46204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17.9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62033-2025</t>
        </is>
      </c>
      <c r="B304" s="1" t="n">
        <v>46004</v>
      </c>
      <c r="C304" s="1" t="n">
        <v>46204</v>
      </c>
      <c r="D304" t="inlineStr">
        <is>
          <t>VÄRMLANDS LÄN</t>
        </is>
      </c>
      <c r="E304" t="inlineStr">
        <is>
          <t>FILIPSTAD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23555-2026</t>
        </is>
      </c>
      <c r="B305" s="1" t="n">
        <v>46163</v>
      </c>
      <c r="C305" s="1" t="n">
        <v>46204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11.7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23514-2026</t>
        </is>
      </c>
      <c r="B306" s="1" t="n">
        <v>46163</v>
      </c>
      <c r="C306" s="1" t="n">
        <v>46204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15471-2024</t>
        </is>
      </c>
      <c r="B307" s="1" t="n">
        <v>45401</v>
      </c>
      <c r="C307" s="1" t="n">
        <v>46204</v>
      </c>
      <c r="D307" t="inlineStr">
        <is>
          <t>VÄRMLANDS LÄN</t>
        </is>
      </c>
      <c r="E307" t="inlineStr">
        <is>
          <t>FILIPSTAD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54735-2024</t>
        </is>
      </c>
      <c r="B308" s="1" t="n">
        <v>45618</v>
      </c>
      <c r="C308" s="1" t="n">
        <v>46204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12837-2024</t>
        </is>
      </c>
      <c r="B309" s="1" t="n">
        <v>45384</v>
      </c>
      <c r="C309" s="1" t="n">
        <v>46204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63186-2025</t>
        </is>
      </c>
      <c r="B310" s="1" t="n">
        <v>46010</v>
      </c>
      <c r="C310" s="1" t="n">
        <v>46204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17949-2026</t>
        </is>
      </c>
      <c r="B311" s="1" t="n">
        <v>46122</v>
      </c>
      <c r="C311" s="1" t="n">
        <v>46204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17845-2026</t>
        </is>
      </c>
      <c r="B312" s="1" t="n">
        <v>46122</v>
      </c>
      <c r="C312" s="1" t="n">
        <v>46204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17900-2026</t>
        </is>
      </c>
      <c r="B313" s="1" t="n">
        <v>46122</v>
      </c>
      <c r="C313" s="1" t="n">
        <v>46204</v>
      </c>
      <c r="D313" t="inlineStr">
        <is>
          <t>VÄRMLANDS LÄN</t>
        </is>
      </c>
      <c r="E313" t="inlineStr">
        <is>
          <t>FILIPSTAD</t>
        </is>
      </c>
      <c r="F313" t="inlineStr">
        <is>
          <t>Kommuner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54828-2023</t>
        </is>
      </c>
      <c r="B314" s="1" t="n">
        <v>45229</v>
      </c>
      <c r="C314" s="1" t="n">
        <v>46204</v>
      </c>
      <c r="D314" t="inlineStr">
        <is>
          <t>VÄRMLANDS LÄN</t>
        </is>
      </c>
      <c r="E314" t="inlineStr">
        <is>
          <t>FILIPSTAD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23440-2026</t>
        </is>
      </c>
      <c r="B315" s="1" t="n">
        <v>46163</v>
      </c>
      <c r="C315" s="1" t="n">
        <v>46204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29474-2024</t>
        </is>
      </c>
      <c r="B316" s="1" t="n">
        <v>45484</v>
      </c>
      <c r="C316" s="1" t="n">
        <v>46204</v>
      </c>
      <c r="D316" t="inlineStr">
        <is>
          <t>VÄRMLANDS LÄN</t>
        </is>
      </c>
      <c r="E316" t="inlineStr">
        <is>
          <t>FILIPSTAD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4418-2024</t>
        </is>
      </c>
      <c r="B317" s="1" t="n">
        <v>45327</v>
      </c>
      <c r="C317" s="1" t="n">
        <v>46204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9.300000000000001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63629-2025</t>
        </is>
      </c>
      <c r="B318" s="1" t="n">
        <v>46014</v>
      </c>
      <c r="C318" s="1" t="n">
        <v>46204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14.1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63678-2025</t>
        </is>
      </c>
      <c r="B319" s="1" t="n">
        <v>46014</v>
      </c>
      <c r="C319" s="1" t="n">
        <v>46204</v>
      </c>
      <c r="D319" t="inlineStr">
        <is>
          <t>VÄRMLANDS LÄN</t>
        </is>
      </c>
      <c r="E319" t="inlineStr">
        <is>
          <t>FILIPSTAD</t>
        </is>
      </c>
      <c r="G319" t="n">
        <v>9.9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14328-2025</t>
        </is>
      </c>
      <c r="B320" s="1" t="n">
        <v>45740</v>
      </c>
      <c r="C320" s="1" t="n">
        <v>46204</v>
      </c>
      <c r="D320" t="inlineStr">
        <is>
          <t>VÄRMLANDS LÄN</t>
        </is>
      </c>
      <c r="E320" t="inlineStr">
        <is>
          <t>FILIPSTAD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23500-2026</t>
        </is>
      </c>
      <c r="B321" s="1" t="n">
        <v>46163</v>
      </c>
      <c r="C321" s="1" t="n">
        <v>46204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17931-2026</t>
        </is>
      </c>
      <c r="B322" s="1" t="n">
        <v>46122</v>
      </c>
      <c r="C322" s="1" t="n">
        <v>46204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17763-2025</t>
        </is>
      </c>
      <c r="B323" s="1" t="n">
        <v>45758</v>
      </c>
      <c r="C323" s="1" t="n">
        <v>46204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13.1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51639-2025</t>
        </is>
      </c>
      <c r="B324" s="1" t="n">
        <v>45951</v>
      </c>
      <c r="C324" s="1" t="n">
        <v>46204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23602-2026</t>
        </is>
      </c>
      <c r="B325" s="1" t="n">
        <v>46163</v>
      </c>
      <c r="C325" s="1" t="n">
        <v>46204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8.699999999999999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17914-2026</t>
        </is>
      </c>
      <c r="B326" s="1" t="n">
        <v>46122</v>
      </c>
      <c r="C326" s="1" t="n">
        <v>46204</v>
      </c>
      <c r="D326" t="inlineStr">
        <is>
          <t>VÄRMLANDS LÄN</t>
        </is>
      </c>
      <c r="E326" t="inlineStr">
        <is>
          <t>FILIPSTAD</t>
        </is>
      </c>
      <c r="F326" t="inlineStr">
        <is>
          <t>Kommuner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53210-2023</t>
        </is>
      </c>
      <c r="B327" s="1" t="n">
        <v>45222</v>
      </c>
      <c r="C327" s="1" t="n">
        <v>46204</v>
      </c>
      <c r="D327" t="inlineStr">
        <is>
          <t>VÄRMLANDS LÄN</t>
        </is>
      </c>
      <c r="E327" t="inlineStr">
        <is>
          <t>FILIPSTAD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18022-2026</t>
        </is>
      </c>
      <c r="B328" s="1" t="n">
        <v>46125</v>
      </c>
      <c r="C328" s="1" t="n">
        <v>46204</v>
      </c>
      <c r="D328" t="inlineStr">
        <is>
          <t>VÄRMLANDS LÄN</t>
        </is>
      </c>
      <c r="E328" t="inlineStr">
        <is>
          <t>FILIPSTAD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23952-2026</t>
        </is>
      </c>
      <c r="B329" s="1" t="n">
        <v>46167</v>
      </c>
      <c r="C329" s="1" t="n">
        <v>46204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24026-2026</t>
        </is>
      </c>
      <c r="B330" s="1" t="n">
        <v>46167</v>
      </c>
      <c r="C330" s="1" t="n">
        <v>46204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23620-2023</t>
        </is>
      </c>
      <c r="B331" s="1" t="n">
        <v>45077</v>
      </c>
      <c r="C331" s="1" t="n">
        <v>46204</v>
      </c>
      <c r="D331" t="inlineStr">
        <is>
          <t>VÄRMLANDS LÄN</t>
        </is>
      </c>
      <c r="E331" t="inlineStr">
        <is>
          <t>FILIPSTAD</t>
        </is>
      </c>
      <c r="G331" t="n">
        <v>7.5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18376-2026</t>
        </is>
      </c>
      <c r="B332" s="1" t="n">
        <v>46126</v>
      </c>
      <c r="C332" s="1" t="n">
        <v>46204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23943-2026</t>
        </is>
      </c>
      <c r="B333" s="1" t="n">
        <v>46167</v>
      </c>
      <c r="C333" s="1" t="n">
        <v>46204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23970-2026</t>
        </is>
      </c>
      <c r="B334" s="1" t="n">
        <v>46167</v>
      </c>
      <c r="C334" s="1" t="n">
        <v>46204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9.300000000000001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24027-2026</t>
        </is>
      </c>
      <c r="B335" s="1" t="n">
        <v>46167</v>
      </c>
      <c r="C335" s="1" t="n">
        <v>46204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24005-2026</t>
        </is>
      </c>
      <c r="B336" s="1" t="n">
        <v>46167</v>
      </c>
      <c r="C336" s="1" t="n">
        <v>46204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23886-2026</t>
        </is>
      </c>
      <c r="B337" s="1" t="n">
        <v>46167</v>
      </c>
      <c r="C337" s="1" t="n">
        <v>46204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23922-2026</t>
        </is>
      </c>
      <c r="B338" s="1" t="n">
        <v>46167</v>
      </c>
      <c r="C338" s="1" t="n">
        <v>46204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24008-2026</t>
        </is>
      </c>
      <c r="B339" s="1" t="n">
        <v>46167</v>
      </c>
      <c r="C339" s="1" t="n">
        <v>46204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24022-2026</t>
        </is>
      </c>
      <c r="B340" s="1" t="n">
        <v>46167</v>
      </c>
      <c r="C340" s="1" t="n">
        <v>46204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23934-2026</t>
        </is>
      </c>
      <c r="B341" s="1" t="n">
        <v>46167</v>
      </c>
      <c r="C341" s="1" t="n">
        <v>46204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58611-2025</t>
        </is>
      </c>
      <c r="B342" s="1" t="n">
        <v>45986</v>
      </c>
      <c r="C342" s="1" t="n">
        <v>46204</v>
      </c>
      <c r="D342" t="inlineStr">
        <is>
          <t>VÄRMLANDS LÄN</t>
        </is>
      </c>
      <c r="E342" t="inlineStr">
        <is>
          <t>FILIPSTAD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23931-2026</t>
        </is>
      </c>
      <c r="B343" s="1" t="n">
        <v>46167</v>
      </c>
      <c r="C343" s="1" t="n">
        <v>46204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9.1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23959-2026</t>
        </is>
      </c>
      <c r="B344" s="1" t="n">
        <v>46167</v>
      </c>
      <c r="C344" s="1" t="n">
        <v>46204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50786-2024</t>
        </is>
      </c>
      <c r="B345" s="1" t="n">
        <v>45602</v>
      </c>
      <c r="C345" s="1" t="n">
        <v>46204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24452-2026</t>
        </is>
      </c>
      <c r="B346" s="1" t="n">
        <v>46170</v>
      </c>
      <c r="C346" s="1" t="n">
        <v>46204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24520-2026</t>
        </is>
      </c>
      <c r="B347" s="1" t="n">
        <v>46170</v>
      </c>
      <c r="C347" s="1" t="n">
        <v>46204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24519-2026</t>
        </is>
      </c>
      <c r="B348" s="1" t="n">
        <v>46170</v>
      </c>
      <c r="C348" s="1" t="n">
        <v>46204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3071-2026</t>
        </is>
      </c>
      <c r="B349" s="1" t="n">
        <v>46040</v>
      </c>
      <c r="C349" s="1" t="n">
        <v>46204</v>
      </c>
      <c r="D349" t="inlineStr">
        <is>
          <t>VÄRMLANDS LÄN</t>
        </is>
      </c>
      <c r="E349" t="inlineStr">
        <is>
          <t>FILIPSTAD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24260-2026</t>
        </is>
      </c>
      <c r="B350" s="1" t="n">
        <v>46169</v>
      </c>
      <c r="C350" s="1" t="n">
        <v>46204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47890-2024</t>
        </is>
      </c>
      <c r="B351" s="1" t="n">
        <v>45588</v>
      </c>
      <c r="C351" s="1" t="n">
        <v>46204</v>
      </c>
      <c r="D351" t="inlineStr">
        <is>
          <t>VÄRMLANDS LÄN</t>
        </is>
      </c>
      <c r="E351" t="inlineStr">
        <is>
          <t>FILIPSTAD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56918-2024</t>
        </is>
      </c>
      <c r="B352" s="1" t="n">
        <v>45628</v>
      </c>
      <c r="C352" s="1" t="n">
        <v>46204</v>
      </c>
      <c r="D352" t="inlineStr">
        <is>
          <t>VÄRMLANDS LÄN</t>
        </is>
      </c>
      <c r="E352" t="inlineStr">
        <is>
          <t>FILIPSTAD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13918-2024</t>
        </is>
      </c>
      <c r="B353" s="1" t="n">
        <v>45391</v>
      </c>
      <c r="C353" s="1" t="n">
        <v>46204</v>
      </c>
      <c r="D353" t="inlineStr">
        <is>
          <t>VÄRMLANDS LÄN</t>
        </is>
      </c>
      <c r="E353" t="inlineStr">
        <is>
          <t>FILIPSTAD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70405-2021</t>
        </is>
      </c>
      <c r="B354" s="1" t="n">
        <v>44536</v>
      </c>
      <c r="C354" s="1" t="n">
        <v>46204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2443-2022</t>
        </is>
      </c>
      <c r="B355" s="1" t="n">
        <v>44579</v>
      </c>
      <c r="C355" s="1" t="n">
        <v>46204</v>
      </c>
      <c r="D355" t="inlineStr">
        <is>
          <t>VÄRMLANDS LÄN</t>
        </is>
      </c>
      <c r="E355" t="inlineStr">
        <is>
          <t>FILIPSTAD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18969-2026</t>
        </is>
      </c>
      <c r="B356" s="1" t="n">
        <v>46129</v>
      </c>
      <c r="C356" s="1" t="n">
        <v>46204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12.9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24453-2026</t>
        </is>
      </c>
      <c r="B357" s="1" t="n">
        <v>46170</v>
      </c>
      <c r="C357" s="1" t="n">
        <v>46204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18443-2026</t>
        </is>
      </c>
      <c r="B358" s="1" t="n">
        <v>46127</v>
      </c>
      <c r="C358" s="1" t="n">
        <v>46204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24537-2026</t>
        </is>
      </c>
      <c r="B359" s="1" t="n">
        <v>46170</v>
      </c>
      <c r="C359" s="1" t="n">
        <v>46204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61628-2022</t>
        </is>
      </c>
      <c r="B360" s="1" t="n">
        <v>44911</v>
      </c>
      <c r="C360" s="1" t="n">
        <v>46204</v>
      </c>
      <c r="D360" t="inlineStr">
        <is>
          <t>VÄRMLANDS LÄN</t>
        </is>
      </c>
      <c r="E360" t="inlineStr">
        <is>
          <t>FILIPSTAD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18892-2026</t>
        </is>
      </c>
      <c r="B361" s="1" t="n">
        <v>46129</v>
      </c>
      <c r="C361" s="1" t="n">
        <v>46204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24.9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24529-2026</t>
        </is>
      </c>
      <c r="B362" s="1" t="n">
        <v>46170</v>
      </c>
      <c r="C362" s="1" t="n">
        <v>46204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18530-2026</t>
        </is>
      </c>
      <c r="B363" s="1" t="n">
        <v>46127</v>
      </c>
      <c r="C363" s="1" t="n">
        <v>46204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35737-2021</t>
        </is>
      </c>
      <c r="B364" s="1" t="n">
        <v>44386</v>
      </c>
      <c r="C364" s="1" t="n">
        <v>46204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36377-2023</t>
        </is>
      </c>
      <c r="B365" s="1" t="n">
        <v>45152</v>
      </c>
      <c r="C365" s="1" t="n">
        <v>46204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3844-2023</t>
        </is>
      </c>
      <c r="B366" s="1" t="n">
        <v>44951</v>
      </c>
      <c r="C366" s="1" t="n">
        <v>46204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18445-2026</t>
        </is>
      </c>
      <c r="B367" s="1" t="n">
        <v>46127</v>
      </c>
      <c r="C367" s="1" t="n">
        <v>46204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24288-2026</t>
        </is>
      </c>
      <c r="B368" s="1" t="n">
        <v>46169</v>
      </c>
      <c r="C368" s="1" t="n">
        <v>46204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24291-2026</t>
        </is>
      </c>
      <c r="B369" s="1" t="n">
        <v>46169</v>
      </c>
      <c r="C369" s="1" t="n">
        <v>46204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18533-2026</t>
        </is>
      </c>
      <c r="B370" s="1" t="n">
        <v>46127</v>
      </c>
      <c r="C370" s="1" t="n">
        <v>46204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18826-2026</t>
        </is>
      </c>
      <c r="B371" s="1" t="n">
        <v>46128</v>
      </c>
      <c r="C371" s="1" t="n">
        <v>46204</v>
      </c>
      <c r="D371" t="inlineStr">
        <is>
          <t>VÄRMLANDS LÄN</t>
        </is>
      </c>
      <c r="E371" t="inlineStr">
        <is>
          <t>FILIPSTAD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24745-2026</t>
        </is>
      </c>
      <c r="B372" s="1" t="n">
        <v>46171</v>
      </c>
      <c r="C372" s="1" t="n">
        <v>46204</v>
      </c>
      <c r="D372" t="inlineStr">
        <is>
          <t>VÄRMLANDS LÄN</t>
        </is>
      </c>
      <c r="E372" t="inlineStr">
        <is>
          <t>FILIPSTAD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18542-2026</t>
        </is>
      </c>
      <c r="B373" s="1" t="n">
        <v>46127</v>
      </c>
      <c r="C373" s="1" t="n">
        <v>46204</v>
      </c>
      <c r="D373" t="inlineStr">
        <is>
          <t>VÄRMLANDS LÄN</t>
        </is>
      </c>
      <c r="E373" t="inlineStr">
        <is>
          <t>FILIPSTAD</t>
        </is>
      </c>
      <c r="F373" t="inlineStr">
        <is>
          <t>Kommuner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18507-2026</t>
        </is>
      </c>
      <c r="B374" s="1" t="n">
        <v>46127</v>
      </c>
      <c r="C374" s="1" t="n">
        <v>46204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24514-2026</t>
        </is>
      </c>
      <c r="B375" s="1" t="n">
        <v>46170</v>
      </c>
      <c r="C375" s="1" t="n">
        <v>46204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14.3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45139-2021</t>
        </is>
      </c>
      <c r="B376" s="1" t="n">
        <v>44439</v>
      </c>
      <c r="C376" s="1" t="n">
        <v>46204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6593-2026</t>
        </is>
      </c>
      <c r="B377" s="1" t="n">
        <v>46056</v>
      </c>
      <c r="C377" s="1" t="n">
        <v>46204</v>
      </c>
      <c r="D377" t="inlineStr">
        <is>
          <t>VÄRMLANDS LÄN</t>
        </is>
      </c>
      <c r="E377" t="inlineStr">
        <is>
          <t>FILIPSTAD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6600-2026</t>
        </is>
      </c>
      <c r="B378" s="1" t="n">
        <v>46056</v>
      </c>
      <c r="C378" s="1" t="n">
        <v>46204</v>
      </c>
      <c r="D378" t="inlineStr">
        <is>
          <t>VÄRMLANDS LÄN</t>
        </is>
      </c>
      <c r="E378" t="inlineStr">
        <is>
          <t>FILIPSTAD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17686-2023</t>
        </is>
      </c>
      <c r="B379" s="1" t="n">
        <v>45037</v>
      </c>
      <c r="C379" s="1" t="n">
        <v>46204</v>
      </c>
      <c r="D379" t="inlineStr">
        <is>
          <t>VÄRMLANDS LÄN</t>
        </is>
      </c>
      <c r="E379" t="inlineStr">
        <is>
          <t>FILIPSTAD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19361-2026</t>
        </is>
      </c>
      <c r="B380" s="1" t="n">
        <v>46133</v>
      </c>
      <c r="C380" s="1" t="n">
        <v>46204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33671-2022</t>
        </is>
      </c>
      <c r="B381" s="1" t="n">
        <v>44789</v>
      </c>
      <c r="C381" s="1" t="n">
        <v>46204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36827-2022</t>
        </is>
      </c>
      <c r="B382" s="1" t="n">
        <v>44805</v>
      </c>
      <c r="C382" s="1" t="n">
        <v>46204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47455-2023</t>
        </is>
      </c>
      <c r="B383" s="1" t="n">
        <v>45202</v>
      </c>
      <c r="C383" s="1" t="n">
        <v>46204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24941-2026</t>
        </is>
      </c>
      <c r="B384" s="1" t="n">
        <v>46174</v>
      </c>
      <c r="C384" s="1" t="n">
        <v>46204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25205-2026</t>
        </is>
      </c>
      <c r="B385" s="1" t="n">
        <v>46175</v>
      </c>
      <c r="C385" s="1" t="n">
        <v>46204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16.5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24886-2026</t>
        </is>
      </c>
      <c r="B386" s="1" t="n">
        <v>46174</v>
      </c>
      <c r="C386" s="1" t="n">
        <v>46204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25203-2026</t>
        </is>
      </c>
      <c r="B387" s="1" t="n">
        <v>46175</v>
      </c>
      <c r="C387" s="1" t="n">
        <v>46204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8.9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19435-2026</t>
        </is>
      </c>
      <c r="B388" s="1" t="n">
        <v>46133</v>
      </c>
      <c r="C388" s="1" t="n">
        <v>46204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34512-2023</t>
        </is>
      </c>
      <c r="B389" s="1" t="n">
        <v>45133</v>
      </c>
      <c r="C389" s="1" t="n">
        <v>46204</v>
      </c>
      <c r="D389" t="inlineStr">
        <is>
          <t>VÄRMLANDS LÄN</t>
        </is>
      </c>
      <c r="E389" t="inlineStr">
        <is>
          <t>FILIPSTAD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24054-2024</t>
        </is>
      </c>
      <c r="B390" s="1" t="n">
        <v>45456</v>
      </c>
      <c r="C390" s="1" t="n">
        <v>46204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54008-2021</t>
        </is>
      </c>
      <c r="B391" s="1" t="n">
        <v>44470</v>
      </c>
      <c r="C391" s="1" t="n">
        <v>46204</v>
      </c>
      <c r="D391" t="inlineStr">
        <is>
          <t>VÄRMLANDS LÄN</t>
        </is>
      </c>
      <c r="E391" t="inlineStr">
        <is>
          <t>FILIPSTAD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19882-2026</t>
        </is>
      </c>
      <c r="B392" s="1" t="n">
        <v>46135</v>
      </c>
      <c r="C392" s="1" t="n">
        <v>46204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8.800000000000001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46257-2022</t>
        </is>
      </c>
      <c r="B393" s="1" t="n">
        <v>44847</v>
      </c>
      <c r="C393" s="1" t="n">
        <v>46204</v>
      </c>
      <c r="D393" t="inlineStr">
        <is>
          <t>VÄRMLANDS LÄN</t>
        </is>
      </c>
      <c r="E393" t="inlineStr">
        <is>
          <t>FILIPSTAD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54836-2023</t>
        </is>
      </c>
      <c r="B394" s="1" t="n">
        <v>45229</v>
      </c>
      <c r="C394" s="1" t="n">
        <v>46204</v>
      </c>
      <c r="D394" t="inlineStr">
        <is>
          <t>VÄRMLANDS LÄN</t>
        </is>
      </c>
      <c r="E394" t="inlineStr">
        <is>
          <t>FILIPSTAD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19595-2026</t>
        </is>
      </c>
      <c r="B395" s="1" t="n">
        <v>46134</v>
      </c>
      <c r="C395" s="1" t="n">
        <v>46204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19676-2026</t>
        </is>
      </c>
      <c r="B396" s="1" t="n">
        <v>46134</v>
      </c>
      <c r="C396" s="1" t="n">
        <v>46204</v>
      </c>
      <c r="D396" t="inlineStr">
        <is>
          <t>VÄRMLANDS LÄN</t>
        </is>
      </c>
      <c r="E396" t="inlineStr">
        <is>
          <t>FILIPSTAD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19760-2026</t>
        </is>
      </c>
      <c r="B397" s="1" t="n">
        <v>46135</v>
      </c>
      <c r="C397" s="1" t="n">
        <v>46204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19669-2026</t>
        </is>
      </c>
      <c r="B398" s="1" t="n">
        <v>46134</v>
      </c>
      <c r="C398" s="1" t="n">
        <v>46204</v>
      </c>
      <c r="D398" t="inlineStr">
        <is>
          <t>VÄRMLANDS LÄN</t>
        </is>
      </c>
      <c r="E398" t="inlineStr">
        <is>
          <t>FILIPSTAD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19833-2026</t>
        </is>
      </c>
      <c r="B399" s="1" t="n">
        <v>46135</v>
      </c>
      <c r="C399" s="1" t="n">
        <v>46204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23618-2023</t>
        </is>
      </c>
      <c r="B400" s="1" t="n">
        <v>45077</v>
      </c>
      <c r="C400" s="1" t="n">
        <v>46204</v>
      </c>
      <c r="D400" t="inlineStr">
        <is>
          <t>VÄRMLANDS LÄN</t>
        </is>
      </c>
      <c r="E400" t="inlineStr">
        <is>
          <t>FILIPSTAD</t>
        </is>
      </c>
      <c r="G400" t="n">
        <v>15.8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6573-2023</t>
        </is>
      </c>
      <c r="B401" s="1" t="n">
        <v>44960</v>
      </c>
      <c r="C401" s="1" t="n">
        <v>46204</v>
      </c>
      <c r="D401" t="inlineStr">
        <is>
          <t>VÄRMLANDS LÄN</t>
        </is>
      </c>
      <c r="E401" t="inlineStr">
        <is>
          <t>FILIPSTAD</t>
        </is>
      </c>
      <c r="F401" t="inlineStr">
        <is>
          <t>Kommuner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29473-2024</t>
        </is>
      </c>
      <c r="B402" s="1" t="n">
        <v>45484</v>
      </c>
      <c r="C402" s="1" t="n">
        <v>46204</v>
      </c>
      <c r="D402" t="inlineStr">
        <is>
          <t>VÄRMLANDS LÄN</t>
        </is>
      </c>
      <c r="E402" t="inlineStr">
        <is>
          <t>FILIPSTAD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4191-2022</t>
        </is>
      </c>
      <c r="B403" s="1" t="n">
        <v>44588</v>
      </c>
      <c r="C403" s="1" t="n">
        <v>46204</v>
      </c>
      <c r="D403" t="inlineStr">
        <is>
          <t>VÄRMLANDS LÄN</t>
        </is>
      </c>
      <c r="E403" t="inlineStr">
        <is>
          <t>FILIPSTAD</t>
        </is>
      </c>
      <c r="F403" t="inlineStr">
        <is>
          <t>Kommuner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54080-2025</t>
        </is>
      </c>
      <c r="B404" s="1" t="n">
        <v>45964</v>
      </c>
      <c r="C404" s="1" t="n">
        <v>46204</v>
      </c>
      <c r="D404" t="inlineStr">
        <is>
          <t>VÄRMLANDS LÄN</t>
        </is>
      </c>
      <c r="E404" t="inlineStr">
        <is>
          <t>FILIPSTAD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38075-2025</t>
        </is>
      </c>
      <c r="B405" s="1" t="n">
        <v>45882</v>
      </c>
      <c r="C405" s="1" t="n">
        <v>46204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21593-2023</t>
        </is>
      </c>
      <c r="B406" s="1" t="n">
        <v>45063</v>
      </c>
      <c r="C406" s="1" t="n">
        <v>46204</v>
      </c>
      <c r="D406" t="inlineStr">
        <is>
          <t>VÄRMLANDS LÄN</t>
        </is>
      </c>
      <c r="E406" t="inlineStr">
        <is>
          <t>FILIPSTAD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57456-2022</t>
        </is>
      </c>
      <c r="B407" s="1" t="n">
        <v>44896</v>
      </c>
      <c r="C407" s="1" t="n">
        <v>46204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9370-2023</t>
        </is>
      </c>
      <c r="B408" s="1" t="n">
        <v>44981</v>
      </c>
      <c r="C408" s="1" t="n">
        <v>46204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47536-2023</t>
        </is>
      </c>
      <c r="B409" s="1" t="n">
        <v>45203</v>
      </c>
      <c r="C409" s="1" t="n">
        <v>46204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40646-2025</t>
        </is>
      </c>
      <c r="B410" s="1" t="n">
        <v>45896</v>
      </c>
      <c r="C410" s="1" t="n">
        <v>46204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25468-2024</t>
        </is>
      </c>
      <c r="B411" s="1" t="n">
        <v>45463</v>
      </c>
      <c r="C411" s="1" t="n">
        <v>46204</v>
      </c>
      <c r="D411" t="inlineStr">
        <is>
          <t>VÄRMLANDS LÄN</t>
        </is>
      </c>
      <c r="E411" t="inlineStr">
        <is>
          <t>FILIPSTAD</t>
        </is>
      </c>
      <c r="G411" t="n">
        <v>13.2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2440-2022</t>
        </is>
      </c>
      <c r="B412" s="1" t="n">
        <v>44579</v>
      </c>
      <c r="C412" s="1" t="n">
        <v>46204</v>
      </c>
      <c r="D412" t="inlineStr">
        <is>
          <t>VÄRMLANDS LÄN</t>
        </is>
      </c>
      <c r="E412" t="inlineStr">
        <is>
          <t>FILIPSTAD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26107-2026</t>
        </is>
      </c>
      <c r="B413" s="1" t="n">
        <v>46181</v>
      </c>
      <c r="C413" s="1" t="n">
        <v>46204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20.9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20045-2026</t>
        </is>
      </c>
      <c r="B414" s="1" t="n">
        <v>46136</v>
      </c>
      <c r="C414" s="1" t="n">
        <v>46204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11.5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43634-2021</t>
        </is>
      </c>
      <c r="B415" s="1" t="n">
        <v>44433</v>
      </c>
      <c r="C415" s="1" t="n">
        <v>46204</v>
      </c>
      <c r="D415" t="inlineStr">
        <is>
          <t>VÄRMLANDS LÄN</t>
        </is>
      </c>
      <c r="E415" t="inlineStr">
        <is>
          <t>FILIPSTAD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18210-2024</t>
        </is>
      </c>
      <c r="B416" s="1" t="n">
        <v>45420</v>
      </c>
      <c r="C416" s="1" t="n">
        <v>46204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45516-2024</t>
        </is>
      </c>
      <c r="B417" s="1" t="n">
        <v>45578</v>
      </c>
      <c r="C417" s="1" t="n">
        <v>46204</v>
      </c>
      <c r="D417" t="inlineStr">
        <is>
          <t>VÄRMLANDS LÄN</t>
        </is>
      </c>
      <c r="E417" t="inlineStr">
        <is>
          <t>FILIPSTAD</t>
        </is>
      </c>
      <c r="G417" t="n">
        <v>27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25869-2026</t>
        </is>
      </c>
      <c r="B418" s="1" t="n">
        <v>46178</v>
      </c>
      <c r="C418" s="1" t="n">
        <v>46204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32262-2023</t>
        </is>
      </c>
      <c r="B419" s="1" t="n">
        <v>45120</v>
      </c>
      <c r="C419" s="1" t="n">
        <v>46204</v>
      </c>
      <c r="D419" t="inlineStr">
        <is>
          <t>VÄRMLANDS LÄN</t>
        </is>
      </c>
      <c r="E419" t="inlineStr">
        <is>
          <t>FILIPSTAD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33449-2025</t>
        </is>
      </c>
      <c r="B420" s="1" t="n">
        <v>45841</v>
      </c>
      <c r="C420" s="1" t="n">
        <v>46204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56151-2023</t>
        </is>
      </c>
      <c r="B421" s="1" t="n">
        <v>45240</v>
      </c>
      <c r="C421" s="1" t="n">
        <v>46204</v>
      </c>
      <c r="D421" t="inlineStr">
        <is>
          <t>VÄRMLANDS LÄN</t>
        </is>
      </c>
      <c r="E421" t="inlineStr">
        <is>
          <t>FILIPSTAD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22843-2025</t>
        </is>
      </c>
      <c r="B422" s="1" t="n">
        <v>45790</v>
      </c>
      <c r="C422" s="1" t="n">
        <v>46204</v>
      </c>
      <c r="D422" t="inlineStr">
        <is>
          <t>VÄRMLANDS LÄN</t>
        </is>
      </c>
      <c r="E422" t="inlineStr">
        <is>
          <t>FILIPSTAD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41521-2025</t>
        </is>
      </c>
      <c r="B423" s="1" t="n">
        <v>45901</v>
      </c>
      <c r="C423" s="1" t="n">
        <v>46204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32059-2025</t>
        </is>
      </c>
      <c r="B424" s="1" t="n">
        <v>45835</v>
      </c>
      <c r="C424" s="1" t="n">
        <v>46204</v>
      </c>
      <c r="D424" t="inlineStr">
        <is>
          <t>VÄRMLANDS LÄN</t>
        </is>
      </c>
      <c r="E424" t="inlineStr">
        <is>
          <t>FILIPSTAD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20050-2026</t>
        </is>
      </c>
      <c r="B425" s="1" t="n">
        <v>46136</v>
      </c>
      <c r="C425" s="1" t="n">
        <v>46204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20040-2026</t>
        </is>
      </c>
      <c r="B426" s="1" t="n">
        <v>46136</v>
      </c>
      <c r="C426" s="1" t="n">
        <v>46204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47344-2023</t>
        </is>
      </c>
      <c r="B427" s="1" t="n">
        <v>45202</v>
      </c>
      <c r="C427" s="1" t="n">
        <v>46204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20014-2026</t>
        </is>
      </c>
      <c r="B428" s="1" t="n">
        <v>46136</v>
      </c>
      <c r="C428" s="1" t="n">
        <v>46204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22558-2025</t>
        </is>
      </c>
      <c r="B429" s="1" t="n">
        <v>45789</v>
      </c>
      <c r="C429" s="1" t="n">
        <v>46204</v>
      </c>
      <c r="D429" t="inlineStr">
        <is>
          <t>VÄRMLANDS LÄN</t>
        </is>
      </c>
      <c r="E429" t="inlineStr">
        <is>
          <t>FILIPSTAD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38866-2024</t>
        </is>
      </c>
      <c r="B430" s="1" t="n">
        <v>45547</v>
      </c>
      <c r="C430" s="1" t="n">
        <v>46204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17794-2024</t>
        </is>
      </c>
      <c r="B431" s="1" t="n">
        <v>45418</v>
      </c>
      <c r="C431" s="1" t="n">
        <v>46204</v>
      </c>
      <c r="D431" t="inlineStr">
        <is>
          <t>VÄRMLANDS LÄN</t>
        </is>
      </c>
      <c r="E431" t="inlineStr">
        <is>
          <t>FILIPSTAD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33379-2025</t>
        </is>
      </c>
      <c r="B432" s="1" t="n">
        <v>45841</v>
      </c>
      <c r="C432" s="1" t="n">
        <v>46204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11680-2023</t>
        </is>
      </c>
      <c r="B433" s="1" t="n">
        <v>44994</v>
      </c>
      <c r="C433" s="1" t="n">
        <v>46204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39896-2025</t>
        </is>
      </c>
      <c r="B434" s="1" t="n">
        <v>45891</v>
      </c>
      <c r="C434" s="1" t="n">
        <v>46204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28687-2025</t>
        </is>
      </c>
      <c r="B435" s="1" t="n">
        <v>45819</v>
      </c>
      <c r="C435" s="1" t="n">
        <v>46204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26501-2026</t>
        </is>
      </c>
      <c r="B436" s="1" t="n">
        <v>46183</v>
      </c>
      <c r="C436" s="1" t="n">
        <v>46204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14.2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54145-2024</t>
        </is>
      </c>
      <c r="B437" s="1" t="n">
        <v>45616</v>
      </c>
      <c r="C437" s="1" t="n">
        <v>46204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20489-2026</t>
        </is>
      </c>
      <c r="B438" s="1" t="n">
        <v>46140</v>
      </c>
      <c r="C438" s="1" t="n">
        <v>46204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10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49602-2025</t>
        </is>
      </c>
      <c r="B439" s="1" t="n">
        <v>45939</v>
      </c>
      <c r="C439" s="1" t="n">
        <v>46204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55397-2022</t>
        </is>
      </c>
      <c r="B440" s="1" t="n">
        <v>44887</v>
      </c>
      <c r="C440" s="1" t="n">
        <v>46204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41075-2023</t>
        </is>
      </c>
      <c r="B441" s="1" t="n">
        <v>45173</v>
      </c>
      <c r="C441" s="1" t="n">
        <v>46204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31676-2025</t>
        </is>
      </c>
      <c r="B442" s="1" t="n">
        <v>45834</v>
      </c>
      <c r="C442" s="1" t="n">
        <v>46204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20487-2026</t>
        </is>
      </c>
      <c r="B443" s="1" t="n">
        <v>46140</v>
      </c>
      <c r="C443" s="1" t="n">
        <v>46204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16067-2026</t>
        </is>
      </c>
      <c r="B444" s="1" t="n">
        <v>46108</v>
      </c>
      <c r="C444" s="1" t="n">
        <v>46204</v>
      </c>
      <c r="D444" t="inlineStr">
        <is>
          <t>VÄRMLANDS LÄN</t>
        </is>
      </c>
      <c r="E444" t="inlineStr">
        <is>
          <t>FILIPSTAD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26343-2026</t>
        </is>
      </c>
      <c r="B445" s="1" t="n">
        <v>46182</v>
      </c>
      <c r="C445" s="1" t="n">
        <v>46204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14840-2023</t>
        </is>
      </c>
      <c r="B446" s="1" t="n">
        <v>45014</v>
      </c>
      <c r="C446" s="1" t="n">
        <v>46204</v>
      </c>
      <c r="D446" t="inlineStr">
        <is>
          <t>VÄRMLANDS LÄN</t>
        </is>
      </c>
      <c r="E446" t="inlineStr">
        <is>
          <t>FILIPSTAD</t>
        </is>
      </c>
      <c r="F446" t="inlineStr">
        <is>
          <t>Kyrkan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36272-2025</t>
        </is>
      </c>
      <c r="B447" s="1" t="n">
        <v>45867</v>
      </c>
      <c r="C447" s="1" t="n">
        <v>46204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25976-2026</t>
        </is>
      </c>
      <c r="B448" s="1" t="n">
        <v>46181</v>
      </c>
      <c r="C448" s="1" t="n">
        <v>46204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11.1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26211-2026</t>
        </is>
      </c>
      <c r="B449" s="1" t="n">
        <v>46182</v>
      </c>
      <c r="C449" s="1" t="n">
        <v>46204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26227-2026</t>
        </is>
      </c>
      <c r="B450" s="1" t="n">
        <v>46182</v>
      </c>
      <c r="C450" s="1" t="n">
        <v>46204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12.8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20661-2026</t>
        </is>
      </c>
      <c r="B451" s="1" t="n">
        <v>46141</v>
      </c>
      <c r="C451" s="1" t="n">
        <v>46204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24139-2024</t>
        </is>
      </c>
      <c r="B452" s="1" t="n">
        <v>45456</v>
      </c>
      <c r="C452" s="1" t="n">
        <v>46204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4819-2023</t>
        </is>
      </c>
      <c r="B453" s="1" t="n">
        <v>44957</v>
      </c>
      <c r="C453" s="1" t="n">
        <v>46204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37733-2025</t>
        </is>
      </c>
      <c r="B454" s="1" t="n">
        <v>45880</v>
      </c>
      <c r="C454" s="1" t="n">
        <v>46204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7.6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20554-2025</t>
        </is>
      </c>
      <c r="B455" s="1" t="n">
        <v>45775</v>
      </c>
      <c r="C455" s="1" t="n">
        <v>46204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26323-2026</t>
        </is>
      </c>
      <c r="B456" s="1" t="n">
        <v>46182</v>
      </c>
      <c r="C456" s="1" t="n">
        <v>46204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27400-2024</t>
        </is>
      </c>
      <c r="B457" s="1" t="n">
        <v>45474</v>
      </c>
      <c r="C457" s="1" t="n">
        <v>46204</v>
      </c>
      <c r="D457" t="inlineStr">
        <is>
          <t>VÄRMLANDS LÄN</t>
        </is>
      </c>
      <c r="E457" t="inlineStr">
        <is>
          <t>FILIPSTAD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25786-2026</t>
        </is>
      </c>
      <c r="B458" s="1" t="n">
        <v>46178</v>
      </c>
      <c r="C458" s="1" t="n">
        <v>46204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20801-2026</t>
        </is>
      </c>
      <c r="B459" s="1" t="n">
        <v>46141</v>
      </c>
      <c r="C459" s="1" t="n">
        <v>46204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32185-2024</t>
        </is>
      </c>
      <c r="B460" s="1" t="n">
        <v>45511</v>
      </c>
      <c r="C460" s="1" t="n">
        <v>46204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5754-2022</t>
        </is>
      </c>
      <c r="B461" s="1" t="n">
        <v>44596</v>
      </c>
      <c r="C461" s="1" t="n">
        <v>46204</v>
      </c>
      <c r="D461" t="inlineStr">
        <is>
          <t>VÄRMLANDS LÄN</t>
        </is>
      </c>
      <c r="E461" t="inlineStr">
        <is>
          <t>FILIPSTAD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43635-2023</t>
        </is>
      </c>
      <c r="B462" s="1" t="n">
        <v>45186</v>
      </c>
      <c r="C462" s="1" t="n">
        <v>46204</v>
      </c>
      <c r="D462" t="inlineStr">
        <is>
          <t>VÄRMLANDS LÄN</t>
        </is>
      </c>
      <c r="E462" t="inlineStr">
        <is>
          <t>FILIPSTAD</t>
        </is>
      </c>
      <c r="G462" t="n">
        <v>15.3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25769-2026</t>
        </is>
      </c>
      <c r="B463" s="1" t="n">
        <v>46178</v>
      </c>
      <c r="C463" s="1" t="n">
        <v>46204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26229-2026</t>
        </is>
      </c>
      <c r="B464" s="1" t="n">
        <v>46182</v>
      </c>
      <c r="C464" s="1" t="n">
        <v>46204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26298-2026</t>
        </is>
      </c>
      <c r="B465" s="1" t="n">
        <v>46182</v>
      </c>
      <c r="C465" s="1" t="n">
        <v>46204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26549-2026</t>
        </is>
      </c>
      <c r="B466" s="1" t="n">
        <v>46183</v>
      </c>
      <c r="C466" s="1" t="n">
        <v>46204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43633-2024</t>
        </is>
      </c>
      <c r="B467" s="1" t="n">
        <v>45569</v>
      </c>
      <c r="C467" s="1" t="n">
        <v>46204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31358-2023</t>
        </is>
      </c>
      <c r="B468" s="1" t="n">
        <v>45114</v>
      </c>
      <c r="C468" s="1" t="n">
        <v>46204</v>
      </c>
      <c r="D468" t="inlineStr">
        <is>
          <t>VÄRMLANDS LÄN</t>
        </is>
      </c>
      <c r="E468" t="inlineStr">
        <is>
          <t>FILIPSTAD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57026-2023</t>
        </is>
      </c>
      <c r="B469" s="1" t="n">
        <v>45244</v>
      </c>
      <c r="C469" s="1" t="n">
        <v>46204</v>
      </c>
      <c r="D469" t="inlineStr">
        <is>
          <t>VÄRMLANDS LÄN</t>
        </is>
      </c>
      <c r="E469" t="inlineStr">
        <is>
          <t>FILIPSTAD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20919-2026</t>
        </is>
      </c>
      <c r="B470" s="1" t="n">
        <v>46142</v>
      </c>
      <c r="C470" s="1" t="n">
        <v>46204</v>
      </c>
      <c r="D470" t="inlineStr">
        <is>
          <t>VÄRMLANDS LÄN</t>
        </is>
      </c>
      <c r="E470" t="inlineStr">
        <is>
          <t>FILIPSTAD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20528-2025</t>
        </is>
      </c>
      <c r="B471" s="1" t="n">
        <v>45775</v>
      </c>
      <c r="C471" s="1" t="n">
        <v>46204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46680-2024</t>
        </is>
      </c>
      <c r="B472" s="1" t="n">
        <v>45583</v>
      </c>
      <c r="C472" s="1" t="n">
        <v>46204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19030-2022</t>
        </is>
      </c>
      <c r="B473" s="1" t="n">
        <v>44691</v>
      </c>
      <c r="C473" s="1" t="n">
        <v>46204</v>
      </c>
      <c r="D473" t="inlineStr">
        <is>
          <t>VÄRMLANDS LÄN</t>
        </is>
      </c>
      <c r="E473" t="inlineStr">
        <is>
          <t>FILIPSTAD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20874-2026</t>
        </is>
      </c>
      <c r="B474" s="1" t="n">
        <v>46142</v>
      </c>
      <c r="C474" s="1" t="n">
        <v>46204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27080-2023</t>
        </is>
      </c>
      <c r="B475" s="1" t="n">
        <v>45096</v>
      </c>
      <c r="C475" s="1" t="n">
        <v>46204</v>
      </c>
      <c r="D475" t="inlineStr">
        <is>
          <t>VÄRMLANDS LÄN</t>
        </is>
      </c>
      <c r="E475" t="inlineStr">
        <is>
          <t>FILIPSTAD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48908-2023</t>
        </is>
      </c>
      <c r="B476" s="1" t="n">
        <v>45195</v>
      </c>
      <c r="C476" s="1" t="n">
        <v>46204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27085-2026</t>
        </is>
      </c>
      <c r="B477" s="1" t="n">
        <v>46187</v>
      </c>
      <c r="C477" s="1" t="n">
        <v>46204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27426-2026</t>
        </is>
      </c>
      <c r="B478" s="1" t="n">
        <v>46189</v>
      </c>
      <c r="C478" s="1" t="n">
        <v>46204</v>
      </c>
      <c r="D478" t="inlineStr">
        <is>
          <t>VÄRMLANDS LÄN</t>
        </is>
      </c>
      <c r="E478" t="inlineStr">
        <is>
          <t>FILIPSTAD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27372-2026</t>
        </is>
      </c>
      <c r="B479" s="1" t="n">
        <v>46188</v>
      </c>
      <c r="C479" s="1" t="n">
        <v>46204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7.4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62013-2024</t>
        </is>
      </c>
      <c r="B480" s="1" t="n">
        <v>45655</v>
      </c>
      <c r="C480" s="1" t="n">
        <v>46204</v>
      </c>
      <c r="D480" t="inlineStr">
        <is>
          <t>VÄRMLANDS LÄN</t>
        </is>
      </c>
      <c r="E480" t="inlineStr">
        <is>
          <t>FILIPSTAD</t>
        </is>
      </c>
      <c r="G480" t="n">
        <v>26.5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62014-2024</t>
        </is>
      </c>
      <c r="B481" s="1" t="n">
        <v>45655</v>
      </c>
      <c r="C481" s="1" t="n">
        <v>46204</v>
      </c>
      <c r="D481" t="inlineStr">
        <is>
          <t>VÄRMLANDS LÄN</t>
        </is>
      </c>
      <c r="E481" t="inlineStr">
        <is>
          <t>FILIPSTAD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27300-2026</t>
        </is>
      </c>
      <c r="B482" s="1" t="n">
        <v>46188</v>
      </c>
      <c r="C482" s="1" t="n">
        <v>46204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27078-2026</t>
        </is>
      </c>
      <c r="B483" s="1" t="n">
        <v>46186</v>
      </c>
      <c r="C483" s="1" t="n">
        <v>46204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1170-2023</t>
        </is>
      </c>
      <c r="B484" s="1" t="n">
        <v>44935</v>
      </c>
      <c r="C484" s="1" t="n">
        <v>46204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5992-2023</t>
        </is>
      </c>
      <c r="B485" s="1" t="n">
        <v>44959</v>
      </c>
      <c r="C485" s="1" t="n">
        <v>46204</v>
      </c>
      <c r="D485" t="inlineStr">
        <is>
          <t>VÄRMLANDS LÄN</t>
        </is>
      </c>
      <c r="E485" t="inlineStr">
        <is>
          <t>FILIPSTAD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53562-2023</t>
        </is>
      </c>
      <c r="B486" s="1" t="n">
        <v>45230</v>
      </c>
      <c r="C486" s="1" t="n">
        <v>46204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9.9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21542-2026</t>
        </is>
      </c>
      <c r="B487" s="1" t="n">
        <v>46148</v>
      </c>
      <c r="C487" s="1" t="n">
        <v>46204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12.1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27595-2026</t>
        </is>
      </c>
      <c r="B488" s="1" t="n">
        <v>46190</v>
      </c>
      <c r="C488" s="1" t="n">
        <v>46204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27079-2026</t>
        </is>
      </c>
      <c r="B489" s="1" t="n">
        <v>46186</v>
      </c>
      <c r="C489" s="1" t="n">
        <v>46204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27007-2026</t>
        </is>
      </c>
      <c r="B490" s="1" t="n">
        <v>46185</v>
      </c>
      <c r="C490" s="1" t="n">
        <v>46204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63411-2023</t>
        </is>
      </c>
      <c r="B491" s="1" t="n">
        <v>45274</v>
      </c>
      <c r="C491" s="1" t="n">
        <v>46204</v>
      </c>
      <c r="D491" t="inlineStr">
        <is>
          <t>VÄRMLANDS LÄN</t>
        </is>
      </c>
      <c r="E491" t="inlineStr">
        <is>
          <t>FILIPSTAD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27774-2026</t>
        </is>
      </c>
      <c r="B492" s="1" t="n">
        <v>46191</v>
      </c>
      <c r="C492" s="1" t="n">
        <v>46204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27867-2026</t>
        </is>
      </c>
      <c r="B493" s="1" t="n">
        <v>46191</v>
      </c>
      <c r="C493" s="1" t="n">
        <v>46204</v>
      </c>
      <c r="D493" t="inlineStr">
        <is>
          <t>VÄRMLANDS LÄN</t>
        </is>
      </c>
      <c r="E493" t="inlineStr">
        <is>
          <t>FILIPSTAD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22045-2026</t>
        </is>
      </c>
      <c r="B494" s="1" t="n">
        <v>46153</v>
      </c>
      <c r="C494" s="1" t="n">
        <v>46204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22051-2026</t>
        </is>
      </c>
      <c r="B495" s="1" t="n">
        <v>46153</v>
      </c>
      <c r="C495" s="1" t="n">
        <v>46204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43484-2023</t>
        </is>
      </c>
      <c r="B496" s="1" t="n">
        <v>45184</v>
      </c>
      <c r="C496" s="1" t="n">
        <v>46204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22144-2026</t>
        </is>
      </c>
      <c r="B497" s="1" t="n">
        <v>46153</v>
      </c>
      <c r="C497" s="1" t="n">
        <v>46204</v>
      </c>
      <c r="D497" t="inlineStr">
        <is>
          <t>VÄRMLANDS LÄN</t>
        </is>
      </c>
      <c r="E497" t="inlineStr">
        <is>
          <t>FILIPSTAD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27968-2026</t>
        </is>
      </c>
      <c r="B498" s="1" t="n">
        <v>46195</v>
      </c>
      <c r="C498" s="1" t="n">
        <v>46204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22032-2026</t>
        </is>
      </c>
      <c r="B499" s="1" t="n">
        <v>46153</v>
      </c>
      <c r="C499" s="1" t="n">
        <v>46204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22201-2026</t>
        </is>
      </c>
      <c r="B500" s="1" t="n">
        <v>46153</v>
      </c>
      <c r="C500" s="1" t="n">
        <v>46204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22220-2026</t>
        </is>
      </c>
      <c r="B501" s="1" t="n">
        <v>46153</v>
      </c>
      <c r="C501" s="1" t="n">
        <v>46204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33973-2023</t>
        </is>
      </c>
      <c r="B502" s="1" t="n">
        <v>45124</v>
      </c>
      <c r="C502" s="1" t="n">
        <v>46204</v>
      </c>
      <c r="D502" t="inlineStr">
        <is>
          <t>VÄRMLANDS LÄN</t>
        </is>
      </c>
      <c r="E502" t="inlineStr">
        <is>
          <t>FILIPSTAD</t>
        </is>
      </c>
      <c r="G502" t="n">
        <v>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22176-2026</t>
        </is>
      </c>
      <c r="B503" s="1" t="n">
        <v>46153</v>
      </c>
      <c r="C503" s="1" t="n">
        <v>46204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22112-2026</t>
        </is>
      </c>
      <c r="B504" s="1" t="n">
        <v>46153</v>
      </c>
      <c r="C504" s="1" t="n">
        <v>46204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22152-2026</t>
        </is>
      </c>
      <c r="B505" s="1" t="n">
        <v>46153</v>
      </c>
      <c r="C505" s="1" t="n">
        <v>46204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22136-2026</t>
        </is>
      </c>
      <c r="B506" s="1" t="n">
        <v>46153</v>
      </c>
      <c r="C506" s="1" t="n">
        <v>46204</v>
      </c>
      <c r="D506" t="inlineStr">
        <is>
          <t>VÄRMLANDS LÄN</t>
        </is>
      </c>
      <c r="E506" t="inlineStr">
        <is>
          <t>FILIPSTAD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22021-2026</t>
        </is>
      </c>
      <c r="B507" s="1" t="n">
        <v>46153</v>
      </c>
      <c r="C507" s="1" t="n">
        <v>46204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22115-2026</t>
        </is>
      </c>
      <c r="B508" s="1" t="n">
        <v>46153</v>
      </c>
      <c r="C508" s="1" t="n">
        <v>46204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34262-2024</t>
        </is>
      </c>
      <c r="B509" s="1" t="n">
        <v>45524</v>
      </c>
      <c r="C509" s="1" t="n">
        <v>46204</v>
      </c>
      <c r="D509" t="inlineStr">
        <is>
          <t>VÄRMLANDS LÄN</t>
        </is>
      </c>
      <c r="E509" t="inlineStr">
        <is>
          <t>FILIPSTAD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28094-2026</t>
        </is>
      </c>
      <c r="B510" s="1" t="n">
        <v>46195</v>
      </c>
      <c r="C510" s="1" t="n">
        <v>46204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23.8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22138-2026</t>
        </is>
      </c>
      <c r="B511" s="1" t="n">
        <v>46153</v>
      </c>
      <c r="C511" s="1" t="n">
        <v>46204</v>
      </c>
      <c r="D511" t="inlineStr">
        <is>
          <t>VÄRMLANDS LÄN</t>
        </is>
      </c>
      <c r="E511" t="inlineStr">
        <is>
          <t>FILIPSTAD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28419-2026</t>
        </is>
      </c>
      <c r="B512" s="1" t="n">
        <v>46197</v>
      </c>
      <c r="C512" s="1" t="n">
        <v>46204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45592-2024</t>
        </is>
      </c>
      <c r="B513" s="1" t="n">
        <v>45579</v>
      </c>
      <c r="C513" s="1" t="n">
        <v>46204</v>
      </c>
      <c r="D513" t="inlineStr">
        <is>
          <t>VÄRMLANDS LÄN</t>
        </is>
      </c>
      <c r="E513" t="inlineStr">
        <is>
          <t>FILIPSTAD</t>
        </is>
      </c>
      <c r="F513" t="inlineStr">
        <is>
          <t>Kyrkan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43264-2024</t>
        </is>
      </c>
      <c r="B514" s="1" t="n">
        <v>45568</v>
      </c>
      <c r="C514" s="1" t="n">
        <v>46204</v>
      </c>
      <c r="D514" t="inlineStr">
        <is>
          <t>VÄRMLANDS LÄN</t>
        </is>
      </c>
      <c r="E514" t="inlineStr">
        <is>
          <t>FILIPSTAD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22229-2026</t>
        </is>
      </c>
      <c r="B515" s="1" t="n">
        <v>46153</v>
      </c>
      <c r="C515" s="1" t="n">
        <v>46204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28516-2026</t>
        </is>
      </c>
      <c r="B516" s="1" t="n">
        <v>46197</v>
      </c>
      <c r="C516" s="1" t="n">
        <v>46204</v>
      </c>
      <c r="D516" t="inlineStr">
        <is>
          <t>VÄRMLANDS LÄN</t>
        </is>
      </c>
      <c r="E516" t="inlineStr">
        <is>
          <t>FILIPSTAD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6860-2024</t>
        </is>
      </c>
      <c r="B517" s="1" t="n">
        <v>45342</v>
      </c>
      <c r="C517" s="1" t="n">
        <v>46204</v>
      </c>
      <c r="D517" t="inlineStr">
        <is>
          <t>VÄRMLANDS LÄN</t>
        </is>
      </c>
      <c r="E517" t="inlineStr">
        <is>
          <t>FILIPSTAD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22533-2026</t>
        </is>
      </c>
      <c r="B518" s="1" t="n">
        <v>46155</v>
      </c>
      <c r="C518" s="1" t="n">
        <v>46204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28977-2026</t>
        </is>
      </c>
      <c r="B519" s="1" t="n">
        <v>46199</v>
      </c>
      <c r="C519" s="1" t="n">
        <v>46204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29328-2026</t>
        </is>
      </c>
      <c r="B520" s="1" t="n">
        <v>46202</v>
      </c>
      <c r="C520" s="1" t="n">
        <v>46204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43045-2024</t>
        </is>
      </c>
      <c r="B521" s="1" t="n">
        <v>45567</v>
      </c>
      <c r="C521" s="1" t="n">
        <v>46204</v>
      </c>
      <c r="D521" t="inlineStr">
        <is>
          <t>VÄRMLANDS LÄN</t>
        </is>
      </c>
      <c r="E521" t="inlineStr">
        <is>
          <t>FILIPSTAD</t>
        </is>
      </c>
      <c r="F521" t="inlineStr">
        <is>
          <t>Kyrkan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6683-2025</t>
        </is>
      </c>
      <c r="B522" s="1" t="n">
        <v>45700</v>
      </c>
      <c r="C522" s="1" t="n">
        <v>46204</v>
      </c>
      <c r="D522" t="inlineStr">
        <is>
          <t>VÄRMLANDS LÄN</t>
        </is>
      </c>
      <c r="E522" t="inlineStr">
        <is>
          <t>FILIPSTAD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29385-2026</t>
        </is>
      </c>
      <c r="B523" s="1" t="n">
        <v>46203</v>
      </c>
      <c r="C523" s="1" t="n">
        <v>46204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29127-2026</t>
        </is>
      </c>
      <c r="B524" s="1" t="n">
        <v>46202</v>
      </c>
      <c r="C524" s="1" t="n">
        <v>46204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25376-2023</t>
        </is>
      </c>
      <c r="B525" s="1" t="n">
        <v>45088</v>
      </c>
      <c r="C525" s="1" t="n">
        <v>46204</v>
      </c>
      <c r="D525" t="inlineStr">
        <is>
          <t>VÄRMLANDS LÄN</t>
        </is>
      </c>
      <c r="E525" t="inlineStr">
        <is>
          <t>FILIPSTAD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20606-2025</t>
        </is>
      </c>
      <c r="B526" s="1" t="n">
        <v>45775</v>
      </c>
      <c r="C526" s="1" t="n">
        <v>46204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29376-2026</t>
        </is>
      </c>
      <c r="B527" s="1" t="n">
        <v>46203</v>
      </c>
      <c r="C527" s="1" t="n">
        <v>46204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60521-2024</t>
        </is>
      </c>
      <c r="B528" s="1" t="n">
        <v>45643</v>
      </c>
      <c r="C528" s="1" t="n">
        <v>46204</v>
      </c>
      <c r="D528" t="inlineStr">
        <is>
          <t>VÄRMLANDS LÄN</t>
        </is>
      </c>
      <c r="E528" t="inlineStr">
        <is>
          <t>FILIPSTAD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69015-2021</t>
        </is>
      </c>
      <c r="B529" s="1" t="n">
        <v>44530</v>
      </c>
      <c r="C529" s="1" t="n">
        <v>46204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20966-2024</t>
        </is>
      </c>
      <c r="B530" s="1" t="n">
        <v>45439</v>
      </c>
      <c r="C530" s="1" t="n">
        <v>46204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60731-2024</t>
        </is>
      </c>
      <c r="B531" s="1" t="n">
        <v>45644</v>
      </c>
      <c r="C531" s="1" t="n">
        <v>46204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6520-2023</t>
        </is>
      </c>
      <c r="B532" s="1" t="n">
        <v>44960</v>
      </c>
      <c r="C532" s="1" t="n">
        <v>46204</v>
      </c>
      <c r="D532" t="inlineStr">
        <is>
          <t>VÄRMLANDS LÄN</t>
        </is>
      </c>
      <c r="E532" t="inlineStr">
        <is>
          <t>FILIPSTAD</t>
        </is>
      </c>
      <c r="F532" t="inlineStr">
        <is>
          <t>Kommuner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20661-2024</t>
        </is>
      </c>
      <c r="B533" s="1" t="n">
        <v>45436</v>
      </c>
      <c r="C533" s="1" t="n">
        <v>46204</v>
      </c>
      <c r="D533" t="inlineStr">
        <is>
          <t>VÄRMLANDS LÄN</t>
        </is>
      </c>
      <c r="E533" t="inlineStr">
        <is>
          <t>FILIPSTAD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53690-2022</t>
        </is>
      </c>
      <c r="B534" s="1" t="n">
        <v>44880</v>
      </c>
      <c r="C534" s="1" t="n">
        <v>46204</v>
      </c>
      <c r="D534" t="inlineStr">
        <is>
          <t>VÄRMLANDS LÄN</t>
        </is>
      </c>
      <c r="E534" t="inlineStr">
        <is>
          <t>FILIPSTAD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6728-2025</t>
        </is>
      </c>
      <c r="B535" s="1" t="n">
        <v>45700</v>
      </c>
      <c r="C535" s="1" t="n">
        <v>46204</v>
      </c>
      <c r="D535" t="inlineStr">
        <is>
          <t>VÄRMLANDS LÄN</t>
        </is>
      </c>
      <c r="E535" t="inlineStr">
        <is>
          <t>FILIPSTAD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48040-2023</t>
        </is>
      </c>
      <c r="B536" s="1" t="n">
        <v>45204</v>
      </c>
      <c r="C536" s="1" t="n">
        <v>46204</v>
      </c>
      <c r="D536" t="inlineStr">
        <is>
          <t>VÄRMLANDS LÄN</t>
        </is>
      </c>
      <c r="E536" t="inlineStr">
        <is>
          <t>FILIPSTAD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52981-2021</t>
        </is>
      </c>
      <c r="B537" s="1" t="n">
        <v>44467</v>
      </c>
      <c r="C537" s="1" t="n">
        <v>46204</v>
      </c>
      <c r="D537" t="inlineStr">
        <is>
          <t>VÄRMLANDS LÄN</t>
        </is>
      </c>
      <c r="E537" t="inlineStr">
        <is>
          <t>FILIPSTAD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10306-2025</t>
        </is>
      </c>
      <c r="B538" s="1" t="n">
        <v>45720</v>
      </c>
      <c r="C538" s="1" t="n">
        <v>46204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51266-2021</t>
        </is>
      </c>
      <c r="B539" s="1" t="n">
        <v>44461</v>
      </c>
      <c r="C539" s="1" t="n">
        <v>46204</v>
      </c>
      <c r="D539" t="inlineStr">
        <is>
          <t>VÄRMLANDS LÄN</t>
        </is>
      </c>
      <c r="E539" t="inlineStr">
        <is>
          <t>FILIPSTAD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51618-2022</t>
        </is>
      </c>
      <c r="B540" s="1" t="n">
        <v>44872</v>
      </c>
      <c r="C540" s="1" t="n">
        <v>46204</v>
      </c>
      <c r="D540" t="inlineStr">
        <is>
          <t>VÄRMLANDS LÄN</t>
        </is>
      </c>
      <c r="E540" t="inlineStr">
        <is>
          <t>FILIPSTAD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32786-2024</t>
        </is>
      </c>
      <c r="B541" s="1" t="n">
        <v>45516</v>
      </c>
      <c r="C541" s="1" t="n">
        <v>46204</v>
      </c>
      <c r="D541" t="inlineStr">
        <is>
          <t>VÄRMLANDS LÄN</t>
        </is>
      </c>
      <c r="E541" t="inlineStr">
        <is>
          <t>FILIPSTAD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37611-2022</t>
        </is>
      </c>
      <c r="B542" s="1" t="n">
        <v>44809</v>
      </c>
      <c r="C542" s="1" t="n">
        <v>46204</v>
      </c>
      <c r="D542" t="inlineStr">
        <is>
          <t>VÄRMLANDS LÄN</t>
        </is>
      </c>
      <c r="E542" t="inlineStr">
        <is>
          <t>FILIPSTAD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16591-2022</t>
        </is>
      </c>
      <c r="B543" s="1" t="n">
        <v>44672</v>
      </c>
      <c r="C543" s="1" t="n">
        <v>46204</v>
      </c>
      <c r="D543" t="inlineStr">
        <is>
          <t>VÄRMLANDS LÄN</t>
        </is>
      </c>
      <c r="E543" t="inlineStr">
        <is>
          <t>FILIPSTAD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12160-2023</t>
        </is>
      </c>
      <c r="B544" s="1" t="n">
        <v>44998</v>
      </c>
      <c r="C544" s="1" t="n">
        <v>46204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11.2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46978-2023</t>
        </is>
      </c>
      <c r="B545" s="1" t="n">
        <v>45195</v>
      </c>
      <c r="C545" s="1" t="n">
        <v>46204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11.2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19034-2024</t>
        </is>
      </c>
      <c r="B546" s="1" t="n">
        <v>45427</v>
      </c>
      <c r="C546" s="1" t="n">
        <v>46204</v>
      </c>
      <c r="D546" t="inlineStr">
        <is>
          <t>VÄRMLANDS LÄN</t>
        </is>
      </c>
      <c r="E546" t="inlineStr">
        <is>
          <t>FILIPSTAD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14432-2025</t>
        </is>
      </c>
      <c r="B547" s="1" t="n">
        <v>45741</v>
      </c>
      <c r="C547" s="1" t="n">
        <v>46204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10.4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36042-2021</t>
        </is>
      </c>
      <c r="B548" s="1" t="n">
        <v>44386</v>
      </c>
      <c r="C548" s="1" t="n">
        <v>46204</v>
      </c>
      <c r="D548" t="inlineStr">
        <is>
          <t>VÄRMLANDS LÄN</t>
        </is>
      </c>
      <c r="E548" t="inlineStr">
        <is>
          <t>FILIPSTAD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27139-2024</t>
        </is>
      </c>
      <c r="B549" s="1" t="n">
        <v>45471</v>
      </c>
      <c r="C549" s="1" t="n">
        <v>46204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17244-2024</t>
        </is>
      </c>
      <c r="B550" s="1" t="n">
        <v>45414</v>
      </c>
      <c r="C550" s="1" t="n">
        <v>46204</v>
      </c>
      <c r="D550" t="inlineStr">
        <is>
          <t>VÄRMLANDS LÄN</t>
        </is>
      </c>
      <c r="E550" t="inlineStr">
        <is>
          <t>FILIPSTAD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47002-2024</t>
        </is>
      </c>
      <c r="B551" s="1" t="n">
        <v>45586</v>
      </c>
      <c r="C551" s="1" t="n">
        <v>46204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30646-2024</t>
        </is>
      </c>
      <c r="B552" s="1" t="n">
        <v>45495</v>
      </c>
      <c r="C552" s="1" t="n">
        <v>46204</v>
      </c>
      <c r="D552" t="inlineStr">
        <is>
          <t>VÄRMLANDS LÄN</t>
        </is>
      </c>
      <c r="E552" t="inlineStr">
        <is>
          <t>FILIPSTAD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1346-2025</t>
        </is>
      </c>
      <c r="B553" s="1" t="n">
        <v>45667</v>
      </c>
      <c r="C553" s="1" t="n">
        <v>46204</v>
      </c>
      <c r="D553" t="inlineStr">
        <is>
          <t>VÄRMLANDS LÄN</t>
        </is>
      </c>
      <c r="E553" t="inlineStr">
        <is>
          <t>FILIPSTAD</t>
        </is>
      </c>
      <c r="F553" t="inlineStr">
        <is>
          <t>Kommuner</t>
        </is>
      </c>
      <c r="G553" t="n">
        <v>6.9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20875-2024</t>
        </is>
      </c>
      <c r="B554" s="1" t="n">
        <v>45439</v>
      </c>
      <c r="C554" s="1" t="n">
        <v>46204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65167-2021</t>
        </is>
      </c>
      <c r="B555" s="1" t="n">
        <v>44515</v>
      </c>
      <c r="C555" s="1" t="n">
        <v>46204</v>
      </c>
      <c r="D555" t="inlineStr">
        <is>
          <t>VÄRMLANDS LÄN</t>
        </is>
      </c>
      <c r="E555" t="inlineStr">
        <is>
          <t>FILIPSTAD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28357-2024</t>
        </is>
      </c>
      <c r="B556" s="1" t="n">
        <v>45477</v>
      </c>
      <c r="C556" s="1" t="n">
        <v>46204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35304-2024</t>
        </is>
      </c>
      <c r="B557" s="1" t="n">
        <v>45530</v>
      </c>
      <c r="C557" s="1" t="n">
        <v>46204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6.6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23266-2025</t>
        </is>
      </c>
      <c r="B558" s="1" t="n">
        <v>45791</v>
      </c>
      <c r="C558" s="1" t="n">
        <v>46204</v>
      </c>
      <c r="D558" t="inlineStr">
        <is>
          <t>VÄRMLANDS LÄN</t>
        </is>
      </c>
      <c r="E558" t="inlineStr">
        <is>
          <t>FILIPSTAD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48702-2024</t>
        </is>
      </c>
      <c r="B559" s="1" t="n">
        <v>45593</v>
      </c>
      <c r="C559" s="1" t="n">
        <v>46204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22880-2025</t>
        </is>
      </c>
      <c r="B560" s="1" t="n">
        <v>45790</v>
      </c>
      <c r="C560" s="1" t="n">
        <v>46204</v>
      </c>
      <c r="D560" t="inlineStr">
        <is>
          <t>VÄRMLANDS LÄN</t>
        </is>
      </c>
      <c r="E560" t="inlineStr">
        <is>
          <t>FILIPSTAD</t>
        </is>
      </c>
      <c r="F560" t="inlineStr">
        <is>
          <t>Kyrkan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1350-2025</t>
        </is>
      </c>
      <c r="B561" s="1" t="n">
        <v>45667</v>
      </c>
      <c r="C561" s="1" t="n">
        <v>46204</v>
      </c>
      <c r="D561" t="inlineStr">
        <is>
          <t>VÄRMLANDS LÄN</t>
        </is>
      </c>
      <c r="E561" t="inlineStr">
        <is>
          <t>FILIPSTAD</t>
        </is>
      </c>
      <c r="F561" t="inlineStr">
        <is>
          <t>Kommuner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23775-2025</t>
        </is>
      </c>
      <c r="B562" s="1" t="n">
        <v>45793</v>
      </c>
      <c r="C562" s="1" t="n">
        <v>46204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23399-2025</t>
        </is>
      </c>
      <c r="B563" s="1" t="n">
        <v>45792</v>
      </c>
      <c r="C563" s="1" t="n">
        <v>46204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23475-2025</t>
        </is>
      </c>
      <c r="B564" s="1" t="n">
        <v>45792</v>
      </c>
      <c r="C564" s="1" t="n">
        <v>46204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8712-2024</t>
        </is>
      </c>
      <c r="B565" s="1" t="n">
        <v>45355</v>
      </c>
      <c r="C565" s="1" t="n">
        <v>46204</v>
      </c>
      <c r="D565" t="inlineStr">
        <is>
          <t>VÄRMLANDS LÄN</t>
        </is>
      </c>
      <c r="E565" t="inlineStr">
        <is>
          <t>FILIPSTAD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72118-2021</t>
        </is>
      </c>
      <c r="B566" s="1" t="n">
        <v>44543</v>
      </c>
      <c r="C566" s="1" t="n">
        <v>46204</v>
      </c>
      <c r="D566" t="inlineStr">
        <is>
          <t>VÄRMLANDS LÄN</t>
        </is>
      </c>
      <c r="E566" t="inlineStr">
        <is>
          <t>FILIPSTAD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15396-2025</t>
        </is>
      </c>
      <c r="B567" s="1" t="n">
        <v>45747</v>
      </c>
      <c r="C567" s="1" t="n">
        <v>46204</v>
      </c>
      <c r="D567" t="inlineStr">
        <is>
          <t>VÄRMLANDS LÄN</t>
        </is>
      </c>
      <c r="E567" t="inlineStr">
        <is>
          <t>FILIPSTAD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65174-2021</t>
        </is>
      </c>
      <c r="B568" s="1" t="n">
        <v>44515</v>
      </c>
      <c r="C568" s="1" t="n">
        <v>46204</v>
      </c>
      <c r="D568" t="inlineStr">
        <is>
          <t>VÄRMLANDS LÄN</t>
        </is>
      </c>
      <c r="E568" t="inlineStr">
        <is>
          <t>FILIPSTAD</t>
        </is>
      </c>
      <c r="G568" t="n">
        <v>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24143-2025</t>
        </is>
      </c>
      <c r="B569" s="1" t="n">
        <v>45796</v>
      </c>
      <c r="C569" s="1" t="n">
        <v>46204</v>
      </c>
      <c r="D569" t="inlineStr">
        <is>
          <t>VÄRMLANDS LÄN</t>
        </is>
      </c>
      <c r="E569" t="inlineStr">
        <is>
          <t>FILIPSTAD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20844-2024</t>
        </is>
      </c>
      <c r="B570" s="1" t="n">
        <v>45439</v>
      </c>
      <c r="C570" s="1" t="n">
        <v>46204</v>
      </c>
      <c r="D570" t="inlineStr">
        <is>
          <t>VÄRMLANDS LÄN</t>
        </is>
      </c>
      <c r="E570" t="inlineStr">
        <is>
          <t>FILIPSTAD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3979-2024</t>
        </is>
      </c>
      <c r="B571" s="1" t="n">
        <v>45322</v>
      </c>
      <c r="C571" s="1" t="n">
        <v>46204</v>
      </c>
      <c r="D571" t="inlineStr">
        <is>
          <t>VÄRMLANDS LÄN</t>
        </is>
      </c>
      <c r="E571" t="inlineStr">
        <is>
          <t>FILIPSTAD</t>
        </is>
      </c>
      <c r="G571" t="n">
        <v>8.199999999999999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15406-2025</t>
        </is>
      </c>
      <c r="B572" s="1" t="n">
        <v>45747</v>
      </c>
      <c r="C572" s="1" t="n">
        <v>46204</v>
      </c>
      <c r="D572" t="inlineStr">
        <is>
          <t>VÄRMLANDS LÄN</t>
        </is>
      </c>
      <c r="E572" t="inlineStr">
        <is>
          <t>FILIPSTAD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35799-2022</t>
        </is>
      </c>
      <c r="B573" s="1" t="n">
        <v>44801</v>
      </c>
      <c r="C573" s="1" t="n">
        <v>46204</v>
      </c>
      <c r="D573" t="inlineStr">
        <is>
          <t>VÄRMLANDS LÄN</t>
        </is>
      </c>
      <c r="E573" t="inlineStr">
        <is>
          <t>FILIPSTAD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47261-2024</t>
        </is>
      </c>
      <c r="B574" s="1" t="n">
        <v>45586</v>
      </c>
      <c r="C574" s="1" t="n">
        <v>46204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26116-2025</t>
        </is>
      </c>
      <c r="B575" s="1" t="n">
        <v>45805</v>
      </c>
      <c r="C575" s="1" t="n">
        <v>46204</v>
      </c>
      <c r="D575" t="inlineStr">
        <is>
          <t>VÄRMLANDS LÄN</t>
        </is>
      </c>
      <c r="E575" t="inlineStr">
        <is>
          <t>FILIPSTAD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26123-2025</t>
        </is>
      </c>
      <c r="B576" s="1" t="n">
        <v>45805</v>
      </c>
      <c r="C576" s="1" t="n">
        <v>46204</v>
      </c>
      <c r="D576" t="inlineStr">
        <is>
          <t>VÄRMLANDS LÄN</t>
        </is>
      </c>
      <c r="E576" t="inlineStr">
        <is>
          <t>FILIPSTAD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26812-2025</t>
        </is>
      </c>
      <c r="B577" s="1" t="n">
        <v>45810</v>
      </c>
      <c r="C577" s="1" t="n">
        <v>46204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26843-2024</t>
        </is>
      </c>
      <c r="B578" s="1" t="n">
        <v>45470</v>
      </c>
      <c r="C578" s="1" t="n">
        <v>46204</v>
      </c>
      <c r="D578" t="inlineStr">
        <is>
          <t>VÄRMLANDS LÄN</t>
        </is>
      </c>
      <c r="E578" t="inlineStr">
        <is>
          <t>FILIPSTAD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26599-2024</t>
        </is>
      </c>
      <c r="B579" s="1" t="n">
        <v>45469</v>
      </c>
      <c r="C579" s="1" t="n">
        <v>46204</v>
      </c>
      <c r="D579" t="inlineStr">
        <is>
          <t>VÄRMLANDS LÄN</t>
        </is>
      </c>
      <c r="E579" t="inlineStr">
        <is>
          <t>FILIPSTAD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28689-2025</t>
        </is>
      </c>
      <c r="B580" s="1" t="n">
        <v>45819</v>
      </c>
      <c r="C580" s="1" t="n">
        <v>46204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29568-2025</t>
        </is>
      </c>
      <c r="B581" s="1" t="n">
        <v>45825</v>
      </c>
      <c r="C581" s="1" t="n">
        <v>46204</v>
      </c>
      <c r="D581" t="inlineStr">
        <is>
          <t>VÄRMLANDS LÄN</t>
        </is>
      </c>
      <c r="E581" t="inlineStr">
        <is>
          <t>FILIPSTAD</t>
        </is>
      </c>
      <c r="F581" t="inlineStr">
        <is>
          <t>Kyrkan</t>
        </is>
      </c>
      <c r="G581" t="n">
        <v>9.199999999999999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29660-2025</t>
        </is>
      </c>
      <c r="B582" s="1" t="n">
        <v>45825</v>
      </c>
      <c r="C582" s="1" t="n">
        <v>46204</v>
      </c>
      <c r="D582" t="inlineStr">
        <is>
          <t>VÄRMLANDS LÄN</t>
        </is>
      </c>
      <c r="E582" t="inlineStr">
        <is>
          <t>FILIPSTAD</t>
        </is>
      </c>
      <c r="G582" t="n">
        <v>23.3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>
      <c r="A583" t="inlineStr">
        <is>
          <t>A 29944-2025</t>
        </is>
      </c>
      <c r="B583" s="1" t="n">
        <v>45826</v>
      </c>
      <c r="C583" s="1" t="n">
        <v>46204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2026-07-01T00:59:42Z</dcterms:created>
  <dcterms:modified xmlns:dcterms="http://purl.org/dc/terms/" xmlns:xsi="http://www.w3.org/2001/XMLSchema-instance" xsi:type="dcterms:W3CDTF">2026-07-01T00:59:42Z</dcterms:modified>
</cp:coreProperties>
</file>