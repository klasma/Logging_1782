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46233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46233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46233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46233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46233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46233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46233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46233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46233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46233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46233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46233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Dropptaggsvamp
Skuggblåslav</t>
        </is>
      </c>
      <c r="W14">
        <f>HYPERLINK("https://klasma.github.io/Logging_1782/artfynd/A 38134-2024 artfynd.xlsx", "A 38134-2024")</f>
        <v/>
      </c>
      <c r="X14">
        <f>HYPERLINK("https://klasma.github.io/Logging_1782/kartor/A 38134-2024 karta.png", "A 38134-2024")</f>
        <v/>
      </c>
      <c r="Y14">
        <f>HYPERLINK("https://klasma.github.io/Logging_1782/kartor_geotiff/A 38134-2024 georefererad karta.tif", "A 38134-2024")</f>
        <v/>
      </c>
      <c r="AA14">
        <f>HYPERLINK("https://klasma.github.io/Logging_1782/klagomål/A 38134-2024 FSC-klagomål.docx", "A 38134-2024")</f>
        <v/>
      </c>
      <c r="AB14">
        <f>HYPERLINK("https://klasma.github.io/Logging_1782/klagomålsmail/A 38134-2024 FSC-klagomål mail.docx", "A 38134-2024")</f>
        <v/>
      </c>
      <c r="AC14">
        <f>HYPERLINK("https://klasma.github.io/Logging_1782/tillsyn/A 38134-2024 tillsynsbegäran.docx", "A 38134-2024")</f>
        <v/>
      </c>
      <c r="AD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46233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46233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46233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46233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38132-2024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46233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Fläcknycklar</t>
        </is>
      </c>
      <c r="W19">
        <f>HYPERLINK("https://klasma.github.io/Logging_1782/artfynd/A 38132-2024 artfynd.xlsx", "A 38132-2024")</f>
        <v/>
      </c>
      <c r="X19">
        <f>HYPERLINK("https://klasma.github.io/Logging_1782/kartor/A 38132-2024 karta.png", "A 38132-2024")</f>
        <v/>
      </c>
      <c r="Y19">
        <f>HYPERLINK("https://klasma.github.io/Logging_1782/kartor_geotiff/A 38132-2024 georefererad karta.tif", "A 38132-2024")</f>
        <v/>
      </c>
      <c r="AA19">
        <f>HYPERLINK("https://klasma.github.io/Logging_1782/klagomål/A 38132-2024 FSC-klagomål.docx", "A 38132-2024")</f>
        <v/>
      </c>
      <c r="AB19">
        <f>HYPERLINK("https://klasma.github.io/Logging_1782/klagomålsmail/A 38132-2024 FSC-klagomål mail.docx", "A 38132-2024")</f>
        <v/>
      </c>
      <c r="AC19">
        <f>HYPERLINK("https://klasma.github.io/Logging_1782/tillsyn/A 38132-2024 tillsynsbegäran.docx", "A 38132-2024")</f>
        <v/>
      </c>
      <c r="AD19">
        <f>HYPERLINK("https://klasma.github.io/Logging_1782/tillsynsmail/A 38132-2024 tillsynsbegäran mail.docx", "A 38132-2024")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46233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Grönsiska
Smålom</t>
        </is>
      </c>
      <c r="W20">
        <f>HYPERLINK("https://klasma.github.io/Logging_1782/artfynd/A 51103-2025 artfynd.xlsx", "A 51103-2025")</f>
        <v/>
      </c>
      <c r="X20">
        <f>HYPERLINK("https://klasma.github.io/Logging_1782/kartor/A 51103-2025 karta.png", "A 51103-2025")</f>
        <v/>
      </c>
      <c r="Y20">
        <f>HYPERLINK("https://klasma.github.io/Logging_1782/kartor_geotiff/A 51103-2025 georefererad karta.tif", "A 51103-2025")</f>
        <v/>
      </c>
      <c r="AA20">
        <f>HYPERLINK("https://klasma.github.io/Logging_1782/klagomål/A 51103-2025 FSC-klagomål.docx", "A 51103-2025")</f>
        <v/>
      </c>
      <c r="AB20">
        <f>HYPERLINK("https://klasma.github.io/Logging_1782/klagomålsmail/A 51103-2025 FSC-klagomål mail.docx", "A 51103-2025")</f>
        <v/>
      </c>
      <c r="AC20">
        <f>HYPERLINK("https://klasma.github.io/Logging_1782/tillsyn/A 51103-2025 tillsynsbegäran.docx", "A 51103-2025")</f>
        <v/>
      </c>
      <c r="AD20">
        <f>HYPERLINK("https://klasma.github.io/Logging_1782/tillsynsmail/A 51103-2025 tillsynsbegäran mail.docx", "A 51103-2025")</f>
        <v/>
      </c>
      <c r="AE20">
        <f>HYPERLINK("https://klasma.github.io/Logging_1782/fåglar/A 51103-2025 prioriterade fågelarter.docx", "A 51103-2025")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46233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Läderlappslav
Tjäder</t>
        </is>
      </c>
      <c r="W21">
        <f>HYPERLINK("https://klasma.github.io/Logging_1782/artfynd/A 51922-2024 artfynd.xlsx", "A 51922-2024")</f>
        <v/>
      </c>
      <c r="X21">
        <f>HYPERLINK("https://klasma.github.io/Logging_1782/kartor/A 51922-2024 karta.png", "A 51922-2024")</f>
        <v/>
      </c>
      <c r="Y21">
        <f>HYPERLINK("https://klasma.github.io/Logging_1782/kartor_geotiff/A 51922-2024 georefererad karta.tif", "A 51922-2024")</f>
        <v/>
      </c>
      <c r="AA21">
        <f>HYPERLINK("https://klasma.github.io/Logging_1782/klagomål/A 51922-2024 FSC-klagomål.docx", "A 51922-2024")</f>
        <v/>
      </c>
      <c r="AB21">
        <f>HYPERLINK("https://klasma.github.io/Logging_1782/klagomålsmail/A 51922-2024 FSC-klagomål mail.docx", "A 51922-2024")</f>
        <v/>
      </c>
      <c r="AC21">
        <f>HYPERLINK("https://klasma.github.io/Logging_1782/tillsyn/A 51922-2024 tillsynsbegäran.docx", "A 51922-2024")</f>
        <v/>
      </c>
      <c r="AD21">
        <f>HYPERLINK("https://klasma.github.io/Logging_1782/tillsynsmail/A 51922-2024 tillsynsbegäran mail.docx", "A 51922-2024")</f>
        <v/>
      </c>
      <c r="AE21">
        <f>HYPERLINK("https://klasma.github.io/Logging_1782/fåglar/A 51922-2024 prioriterade fågelarter.docx", "A 51922-2024")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46233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46233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46233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46233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46233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46233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46233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10138-2024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46233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6.8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Purpurknipprot</t>
        </is>
      </c>
      <c r="W29">
        <f>HYPERLINK("https://klasma.github.io/Logging_1782/artfynd/A 10138-2024 artfynd.xlsx", "A 10138-2024")</f>
        <v/>
      </c>
      <c r="X29">
        <f>HYPERLINK("https://klasma.github.io/Logging_1782/kartor/A 10138-2024 karta.png", "A 10138-2024")</f>
        <v/>
      </c>
      <c r="Y29">
        <f>HYPERLINK("https://klasma.github.io/Logging_1782/kartor_geotiff/A 10138-2024 georefererad karta.tif", "A 10138-2024")</f>
        <v/>
      </c>
      <c r="AA29">
        <f>HYPERLINK("https://klasma.github.io/Logging_1782/klagomål/A 10138-2024 FSC-klagomål.docx", "A 10138-2024")</f>
        <v/>
      </c>
      <c r="AB29">
        <f>HYPERLINK("https://klasma.github.io/Logging_1782/klagomålsmail/A 10138-2024 FSC-klagomål mail.docx", "A 10138-2024")</f>
        <v/>
      </c>
      <c r="AC29">
        <f>HYPERLINK("https://klasma.github.io/Logging_1782/tillsyn/A 10138-2024 tillsynsbegäran.docx", "A 10138-2024")</f>
        <v/>
      </c>
      <c r="AD29">
        <f>HYPERLINK("https://klasma.github.io/Logging_1782/tillsynsmail/A 10138-2024 tillsynsbegäran mail.docx", "A 10138-2024")</f>
        <v/>
      </c>
    </row>
    <row r="30" ht="15" customHeight="1">
      <c r="A30" t="inlineStr">
        <is>
          <t>A 25916-2025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45804</v>
      </c>
      <c r="E30" s="1" t="n">
        <v>46233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26.4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HYPERLINK("https://klasma.github.io/Logging_1782/artfynd/A 25916-2025 artfynd.xlsx", "A 25916-2025")</f>
        <v/>
      </c>
      <c r="X30">
        <f>HYPERLINK("https://klasma.github.io/Logging_1782/kartor/A 25916-2025 karta.png", "A 25916-2025")</f>
        <v/>
      </c>
      <c r="Y30">
        <f>HYPERLINK("https://klasma.github.io/Logging_1782/kartor_geotiff/A 25916-2025 georefererad karta.tif", "A 25916-2025")</f>
        <v/>
      </c>
      <c r="AA30">
        <f>HYPERLINK("https://klasma.github.io/Logging_1782/klagomål/A 25916-2025 FSC-klagomål.docx", "A 25916-2025")</f>
        <v/>
      </c>
      <c r="AB30">
        <f>HYPERLINK("https://klasma.github.io/Logging_1782/klagomålsmail/A 25916-2025 FSC-klagomål mail.docx", "A 25916-2025")</f>
        <v/>
      </c>
      <c r="AC30">
        <f>HYPERLINK("https://klasma.github.io/Logging_1782/tillsyn/A 25916-2025 tillsynsbegäran.docx", "A 25916-2025")</f>
        <v/>
      </c>
      <c r="AD30">
        <f>HYPERLINK("https://klasma.github.io/Logging_1782/tillsynsmail/A 25916-2025 tillsynsbegäran mail.docx", "A 25916-2025")</f>
        <v/>
      </c>
    </row>
    <row r="31" ht="15" customHeight="1">
      <c r="A31" t="inlineStr">
        <is>
          <t>A 38140-2024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46233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HYPERLINK("https://klasma.github.io/Logging_1782/artfynd/A 38140-2024 artfynd.xlsx", "A 38140-2024")</f>
        <v/>
      </c>
      <c r="X31">
        <f>HYPERLINK("https://klasma.github.io/Logging_1782/kartor/A 38140-2024 karta.png", "A 38140-2024")</f>
        <v/>
      </c>
      <c r="Y31">
        <f>HYPERLINK("https://klasma.github.io/Logging_1782/kartor_geotiff/A 38140-2024 georefererad karta.tif", "A 38140-2024")</f>
        <v/>
      </c>
      <c r="AA31">
        <f>HYPERLINK("https://klasma.github.io/Logging_1782/klagomål/A 38140-2024 FSC-klagomål.docx", "A 38140-2024")</f>
        <v/>
      </c>
      <c r="AB31">
        <f>HYPERLINK("https://klasma.github.io/Logging_1782/klagomålsmail/A 38140-2024 FSC-klagomål mail.docx", "A 38140-2024")</f>
        <v/>
      </c>
      <c r="AC31">
        <f>HYPERLINK("https://klasma.github.io/Logging_1782/tillsyn/A 38140-2024 tillsynsbegäran.docx", "A 38140-2024")</f>
        <v/>
      </c>
      <c r="AD31">
        <f>HYPERLINK("https://klasma.github.io/Logging_1782/tillsynsmail/A 38140-2024 tillsynsbegäran mail.docx", "A 38140-2024")</f>
        <v/>
      </c>
    </row>
    <row r="32" ht="15" customHeight="1">
      <c r="A32" t="inlineStr">
        <is>
          <t>A 34145-2024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45524</v>
      </c>
      <c r="E32" s="1" t="n">
        <v>46233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Brunklöver</t>
        </is>
      </c>
      <c r="W32">
        <f>HYPERLINK("https://klasma.github.io/Logging_1782/artfynd/A 34145-2024 artfynd.xlsx", "A 34145-2024")</f>
        <v/>
      </c>
      <c r="X32">
        <f>HYPERLINK("https://klasma.github.io/Logging_1782/kartor/A 34145-2024 karta.png", "A 34145-2024")</f>
        <v/>
      </c>
      <c r="Y32">
        <f>HYPERLINK("https://klasma.github.io/Logging_1782/kartor_geotiff/A 34145-2024 georefererad karta.tif", "A 34145-2024")</f>
        <v/>
      </c>
      <c r="AA32">
        <f>HYPERLINK("https://klasma.github.io/Logging_1782/klagomål/A 34145-2024 FSC-klagomål.docx", "A 34145-2024")</f>
        <v/>
      </c>
      <c r="AB32">
        <f>HYPERLINK("https://klasma.github.io/Logging_1782/klagomålsmail/A 34145-2024 FSC-klagomål mail.docx", "A 34145-2024")</f>
        <v/>
      </c>
      <c r="AC32">
        <f>HYPERLINK("https://klasma.github.io/Logging_1782/tillsyn/A 34145-2024 tillsynsbegäran.docx", "A 34145-2024")</f>
        <v/>
      </c>
      <c r="AD32">
        <f>HYPERLINK("https://klasma.github.io/Logging_1782/tillsynsmail/A 34145-2024 tillsynsbegäran mail.docx", "A 34145-2024")</f>
        <v/>
      </c>
    </row>
    <row r="33" ht="15" customHeight="1">
      <c r="A33" t="inlineStr">
        <is>
          <t>A 23046-2023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45075</v>
      </c>
      <c r="E33" s="1" t="n">
        <v>46233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HYPERLINK("https://klasma.github.io/Logging_1782/artfynd/A 23046-2023 artfynd.xlsx", "A 23046-2023")</f>
        <v/>
      </c>
      <c r="X33">
        <f>HYPERLINK("https://klasma.github.io/Logging_1782/kartor/A 23046-2023 karta.png", "A 23046-2023")</f>
        <v/>
      </c>
      <c r="Y33">
        <f>HYPERLINK("https://klasma.github.io/Logging_1782/kartor_geotiff/A 23046-2023 georefererad karta.tif", "A 23046-2023")</f>
        <v/>
      </c>
      <c r="Z33">
        <f>HYPERLINK("https://klasma.github.io/Logging_1782/knärot/A 23046-2023 karta knärot.png", "A 23046-2023")</f>
        <v/>
      </c>
      <c r="AA33">
        <f>HYPERLINK("https://klasma.github.io/Logging_1782/klagomål/A 23046-2023 FSC-klagomål.docx", "A 23046-2023")</f>
        <v/>
      </c>
      <c r="AB33">
        <f>HYPERLINK("https://klasma.github.io/Logging_1782/klagomålsmail/A 23046-2023 FSC-klagomål mail.docx", "A 23046-2023")</f>
        <v/>
      </c>
      <c r="AC33">
        <f>HYPERLINK("https://klasma.github.io/Logging_1782/tillsyn/A 23046-2023 tillsynsbegäran.docx", "A 23046-2023")</f>
        <v/>
      </c>
      <c r="AD33">
        <f>HYPERLINK("https://klasma.github.io/Logging_1782/tillsynsmail/A 23046-2023 tillsynsbegäran mail.docx", "A 23046-2023")</f>
        <v/>
      </c>
    </row>
    <row r="34" ht="15" customHeight="1">
      <c r="A34" t="inlineStr">
        <is>
          <t>A 30652-2025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45831</v>
      </c>
      <c r="E34" s="1" t="n">
        <v>46233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HYPERLINK("https://klasma.github.io/Logging_1782/artfynd/A 30652-2025 artfynd.xlsx", "A 30652-2025")</f>
        <v/>
      </c>
      <c r="X34">
        <f>HYPERLINK("https://klasma.github.io/Logging_1782/kartor/A 30652-2025 karta.png", "A 30652-2025")</f>
        <v/>
      </c>
      <c r="Y34">
        <f>HYPERLINK("https://klasma.github.io/Logging_1782/kartor_geotiff/A 30652-2025 georefererad karta.tif", "A 30652-2025")</f>
        <v/>
      </c>
      <c r="AA34">
        <f>HYPERLINK("https://klasma.github.io/Logging_1782/klagomål/A 30652-2025 FSC-klagomål.docx", "A 30652-2025")</f>
        <v/>
      </c>
      <c r="AB34">
        <f>HYPERLINK("https://klasma.github.io/Logging_1782/klagomålsmail/A 30652-2025 FSC-klagomål mail.docx", "A 30652-2025")</f>
        <v/>
      </c>
      <c r="AC34">
        <f>HYPERLINK("https://klasma.github.io/Logging_1782/tillsyn/A 30652-2025 tillsynsbegäran.docx", "A 30652-2025")</f>
        <v/>
      </c>
      <c r="AD34">
        <f>HYPERLINK("https://klasma.github.io/Logging_1782/tillsynsmail/A 30652-2025 tillsynsbegäran mail.docx", "A 30652-2025")</f>
        <v/>
      </c>
      <c r="AE34">
        <f>HYPERLINK("https://klasma.github.io/Logging_1782/fåglar/A 30652-2025 prioriterade fågelarter.docx", "A 30652-2025")</f>
        <v/>
      </c>
    </row>
    <row r="35" ht="15" customHeight="1">
      <c r="A35" t="inlineStr">
        <is>
          <t>A 45781-2025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45923</v>
      </c>
      <c r="E35" s="1" t="n">
        <v>46233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Brunklöver</t>
        </is>
      </c>
      <c r="W35">
        <f>HYPERLINK("https://klasma.github.io/Logging_1782/artfynd/A 45781-2025 artfynd.xlsx", "A 45781-2025")</f>
        <v/>
      </c>
      <c r="X35">
        <f>HYPERLINK("https://klasma.github.io/Logging_1782/kartor/A 45781-2025 karta.png", "A 45781-2025")</f>
        <v/>
      </c>
      <c r="Y35">
        <f>HYPERLINK("https://klasma.github.io/Logging_1782/kartor_geotiff/A 45781-2025 georefererad karta.tif", "A 45781-2025")</f>
        <v/>
      </c>
      <c r="AA35">
        <f>HYPERLINK("https://klasma.github.io/Logging_1782/klagomål/A 45781-2025 FSC-klagomål.docx", "A 45781-2025")</f>
        <v/>
      </c>
      <c r="AB35">
        <f>HYPERLINK("https://klasma.github.io/Logging_1782/klagomålsmail/A 45781-2025 FSC-klagomål mail.docx", "A 45781-2025")</f>
        <v/>
      </c>
      <c r="AC35">
        <f>HYPERLINK("https://klasma.github.io/Logging_1782/tillsyn/A 45781-2025 tillsynsbegäran.docx", "A 45781-2025")</f>
        <v/>
      </c>
      <c r="AD35">
        <f>HYPERLINK("https://klasma.github.io/Logging_1782/tillsynsmail/A 45781-2025 tillsynsbegäran mail.docx", "A 45781-2025")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46233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HYPERLINK("https://klasma.github.io/Logging_1782/artfynd/A 58734-2025 artfynd.xlsx", "A 58734-2025")</f>
        <v/>
      </c>
      <c r="X36">
        <f>HYPERLINK("https://klasma.github.io/Logging_1782/kartor/A 58734-2025 karta.png", "A 58734-2025")</f>
        <v/>
      </c>
      <c r="Y36">
        <f>HYPERLINK("https://klasma.github.io/Logging_1782/kartor_geotiff/A 58734-2025 georefererad karta.tif", "A 58734-2025")</f>
        <v/>
      </c>
      <c r="AA36">
        <f>HYPERLINK("https://klasma.github.io/Logging_1782/klagomål/A 58734-2025 FSC-klagomål.docx", "A 58734-2025")</f>
        <v/>
      </c>
      <c r="AB36">
        <f>HYPERLINK("https://klasma.github.io/Logging_1782/klagomålsmail/A 58734-2025 FSC-klagomål mail.docx", "A 58734-2025")</f>
        <v/>
      </c>
      <c r="AC36">
        <f>HYPERLINK("https://klasma.github.io/Logging_1782/tillsyn/A 58734-2025 tillsynsbegäran.docx", "A 58734-2025")</f>
        <v/>
      </c>
      <c r="AD36">
        <f>HYPERLINK("https://klasma.github.io/Logging_1782/tillsynsmail/A 58734-2025 tillsynsbegäran mail.docx", "A 58734-2025")</f>
        <v/>
      </c>
      <c r="AE36">
        <f>HYPERLINK("https://klasma.github.io/Logging_1782/fåglar/A 58734-2025 prioriterade fågelarter.docx", "A 58734-2025")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46233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46233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874-2025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45665</v>
      </c>
      <c r="E39" s="1" t="n">
        <v>46233</v>
      </c>
      <c r="F39" t="inlineStr">
        <is>
          <t>VÄRMLANDS LÄN</t>
        </is>
      </c>
      <c r="G39" t="inlineStr">
        <is>
          <t>FILIPSTAD</t>
        </is>
      </c>
      <c r="H39" t="inlineStr">
        <is>
          <t>Kyrkan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Kamjordstjärna</t>
        </is>
      </c>
      <c r="W39">
        <f>HYPERLINK("https://klasma.github.io/Logging_1782/artfynd/A 874-2025 artfynd.xlsx", "A 874-2025")</f>
        <v/>
      </c>
      <c r="X39">
        <f>HYPERLINK("https://klasma.github.io/Logging_1782/kartor/A 874-2025 karta.png", "A 874-2025")</f>
        <v/>
      </c>
      <c r="Y39">
        <f>HYPERLINK("https://klasma.github.io/Logging_1782/kartor_geotiff/A 874-2025 georefererad karta.tif", "A 874-2025")</f>
        <v/>
      </c>
      <c r="AA39">
        <f>HYPERLINK("https://klasma.github.io/Logging_1782/klagomål/A 874-2025 FSC-klagomål.docx", "A 874-2025")</f>
        <v/>
      </c>
      <c r="AB39">
        <f>HYPERLINK("https://klasma.github.io/Logging_1782/klagomålsmail/A 874-2025 FSC-klagomål mail.docx", "A 874-2025")</f>
        <v/>
      </c>
      <c r="AC39">
        <f>HYPERLINK("https://klasma.github.io/Logging_1782/tillsyn/A 874-2025 tillsynsbegäran.docx", "A 874-2025")</f>
        <v/>
      </c>
      <c r="AD39">
        <f>HYPERLINK("https://klasma.github.io/Logging_1782/tillsynsmail/A 874-2025 tillsynsbegäran mail.docx", "A 874-2025")</f>
        <v/>
      </c>
    </row>
    <row r="40" ht="15" customHeight="1">
      <c r="A40" t="inlineStr">
        <is>
          <t>A 28915-2026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46233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Stjärnstarr</t>
        </is>
      </c>
      <c r="W40">
        <f>HYPERLINK("https://klasma.github.io/Logging_1782/artfynd/A 28915-2026 artfynd.xlsx", "A 28915-2026")</f>
        <v/>
      </c>
      <c r="X40">
        <f>HYPERLINK("https://klasma.github.io/Logging_1782/kartor/A 28915-2026 karta.png", "A 28915-2026")</f>
        <v/>
      </c>
      <c r="Y40">
        <f>HYPERLINK("https://klasma.github.io/Logging_1782/kartor_geotiff/A 28915-2026 georefererad karta.tif", "A 28915-2026")</f>
        <v/>
      </c>
      <c r="AA40">
        <f>HYPERLINK("https://klasma.github.io/Logging_1782/klagomål/A 28915-2026 FSC-klagomål.docx", "A 28915-2026")</f>
        <v/>
      </c>
      <c r="AB40">
        <f>HYPERLINK("https://klasma.github.io/Logging_1782/klagomålsmail/A 28915-2026 FSC-klagomål mail.docx", "A 28915-2026")</f>
        <v/>
      </c>
      <c r="AC40">
        <f>HYPERLINK("https://klasma.github.io/Logging_1782/tillsyn/A 28915-2026 tillsynsbegäran.docx", "A 28915-2026")</f>
        <v/>
      </c>
      <c r="AD40">
        <f>HYPERLINK("https://klasma.github.io/Logging_1782/tillsynsmail/A 28915-2026 tillsynsbegäran mail.docx", "A 28915-2026")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46233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31257-2026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46233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10.2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Gräsull</t>
        </is>
      </c>
      <c r="W42">
        <f>HYPERLINK("https://klasma.github.io/Logging_1782/artfynd/A 31257-2026 artfynd.xlsx", "A 31257-2026")</f>
        <v/>
      </c>
      <c r="X42">
        <f>HYPERLINK("https://klasma.github.io/Logging_1782/kartor/A 31257-2026 karta.png", "A 31257-2026")</f>
        <v/>
      </c>
      <c r="Y42">
        <f>HYPERLINK("https://klasma.github.io/Logging_1782/kartor_geotiff/A 31257-2026 georefererad karta.tif", "A 31257-2026")</f>
        <v/>
      </c>
      <c r="AA42">
        <f>HYPERLINK("https://klasma.github.io/Logging_1782/klagomål/A 31257-2026 FSC-klagomål.docx", "A 31257-2026")</f>
        <v/>
      </c>
      <c r="AB42">
        <f>HYPERLINK("https://klasma.github.io/Logging_1782/klagomålsmail/A 31257-2026 FSC-klagomål mail.docx", "A 31257-2026")</f>
        <v/>
      </c>
      <c r="AC42">
        <f>HYPERLINK("https://klasma.github.io/Logging_1782/tillsyn/A 31257-2026 tillsynsbegäran.docx", "A 31257-2026")</f>
        <v/>
      </c>
      <c r="AD42">
        <f>HYPERLINK("https://klasma.github.io/Logging_1782/tillsynsmail/A 31257-2026 tillsynsbegäran mail.docx", "A 31257-2026")</f>
        <v/>
      </c>
    </row>
    <row r="43" ht="15" customHeight="1">
      <c r="A43" t="inlineStr">
        <is>
          <t>A 25862-2026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46233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Talltaggsvamp</t>
        </is>
      </c>
      <c r="W43">
        <f>HYPERLINK("https://klasma.github.io/Logging_1782/artfynd/A 25862-2026 artfynd.xlsx", "A 25862-2026")</f>
        <v/>
      </c>
      <c r="X43">
        <f>HYPERLINK("https://klasma.github.io/Logging_1782/kartor/A 25862-2026 karta.png", "A 25862-2026")</f>
        <v/>
      </c>
      <c r="Y43">
        <f>HYPERLINK("https://klasma.github.io/Logging_1782/kartor_geotiff/A 25862-2026 georefererad karta.tif", "A 25862-2026")</f>
        <v/>
      </c>
      <c r="AA43">
        <f>HYPERLINK("https://klasma.github.io/Logging_1782/klagomål/A 25862-2026 FSC-klagomål.docx", "A 25862-2026")</f>
        <v/>
      </c>
      <c r="AB43">
        <f>HYPERLINK("https://klasma.github.io/Logging_1782/klagomålsmail/A 25862-2026 FSC-klagomål mail.docx", "A 25862-2026")</f>
        <v/>
      </c>
      <c r="AC43">
        <f>HYPERLINK("https://klasma.github.io/Logging_1782/tillsyn/A 25862-2026 tillsynsbegäran.docx", "A 25862-2026")</f>
        <v/>
      </c>
      <c r="AD43">
        <f>HYPERLINK("https://klasma.github.io/Logging_1782/tillsynsmail/A 25862-2026 tillsynsbegäran mail.docx", "A 25862-2026")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46233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Purpurknipprot</t>
        </is>
      </c>
      <c r="W44">
        <f>HYPERLINK("https://klasma.github.io/Logging_1782/artfynd/A 11453-2025 artfynd.xlsx", "A 11453-2025")</f>
        <v/>
      </c>
      <c r="X44">
        <f>HYPERLINK("https://klasma.github.io/Logging_1782/kartor/A 11453-2025 karta.png", "A 11453-2025")</f>
        <v/>
      </c>
      <c r="Y44">
        <f>HYPERLINK("https://klasma.github.io/Logging_1782/kartor_geotiff/A 11453-2025 georefererad karta.tif", "A 11453-2025")</f>
        <v/>
      </c>
      <c r="AA44">
        <f>HYPERLINK("https://klasma.github.io/Logging_1782/klagomål/A 11453-2025 FSC-klagomål.docx", "A 11453-2025")</f>
        <v/>
      </c>
      <c r="AB44">
        <f>HYPERLINK("https://klasma.github.io/Logging_1782/klagomålsmail/A 11453-2025 FSC-klagomål mail.docx", "A 11453-2025")</f>
        <v/>
      </c>
      <c r="AC44">
        <f>HYPERLINK("https://klasma.github.io/Logging_1782/tillsyn/A 11453-2025 tillsynsbegäran.docx", "A 11453-2025")</f>
        <v/>
      </c>
      <c r="AD44">
        <f>HYPERLINK("https://klasma.github.io/Logging_1782/tillsynsmail/A 11453-2025 tillsynsbegäran mail.docx", "A 11453-2025")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46233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46233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46233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46233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46233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46233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46233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46233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46233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46233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46233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46233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46233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46233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46233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46233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46233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46233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46233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46233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46233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46233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46233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46233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46233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46233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46233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46233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46233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46233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46233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53562-2023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46233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45203</v>
      </c>
      <c r="E77" s="1" t="n">
        <v>46233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46233</v>
      </c>
      <c r="F78" t="inlineStr">
        <is>
          <t>VÄRMLANDS LÄN</t>
        </is>
      </c>
      <c r="G78" t="inlineStr">
        <is>
          <t>FILIPSTAD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45700</v>
      </c>
      <c r="E79" s="1" t="n">
        <v>46233</v>
      </c>
      <c r="F79" t="inlineStr">
        <is>
          <t>VÄRMLANDS LÄN</t>
        </is>
      </c>
      <c r="G79" t="inlineStr">
        <is>
          <t>FILIPSTAD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45342</v>
      </c>
      <c r="E80" s="1" t="n">
        <v>46233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45391</v>
      </c>
      <c r="E81" s="1" t="n">
        <v>46233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46233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46233</v>
      </c>
      <c r="F83" t="inlineStr">
        <is>
          <t>VÄRMLANDS LÄN</t>
        </is>
      </c>
      <c r="G83" t="inlineStr">
        <is>
          <t>FILIPSTAD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46233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45208</v>
      </c>
      <c r="E85" s="1" t="n">
        <v>46233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45223</v>
      </c>
      <c r="E86" s="1" t="n">
        <v>46233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46233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45384</v>
      </c>
      <c r="E88" s="1" t="n">
        <v>46233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53690-2022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44880</v>
      </c>
      <c r="E89" s="1" t="n">
        <v>46233</v>
      </c>
      <c r="F89" t="inlineStr">
        <is>
          <t>VÄRMLANDS LÄN</t>
        </is>
      </c>
      <c r="G89" t="inlineStr">
        <is>
          <t>FILIPSTAD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45408</v>
      </c>
      <c r="E90" s="1" t="n">
        <v>46233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45257</v>
      </c>
      <c r="E91" s="1" t="n">
        <v>46233</v>
      </c>
      <c r="F91" t="inlineStr">
        <is>
          <t>VÄRMLANDS LÄN</t>
        </is>
      </c>
      <c r="G91" t="inlineStr">
        <is>
          <t>FILIPSTAD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45418</v>
      </c>
      <c r="E92" s="1" t="n">
        <v>46233</v>
      </c>
      <c r="F92" t="inlineStr">
        <is>
          <t>VÄRMLANDS LÄN</t>
        </is>
      </c>
      <c r="G92" t="inlineStr">
        <is>
          <t>FILIPSTAD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46233</v>
      </c>
      <c r="F93" t="inlineStr">
        <is>
          <t>VÄRMLANDS LÄN</t>
        </is>
      </c>
      <c r="G93" t="inlineStr">
        <is>
          <t>FILIPSTAD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45267</v>
      </c>
      <c r="E94" s="1" t="n">
        <v>46233</v>
      </c>
      <c r="F94" t="inlineStr">
        <is>
          <t>VÄRMLANDS LÄN</t>
        </is>
      </c>
      <c r="G94" t="inlineStr">
        <is>
          <t>FILIPSTAD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57588-2023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46233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46233</v>
      </c>
      <c r="F96" t="inlineStr">
        <is>
          <t>VÄRMLANDS LÄN</t>
        </is>
      </c>
      <c r="G96" t="inlineStr">
        <is>
          <t>FILIPSTAD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45511</v>
      </c>
      <c r="E97" s="1" t="n">
        <v>46233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46233</v>
      </c>
      <c r="F98" t="inlineStr">
        <is>
          <t>VÄRMLANDS LÄN</t>
        </is>
      </c>
      <c r="G98" t="inlineStr">
        <is>
          <t>FILIPSTAD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46233</v>
      </c>
      <c r="F99" t="inlineStr">
        <is>
          <t>VÄRMLANDS LÄN</t>
        </is>
      </c>
      <c r="G99" t="inlineStr">
        <is>
          <t>FILIPSTAD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46233</v>
      </c>
      <c r="F100" t="inlineStr">
        <is>
          <t>VÄRMLANDS LÄN</t>
        </is>
      </c>
      <c r="G100" t="inlineStr">
        <is>
          <t>FILIPSTAD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26123-2025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45805</v>
      </c>
      <c r="E101" s="1" t="n">
        <v>46233</v>
      </c>
      <c r="F101" t="inlineStr">
        <is>
          <t>VÄRMLANDS LÄN</t>
        </is>
      </c>
      <c r="G101" t="inlineStr">
        <is>
          <t>FILIPSTAD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26116-2025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45805</v>
      </c>
      <c r="E102" s="1" t="n">
        <v>46233</v>
      </c>
      <c r="F102" t="inlineStr">
        <is>
          <t>VÄRMLANDS LÄN</t>
        </is>
      </c>
      <c r="G102" t="inlineStr">
        <is>
          <t>FILIPSTAD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26812-2025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46233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46233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45470</v>
      </c>
      <c r="E105" s="1" t="n">
        <v>46233</v>
      </c>
      <c r="F105" t="inlineStr">
        <is>
          <t>VÄRMLANDS LÄN</t>
        </is>
      </c>
      <c r="G105" t="inlineStr">
        <is>
          <t>FILIPSTAD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46233</v>
      </c>
      <c r="F106" t="inlineStr">
        <is>
          <t>VÄRMLANDS LÄN</t>
        </is>
      </c>
      <c r="G106" t="inlineStr">
        <is>
          <t>FILIPSTAD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26599-2024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45469</v>
      </c>
      <c r="E107" s="1" t="n">
        <v>46233</v>
      </c>
      <c r="F107" t="inlineStr">
        <is>
          <t>VÄRMLANDS LÄN</t>
        </is>
      </c>
      <c r="G107" t="inlineStr">
        <is>
          <t>FILIPSTAD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46040</v>
      </c>
      <c r="E108" s="1" t="n">
        <v>46233</v>
      </c>
      <c r="F108" t="inlineStr">
        <is>
          <t>VÄRMLANDS LÄN</t>
        </is>
      </c>
      <c r="G108" t="inlineStr">
        <is>
          <t>FILIPSTAD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45674</v>
      </c>
      <c r="E109" s="1" t="n">
        <v>46233</v>
      </c>
      <c r="F109" t="inlineStr">
        <is>
          <t>VÄRMLANDS LÄN</t>
        </is>
      </c>
      <c r="G109" t="inlineStr">
        <is>
          <t>FILIPSTAD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46233</v>
      </c>
      <c r="F110" t="inlineStr">
        <is>
          <t>VÄRMLANDS LÄN</t>
        </is>
      </c>
      <c r="G110" t="inlineStr">
        <is>
          <t>FILIPSTAD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45418</v>
      </c>
      <c r="E111" s="1" t="n">
        <v>46233</v>
      </c>
      <c r="F111" t="inlineStr">
        <is>
          <t>VÄRMLANDS LÄN</t>
        </is>
      </c>
      <c r="G111" t="inlineStr">
        <is>
          <t>FILIPSTAD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46233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46233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29568-2025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46233</v>
      </c>
      <c r="F114" t="inlineStr">
        <is>
          <t>VÄRMLANDS LÄN</t>
        </is>
      </c>
      <c r="G114" t="inlineStr">
        <is>
          <t>FILIPSTAD</t>
        </is>
      </c>
      <c r="H114" t="inlineStr">
        <is>
          <t>Kyrkan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46233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46233</v>
      </c>
      <c r="F116" t="inlineStr">
        <is>
          <t>VÄRMLANDS LÄN</t>
        </is>
      </c>
      <c r="G116" t="inlineStr">
        <is>
          <t>FILIPSTAD</t>
        </is>
      </c>
      <c r="I116" t="n">
        <v>23.3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46233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44672</v>
      </c>
      <c r="E118" s="1" t="n">
        <v>46233</v>
      </c>
      <c r="F118" t="inlineStr">
        <is>
          <t>VÄRMLANDS LÄN</t>
        </is>
      </c>
      <c r="G118" t="inlineStr">
        <is>
          <t>FILIPSTAD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45578</v>
      </c>
      <c r="E119" s="1" t="n">
        <v>46233</v>
      </c>
      <c r="F119" t="inlineStr">
        <is>
          <t>VÄRMLANDS LÄN</t>
        </is>
      </c>
      <c r="G119" t="inlineStr">
        <is>
          <t>FILIPSTAD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45240</v>
      </c>
      <c r="E120" s="1" t="n">
        <v>46233</v>
      </c>
      <c r="F120" t="inlineStr">
        <is>
          <t>VÄRMLANDS LÄN</t>
        </is>
      </c>
      <c r="G120" t="inlineStr">
        <is>
          <t>FILIPSTAD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46233</v>
      </c>
      <c r="F121" t="inlineStr">
        <is>
          <t>VÄRMLANDS LÄN</t>
        </is>
      </c>
      <c r="G121" t="inlineStr">
        <is>
          <t>FILIPSTAD</t>
        </is>
      </c>
      <c r="H121" t="inlineStr">
        <is>
          <t>Kyrkan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45832</v>
      </c>
      <c r="E122" s="1" t="n">
        <v>46233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41718-2025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45902</v>
      </c>
      <c r="E123" s="1" t="n">
        <v>46233</v>
      </c>
      <c r="F123" t="inlineStr">
        <is>
          <t>VÄRMLANDS LÄN</t>
        </is>
      </c>
      <c r="G123" t="inlineStr">
        <is>
          <t>FILIPSTAD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46233</v>
      </c>
      <c r="F124" t="inlineStr">
        <is>
          <t>VÄRMLANDS LÄN</t>
        </is>
      </c>
      <c r="G124" t="inlineStr">
        <is>
          <t>FILIPSTAD</t>
        </is>
      </c>
      <c r="I124" t="n">
        <v>18.7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69015-2021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44530</v>
      </c>
      <c r="E125" s="1" t="n">
        <v>46233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32032-2025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45835</v>
      </c>
      <c r="E126" s="1" t="n">
        <v>46233</v>
      </c>
      <c r="F126" t="inlineStr">
        <is>
          <t>VÄRMLANDS LÄN</t>
        </is>
      </c>
      <c r="G126" t="inlineStr">
        <is>
          <t>FILIPSTAD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46233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30165-2025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46233</v>
      </c>
      <c r="F128" t="inlineStr">
        <is>
          <t>VÄRMLANDS LÄN</t>
        </is>
      </c>
      <c r="G128" t="inlineStr">
        <is>
          <t>FILIPSTAD</t>
        </is>
      </c>
      <c r="H128" t="inlineStr">
        <is>
          <t>Kyrkan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46233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45688</v>
      </c>
      <c r="E130" s="1" t="n">
        <v>46233</v>
      </c>
      <c r="F130" t="inlineStr">
        <is>
          <t>VÄRMLANDS LÄN</t>
        </is>
      </c>
      <c r="G130" t="inlineStr">
        <is>
          <t>FILIPSTAD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46233</v>
      </c>
      <c r="F131" t="inlineStr">
        <is>
          <t>VÄRMLANDS LÄN</t>
        </is>
      </c>
      <c r="G131" t="inlineStr">
        <is>
          <t>FILIPSTAD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45579</v>
      </c>
      <c r="E132" s="1" t="n">
        <v>46233</v>
      </c>
      <c r="F132" t="inlineStr">
        <is>
          <t>VÄRMLANDS LÄN</t>
        </is>
      </c>
      <c r="G132" t="inlineStr">
        <is>
          <t>FILIPSTAD</t>
        </is>
      </c>
      <c r="H132" t="inlineStr">
        <is>
          <t>Kyrkan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46233</v>
      </c>
      <c r="F133" t="inlineStr">
        <is>
          <t>VÄRMLANDS LÄN</t>
        </is>
      </c>
      <c r="G133" t="inlineStr">
        <is>
          <t>FILIPSTAD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33407-2025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45841</v>
      </c>
      <c r="E134" s="1" t="n">
        <v>46233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44935</v>
      </c>
      <c r="E135" s="1" t="n">
        <v>46233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46233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46233</v>
      </c>
      <c r="F137" t="inlineStr">
        <is>
          <t>VÄRMLANDS LÄN</t>
        </is>
      </c>
      <c r="G137" t="inlineStr">
        <is>
          <t>FILIPSTAD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46233</v>
      </c>
      <c r="F138" t="inlineStr">
        <is>
          <t>VÄRMLANDS LÄN</t>
        </is>
      </c>
      <c r="G138" t="inlineStr">
        <is>
          <t>FILIPSTAD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46233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44788</v>
      </c>
      <c r="E140" s="1" t="n">
        <v>46233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46233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45870</v>
      </c>
      <c r="E142" s="1" t="n">
        <v>46233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46233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46233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46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47633-2025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46233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46056</v>
      </c>
      <c r="E146" s="1" t="n">
        <v>46233</v>
      </c>
      <c r="F146" t="inlineStr">
        <is>
          <t>VÄRMLANDS LÄN</t>
        </is>
      </c>
      <c r="G146" t="inlineStr">
        <is>
          <t>FILIPSTAD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46056</v>
      </c>
      <c r="E147" s="1" t="n">
        <v>46233</v>
      </c>
      <c r="F147" t="inlineStr">
        <is>
          <t>VÄRMLANDS LÄN</t>
        </is>
      </c>
      <c r="G147" t="inlineStr">
        <is>
          <t>FILIPSTAD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48103-2025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45933</v>
      </c>
      <c r="E148" s="1" t="n">
        <v>46233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45617</v>
      </c>
      <c r="E149" s="1" t="n">
        <v>46233</v>
      </c>
      <c r="F149" t="inlineStr">
        <is>
          <t>VÄRMLANDS LÄN</t>
        </is>
      </c>
      <c r="G149" t="inlineStr">
        <is>
          <t>FILIPSTAD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45567</v>
      </c>
      <c r="E150" s="1" t="n">
        <v>46233</v>
      </c>
      <c r="F150" t="inlineStr">
        <is>
          <t>VÄRMLANDS LÄN</t>
        </is>
      </c>
      <c r="G150" t="inlineStr">
        <is>
          <t>FILIPSTAD</t>
        </is>
      </c>
      <c r="H150" t="inlineStr">
        <is>
          <t>Kyrkan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45882</v>
      </c>
      <c r="E151" s="1" t="n">
        <v>46233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49878-2025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45940</v>
      </c>
      <c r="E152" s="1" t="n">
        <v>46233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46233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46233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45950</v>
      </c>
      <c r="E155" s="1" t="n">
        <v>46233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46233</v>
      </c>
      <c r="F156" t="inlineStr">
        <is>
          <t>VÄRMLANDS LÄN</t>
        </is>
      </c>
      <c r="G156" t="inlineStr">
        <is>
          <t>FILIPSTAD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46233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46233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44998</v>
      </c>
      <c r="E159" s="1" t="n">
        <v>46233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11.2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46233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46233</v>
      </c>
      <c r="F161" t="inlineStr">
        <is>
          <t>VÄRMLANDS LÄN</t>
        </is>
      </c>
      <c r="G161" t="inlineStr">
        <is>
          <t>FILIPSTAD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45436</v>
      </c>
      <c r="E162" s="1" t="n">
        <v>46233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46233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46233</v>
      </c>
      <c r="F164" t="inlineStr">
        <is>
          <t>VÄRMLANDS LÄN</t>
        </is>
      </c>
      <c r="G164" t="inlineStr">
        <is>
          <t>FILIPSTAD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45960</v>
      </c>
      <c r="E165" s="1" t="n">
        <v>46233</v>
      </c>
      <c r="F165" t="inlineStr">
        <is>
          <t>VÄRMLANDS LÄN</t>
        </is>
      </c>
      <c r="G165" t="inlineStr">
        <is>
          <t>FILIPSTAD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46233</v>
      </c>
      <c r="F166" t="inlineStr">
        <is>
          <t>VÄRMLANDS LÄN</t>
        </is>
      </c>
      <c r="G166" t="inlineStr">
        <is>
          <t>FILIPSTAD</t>
        </is>
      </c>
      <c r="H166" t="inlineStr">
        <is>
          <t>Kyrkan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46233</v>
      </c>
      <c r="F167" t="inlineStr">
        <is>
          <t>VÄRMLANDS LÄN</t>
        </is>
      </c>
      <c r="G167" t="inlineStr">
        <is>
          <t>FILIPSTAD</t>
        </is>
      </c>
      <c r="H167" t="inlineStr">
        <is>
          <t>Kyrkan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45569</v>
      </c>
      <c r="E168" s="1" t="n">
        <v>46233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46233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54328-2025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46233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55173-2025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45968</v>
      </c>
      <c r="E171" s="1" t="n">
        <v>46233</v>
      </c>
      <c r="F171" t="inlineStr">
        <is>
          <t>VÄRMLANDS LÄN</t>
        </is>
      </c>
      <c r="G171" t="inlineStr">
        <is>
          <t>FILIPSTAD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45968</v>
      </c>
      <c r="E172" s="1" t="n">
        <v>46233</v>
      </c>
      <c r="F172" t="inlineStr">
        <is>
          <t>VÄRMLANDS LÄN</t>
        </is>
      </c>
      <c r="G172" t="inlineStr">
        <is>
          <t>FILIPSTAD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10279-2026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46233</v>
      </c>
      <c r="F173" t="inlineStr">
        <is>
          <t>VÄRMLANDS LÄN</t>
        </is>
      </c>
      <c r="G173" t="inlineStr">
        <is>
          <t>FILIPSTAD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45971</v>
      </c>
      <c r="E174" s="1" t="n">
        <v>46233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22866-2023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45072</v>
      </c>
      <c r="E175" s="1" t="n">
        <v>46233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46233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46233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29473-2024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45484</v>
      </c>
      <c r="E178" s="1" t="n">
        <v>46233</v>
      </c>
      <c r="F178" t="inlineStr">
        <is>
          <t>VÄRMLANDS LÄN</t>
        </is>
      </c>
      <c r="G178" t="inlineStr">
        <is>
          <t>FILIPSTAD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46233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46233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46233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56201-2025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46233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56158-2025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46233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46233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46233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46233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46233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46233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56008-2025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46233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46233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46233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46233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46233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18.8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46233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45195</v>
      </c>
      <c r="E195" s="1" t="n">
        <v>46233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45982</v>
      </c>
      <c r="E196" s="1" t="n">
        <v>46233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46233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46233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44579</v>
      </c>
      <c r="E199" s="1" t="n">
        <v>46233</v>
      </c>
      <c r="F199" t="inlineStr">
        <is>
          <t>VÄRMLANDS LÄN</t>
        </is>
      </c>
      <c r="G199" t="inlineStr">
        <is>
          <t>FILIPSTAD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46233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46233</v>
      </c>
      <c r="F201" t="inlineStr">
        <is>
          <t>VÄRMLANDS LÄN</t>
        </is>
      </c>
      <c r="G201" t="inlineStr">
        <is>
          <t>FILIPSTAD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46233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46087</v>
      </c>
      <c r="E203" s="1" t="n">
        <v>46233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46233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46233</v>
      </c>
      <c r="F205" t="inlineStr">
        <is>
          <t>VÄRMLANDS LÄN</t>
        </is>
      </c>
      <c r="G205" t="inlineStr">
        <is>
          <t>FILIPSTAD</t>
        </is>
      </c>
      <c r="I205" t="n">
        <v>8.6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46233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46233</v>
      </c>
      <c r="F207" t="inlineStr">
        <is>
          <t>VÄRMLANDS LÄN</t>
        </is>
      </c>
      <c r="G207" t="inlineStr">
        <is>
          <t>FILIPSTAD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46233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45992</v>
      </c>
      <c r="E209" s="1" t="n">
        <v>46233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45989</v>
      </c>
      <c r="E210" s="1" t="n">
        <v>46233</v>
      </c>
      <c r="F210" t="inlineStr">
        <is>
          <t>VÄRMLANDS LÄN</t>
        </is>
      </c>
      <c r="G210" t="inlineStr">
        <is>
          <t>FILIPSTAD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46233</v>
      </c>
      <c r="F211" t="inlineStr">
        <is>
          <t>VÄRMLANDS LÄN</t>
        </is>
      </c>
      <c r="G211" t="inlineStr">
        <is>
          <t>FILIPSTAD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46090</v>
      </c>
      <c r="E212" s="1" t="n">
        <v>46233</v>
      </c>
      <c r="F212" t="inlineStr">
        <is>
          <t>VÄRMLANDS LÄN</t>
        </is>
      </c>
      <c r="G212" t="inlineStr">
        <is>
          <t>FILIPSTAD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46233</v>
      </c>
      <c r="F213" t="inlineStr">
        <is>
          <t>VÄRMLANDS LÄN</t>
        </is>
      </c>
      <c r="G213" t="inlineStr">
        <is>
          <t>FILIPSTAD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46233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46233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46233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45750</v>
      </c>
      <c r="E217" s="1" t="n">
        <v>46233</v>
      </c>
      <c r="F217" t="inlineStr">
        <is>
          <t>VÄRMLANDS LÄN</t>
        </is>
      </c>
      <c r="G217" t="inlineStr">
        <is>
          <t>FILIPSTAD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46233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46233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46094</v>
      </c>
      <c r="E220" s="1" t="n">
        <v>46233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44684</v>
      </c>
      <c r="E221" s="1" t="n">
        <v>46233</v>
      </c>
      <c r="F221" t="inlineStr">
        <is>
          <t>VÄRMLANDS LÄN</t>
        </is>
      </c>
      <c r="G221" t="inlineStr">
        <is>
          <t>FILIPSTAD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46094</v>
      </c>
      <c r="E222" s="1" t="n">
        <v>46233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46233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46094</v>
      </c>
      <c r="E224" s="1" t="n">
        <v>46233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46098</v>
      </c>
      <c r="E225" s="1" t="n">
        <v>46233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46233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45993</v>
      </c>
      <c r="E227" s="1" t="n">
        <v>46233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37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45993</v>
      </c>
      <c r="E228" s="1" t="n">
        <v>46233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60653-2025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45996</v>
      </c>
      <c r="E229" s="1" t="n">
        <v>46233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46233</v>
      </c>
      <c r="F230" t="inlineStr">
        <is>
          <t>VÄRMLANDS LÄN</t>
        </is>
      </c>
      <c r="G230" t="inlineStr">
        <is>
          <t>FILIPSTAD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46233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60433-2025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46233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45995</v>
      </c>
      <c r="E233" s="1" t="n">
        <v>46233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46233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46233</v>
      </c>
      <c r="F235" t="inlineStr">
        <is>
          <t>VÄRMLANDS LÄN</t>
        </is>
      </c>
      <c r="G235" t="inlineStr">
        <is>
          <t>FILIPSTAD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46233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46233</v>
      </c>
      <c r="F237" t="inlineStr">
        <is>
          <t>VÄRMLANDS LÄN</t>
        </is>
      </c>
      <c r="G237" t="inlineStr">
        <is>
          <t>FILIPSTAD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61327-2025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46001</v>
      </c>
      <c r="E238" s="1" t="n">
        <v>46233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46233</v>
      </c>
      <c r="F239" t="inlineStr">
        <is>
          <t>VÄRMLANDS LÄN</t>
        </is>
      </c>
      <c r="G239" t="inlineStr">
        <is>
          <t>FILIPSTAD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46233</v>
      </c>
      <c r="F240" t="inlineStr">
        <is>
          <t>VÄRMLANDS LÄN</t>
        </is>
      </c>
      <c r="G240" t="inlineStr">
        <is>
          <t>FILIPSTAD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46002</v>
      </c>
      <c r="E241" s="1" t="n">
        <v>46233</v>
      </c>
      <c r="F241" t="inlineStr">
        <is>
          <t>VÄRMLANDS LÄN</t>
        </is>
      </c>
      <c r="G241" t="inlineStr">
        <is>
          <t>FILIPSTAD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46546-2021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44445</v>
      </c>
      <c r="E242" s="1" t="n">
        <v>46233</v>
      </c>
      <c r="F242" t="inlineStr">
        <is>
          <t>VÄRMLANDS LÄN</t>
        </is>
      </c>
      <c r="G242" t="inlineStr">
        <is>
          <t>FILIPSTAD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61417-2025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46001</v>
      </c>
      <c r="E243" s="1" t="n">
        <v>46233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46233</v>
      </c>
      <c r="F244" t="inlineStr">
        <is>
          <t>VÄRMLANDS LÄN</t>
        </is>
      </c>
      <c r="G244" t="inlineStr">
        <is>
          <t>FILIPSTAD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46001</v>
      </c>
      <c r="E245" s="1" t="n">
        <v>46233</v>
      </c>
      <c r="F245" t="inlineStr">
        <is>
          <t>VÄRMLANDS LÄN</t>
        </is>
      </c>
      <c r="G245" t="inlineStr">
        <is>
          <t>FILIPSTAD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46233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46233</v>
      </c>
      <c r="F247" t="inlineStr">
        <is>
          <t>VÄRMLANDS LÄN</t>
        </is>
      </c>
      <c r="G247" t="inlineStr">
        <is>
          <t>FILIPSTAD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46233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61492-2025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46001</v>
      </c>
      <c r="E249" s="1" t="n">
        <v>46233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46001</v>
      </c>
      <c r="E250" s="1" t="n">
        <v>46233</v>
      </c>
      <c r="F250" t="inlineStr">
        <is>
          <t>VÄRMLANDS LÄN</t>
        </is>
      </c>
      <c r="G250" t="inlineStr">
        <is>
          <t>FILIPSTAD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46004</v>
      </c>
      <c r="E251" s="1" t="n">
        <v>46233</v>
      </c>
      <c r="F251" t="inlineStr">
        <is>
          <t>VÄRMLANDS LÄN</t>
        </is>
      </c>
      <c r="G251" t="inlineStr">
        <is>
          <t>FILIPSTAD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46233</v>
      </c>
      <c r="F252" t="inlineStr">
        <is>
          <t>VÄRMLANDS LÄN</t>
        </is>
      </c>
      <c r="G252" t="inlineStr">
        <is>
          <t>FILIPSTAD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46004</v>
      </c>
      <c r="E253" s="1" t="n">
        <v>46233</v>
      </c>
      <c r="F253" t="inlineStr">
        <is>
          <t>VÄRMLANDS LÄN</t>
        </is>
      </c>
      <c r="G253" t="inlineStr">
        <is>
          <t>FILIPSTAD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45014</v>
      </c>
      <c r="E254" s="1" t="n">
        <v>46233</v>
      </c>
      <c r="F254" t="inlineStr">
        <is>
          <t>VÄRMLANDS LÄN</t>
        </is>
      </c>
      <c r="G254" t="inlineStr">
        <is>
          <t>FILIPSTAD</t>
        </is>
      </c>
      <c r="H254" t="inlineStr">
        <is>
          <t>Kyrkan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61823-2025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46003</v>
      </c>
      <c r="E255" s="1" t="n">
        <v>46233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62252-2025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46006</v>
      </c>
      <c r="E256" s="1" t="n">
        <v>46233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46233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46233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45232</v>
      </c>
      <c r="E259" s="1" t="n">
        <v>46233</v>
      </c>
      <c r="F259" t="inlineStr">
        <is>
          <t>VÄRMLANDS LÄN</t>
        </is>
      </c>
      <c r="G259" t="inlineStr">
        <is>
          <t>FILIPSTAD</t>
        </is>
      </c>
      <c r="I259" t="n">
        <v>15.5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45088</v>
      </c>
      <c r="E260" s="1" t="n">
        <v>46233</v>
      </c>
      <c r="F260" t="inlineStr">
        <is>
          <t>VÄRMLANDS LÄN</t>
        </is>
      </c>
      <c r="G260" t="inlineStr">
        <is>
          <t>FILIPSTAD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46233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46233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19351-2025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45769</v>
      </c>
      <c r="E263" s="1" t="n">
        <v>46233</v>
      </c>
      <c r="F263" t="inlineStr">
        <is>
          <t>VÄRMLANDS LÄN</t>
        </is>
      </c>
      <c r="G263" t="inlineStr">
        <is>
          <t>FILIPSTAD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46010</v>
      </c>
      <c r="E264" s="1" t="n">
        <v>46233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46233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46233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46233</v>
      </c>
      <c r="F267" t="inlineStr">
        <is>
          <t>VÄRMLANDS LÄN</t>
        </is>
      </c>
      <c r="G267" t="inlineStr">
        <is>
          <t>FILIPSTAD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46233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46233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63678-2025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46233</v>
      </c>
      <c r="F270" t="inlineStr">
        <is>
          <t>VÄRMLANDS LÄN</t>
        </is>
      </c>
      <c r="G270" t="inlineStr">
        <is>
          <t>FILIPSTAD</t>
        </is>
      </c>
      <c r="I270" t="n">
        <v>9.9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45088</v>
      </c>
      <c r="E271" s="1" t="n">
        <v>46233</v>
      </c>
      <c r="F271" t="inlineStr">
        <is>
          <t>VÄRMLANDS LÄN</t>
        </is>
      </c>
      <c r="G271" t="inlineStr">
        <is>
          <t>FILIPSTAD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46233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46108</v>
      </c>
      <c r="E273" s="1" t="n">
        <v>46233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16040-2026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46108</v>
      </c>
      <c r="E274" s="1" t="n">
        <v>46233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16050-2026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46233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45063</v>
      </c>
      <c r="E276" s="1" t="n">
        <v>46233</v>
      </c>
      <c r="F276" t="inlineStr">
        <is>
          <t>VÄRMLANDS LÄN</t>
        </is>
      </c>
      <c r="G276" t="inlineStr">
        <is>
          <t>FILIPSTAD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46233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46233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38866-2024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45547</v>
      </c>
      <c r="E279" s="1" t="n">
        <v>46233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16975-2026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46114</v>
      </c>
      <c r="E280" s="1" t="n">
        <v>46233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45245</v>
      </c>
      <c r="E281" s="1" t="n">
        <v>46233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58611-2025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45986</v>
      </c>
      <c r="E282" s="1" t="n">
        <v>46233</v>
      </c>
      <c r="F282" t="inlineStr">
        <is>
          <t>VÄRMLANDS LÄN</t>
        </is>
      </c>
      <c r="G282" t="inlineStr">
        <is>
          <t>FILIPSTAD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17292-2026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46119</v>
      </c>
      <c r="E283" s="1" t="n">
        <v>46233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46233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46119</v>
      </c>
      <c r="E285" s="1" t="n">
        <v>46233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45106</v>
      </c>
      <c r="E286" s="1" t="n">
        <v>46233</v>
      </c>
      <c r="F286" t="inlineStr">
        <is>
          <t>VÄRMLANDS LÄN</t>
        </is>
      </c>
      <c r="G286" t="inlineStr">
        <is>
          <t>FILIPSTAD</t>
        </is>
      </c>
      <c r="H286" t="inlineStr">
        <is>
          <t>Kyrkan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46120</v>
      </c>
      <c r="E287" s="1" t="n">
        <v>46233</v>
      </c>
      <c r="F287" t="inlineStr">
        <is>
          <t>VÄRMLANDS LÄN</t>
        </is>
      </c>
      <c r="G287" t="inlineStr">
        <is>
          <t>FILIPSTAD</t>
        </is>
      </c>
      <c r="I287" t="n">
        <v>9.699999999999999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17949-2026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46122</v>
      </c>
      <c r="E288" s="1" t="n">
        <v>46233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46122</v>
      </c>
      <c r="E289" s="1" t="n">
        <v>46233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46233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46122</v>
      </c>
      <c r="E291" s="1" t="n">
        <v>46233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46233</v>
      </c>
      <c r="F292" t="inlineStr">
        <is>
          <t>VÄRMLANDS LÄN</t>
        </is>
      </c>
      <c r="G292" t="inlineStr">
        <is>
          <t>FILIPSTAD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45741</v>
      </c>
      <c r="E293" s="1" t="n">
        <v>46233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17900-2026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46233</v>
      </c>
      <c r="F294" t="inlineStr">
        <is>
          <t>VÄRMLANDS LÄN</t>
        </is>
      </c>
      <c r="G294" t="inlineStr">
        <is>
          <t>FILIPSTAD</t>
        </is>
      </c>
      <c r="H294" t="inlineStr">
        <is>
          <t>Kommuner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46233</v>
      </c>
      <c r="F295" t="inlineStr">
        <is>
          <t>VÄRMLANDS LÄN</t>
        </is>
      </c>
      <c r="G295" t="inlineStr">
        <is>
          <t>FILIPSTAD</t>
        </is>
      </c>
      <c r="H295" t="inlineStr">
        <is>
          <t>Kommuner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45133</v>
      </c>
      <c r="E296" s="1" t="n">
        <v>46233</v>
      </c>
      <c r="F296" t="inlineStr">
        <is>
          <t>VÄRMLANDS LÄN</t>
        </is>
      </c>
      <c r="G296" t="inlineStr">
        <is>
          <t>FILIPSTAD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46233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46233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44951</v>
      </c>
      <c r="E299" s="1" t="n">
        <v>46233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46233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46233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46127</v>
      </c>
      <c r="E302" s="1" t="n">
        <v>46233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46233</v>
      </c>
      <c r="F303" t="inlineStr">
        <is>
          <t>VÄRMLANDS LÄN</t>
        </is>
      </c>
      <c r="G303" t="inlineStr">
        <is>
          <t>FILIPSTAD</t>
        </is>
      </c>
      <c r="H303" t="inlineStr">
        <is>
          <t>Kommuner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46233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36377-2023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46233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46233</v>
      </c>
      <c r="F306" t="inlineStr">
        <is>
          <t>VÄRMLANDS LÄN</t>
        </is>
      </c>
      <c r="G306" t="inlineStr">
        <is>
          <t>FILIPSTAD</t>
        </is>
      </c>
      <c r="H306" t="inlineStr">
        <is>
          <t>Kommuner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46233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46129</v>
      </c>
      <c r="E308" s="1" t="n">
        <v>46233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24.9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4819-2023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44957</v>
      </c>
      <c r="E309" s="1" t="n">
        <v>46233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45393</v>
      </c>
      <c r="E310" s="1" t="n">
        <v>46233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46128</v>
      </c>
      <c r="E311" s="1" t="n">
        <v>46233</v>
      </c>
      <c r="F311" t="inlineStr">
        <is>
          <t>VÄRMLANDS LÄN</t>
        </is>
      </c>
      <c r="G311" t="inlineStr">
        <is>
          <t>FILIPSTAD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9270-2023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44980</v>
      </c>
      <c r="E312" s="1" t="n">
        <v>46233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45544</v>
      </c>
      <c r="E313" s="1" t="n">
        <v>46233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19435-2026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46233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19676-2026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46134</v>
      </c>
      <c r="E315" s="1" t="n">
        <v>46233</v>
      </c>
      <c r="F315" t="inlineStr">
        <is>
          <t>VÄRMLANDS LÄN</t>
        </is>
      </c>
      <c r="G315" t="inlineStr">
        <is>
          <t>FILIPSTAD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31358-2023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45114</v>
      </c>
      <c r="E316" s="1" t="n">
        <v>46233</v>
      </c>
      <c r="F316" t="inlineStr">
        <is>
          <t>VÄRMLANDS LÄN</t>
        </is>
      </c>
      <c r="G316" t="inlineStr">
        <is>
          <t>FILIPSTAD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46133</v>
      </c>
      <c r="E317" s="1" t="n">
        <v>46233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46233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46134</v>
      </c>
      <c r="E319" s="1" t="n">
        <v>46233</v>
      </c>
      <c r="F319" t="inlineStr">
        <is>
          <t>VÄRMLANDS LÄN</t>
        </is>
      </c>
      <c r="G319" t="inlineStr">
        <is>
          <t>FILIPSTAD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34116-2024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45524</v>
      </c>
      <c r="E320" s="1" t="n">
        <v>46233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43059-2024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46233</v>
      </c>
      <c r="F321" t="inlineStr">
        <is>
          <t>VÄRMLANDS LÄN</t>
        </is>
      </c>
      <c r="G321" t="inlineStr">
        <is>
          <t>FILIPSTAD</t>
        </is>
      </c>
      <c r="H321" t="inlineStr">
        <is>
          <t>Kyrkan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45616</v>
      </c>
      <c r="E322" s="1" t="n">
        <v>46233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46233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45418</v>
      </c>
      <c r="E324" s="1" t="n">
        <v>46233</v>
      </c>
      <c r="F324" t="inlineStr">
        <is>
          <t>VÄRMLANDS LÄN</t>
        </is>
      </c>
      <c r="G324" t="inlineStr">
        <is>
          <t>FILIPSTAD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46233</v>
      </c>
      <c r="F325" t="inlineStr">
        <is>
          <t>VÄRMLANDS LÄN</t>
        </is>
      </c>
      <c r="G325" t="inlineStr">
        <is>
          <t>FILIPSTAD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46233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38075-2025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45882</v>
      </c>
      <c r="E327" s="1" t="n">
        <v>46233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20045-2026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46233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46135</v>
      </c>
      <c r="E329" s="1" t="n">
        <v>46233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12247-2022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44637</v>
      </c>
      <c r="E330" s="1" t="n">
        <v>46233</v>
      </c>
      <c r="F330" t="inlineStr">
        <is>
          <t>VÄRMLANDS LÄN</t>
        </is>
      </c>
      <c r="G330" t="inlineStr">
        <is>
          <t>FILIPSTAD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43634-2021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44433</v>
      </c>
      <c r="E331" s="1" t="n">
        <v>46233</v>
      </c>
      <c r="F331" t="inlineStr">
        <is>
          <t>VÄRMLANDS LÄN</t>
        </is>
      </c>
      <c r="G331" t="inlineStr">
        <is>
          <t>FILIPSTAD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20966-2024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45439</v>
      </c>
      <c r="E332" s="1" t="n">
        <v>46233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19760-2026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46135</v>
      </c>
      <c r="E333" s="1" t="n">
        <v>46233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20050-2026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46136</v>
      </c>
      <c r="E334" s="1" t="n">
        <v>46233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19882-2026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46135</v>
      </c>
      <c r="E335" s="1" t="n">
        <v>46233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8.800000000000001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45420</v>
      </c>
      <c r="E336" s="1" t="n">
        <v>46233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45671</v>
      </c>
      <c r="E337" s="1" t="n">
        <v>46233</v>
      </c>
      <c r="F337" t="inlineStr">
        <is>
          <t>VÄRMLANDS LÄN</t>
        </is>
      </c>
      <c r="G337" t="inlineStr">
        <is>
          <t>FILIPSTAD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45896</v>
      </c>
      <c r="E338" s="1" t="n">
        <v>46233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45274</v>
      </c>
      <c r="E339" s="1" t="n">
        <v>46233</v>
      </c>
      <c r="F339" t="inlineStr">
        <is>
          <t>VÄRMLANDS LÄN</t>
        </is>
      </c>
      <c r="G339" t="inlineStr">
        <is>
          <t>FILIPSTAD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45901</v>
      </c>
      <c r="E340" s="1" t="n">
        <v>46233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57456-2022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44896</v>
      </c>
      <c r="E341" s="1" t="n">
        <v>46233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22843-2025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46233</v>
      </c>
      <c r="F342" t="inlineStr">
        <is>
          <t>VÄRMLANDS LÄN</t>
        </is>
      </c>
      <c r="G342" t="inlineStr">
        <is>
          <t>FILIPSTAD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45484</v>
      </c>
      <c r="E343" s="1" t="n">
        <v>46233</v>
      </c>
      <c r="F343" t="inlineStr">
        <is>
          <t>VÄRMLANDS LÄN</t>
        </is>
      </c>
      <c r="G343" t="inlineStr">
        <is>
          <t>FILIPSTAD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46140</v>
      </c>
      <c r="E344" s="1" t="n">
        <v>46233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63482-2021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44508</v>
      </c>
      <c r="E345" s="1" t="n">
        <v>46233</v>
      </c>
      <c r="F345" t="inlineStr">
        <is>
          <t>VÄRMLANDS LÄN</t>
        </is>
      </c>
      <c r="G345" t="inlineStr">
        <is>
          <t>FILIPSTAD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46233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45665</v>
      </c>
      <c r="E347" s="1" t="n">
        <v>46233</v>
      </c>
      <c r="F347" t="inlineStr">
        <is>
          <t>VÄRMLANDS LÄN</t>
        </is>
      </c>
      <c r="G347" t="inlineStr">
        <is>
          <t>FILIPSTAD</t>
        </is>
      </c>
      <c r="I347" t="n">
        <v>11.7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22558-2025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45789</v>
      </c>
      <c r="E348" s="1" t="n">
        <v>46233</v>
      </c>
      <c r="F348" t="inlineStr">
        <is>
          <t>VÄRMLANDS LÄN</t>
        </is>
      </c>
      <c r="G348" t="inlineStr">
        <is>
          <t>FILIPSTAD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70405-2021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44536</v>
      </c>
      <c r="E349" s="1" t="n">
        <v>46233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46233</v>
      </c>
      <c r="F350" t="inlineStr">
        <is>
          <t>VÄRMLANDS LÄN</t>
        </is>
      </c>
      <c r="G350" t="inlineStr">
        <is>
          <t>FILIPSTAD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45841</v>
      </c>
      <c r="E351" s="1" t="n">
        <v>46233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44596</v>
      </c>
      <c r="E352" s="1" t="n">
        <v>46233</v>
      </c>
      <c r="F352" t="inlineStr">
        <is>
          <t>VÄRMLANDS LÄN</t>
        </is>
      </c>
      <c r="G352" t="inlineStr">
        <is>
          <t>FILIPSTAD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45618</v>
      </c>
      <c r="E353" s="1" t="n">
        <v>46233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40244-2023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45169</v>
      </c>
      <c r="E354" s="1" t="n">
        <v>46233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46233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7.6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45841</v>
      </c>
      <c r="E356" s="1" t="n">
        <v>46233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46233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45658</v>
      </c>
      <c r="E358" s="1" t="n">
        <v>46233</v>
      </c>
      <c r="F358" t="inlineStr">
        <is>
          <t>VÄRMLANDS LÄN</t>
        </is>
      </c>
      <c r="G358" t="inlineStr">
        <is>
          <t>FILIPSTAD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45891</v>
      </c>
      <c r="E359" s="1" t="n">
        <v>46233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21608-2023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45063</v>
      </c>
      <c r="E360" s="1" t="n">
        <v>46233</v>
      </c>
      <c r="F360" t="inlineStr">
        <is>
          <t>VÄRMLANDS LÄN</t>
        </is>
      </c>
      <c r="G360" t="inlineStr">
        <is>
          <t>FILIPSTAD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45638</v>
      </c>
      <c r="E361" s="1" t="n">
        <v>46233</v>
      </c>
      <c r="F361" t="inlineStr">
        <is>
          <t>VÄRMLANDS LÄN</t>
        </is>
      </c>
      <c r="G361" t="inlineStr">
        <is>
          <t>FILIPSTAD</t>
        </is>
      </c>
      <c r="H361" t="inlineStr">
        <is>
          <t>Kyrkan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32059-2025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45835</v>
      </c>
      <c r="E362" s="1" t="n">
        <v>46233</v>
      </c>
      <c r="F362" t="inlineStr">
        <is>
          <t>VÄRMLANDS LÄN</t>
        </is>
      </c>
      <c r="G362" t="inlineStr">
        <is>
          <t>FILIPSTAD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20661-2026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46141</v>
      </c>
      <c r="E363" s="1" t="n">
        <v>46233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46233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20554-2025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45775</v>
      </c>
      <c r="E365" s="1" t="n">
        <v>46233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54836-2023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45229</v>
      </c>
      <c r="E366" s="1" t="n">
        <v>46233</v>
      </c>
      <c r="F366" t="inlineStr">
        <is>
          <t>VÄRMLANDS LÄN</t>
        </is>
      </c>
      <c r="G366" t="inlineStr">
        <is>
          <t>FILIPSTAD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49602-2025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46233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20919-2026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46142</v>
      </c>
      <c r="E368" s="1" t="n">
        <v>46233</v>
      </c>
      <c r="F368" t="inlineStr">
        <is>
          <t>VÄRMLANDS LÄN</t>
        </is>
      </c>
      <c r="G368" t="inlineStr">
        <is>
          <t>FILIPSTAD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45867</v>
      </c>
      <c r="E369" s="1" t="n">
        <v>46233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31676-2025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46233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20874-2026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46233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45456</v>
      </c>
      <c r="E372" s="1" t="n">
        <v>46233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46233</v>
      </c>
      <c r="F373" t="inlineStr">
        <is>
          <t>VÄRMLANDS LÄN</t>
        </is>
      </c>
      <c r="G373" t="inlineStr">
        <is>
          <t>FILIPSTAD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29825-2023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45107</v>
      </c>
      <c r="E374" s="1" t="n">
        <v>46233</v>
      </c>
      <c r="F374" t="inlineStr">
        <is>
          <t>VÄRMLANDS LÄN</t>
        </is>
      </c>
      <c r="G374" t="inlineStr">
        <is>
          <t>FILIPSTAD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46233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45686</v>
      </c>
      <c r="E376" s="1" t="n">
        <v>46233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27774-2026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46233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27789-2022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44743</v>
      </c>
      <c r="E378" s="1" t="n">
        <v>46233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45184</v>
      </c>
      <c r="E379" s="1" t="n">
        <v>46233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45700</v>
      </c>
      <c r="E380" s="1" t="n">
        <v>46233</v>
      </c>
      <c r="F380" t="inlineStr">
        <is>
          <t>VÄRMLANDS LÄN</t>
        </is>
      </c>
      <c r="G380" t="inlineStr">
        <is>
          <t>FILIPSTAD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28161-2023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45093</v>
      </c>
      <c r="E381" s="1" t="n">
        <v>46233</v>
      </c>
      <c r="F381" t="inlineStr">
        <is>
          <t>VÄRMLANDS LÄN</t>
        </is>
      </c>
      <c r="G381" t="inlineStr">
        <is>
          <t>FILIPSTAD</t>
        </is>
      </c>
      <c r="H381" t="inlineStr">
        <is>
          <t>Kommuner</t>
        </is>
      </c>
      <c r="I381" t="n">
        <v>15.4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46233</v>
      </c>
      <c r="F382" t="inlineStr">
        <is>
          <t>VÄRMLANDS LÄN</t>
        </is>
      </c>
      <c r="G382" t="inlineStr">
        <is>
          <t>FILIPSTAD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24054-2024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45456</v>
      </c>
      <c r="E383" s="1" t="n">
        <v>46233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46233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46233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46233</v>
      </c>
      <c r="F386" t="inlineStr">
        <is>
          <t>VÄRMLANDS LÄN</t>
        </is>
      </c>
      <c r="G386" t="inlineStr">
        <is>
          <t>FILIPSTAD</t>
        </is>
      </c>
      <c r="I386" t="n">
        <v>10.8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19030-2022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44691</v>
      </c>
      <c r="E387" s="1" t="n">
        <v>46233</v>
      </c>
      <c r="F387" t="inlineStr">
        <is>
          <t>VÄRMLANDS LÄN</t>
        </is>
      </c>
      <c r="G387" t="inlineStr">
        <is>
          <t>FILIPSTAD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46233</v>
      </c>
      <c r="F388" t="inlineStr">
        <is>
          <t>VÄRMLANDS LÄN</t>
        </is>
      </c>
      <c r="G388" t="inlineStr">
        <is>
          <t>FILIPSTAD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46233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46233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46233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22229-2026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46233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37577-2023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46233</v>
      </c>
      <c r="F393" t="inlineStr">
        <is>
          <t>VÄRMLANDS LÄN</t>
        </is>
      </c>
      <c r="G393" t="inlineStr">
        <is>
          <t>FILIPSTAD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43233-2023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45180</v>
      </c>
      <c r="E394" s="1" t="n">
        <v>46233</v>
      </c>
      <c r="F394" t="inlineStr">
        <is>
          <t>VÄRMLANDS LÄN</t>
        </is>
      </c>
      <c r="G394" t="inlineStr">
        <is>
          <t>FILIPSTAD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16371-2024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45407</v>
      </c>
      <c r="E395" s="1" t="n">
        <v>46233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46233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46233</v>
      </c>
      <c r="F397" t="inlineStr">
        <is>
          <t>VÄRMLANDS LÄN</t>
        </is>
      </c>
      <c r="G397" t="inlineStr">
        <is>
          <t>FILIPSTAD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46233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46233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22051-2026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46233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22220-2026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46233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46233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27968-2026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46233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28419-2026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46197</v>
      </c>
      <c r="E404" s="1" t="n">
        <v>46233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53210-2023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45222</v>
      </c>
      <c r="E405" s="1" t="n">
        <v>46233</v>
      </c>
      <c r="F405" t="inlineStr">
        <is>
          <t>VÄRMLANDS LÄN</t>
        </is>
      </c>
      <c r="G405" t="inlineStr">
        <is>
          <t>FILIPSTAD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46233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43635-2023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45186</v>
      </c>
      <c r="E407" s="1" t="n">
        <v>46233</v>
      </c>
      <c r="F407" t="inlineStr">
        <is>
          <t>VÄRMLANDS LÄN</t>
        </is>
      </c>
      <c r="G407" t="inlineStr">
        <is>
          <t>FILIPSTAD</t>
        </is>
      </c>
      <c r="I407" t="n">
        <v>15.3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28516-2026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46197</v>
      </c>
      <c r="E408" s="1" t="n">
        <v>46233</v>
      </c>
      <c r="F408" t="inlineStr">
        <is>
          <t>VÄRMLANDS LÄN</t>
        </is>
      </c>
      <c r="G408" t="inlineStr">
        <is>
          <t>FILIPSTAD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16103-2025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45750</v>
      </c>
      <c r="E409" s="1" t="n">
        <v>46233</v>
      </c>
      <c r="F409" t="inlineStr">
        <is>
          <t>VÄRMLANDS LÄN</t>
        </is>
      </c>
      <c r="G409" t="inlineStr">
        <is>
          <t>FILIPSTAD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46233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45328</v>
      </c>
      <c r="E411" s="1" t="n">
        <v>46233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36251-2022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44803</v>
      </c>
      <c r="E412" s="1" t="n">
        <v>46233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33671-2022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44789</v>
      </c>
      <c r="E413" s="1" t="n">
        <v>46233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46257-2022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44847</v>
      </c>
      <c r="E414" s="1" t="n">
        <v>46233</v>
      </c>
      <c r="F414" t="inlineStr">
        <is>
          <t>VÄRMLANDS LÄN</t>
        </is>
      </c>
      <c r="G414" t="inlineStr">
        <is>
          <t>FILIPSTAD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36827-2022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44805</v>
      </c>
      <c r="E415" s="1" t="n">
        <v>46233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37611-2022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44809</v>
      </c>
      <c r="E416" s="1" t="n">
        <v>46233</v>
      </c>
      <c r="F416" t="inlineStr">
        <is>
          <t>VÄRMLANDS LÄN</t>
        </is>
      </c>
      <c r="G416" t="inlineStr">
        <is>
          <t>FILIPSTAD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46202</v>
      </c>
      <c r="E417" s="1" t="n">
        <v>46233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57244-2023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45245</v>
      </c>
      <c r="E418" s="1" t="n">
        <v>46233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46233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46233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25338-2023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45087</v>
      </c>
      <c r="E421" s="1" t="n">
        <v>46233</v>
      </c>
      <c r="F421" t="inlineStr">
        <is>
          <t>VÄRMLANDS LÄN</t>
        </is>
      </c>
      <c r="G421" t="inlineStr">
        <is>
          <t>FILIPSTAD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46233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46233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46233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45077</v>
      </c>
      <c r="E425" s="1" t="n">
        <v>46233</v>
      </c>
      <c r="F425" t="inlineStr">
        <is>
          <t>VÄRMLANDS LÄN</t>
        </is>
      </c>
      <c r="G425" t="inlineStr">
        <is>
          <t>FILIPSTAD</t>
        </is>
      </c>
      <c r="I425" t="n">
        <v>7.5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46203</v>
      </c>
      <c r="E426" s="1" t="n">
        <v>46233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46203</v>
      </c>
      <c r="E427" s="1" t="n">
        <v>46233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46233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46233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45177</v>
      </c>
      <c r="E430" s="1" t="n">
        <v>46233</v>
      </c>
      <c r="F430" t="inlineStr">
        <is>
          <t>VÄRMLANDS LÄN</t>
        </is>
      </c>
      <c r="G430" t="inlineStr">
        <is>
          <t>FILIPSTAD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45139-2021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44439</v>
      </c>
      <c r="E431" s="1" t="n">
        <v>46233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23602-2026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46233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46163</v>
      </c>
      <c r="E433" s="1" t="n">
        <v>46233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17.9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46233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46233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53034-2022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44876</v>
      </c>
      <c r="E436" s="1" t="n">
        <v>46233</v>
      </c>
      <c r="F436" t="inlineStr">
        <is>
          <t>VÄRMLANDS LÄN</t>
        </is>
      </c>
      <c r="G436" t="inlineStr">
        <is>
          <t>FILIPSTAD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46233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46163</v>
      </c>
      <c r="E438" s="1" t="n">
        <v>46233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46233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46233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46233</v>
      </c>
      <c r="F441" t="inlineStr">
        <is>
          <t>VÄRMLANDS LÄN</t>
        </is>
      </c>
      <c r="G441" t="inlineStr">
        <is>
          <t>FILIPSTAD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53348-2023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46233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51985-2023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46233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50904-2023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45218</v>
      </c>
      <c r="E444" s="1" t="n">
        <v>46233</v>
      </c>
      <c r="F444" t="inlineStr">
        <is>
          <t>VÄRMLANDS LÄN</t>
        </is>
      </c>
      <c r="G444" t="inlineStr">
        <is>
          <t>FILIPSTAD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29821-2026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46205</v>
      </c>
      <c r="E445" s="1" t="n">
        <v>46233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55397-2022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44887</v>
      </c>
      <c r="E446" s="1" t="n">
        <v>46233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23514-2026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46163</v>
      </c>
      <c r="E447" s="1" t="n">
        <v>46233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44960</v>
      </c>
      <c r="E448" s="1" t="n">
        <v>46233</v>
      </c>
      <c r="F448" t="inlineStr">
        <is>
          <t>VÄRMLANDS LÄN</t>
        </is>
      </c>
      <c r="G448" t="inlineStr">
        <is>
          <t>FILIPSTAD</t>
        </is>
      </c>
      <c r="H448" t="inlineStr">
        <is>
          <t>Kommuner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55978-2022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44889</v>
      </c>
      <c r="E449" s="1" t="n">
        <v>46233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23943-2026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46167</v>
      </c>
      <c r="E450" s="1" t="n">
        <v>46233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49935-2025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45940</v>
      </c>
      <c r="E451" s="1" t="n">
        <v>46233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24027-2026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46167</v>
      </c>
      <c r="E452" s="1" t="n">
        <v>46233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23934-2026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46233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50856-2022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44867</v>
      </c>
      <c r="E454" s="1" t="n">
        <v>46233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46233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46233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61628-2022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44911</v>
      </c>
      <c r="E457" s="1" t="n">
        <v>46233</v>
      </c>
      <c r="F457" t="inlineStr">
        <is>
          <t>VÄRMLANDS LÄN</t>
        </is>
      </c>
      <c r="G457" t="inlineStr">
        <is>
          <t>FILIPSTAD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45568</v>
      </c>
      <c r="E458" s="1" t="n">
        <v>46233</v>
      </c>
      <c r="F458" t="inlineStr">
        <is>
          <t>VÄRMLANDS LÄN</t>
        </is>
      </c>
      <c r="G458" t="inlineStr">
        <is>
          <t>FILIPSTAD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23952-2026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46233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46210</v>
      </c>
      <c r="E460" s="1" t="n">
        <v>46233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59296-2023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45253</v>
      </c>
      <c r="E461" s="1" t="n">
        <v>46233</v>
      </c>
      <c r="F461" t="inlineStr">
        <is>
          <t>VÄRMLANDS LÄN</t>
        </is>
      </c>
      <c r="G461" t="inlineStr">
        <is>
          <t>FILIPSTAD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46233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23931-2026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46233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46233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46233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23886-2026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46233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46233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24008-2026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46233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23970-2026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46233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9.300000000000001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30799-2026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46212</v>
      </c>
      <c r="E470" s="1" t="n">
        <v>46233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24288-2026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46233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44994</v>
      </c>
      <c r="E472" s="1" t="n">
        <v>46233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44384-2021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44435</v>
      </c>
      <c r="E473" s="1" t="n">
        <v>46233</v>
      </c>
      <c r="F473" t="inlineStr">
        <is>
          <t>VÄRMLANDS LÄN</t>
        </is>
      </c>
      <c r="G473" t="inlineStr">
        <is>
          <t>FILIPSTAD</t>
        </is>
      </c>
      <c r="I473" t="n">
        <v>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24260-2026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46169</v>
      </c>
      <c r="E474" s="1" t="n">
        <v>46233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24291-2026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46169</v>
      </c>
      <c r="E475" s="1" t="n">
        <v>46233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36680-2023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45153</v>
      </c>
      <c r="E476" s="1" t="n">
        <v>46233</v>
      </c>
      <c r="F476" t="inlineStr">
        <is>
          <t>VÄRMLANDS LÄN</t>
        </is>
      </c>
      <c r="G476" t="inlineStr">
        <is>
          <t>FILIPSTAD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46233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46233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46233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46233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46233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5803-2023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44963</v>
      </c>
      <c r="E482" s="1" t="n">
        <v>46233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24452-2026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46233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24453-2026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46170</v>
      </c>
      <c r="E484" s="1" t="n">
        <v>46233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50776-2024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45602</v>
      </c>
      <c r="E485" s="1" t="n">
        <v>46233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24745-2026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46171</v>
      </c>
      <c r="E486" s="1" t="n">
        <v>46233</v>
      </c>
      <c r="F486" t="inlineStr">
        <is>
          <t>VÄRMLANDS LÄN</t>
        </is>
      </c>
      <c r="G486" t="inlineStr">
        <is>
          <t>FILIPSTAD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45835</v>
      </c>
      <c r="E487" s="1" t="n">
        <v>46233</v>
      </c>
      <c r="F487" t="inlineStr">
        <is>
          <t>VÄRMLANDS LÄN</t>
        </is>
      </c>
      <c r="G487" t="inlineStr">
        <is>
          <t>FILIPSTAD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16063-2025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45749</v>
      </c>
      <c r="E488" s="1" t="n">
        <v>46233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51618-2022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44872</v>
      </c>
      <c r="E489" s="1" t="n">
        <v>46233</v>
      </c>
      <c r="F489" t="inlineStr">
        <is>
          <t>VÄRMLANDS LÄN</t>
        </is>
      </c>
      <c r="G489" t="inlineStr">
        <is>
          <t>FILIPSTAD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71971-2021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44544</v>
      </c>
      <c r="E490" s="1" t="n">
        <v>46233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45114</v>
      </c>
      <c r="E491" s="1" t="n">
        <v>46233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46233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31283-2026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46218</v>
      </c>
      <c r="E493" s="1" t="n">
        <v>46233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24886-2026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46233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46233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8.9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24941-2026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46233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8.5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9370-2023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44981</v>
      </c>
      <c r="E497" s="1" t="n">
        <v>46233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31316-2026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46219</v>
      </c>
      <c r="E498" s="1" t="n">
        <v>46233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54008-2021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44470</v>
      </c>
      <c r="E499" s="1" t="n">
        <v>46233</v>
      </c>
      <c r="F499" t="inlineStr">
        <is>
          <t>VÄRMLANDS LÄN</t>
        </is>
      </c>
      <c r="G499" t="inlineStr">
        <is>
          <t>FILIPSTAD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50786-2024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46233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44963</v>
      </c>
      <c r="E501" s="1" t="n">
        <v>46233</v>
      </c>
      <c r="F501" t="inlineStr">
        <is>
          <t>VÄRMLANDS LÄN</t>
        </is>
      </c>
      <c r="G501" t="inlineStr">
        <is>
          <t>FILIPSTAD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36809-2022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44805</v>
      </c>
      <c r="E502" s="1" t="n">
        <v>46233</v>
      </c>
      <c r="F502" t="inlineStr">
        <is>
          <t>VÄRMLANDS LÄN</t>
        </is>
      </c>
      <c r="G502" t="inlineStr">
        <is>
          <t>FILIPSTAD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45124</v>
      </c>
      <c r="E503" s="1" t="n">
        <v>46233</v>
      </c>
      <c r="F503" t="inlineStr">
        <is>
          <t>VÄRMLANDS LÄN</t>
        </is>
      </c>
      <c r="G503" t="inlineStr">
        <is>
          <t>FILIPSTAD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45124</v>
      </c>
      <c r="E504" s="1" t="n">
        <v>46233</v>
      </c>
      <c r="F504" t="inlineStr">
        <is>
          <t>VÄRMLANDS LÄN</t>
        </is>
      </c>
      <c r="G504" t="inlineStr">
        <is>
          <t>FILIPSTAD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61741-2022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44911</v>
      </c>
      <c r="E505" s="1" t="n">
        <v>46233</v>
      </c>
      <c r="F505" t="inlineStr">
        <is>
          <t>VÄRMLANDS LÄN</t>
        </is>
      </c>
      <c r="G505" t="inlineStr">
        <is>
          <t>FILIPSTAD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46233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26107-2026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46181</v>
      </c>
      <c r="E507" s="1" t="n">
        <v>46233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25737-2023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45090</v>
      </c>
      <c r="E508" s="1" t="n">
        <v>46233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46233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31537-2026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46223</v>
      </c>
      <c r="E510" s="1" t="n">
        <v>46233</v>
      </c>
      <c r="F510" t="inlineStr">
        <is>
          <t>VÄRMLANDS LÄN</t>
        </is>
      </c>
      <c r="G510" t="inlineStr">
        <is>
          <t>FILIPSTAD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46223</v>
      </c>
      <c r="E511" s="1" t="n">
        <v>46233</v>
      </c>
      <c r="F511" t="inlineStr">
        <is>
          <t>VÄRMLANDS LÄN</t>
        </is>
      </c>
      <c r="G511" t="inlineStr">
        <is>
          <t>FILIPSTAD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44579</v>
      </c>
      <c r="E512" s="1" t="n">
        <v>46233</v>
      </c>
      <c r="F512" t="inlineStr">
        <is>
          <t>VÄRMLANDS LÄN</t>
        </is>
      </c>
      <c r="G512" t="inlineStr">
        <is>
          <t>FILIPSTAD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25786-2026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46233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46226</v>
      </c>
      <c r="E514" s="1" t="n">
        <v>46233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26211-2026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46233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46226</v>
      </c>
      <c r="E516" s="1" t="n">
        <v>46233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26323-2026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46233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15471-2024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45401</v>
      </c>
      <c r="E518" s="1" t="n">
        <v>46233</v>
      </c>
      <c r="F518" t="inlineStr">
        <is>
          <t>VÄRMLANDS LÄN</t>
        </is>
      </c>
      <c r="G518" t="inlineStr">
        <is>
          <t>FILIPSTAD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46226</v>
      </c>
      <c r="E519" s="1" t="n">
        <v>46233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46233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46233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32786-2024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45516</v>
      </c>
      <c r="E522" s="1" t="n">
        <v>46233</v>
      </c>
      <c r="F522" t="inlineStr">
        <is>
          <t>VÄRMLANDS LÄN</t>
        </is>
      </c>
      <c r="G522" t="inlineStr">
        <is>
          <t>FILIPSTAD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26501-2026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46233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26298-2026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46233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25976-2026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46181</v>
      </c>
      <c r="E525" s="1" t="n">
        <v>46233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5992-2023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44959</v>
      </c>
      <c r="E526" s="1" t="n">
        <v>46233</v>
      </c>
      <c r="F526" t="inlineStr">
        <is>
          <t>VÄRMLANDS LÄN</t>
        </is>
      </c>
      <c r="G526" t="inlineStr">
        <is>
          <t>FILIPSTAD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31648-2026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46225</v>
      </c>
      <c r="E527" s="1" t="n">
        <v>46233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62014-2024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45655</v>
      </c>
      <c r="E528" s="1" t="n">
        <v>46233</v>
      </c>
      <c r="F528" t="inlineStr">
        <is>
          <t>VÄRMLANDS LÄN</t>
        </is>
      </c>
      <c r="G528" t="inlineStr">
        <is>
          <t>FILIPSTAD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46233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17686-2023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45037</v>
      </c>
      <c r="E530" s="1" t="n">
        <v>46233</v>
      </c>
      <c r="F530" t="inlineStr">
        <is>
          <t>VÄRMLANDS LÄN</t>
        </is>
      </c>
      <c r="G530" t="inlineStr">
        <is>
          <t>FILIPSTAD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27007-2026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46233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46227</v>
      </c>
      <c r="E532" s="1" t="n">
        <v>46233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46227</v>
      </c>
      <c r="E533" s="1" t="n">
        <v>46233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45327</v>
      </c>
      <c r="E534" s="1" t="n">
        <v>46233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27085-2026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46187</v>
      </c>
      <c r="E535" s="1" t="n">
        <v>46233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26549-2026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46233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46186</v>
      </c>
      <c r="E537" s="1" t="n">
        <v>46233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46186</v>
      </c>
      <c r="E538" s="1" t="n">
        <v>46233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45516-2024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45578</v>
      </c>
      <c r="E539" s="1" t="n">
        <v>46233</v>
      </c>
      <c r="F539" t="inlineStr">
        <is>
          <t>VÄRMLANDS LÄN</t>
        </is>
      </c>
      <c r="G539" t="inlineStr">
        <is>
          <t>FILIPSTAD</t>
        </is>
      </c>
      <c r="I539" t="n">
        <v>27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46233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46680-2024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45583</v>
      </c>
      <c r="E541" s="1" t="n">
        <v>46233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22830-2023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45072</v>
      </c>
      <c r="E542" s="1" t="n">
        <v>46233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27595-2026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46233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46189</v>
      </c>
      <c r="E544" s="1" t="n">
        <v>46233</v>
      </c>
      <c r="F544" t="inlineStr">
        <is>
          <t>VÄRMLANDS LÄN</t>
        </is>
      </c>
      <c r="G544" t="inlineStr">
        <is>
          <t>FILIPSTAD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27372-2026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46233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46232</v>
      </c>
      <c r="E546" s="1" t="n">
        <v>46233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31914-2026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46231</v>
      </c>
      <c r="E547" s="1" t="n">
        <v>46233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46232</v>
      </c>
      <c r="E548" s="1" t="n">
        <v>46233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31963-2026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46232</v>
      </c>
      <c r="E549" s="1" t="n">
        <v>46233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62013-2024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45655</v>
      </c>
      <c r="E550" s="1" t="n">
        <v>46233</v>
      </c>
      <c r="F550" t="inlineStr">
        <is>
          <t>VÄRMLANDS LÄN</t>
        </is>
      </c>
      <c r="G550" t="inlineStr">
        <is>
          <t>FILIPSTAD</t>
        </is>
      </c>
      <c r="I550" t="n">
        <v>26.5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48040-2023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45204</v>
      </c>
      <c r="E551" s="1" t="n">
        <v>46233</v>
      </c>
      <c r="F551" t="inlineStr">
        <is>
          <t>VÄRMLANDS LÄN</t>
        </is>
      </c>
      <c r="G551" t="inlineStr">
        <is>
          <t>FILIPSTAD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45195</v>
      </c>
      <c r="E552" s="1" t="n">
        <v>46233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44935</v>
      </c>
      <c r="E553" s="1" t="n">
        <v>46233</v>
      </c>
      <c r="F553" t="inlineStr">
        <is>
          <t>VÄRMLANDS LÄN</t>
        </is>
      </c>
      <c r="G553" t="inlineStr">
        <is>
          <t>FILIPSTAD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10306-2025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45720</v>
      </c>
      <c r="E554" s="1" t="n">
        <v>46233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41075-2023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45173</v>
      </c>
      <c r="E555" s="1" t="n">
        <v>46233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14582-2025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45742</v>
      </c>
      <c r="E556" s="1" t="n">
        <v>46233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56840-2024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45628</v>
      </c>
      <c r="E557" s="1" t="n">
        <v>46233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8692-2025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45712</v>
      </c>
      <c r="E558" s="1" t="n">
        <v>46233</v>
      </c>
      <c r="F558" t="inlineStr">
        <is>
          <t>VÄRMLANDS LÄN</t>
        </is>
      </c>
      <c r="G558" t="inlineStr">
        <is>
          <t>FILIPSTAD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23618-2023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45077</v>
      </c>
      <c r="E559" s="1" t="n">
        <v>46233</v>
      </c>
      <c r="F559" t="inlineStr">
        <is>
          <t>VÄRMLANDS LÄN</t>
        </is>
      </c>
      <c r="G559" t="inlineStr">
        <is>
          <t>FILIPSTAD</t>
        </is>
      </c>
      <c r="I559" t="n">
        <v>15.8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60524-2024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45643</v>
      </c>
      <c r="E560" s="1" t="n">
        <v>46233</v>
      </c>
      <c r="F560" t="inlineStr">
        <is>
          <t>VÄRMLANDS LÄN</t>
        </is>
      </c>
      <c r="G560" t="inlineStr">
        <is>
          <t>FILIPSTAD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45740</v>
      </c>
      <c r="E561" s="1" t="n">
        <v>46233</v>
      </c>
      <c r="F561" t="inlineStr">
        <is>
          <t>VÄRMLANDS LÄN</t>
        </is>
      </c>
      <c r="G561" t="inlineStr">
        <is>
          <t>FILIPSTAD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45744</v>
      </c>
      <c r="E562" s="1" t="n">
        <v>46233</v>
      </c>
      <c r="F562" t="inlineStr">
        <is>
          <t>VÄRMLANDS LÄN</t>
        </is>
      </c>
      <c r="G562" t="inlineStr">
        <is>
          <t>FILIPSTAD</t>
        </is>
      </c>
      <c r="H562" t="inlineStr">
        <is>
          <t>Kommuner</t>
        </is>
      </c>
      <c r="I562" t="n">
        <v>17.7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20661-2024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45436</v>
      </c>
      <c r="E563" s="1" t="n">
        <v>46233</v>
      </c>
      <c r="F563" t="inlineStr">
        <is>
          <t>VÄRMLANDS LÄN</t>
        </is>
      </c>
      <c r="G563" t="inlineStr">
        <is>
          <t>FILIPSTAD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34262-2024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45524</v>
      </c>
      <c r="E564" s="1" t="n">
        <v>46233</v>
      </c>
      <c r="F564" t="inlineStr">
        <is>
          <t>VÄRMLANDS LÄN</t>
        </is>
      </c>
      <c r="G564" t="inlineStr">
        <is>
          <t>FILIPSTAD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45299</v>
      </c>
      <c r="E565" s="1" t="n">
        <v>46233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30646-2024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45495</v>
      </c>
      <c r="E566" s="1" t="n">
        <v>46233</v>
      </c>
      <c r="F566" t="inlineStr">
        <is>
          <t>VÄRMLANDS LÄN</t>
        </is>
      </c>
      <c r="G566" t="inlineStr">
        <is>
          <t>FILIPSTAD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27139-2024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45471</v>
      </c>
      <c r="E567" s="1" t="n">
        <v>46233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17244-2024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45414</v>
      </c>
      <c r="E568" s="1" t="n">
        <v>46233</v>
      </c>
      <c r="F568" t="inlineStr">
        <is>
          <t>VÄRMLANDS LÄN</t>
        </is>
      </c>
      <c r="G568" t="inlineStr">
        <is>
          <t>FILIPSTAD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20875-2024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45439</v>
      </c>
      <c r="E569" s="1" t="n">
        <v>46233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45667</v>
      </c>
      <c r="E570" s="1" t="n">
        <v>46233</v>
      </c>
      <c r="F570" t="inlineStr">
        <is>
          <t>VÄRMLANDS LÄN</t>
        </is>
      </c>
      <c r="G570" t="inlineStr">
        <is>
          <t>FILIPSTAD</t>
        </is>
      </c>
      <c r="H570" t="inlineStr">
        <is>
          <t>Kommuner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47002-2024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45586</v>
      </c>
      <c r="E571" s="1" t="n">
        <v>46233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65167-2021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44515</v>
      </c>
      <c r="E572" s="1" t="n">
        <v>46233</v>
      </c>
      <c r="F572" t="inlineStr">
        <is>
          <t>VÄRMLANDS LÄN</t>
        </is>
      </c>
      <c r="G572" t="inlineStr">
        <is>
          <t>FILIPSTAD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22880-2025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45790</v>
      </c>
      <c r="E573" s="1" t="n">
        <v>46233</v>
      </c>
      <c r="F573" t="inlineStr">
        <is>
          <t>VÄRMLANDS LÄN</t>
        </is>
      </c>
      <c r="G573" t="inlineStr">
        <is>
          <t>FILIPSTAD</t>
        </is>
      </c>
      <c r="H573" t="inlineStr">
        <is>
          <t>Kyrkan</t>
        </is>
      </c>
      <c r="I573" t="n">
        <v>5.4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23266-2025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45791</v>
      </c>
      <c r="E574" s="1" t="n">
        <v>46233</v>
      </c>
      <c r="F574" t="inlineStr">
        <is>
          <t>VÄRMLANDS LÄN</t>
        </is>
      </c>
      <c r="G574" t="inlineStr">
        <is>
          <t>FILIPSTAD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23475-2025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45792</v>
      </c>
      <c r="E575" s="1" t="n">
        <v>46233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28357-2024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45477</v>
      </c>
      <c r="E576" s="1" t="n">
        <v>46233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48702-2024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45593</v>
      </c>
      <c r="E577" s="1" t="n">
        <v>46233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35304-2024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45530</v>
      </c>
      <c r="E578" s="1" t="n">
        <v>46233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6.6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23399-2025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45792</v>
      </c>
      <c r="E579" s="1" t="n">
        <v>46233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45667</v>
      </c>
      <c r="E580" s="1" t="n">
        <v>46233</v>
      </c>
      <c r="F580" t="inlineStr">
        <is>
          <t>VÄRMLANDS LÄN</t>
        </is>
      </c>
      <c r="G580" t="inlineStr">
        <is>
          <t>FILIPSTAD</t>
        </is>
      </c>
      <c r="H580" t="inlineStr">
        <is>
          <t>Kommuner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20844-2024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45439</v>
      </c>
      <c r="E581" s="1" t="n">
        <v>46233</v>
      </c>
      <c r="F581" t="inlineStr">
        <is>
          <t>VÄRMLANDS LÄN</t>
        </is>
      </c>
      <c r="G581" t="inlineStr">
        <is>
          <t>FILIPSTAD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3979-2024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45322</v>
      </c>
      <c r="E582" s="1" t="n">
        <v>46233</v>
      </c>
      <c r="F582" t="inlineStr">
        <is>
          <t>VÄRMLANDS LÄN</t>
        </is>
      </c>
      <c r="G582" t="inlineStr">
        <is>
          <t>FILIPSTAD</t>
        </is>
      </c>
      <c r="I582" t="n">
        <v>8.199999999999999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72118-2021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44543</v>
      </c>
      <c r="E583" s="1" t="n">
        <v>46233</v>
      </c>
      <c r="F583" t="inlineStr">
        <is>
          <t>VÄRMLANDS LÄN</t>
        </is>
      </c>
      <c r="G583" t="inlineStr">
        <is>
          <t>FILIPSTAD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24143-2025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45796</v>
      </c>
      <c r="E584" s="1" t="n">
        <v>46233</v>
      </c>
      <c r="F584" t="inlineStr">
        <is>
          <t>VÄRMLANDS LÄN</t>
        </is>
      </c>
      <c r="G584" t="inlineStr">
        <is>
          <t>FILIPSTAD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15396-2025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45747</v>
      </c>
      <c r="E585" s="1" t="n">
        <v>46233</v>
      </c>
      <c r="F585" t="inlineStr">
        <is>
          <t>VÄRMLANDS LÄN</t>
        </is>
      </c>
      <c r="G585" t="inlineStr">
        <is>
          <t>FILIPSTAD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23775-2025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45793</v>
      </c>
      <c r="E586" s="1" t="n">
        <v>46233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8712-2024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45355</v>
      </c>
      <c r="E587" s="1" t="n">
        <v>46233</v>
      </c>
      <c r="F587" t="inlineStr">
        <is>
          <t>VÄRMLANDS LÄN</t>
        </is>
      </c>
      <c r="G587" t="inlineStr">
        <is>
          <t>FILIPSTAD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65174-2021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44515</v>
      </c>
      <c r="E588" s="1" t="n">
        <v>46233</v>
      </c>
      <c r="F588" t="inlineStr">
        <is>
          <t>VÄRMLANDS LÄN</t>
        </is>
      </c>
      <c r="G588" t="inlineStr">
        <is>
          <t>FILIPSTAD</t>
        </is>
      </c>
      <c r="I588" t="n">
        <v>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15406-2025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45747</v>
      </c>
      <c r="E589" s="1" t="n">
        <v>46233</v>
      </c>
      <c r="F589" t="inlineStr">
        <is>
          <t>VÄRMLANDS LÄN</t>
        </is>
      </c>
      <c r="G589" t="inlineStr">
        <is>
          <t>FILIPSTAD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44801</v>
      </c>
      <c r="E590" s="1" t="n">
        <v>46233</v>
      </c>
      <c r="F590" t="inlineStr">
        <is>
          <t>VÄRMLANDS LÄN</t>
        </is>
      </c>
      <c r="G590" t="inlineStr">
        <is>
          <t>FILIPSTAD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47261-2024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45586</v>
      </c>
      <c r="E591" s="1" t="n">
        <v>46233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5757-2021</t>
        </is>
      </c>
      <c r="B592" t="inlineStr">
        <is>
          <t>samrådsanmälan</t>
        </is>
      </c>
      <c r="C592" t="inlineStr">
        <is>
          <t>Basväg</t>
        </is>
      </c>
      <c r="D592" s="1" t="n">
        <v>44438</v>
      </c>
      <c r="E592" s="1" t="n">
        <v>46233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1191-2021</t>
        </is>
      </c>
      <c r="B593" t="inlineStr">
        <is>
          <t>samrådsanmälan</t>
        </is>
      </c>
      <c r="C593" t="inlineStr">
        <is>
          <t>Åtgärd i nyckelbiotop</t>
        </is>
      </c>
      <c r="D593" s="1" t="n">
        <v>44328</v>
      </c>
      <c r="E593" s="1" t="n">
        <v>46233</v>
      </c>
      <c r="F593" t="inlineStr">
        <is>
          <t>VÄRMLANDS LÄN</t>
        </is>
      </c>
      <c r="G593" t="inlineStr">
        <is>
          <t>FILIPSTAD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4134-2023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45247</v>
      </c>
      <c r="E594" s="1" t="n">
        <v>46233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4115-2023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45246</v>
      </c>
      <c r="E595" s="1" t="n">
        <v>46233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4137-2023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46233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4132-2023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46233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4130-2023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46233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4127-2023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45247</v>
      </c>
      <c r="E599" s="1" t="n">
        <v>46233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837-2023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44991</v>
      </c>
      <c r="E600" s="1" t="n">
        <v>46233</v>
      </c>
      <c r="F600" t="inlineStr">
        <is>
          <t>VÄRMLANDS LÄN</t>
        </is>
      </c>
      <c r="G600" t="inlineStr">
        <is>
          <t>FILIPSTAD</t>
        </is>
      </c>
      <c r="I600" t="n">
        <v>19.3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4129-2023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46233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3919-2023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45233</v>
      </c>
      <c r="E602" s="1" t="n">
        <v>46233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4135-2023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46233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18.9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6078-2021</t>
        </is>
      </c>
      <c r="B604" t="inlineStr">
        <is>
          <t>samrådsanmälan</t>
        </is>
      </c>
      <c r="C604" t="inlineStr">
        <is>
          <t>Åtgärd i nyckelbiotop</t>
        </is>
      </c>
      <c r="D604" s="1" t="n">
        <v>44442</v>
      </c>
      <c r="E604" s="1" t="n">
        <v>46233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4126-2023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46233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294-2025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45687</v>
      </c>
      <c r="E606" s="1" t="n">
        <v>46233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186.4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4116-2023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45246</v>
      </c>
      <c r="E607" s="1" t="n">
        <v>46233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661-2025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45716</v>
      </c>
      <c r="E608" s="1" t="n">
        <v>46233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161.7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3429-2025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45995</v>
      </c>
      <c r="E609" s="1" t="n">
        <v>46233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3576-2025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46010</v>
      </c>
      <c r="E610" s="1" t="n">
        <v>46233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105-2026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46036</v>
      </c>
      <c r="E611" s="1" t="n">
        <v>46233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238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2026-07-30T01:50:55Z</dcterms:created>
  <dcterms:modified xmlns:dcterms="http://purl.org/dc/terms/" xmlns:xsi="http://www.w3.org/2001/XMLSchema-instance" xsi:type="dcterms:W3CDTF">2026-07-30T01:50:56Z</dcterms:modified>
</cp:coreProperties>
</file>