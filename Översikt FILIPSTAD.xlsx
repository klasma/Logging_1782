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46232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46232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46232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46232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46232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46232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46232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46232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46232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46232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46232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46232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46232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46232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46232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51103-2025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46232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8.300000000000001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Grönsiska
Smålom</t>
        </is>
      </c>
      <c r="W18">
        <f>HYPERLINK("https://klasma.github.io/Logging_1782/artfynd/A 51103-2025 artfynd.xlsx", "A 51103-2025")</f>
        <v/>
      </c>
      <c r="X18">
        <f>HYPERLINK("https://klasma.github.io/Logging_1782/kartor/A 51103-2025 karta.png", "A 51103-2025")</f>
        <v/>
      </c>
      <c r="Y18">
        <f>HYPERLINK("https://klasma.github.io/Logging_1782/kartor_geotiff/A 51103-2025 georefererad karta.tif", "A 51103-2025")</f>
        <v/>
      </c>
      <c r="AA18">
        <f>HYPERLINK("https://klasma.github.io/Logging_1782/klagomål/A 51103-2025 FSC-klagomål.docx", "A 51103-2025")</f>
        <v/>
      </c>
      <c r="AB18">
        <f>HYPERLINK("https://klasma.github.io/Logging_1782/klagomålsmail/A 51103-2025 FSC-klagomål mail.docx", "A 51103-2025")</f>
        <v/>
      </c>
      <c r="AC18">
        <f>HYPERLINK("https://klasma.github.io/Logging_1782/tillsyn/A 51103-2025 tillsynsbegäran.docx", "A 51103-2025")</f>
        <v/>
      </c>
      <c r="AD18">
        <f>HYPERLINK("https://klasma.github.io/Logging_1782/tillsynsmail/A 51103-2025 tillsynsbegäran mail.docx", "A 51103-2025")</f>
        <v/>
      </c>
      <c r="AE18">
        <f>HYPERLINK("https://klasma.github.io/Logging_1782/fåglar/A 51103-2025 prioriterade fågelarter.docx", "A 51103-2025")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46232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38132-2024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46232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Bronshjon
Fläcknycklar</t>
        </is>
      </c>
      <c r="W20">
        <f>HYPERLINK("https://klasma.github.io/Logging_1782/artfynd/A 38132-2024 artfynd.xlsx", "A 38132-2024")</f>
        <v/>
      </c>
      <c r="X20">
        <f>HYPERLINK("https://klasma.github.io/Logging_1782/kartor/A 38132-2024 karta.png", "A 38132-2024")</f>
        <v/>
      </c>
      <c r="Y20">
        <f>HYPERLINK("https://klasma.github.io/Logging_1782/kartor_geotiff/A 38132-2024 georefererad karta.tif", "A 38132-2024")</f>
        <v/>
      </c>
      <c r="AA20">
        <f>HYPERLINK("https://klasma.github.io/Logging_1782/klagomål/A 38132-2024 FSC-klagomål.docx", "A 38132-2024")</f>
        <v/>
      </c>
      <c r="AB20">
        <f>HYPERLINK("https://klasma.github.io/Logging_1782/klagomålsmail/A 38132-2024 FSC-klagomål mail.docx", "A 38132-2024")</f>
        <v/>
      </c>
      <c r="AC20">
        <f>HYPERLINK("https://klasma.github.io/Logging_1782/tillsyn/A 38132-2024 tillsynsbegäran.docx", "A 38132-2024")</f>
        <v/>
      </c>
      <c r="AD20">
        <f>HYPERLINK("https://klasma.github.io/Logging_1782/tillsynsmail/A 38132-2024 tillsynsbegäran mail.docx", "A 38132-2024")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46232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46232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46232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46232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46232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46232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46232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46232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25916-2025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46232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26.4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Lunglav</t>
        </is>
      </c>
      <c r="W29">
        <f>HYPERLINK("https://klasma.github.io/Logging_1782/artfynd/A 25916-2025 artfynd.xlsx", "A 25916-2025")</f>
        <v/>
      </c>
      <c r="X29">
        <f>HYPERLINK("https://klasma.github.io/Logging_1782/kartor/A 25916-2025 karta.png", "A 25916-2025")</f>
        <v/>
      </c>
      <c r="Y29">
        <f>HYPERLINK("https://klasma.github.io/Logging_1782/kartor_geotiff/A 25916-2025 georefererad karta.tif", "A 25916-2025")</f>
        <v/>
      </c>
      <c r="AA29">
        <f>HYPERLINK("https://klasma.github.io/Logging_1782/klagomål/A 25916-2025 FSC-klagomål.docx", "A 25916-2025")</f>
        <v/>
      </c>
      <c r="AB29">
        <f>HYPERLINK("https://klasma.github.io/Logging_1782/klagomålsmail/A 25916-2025 FSC-klagomål mail.docx", "A 25916-2025")</f>
        <v/>
      </c>
      <c r="AC29">
        <f>HYPERLINK("https://klasma.github.io/Logging_1782/tillsyn/A 25916-2025 tillsynsbegäran.docx", "A 25916-2025")</f>
        <v/>
      </c>
      <c r="AD29">
        <f>HYPERLINK("https://klasma.github.io/Logging_1782/tillsynsmail/A 25916-2025 tillsynsbegäran mail.docx", "A 25916-2025")</f>
        <v/>
      </c>
    </row>
    <row r="30" ht="15" customHeight="1">
      <c r="A30" t="inlineStr">
        <is>
          <t>A 4560-2025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46232</v>
      </c>
      <c r="F30" t="inlineStr">
        <is>
          <t>VÄRMLANDS LÄN</t>
        </is>
      </c>
      <c r="G30" t="inlineStr">
        <is>
          <t>FILIPSTAD</t>
        </is>
      </c>
      <c r="I30" t="n">
        <v>13.6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Skrovlig taggsvamp</t>
        </is>
      </c>
      <c r="W30">
        <f>HYPERLINK("https://klasma.github.io/Logging_1782/artfynd/A 4560-2025 artfynd.xlsx", "A 4560-2025")</f>
        <v/>
      </c>
      <c r="X30">
        <f>HYPERLINK("https://klasma.github.io/Logging_1782/kartor/A 4560-2025 karta.png", "A 4560-2025")</f>
        <v/>
      </c>
      <c r="Y30">
        <f>HYPERLINK("https://klasma.github.io/Logging_1782/kartor_geotiff/A 4560-2025 georefererad karta.tif", "A 4560-2025")</f>
        <v/>
      </c>
      <c r="AA30">
        <f>HYPERLINK("https://klasma.github.io/Logging_1782/klagomål/A 4560-2025 FSC-klagomål.docx", "A 4560-2025")</f>
        <v/>
      </c>
      <c r="AB30">
        <f>HYPERLINK("https://klasma.github.io/Logging_1782/klagomålsmail/A 4560-2025 FSC-klagomål mail.docx", "A 4560-2025")</f>
        <v/>
      </c>
      <c r="AC30">
        <f>HYPERLINK("https://klasma.github.io/Logging_1782/tillsyn/A 4560-2025 tillsynsbegäran.docx", "A 4560-2025")</f>
        <v/>
      </c>
      <c r="AD30">
        <f>HYPERLINK("https://klasma.github.io/Logging_1782/tillsynsmail/A 4560-2025 tillsynsbegäran mail.docx", "A 4560-2025")</f>
        <v/>
      </c>
    </row>
    <row r="31" ht="15" customHeight="1">
      <c r="A31" t="inlineStr">
        <is>
          <t>A 30652-2025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45831</v>
      </c>
      <c r="E31" s="1" t="n">
        <v>46232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HYPERLINK("https://klasma.github.io/Logging_1782/artfynd/A 30652-2025 artfynd.xlsx", "A 30652-2025")</f>
        <v/>
      </c>
      <c r="X31">
        <f>HYPERLINK("https://klasma.github.io/Logging_1782/kartor/A 30652-2025 karta.png", "A 30652-2025")</f>
        <v/>
      </c>
      <c r="Y31">
        <f>HYPERLINK("https://klasma.github.io/Logging_1782/kartor_geotiff/A 30652-2025 georefererad karta.tif", "A 30652-2025")</f>
        <v/>
      </c>
      <c r="AA31">
        <f>HYPERLINK("https://klasma.github.io/Logging_1782/klagomål/A 30652-2025 FSC-klagomål.docx", "A 30652-2025")</f>
        <v/>
      </c>
      <c r="AB31">
        <f>HYPERLINK("https://klasma.github.io/Logging_1782/klagomålsmail/A 30652-2025 FSC-klagomål mail.docx", "A 30652-2025")</f>
        <v/>
      </c>
      <c r="AC31">
        <f>HYPERLINK("https://klasma.github.io/Logging_1782/tillsyn/A 30652-2025 tillsynsbegäran.docx", "A 30652-2025")</f>
        <v/>
      </c>
      <c r="AD31">
        <f>HYPERLINK("https://klasma.github.io/Logging_1782/tillsynsmail/A 30652-2025 tillsynsbegäran mail.docx", "A 30652-2025")</f>
        <v/>
      </c>
      <c r="AE31">
        <f>HYPERLINK("https://klasma.github.io/Logging_1782/fåglar/A 30652-2025 prioriterade fågelarter.docx", "A 30652-2025")</f>
        <v/>
      </c>
    </row>
    <row r="32" ht="15" customHeight="1">
      <c r="A32" t="inlineStr">
        <is>
          <t>A 45781-2025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45923</v>
      </c>
      <c r="E32" s="1" t="n">
        <v>46232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Brunklöver</t>
        </is>
      </c>
      <c r="W32">
        <f>HYPERLINK("https://klasma.github.io/Logging_1782/artfynd/A 45781-2025 artfynd.xlsx", "A 45781-2025")</f>
        <v/>
      </c>
      <c r="X32">
        <f>HYPERLINK("https://klasma.github.io/Logging_1782/kartor/A 45781-2025 karta.png", "A 45781-2025")</f>
        <v/>
      </c>
      <c r="Y32">
        <f>HYPERLINK("https://klasma.github.io/Logging_1782/kartor_geotiff/A 45781-2025 georefererad karta.tif", "A 45781-2025")</f>
        <v/>
      </c>
      <c r="AA32">
        <f>HYPERLINK("https://klasma.github.io/Logging_1782/klagomål/A 45781-2025 FSC-klagomål.docx", "A 45781-2025")</f>
        <v/>
      </c>
      <c r="AB32">
        <f>HYPERLINK("https://klasma.github.io/Logging_1782/klagomålsmail/A 45781-2025 FSC-klagomål mail.docx", "A 45781-2025")</f>
        <v/>
      </c>
      <c r="AC32">
        <f>HYPERLINK("https://klasma.github.io/Logging_1782/tillsyn/A 45781-2025 tillsynsbegäran.docx", "A 45781-2025")</f>
        <v/>
      </c>
      <c r="AD32">
        <f>HYPERLINK("https://klasma.github.io/Logging_1782/tillsynsmail/A 45781-2025 tillsynsbegäran mail.docx", "A 45781-2025")</f>
        <v/>
      </c>
    </row>
    <row r="33" ht="15" customHeight="1">
      <c r="A33" t="inlineStr">
        <is>
          <t>A 874-2025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45665</v>
      </c>
      <c r="E33" s="1" t="n">
        <v>46232</v>
      </c>
      <c r="F33" t="inlineStr">
        <is>
          <t>VÄRMLANDS LÄN</t>
        </is>
      </c>
      <c r="G33" t="inlineStr">
        <is>
          <t>FILIPSTAD</t>
        </is>
      </c>
      <c r="H33" t="inlineStr">
        <is>
          <t>Kyrkan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Kamjordstjärna</t>
        </is>
      </c>
      <c r="W33">
        <f>HYPERLINK("https://klasma.github.io/Logging_1782/artfynd/A 874-2025 artfynd.xlsx", "A 874-2025")</f>
        <v/>
      </c>
      <c r="X33">
        <f>HYPERLINK("https://klasma.github.io/Logging_1782/kartor/A 874-2025 karta.png", "A 874-2025")</f>
        <v/>
      </c>
      <c r="Y33">
        <f>HYPERLINK("https://klasma.github.io/Logging_1782/kartor_geotiff/A 874-2025 georefererad karta.tif", "A 874-2025")</f>
        <v/>
      </c>
      <c r="AA33">
        <f>HYPERLINK("https://klasma.github.io/Logging_1782/klagomål/A 874-2025 FSC-klagomål.docx", "A 874-2025")</f>
        <v/>
      </c>
      <c r="AB33">
        <f>HYPERLINK("https://klasma.github.io/Logging_1782/klagomålsmail/A 874-2025 FSC-klagomål mail.docx", "A 874-2025")</f>
        <v/>
      </c>
      <c r="AC33">
        <f>HYPERLINK("https://klasma.github.io/Logging_1782/tillsyn/A 874-2025 tillsynsbegäran.docx", "A 874-2025")</f>
        <v/>
      </c>
      <c r="AD33">
        <f>HYPERLINK("https://klasma.github.io/Logging_1782/tillsynsmail/A 874-2025 tillsynsbegäran mail.docx", "A 874-2025")</f>
        <v/>
      </c>
    </row>
    <row r="34" ht="15" customHeight="1">
      <c r="A34" t="inlineStr">
        <is>
          <t>A 38140-2024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HYPERLINK("https://klasma.github.io/Logging_1782/artfynd/A 38140-2024 artfynd.xlsx", "A 38140-2024")</f>
        <v/>
      </c>
      <c r="X34">
        <f>HYPERLINK("https://klasma.github.io/Logging_1782/kartor/A 38140-2024 karta.png", "A 38140-2024")</f>
        <v/>
      </c>
      <c r="Y34">
        <f>HYPERLINK("https://klasma.github.io/Logging_1782/kartor_geotiff/A 38140-2024 georefererad karta.tif", "A 38140-2024")</f>
        <v/>
      </c>
      <c r="AA34">
        <f>HYPERLINK("https://klasma.github.io/Logging_1782/klagomål/A 38140-2024 FSC-klagomål.docx", "A 38140-2024")</f>
        <v/>
      </c>
      <c r="AB34">
        <f>HYPERLINK("https://klasma.github.io/Logging_1782/klagomålsmail/A 38140-2024 FSC-klagomål mail.docx", "A 38140-2024")</f>
        <v/>
      </c>
      <c r="AC34">
        <f>HYPERLINK("https://klasma.github.io/Logging_1782/tillsyn/A 38140-2024 tillsynsbegäran.docx", "A 38140-2024")</f>
        <v/>
      </c>
      <c r="AD34">
        <f>HYPERLINK("https://klasma.github.io/Logging_1782/tillsynsmail/A 38140-2024 tillsynsbegäran mail.docx", "A 38140-2024")</f>
        <v/>
      </c>
    </row>
    <row r="35" ht="15" customHeight="1">
      <c r="A35" t="inlineStr">
        <is>
          <t>A 58734-2025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45986</v>
      </c>
      <c r="E35" s="1" t="n">
        <v>46232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18.2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Tretåig hackspett</t>
        </is>
      </c>
      <c r="W35">
        <f>HYPERLINK("https://klasma.github.io/Logging_1782/artfynd/A 58734-2025 artfynd.xlsx", "A 58734-2025")</f>
        <v/>
      </c>
      <c r="X35">
        <f>HYPERLINK("https://klasma.github.io/Logging_1782/kartor/A 58734-2025 karta.png", "A 58734-2025")</f>
        <v/>
      </c>
      <c r="Y35">
        <f>HYPERLINK("https://klasma.github.io/Logging_1782/kartor_geotiff/A 58734-2025 georefererad karta.tif", "A 58734-2025")</f>
        <v/>
      </c>
      <c r="AA35">
        <f>HYPERLINK("https://klasma.github.io/Logging_1782/klagomål/A 58734-2025 FSC-klagomål.docx", "A 58734-2025")</f>
        <v/>
      </c>
      <c r="AB35">
        <f>HYPERLINK("https://klasma.github.io/Logging_1782/klagomålsmail/A 58734-2025 FSC-klagomål mail.docx", "A 58734-2025")</f>
        <v/>
      </c>
      <c r="AC35">
        <f>HYPERLINK("https://klasma.github.io/Logging_1782/tillsyn/A 58734-2025 tillsynsbegäran.docx", "A 58734-2025")</f>
        <v/>
      </c>
      <c r="AD35">
        <f>HYPERLINK("https://klasma.github.io/Logging_1782/tillsynsmail/A 58734-2025 tillsynsbegäran mail.docx", "A 58734-2025")</f>
        <v/>
      </c>
      <c r="AE35">
        <f>HYPERLINK("https://klasma.github.io/Logging_1782/fåglar/A 58734-2025 prioriterade fågelarter.docx", "A 58734-2025")</f>
        <v/>
      </c>
    </row>
    <row r="36" ht="15" customHeight="1">
      <c r="A36" t="inlineStr">
        <is>
          <t>A 17529-2026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46232</v>
      </c>
      <c r="F36" t="inlineStr">
        <is>
          <t>VÄRMLANDS LÄN</t>
        </is>
      </c>
      <c r="G36" t="inlineStr">
        <is>
          <t>FILIPSTAD</t>
        </is>
      </c>
      <c r="I36" t="n">
        <v>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Ädellav</t>
        </is>
      </c>
      <c r="W36">
        <f>HYPERLINK("https://klasma.github.io/Logging_1782/artfynd/A 17529-2026 artfynd.xlsx", "A 17529-2026")</f>
        <v/>
      </c>
      <c r="X36">
        <f>HYPERLINK("https://klasma.github.io/Logging_1782/kartor/A 17529-2026 karta.png", "A 17529-2026")</f>
        <v/>
      </c>
      <c r="Y36">
        <f>HYPERLINK("https://klasma.github.io/Logging_1782/kartor_geotiff/A 17529-2026 georefererad karta.tif", "A 17529-2026")</f>
        <v/>
      </c>
      <c r="AA36">
        <f>HYPERLINK("https://klasma.github.io/Logging_1782/klagomål/A 17529-2026 FSC-klagomål.docx", "A 17529-2026")</f>
        <v/>
      </c>
      <c r="AB36">
        <f>HYPERLINK("https://klasma.github.io/Logging_1782/klagomålsmail/A 17529-2026 FSC-klagomål mail.docx", "A 17529-2026")</f>
        <v/>
      </c>
      <c r="AC36">
        <f>HYPERLINK("https://klasma.github.io/Logging_1782/tillsyn/A 17529-2026 tillsynsbegäran.docx", "A 17529-2026")</f>
        <v/>
      </c>
      <c r="AD36">
        <f>HYPERLINK("https://klasma.github.io/Logging_1782/tillsynsmail/A 17529-2026 tillsynsbegäran mail.docx", "A 17529-2026")</f>
        <v/>
      </c>
    </row>
    <row r="37" ht="15" customHeight="1">
      <c r="A37" t="inlineStr">
        <is>
          <t>A 10138-2024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45364</v>
      </c>
      <c r="E37" s="1" t="n">
        <v>46232</v>
      </c>
      <c r="F37" t="inlineStr">
        <is>
          <t>VÄRMLANDS LÄN</t>
        </is>
      </c>
      <c r="G37" t="inlineStr">
        <is>
          <t>FILIPSTAD</t>
        </is>
      </c>
      <c r="H37" t="inlineStr">
        <is>
          <t>Kommuner</t>
        </is>
      </c>
      <c r="I37" t="n">
        <v>6.8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Purpurknipprot</t>
        </is>
      </c>
      <c r="W37">
        <f>HYPERLINK("https://klasma.github.io/Logging_1782/artfynd/A 10138-2024 artfynd.xlsx", "A 10138-2024")</f>
        <v/>
      </c>
      <c r="X37">
        <f>HYPERLINK("https://klasma.github.io/Logging_1782/kartor/A 10138-2024 karta.png", "A 10138-2024")</f>
        <v/>
      </c>
      <c r="Y37">
        <f>HYPERLINK("https://klasma.github.io/Logging_1782/kartor_geotiff/A 10138-2024 georefererad karta.tif", "A 10138-2024")</f>
        <v/>
      </c>
      <c r="AA37">
        <f>HYPERLINK("https://klasma.github.io/Logging_1782/klagomål/A 10138-2024 FSC-klagomål.docx", "A 10138-2024")</f>
        <v/>
      </c>
      <c r="AB37">
        <f>HYPERLINK("https://klasma.github.io/Logging_1782/klagomålsmail/A 10138-2024 FSC-klagomål mail.docx", "A 10138-2024")</f>
        <v/>
      </c>
      <c r="AC37">
        <f>HYPERLINK("https://klasma.github.io/Logging_1782/tillsyn/A 10138-2024 tillsynsbegäran.docx", "A 10138-2024")</f>
        <v/>
      </c>
      <c r="AD37">
        <f>HYPERLINK("https://klasma.github.io/Logging_1782/tillsynsmail/A 10138-2024 tillsynsbegäran mail.docx", "A 10138-2024")</f>
        <v/>
      </c>
    </row>
    <row r="38" ht="15" customHeight="1">
      <c r="A38" t="inlineStr">
        <is>
          <t>A 34145-2024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45524</v>
      </c>
      <c r="E38" s="1" t="n">
        <v>46232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4.5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34145-2024 artfynd.xlsx", "A 34145-2024")</f>
        <v/>
      </c>
      <c r="X38">
        <f>HYPERLINK("https://klasma.github.io/Logging_1782/kartor/A 34145-2024 karta.png", "A 34145-2024")</f>
        <v/>
      </c>
      <c r="Y38">
        <f>HYPERLINK("https://klasma.github.io/Logging_1782/kartor_geotiff/A 34145-2024 georefererad karta.tif", "A 34145-2024")</f>
        <v/>
      </c>
      <c r="AA38">
        <f>HYPERLINK("https://klasma.github.io/Logging_1782/klagomål/A 34145-2024 FSC-klagomål.docx", "A 34145-2024")</f>
        <v/>
      </c>
      <c r="AB38">
        <f>HYPERLINK("https://klasma.github.io/Logging_1782/klagomålsmail/A 34145-2024 FSC-klagomål mail.docx", "A 34145-2024")</f>
        <v/>
      </c>
      <c r="AC38">
        <f>HYPERLINK("https://klasma.github.io/Logging_1782/tillsyn/A 34145-2024 tillsynsbegäran.docx", "A 34145-2024")</f>
        <v/>
      </c>
      <c r="AD38">
        <f>HYPERLINK("https://klasma.github.io/Logging_1782/tillsynsmail/A 34145-2024 tillsynsbegäran mail.docx", "A 34145-2024")</f>
        <v/>
      </c>
    </row>
    <row r="39" ht="15" customHeight="1">
      <c r="A39" t="inlineStr">
        <is>
          <t>A 28915-2026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46232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Stjärnstarr</t>
        </is>
      </c>
      <c r="W39">
        <f>HYPERLINK("https://klasma.github.io/Logging_1782/artfynd/A 28915-2026 artfynd.xlsx", "A 28915-2026")</f>
        <v/>
      </c>
      <c r="X39">
        <f>HYPERLINK("https://klasma.github.io/Logging_1782/kartor/A 28915-2026 karta.png", "A 28915-2026")</f>
        <v/>
      </c>
      <c r="Y39">
        <f>HYPERLINK("https://klasma.github.io/Logging_1782/kartor_geotiff/A 28915-2026 georefererad karta.tif", "A 28915-2026")</f>
        <v/>
      </c>
      <c r="AA39">
        <f>HYPERLINK("https://klasma.github.io/Logging_1782/klagomål/A 28915-2026 FSC-klagomål.docx", "A 28915-2026")</f>
        <v/>
      </c>
      <c r="AB39">
        <f>HYPERLINK("https://klasma.github.io/Logging_1782/klagomålsmail/A 28915-2026 FSC-klagomål mail.docx", "A 28915-2026")</f>
        <v/>
      </c>
      <c r="AC39">
        <f>HYPERLINK("https://klasma.github.io/Logging_1782/tillsyn/A 28915-2026 tillsynsbegäran.docx", "A 28915-2026")</f>
        <v/>
      </c>
      <c r="AD39">
        <f>HYPERLINK("https://klasma.github.io/Logging_1782/tillsynsmail/A 28915-2026 tillsynsbegäran mail.docx", "A 28915-2026")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46232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31257-2026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46232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10.2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Gräsull</t>
        </is>
      </c>
      <c r="W41">
        <f>HYPERLINK("https://klasma.github.io/Logging_1782/artfynd/A 31257-2026 artfynd.xlsx", "A 31257-2026")</f>
        <v/>
      </c>
      <c r="X41">
        <f>HYPERLINK("https://klasma.github.io/Logging_1782/kartor/A 31257-2026 karta.png", "A 31257-2026")</f>
        <v/>
      </c>
      <c r="Y41">
        <f>HYPERLINK("https://klasma.github.io/Logging_1782/kartor_geotiff/A 31257-2026 georefererad karta.tif", "A 31257-2026")</f>
        <v/>
      </c>
      <c r="AA41">
        <f>HYPERLINK("https://klasma.github.io/Logging_1782/klagomål/A 31257-2026 FSC-klagomål.docx", "A 31257-2026")</f>
        <v/>
      </c>
      <c r="AB41">
        <f>HYPERLINK("https://klasma.github.io/Logging_1782/klagomålsmail/A 31257-2026 FSC-klagomål mail.docx", "A 31257-2026")</f>
        <v/>
      </c>
      <c r="AC41">
        <f>HYPERLINK("https://klasma.github.io/Logging_1782/tillsyn/A 31257-2026 tillsynsbegäran.docx", "A 31257-2026")</f>
        <v/>
      </c>
      <c r="AD41">
        <f>HYPERLINK("https://klasma.github.io/Logging_1782/tillsynsmail/A 31257-2026 tillsynsbegäran mail.docx", "A 31257-2026")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46232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46232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HYPERLINK("https://klasma.github.io/Logging_1782/artfynd/A 23046-2023 artfynd.xlsx", "A 23046-2023")</f>
        <v/>
      </c>
      <c r="X43">
        <f>HYPERLINK("https://klasma.github.io/Logging_1782/kartor/A 23046-2023 karta.png", "A 23046-2023")</f>
        <v/>
      </c>
      <c r="Y43">
        <f>HYPERLINK("https://klasma.github.io/Logging_1782/kartor_geotiff/A 23046-2023 georefererad karta.tif", "A 23046-2023")</f>
        <v/>
      </c>
      <c r="Z43">
        <f>HYPERLINK("https://klasma.github.io/Logging_1782/knärot/A 23046-2023 karta knärot.png", "A 23046-2023")</f>
        <v/>
      </c>
      <c r="AA43">
        <f>HYPERLINK("https://klasma.github.io/Logging_1782/klagomål/A 23046-2023 FSC-klagomål.docx", "A 23046-2023")</f>
        <v/>
      </c>
      <c r="AB43">
        <f>HYPERLINK("https://klasma.github.io/Logging_1782/klagomålsmail/A 23046-2023 FSC-klagomål mail.docx", "A 23046-2023")</f>
        <v/>
      </c>
      <c r="AC43">
        <f>HYPERLINK("https://klasma.github.io/Logging_1782/tillsyn/A 23046-2023 tillsynsbegäran.docx", "A 23046-2023")</f>
        <v/>
      </c>
      <c r="AD43">
        <f>HYPERLINK("https://klasma.github.io/Logging_1782/tillsynsmail/A 23046-2023 tillsynsbegäran mail.docx", "A 23046-2023")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46232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46232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46232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46232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46232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63144-2021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46232</v>
      </c>
      <c r="F49" t="inlineStr">
        <is>
          <t>VÄRMLANDS LÄN</t>
        </is>
      </c>
      <c r="G49" t="inlineStr">
        <is>
          <t>FILIPSTAD</t>
        </is>
      </c>
      <c r="I49" t="n">
        <v>24.3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46232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46232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46232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46232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46232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46232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44726</v>
      </c>
      <c r="E56" s="1" t="n">
        <v>46232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44505</v>
      </c>
      <c r="E57" s="1" t="n">
        <v>46232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14077-2022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46232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18.7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46232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46232</v>
      </c>
      <c r="F60" t="inlineStr">
        <is>
          <t>VÄRMLANDS LÄN</t>
        </is>
      </c>
      <c r="G60" t="inlineStr">
        <is>
          <t>FILIPSTAD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22356-2022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44713</v>
      </c>
      <c r="E62" s="1" t="n">
        <v>46232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46232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32680-2022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44783</v>
      </c>
      <c r="E64" s="1" t="n">
        <v>46232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46232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44799</v>
      </c>
      <c r="E66" s="1" t="n">
        <v>46232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19626-2022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44694</v>
      </c>
      <c r="E67" s="1" t="n">
        <v>46232</v>
      </c>
      <c r="F67" t="inlineStr">
        <is>
          <t>VÄRMLANDS LÄN</t>
        </is>
      </c>
      <c r="G67" t="inlineStr">
        <is>
          <t>FILIPSTAD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59954-2021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46232</v>
      </c>
      <c r="F68" t="inlineStr">
        <is>
          <t>VÄRMLANDS LÄN</t>
        </is>
      </c>
      <c r="G68" t="inlineStr">
        <is>
          <t>FILIPSTAD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44651</v>
      </c>
      <c r="E69" s="1" t="n">
        <v>46232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66376-2021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9.800000000000001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46232</v>
      </c>
      <c r="F71" t="inlineStr">
        <is>
          <t>VÄRMLANDS LÄN</t>
        </is>
      </c>
      <c r="G71" t="inlineStr">
        <is>
          <t>FILIPSTAD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50009-2021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46232</v>
      </c>
      <c r="F72" t="inlineStr">
        <is>
          <t>VÄRMLANDS LÄN</t>
        </is>
      </c>
      <c r="G72" t="inlineStr">
        <is>
          <t>FILIPSTAD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46232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46232</v>
      </c>
      <c r="F74" t="inlineStr">
        <is>
          <t>VÄRMLANDS LÄN</t>
        </is>
      </c>
      <c r="G74" t="inlineStr">
        <is>
          <t>FILIPSTAD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46232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9270-2023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44980</v>
      </c>
      <c r="E76" s="1" t="n">
        <v>46232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45674</v>
      </c>
      <c r="E77" s="1" t="n">
        <v>46232</v>
      </c>
      <c r="F77" t="inlineStr">
        <is>
          <t>VÄRMLANDS LÄN</t>
        </is>
      </c>
      <c r="G77" t="inlineStr">
        <is>
          <t>FILIPSTAD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46232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46232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45524</v>
      </c>
      <c r="E80" s="1" t="n">
        <v>46232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44637</v>
      </c>
      <c r="E81" s="1" t="n">
        <v>46232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25737-2023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45090</v>
      </c>
      <c r="E82" s="1" t="n">
        <v>46232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46232</v>
      </c>
      <c r="F83" t="inlineStr">
        <is>
          <t>VÄRMLANDS LÄN</t>
        </is>
      </c>
      <c r="G83" t="inlineStr">
        <is>
          <t>FILIPSTAD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44963</v>
      </c>
      <c r="E84" s="1" t="n">
        <v>46232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45418</v>
      </c>
      <c r="E85" s="1" t="n">
        <v>46232</v>
      </c>
      <c r="F85" t="inlineStr">
        <is>
          <t>VÄRMLANDS LÄN</t>
        </is>
      </c>
      <c r="G85" t="inlineStr">
        <is>
          <t>FILIPSTAD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46232</v>
      </c>
      <c r="F86" t="inlineStr">
        <is>
          <t>VÄRMLANDS LÄN</t>
        </is>
      </c>
      <c r="G86" t="inlineStr">
        <is>
          <t>FILIPSTAD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45578</v>
      </c>
      <c r="E87" s="1" t="n">
        <v>46232</v>
      </c>
      <c r="F87" t="inlineStr">
        <is>
          <t>VÄRMLANDS LÄN</t>
        </is>
      </c>
      <c r="G87" t="inlineStr">
        <is>
          <t>FILIPSTAD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46232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46232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45742</v>
      </c>
      <c r="E90" s="1" t="n">
        <v>46232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46232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45471</v>
      </c>
      <c r="E92" s="1" t="n">
        <v>46232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14268-2024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46232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44876</v>
      </c>
      <c r="E94" s="1" t="n">
        <v>46232</v>
      </c>
      <c r="F94" t="inlineStr">
        <is>
          <t>VÄRMLANDS LÄN</t>
        </is>
      </c>
      <c r="G94" t="inlineStr">
        <is>
          <t>FILIPSTAD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44889</v>
      </c>
      <c r="E95" s="1" t="n">
        <v>46232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16103-2025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45750</v>
      </c>
      <c r="E96" s="1" t="n">
        <v>46232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46232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46232</v>
      </c>
      <c r="F98" t="inlineStr">
        <is>
          <t>VÄRMLANDS LÄN</t>
        </is>
      </c>
      <c r="G98" t="inlineStr">
        <is>
          <t>FILIPSTAD</t>
        </is>
      </c>
      <c r="H98" t="inlineStr">
        <is>
          <t>Kyrkan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44963</v>
      </c>
      <c r="E99" s="1" t="n">
        <v>46232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44445</v>
      </c>
      <c r="E100" s="1" t="n">
        <v>46232</v>
      </c>
      <c r="F100" t="inlineStr">
        <is>
          <t>VÄRMLANDS LÄN</t>
        </is>
      </c>
      <c r="G100" t="inlineStr">
        <is>
          <t>FILIPSTAD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44801</v>
      </c>
      <c r="E101" s="1" t="n">
        <v>46232</v>
      </c>
      <c r="F101" t="inlineStr">
        <is>
          <t>VÄRMLANDS LÄN</t>
        </is>
      </c>
      <c r="G101" t="inlineStr">
        <is>
          <t>FILIPSTAD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46232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15.5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46232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45223</v>
      </c>
      <c r="E104" s="1" t="n">
        <v>46232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44684</v>
      </c>
      <c r="E105" s="1" t="n">
        <v>46232</v>
      </c>
      <c r="F105" t="inlineStr">
        <is>
          <t>VÄRMLANDS LÄN</t>
        </is>
      </c>
      <c r="G105" t="inlineStr">
        <is>
          <t>FILIPSTAD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45453</v>
      </c>
      <c r="E106" s="1" t="n">
        <v>46232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46232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45544</v>
      </c>
      <c r="E108" s="1" t="n">
        <v>46232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26116-2025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45805</v>
      </c>
      <c r="E109" s="1" t="n">
        <v>46232</v>
      </c>
      <c r="F109" t="inlineStr">
        <is>
          <t>VÄRMLANDS LÄN</t>
        </is>
      </c>
      <c r="G109" t="inlineStr">
        <is>
          <t>FILIPSTAD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26123-2025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45805</v>
      </c>
      <c r="E110" s="1" t="n">
        <v>46232</v>
      </c>
      <c r="F110" t="inlineStr">
        <is>
          <t>VÄRMLANDS LÄN</t>
        </is>
      </c>
      <c r="G110" t="inlineStr">
        <is>
          <t>FILIPSTAD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45153</v>
      </c>
      <c r="E111" s="1" t="n">
        <v>46232</v>
      </c>
      <c r="F111" t="inlineStr">
        <is>
          <t>VÄRMLANDS LÄN</t>
        </is>
      </c>
      <c r="G111" t="inlineStr">
        <is>
          <t>FILIPSTAD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46232</v>
      </c>
      <c r="F112" t="inlineStr">
        <is>
          <t>VÄRMLANDS LÄN</t>
        </is>
      </c>
      <c r="G112" t="inlineStr">
        <is>
          <t>FILIPSTAD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46232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26843-2024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45470</v>
      </c>
      <c r="E114" s="1" t="n">
        <v>46232</v>
      </c>
      <c r="F114" t="inlineStr">
        <is>
          <t>VÄRMLANDS LÄN</t>
        </is>
      </c>
      <c r="G114" t="inlineStr">
        <is>
          <t>FILIPSTAD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26599-2024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45469</v>
      </c>
      <c r="E115" s="1" t="n">
        <v>46232</v>
      </c>
      <c r="F115" t="inlineStr">
        <is>
          <t>VÄRMLANDS LÄN</t>
        </is>
      </c>
      <c r="G115" t="inlineStr">
        <is>
          <t>FILIPSTAD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45986</v>
      </c>
      <c r="E116" s="1" t="n">
        <v>46232</v>
      </c>
      <c r="F116" t="inlineStr">
        <is>
          <t>VÄRMLANDS LÄN</t>
        </is>
      </c>
      <c r="G116" t="inlineStr">
        <is>
          <t>FILIPSTAD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46232</v>
      </c>
      <c r="F117" t="inlineStr">
        <is>
          <t>VÄRMLANDS LÄN</t>
        </is>
      </c>
      <c r="G117" t="inlineStr">
        <is>
          <t>FILIPSTAD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46232</v>
      </c>
      <c r="F118" t="inlineStr">
        <is>
          <t>VÄRMLANDS LÄN</t>
        </is>
      </c>
      <c r="G118" t="inlineStr">
        <is>
          <t>FILIPSTAD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45686</v>
      </c>
      <c r="E119" s="1" t="n">
        <v>46232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46040</v>
      </c>
      <c r="E120" s="1" t="n">
        <v>46232</v>
      </c>
      <c r="F120" t="inlineStr">
        <is>
          <t>VÄRMLANDS LÄN</t>
        </is>
      </c>
      <c r="G120" t="inlineStr">
        <is>
          <t>FILIPSTAD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40764-2025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46232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46232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46232</v>
      </c>
      <c r="F123" t="inlineStr">
        <is>
          <t>VÄRMLANDS LÄN</t>
        </is>
      </c>
      <c r="G123" t="inlineStr">
        <is>
          <t>FILIPSTAD</t>
        </is>
      </c>
      <c r="I123" t="n">
        <v>23.3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45826</v>
      </c>
      <c r="E124" s="1" t="n">
        <v>46232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46232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50856-2022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44867</v>
      </c>
      <c r="E126" s="1" t="n">
        <v>46232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29885-2025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46232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46232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41718-2025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45902</v>
      </c>
      <c r="E129" s="1" t="n">
        <v>46232</v>
      </c>
      <c r="F129" t="inlineStr">
        <is>
          <t>VÄRMLANDS LÄN</t>
        </is>
      </c>
      <c r="G129" t="inlineStr">
        <is>
          <t>FILIPSTAD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46232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31172-2025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45832</v>
      </c>
      <c r="E131" s="1" t="n">
        <v>46232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32032-2025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45835</v>
      </c>
      <c r="E132" s="1" t="n">
        <v>46232</v>
      </c>
      <c r="F132" t="inlineStr">
        <is>
          <t>VÄRMLANDS LÄN</t>
        </is>
      </c>
      <c r="G132" t="inlineStr">
        <is>
          <t>FILIPSTAD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45063</v>
      </c>
      <c r="E133" s="1" t="n">
        <v>46232</v>
      </c>
      <c r="F133" t="inlineStr">
        <is>
          <t>VÄRMLANDS LÄN</t>
        </is>
      </c>
      <c r="G133" t="inlineStr">
        <is>
          <t>FILIPSTAD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46232</v>
      </c>
      <c r="F134" t="inlineStr">
        <is>
          <t>VÄRMLANDS LÄN</t>
        </is>
      </c>
      <c r="G134" t="inlineStr">
        <is>
          <t>FILIPSTAD</t>
        </is>
      </c>
      <c r="I134" t="n">
        <v>18.7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46232</v>
      </c>
      <c r="F135" t="inlineStr">
        <is>
          <t>VÄRMLANDS LÄN</t>
        </is>
      </c>
      <c r="G135" t="inlineStr">
        <is>
          <t>FILIPSTAD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71971-2021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44544</v>
      </c>
      <c r="E136" s="1" t="n">
        <v>46232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45245</v>
      </c>
      <c r="E137" s="1" t="n">
        <v>46232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46232</v>
      </c>
      <c r="F138" t="inlineStr">
        <is>
          <t>VÄRMLANDS LÄN</t>
        </is>
      </c>
      <c r="G138" t="inlineStr">
        <is>
          <t>FILIPSTAD</t>
        </is>
      </c>
      <c r="H138" t="inlineStr">
        <is>
          <t>Kyrkan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46232</v>
      </c>
      <c r="F139" t="inlineStr">
        <is>
          <t>VÄRMLANDS LÄN</t>
        </is>
      </c>
      <c r="G139" t="inlineStr">
        <is>
          <t>FILIPSTAD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33407-2025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45841</v>
      </c>
      <c r="E140" s="1" t="n">
        <v>46232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60524-2024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46232</v>
      </c>
      <c r="F141" t="inlineStr">
        <is>
          <t>VÄRMLANDS LÄN</t>
        </is>
      </c>
      <c r="G141" t="inlineStr">
        <is>
          <t>FILIPSTAD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45925</v>
      </c>
      <c r="E142" s="1" t="n">
        <v>46232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45106</v>
      </c>
      <c r="E143" s="1" t="n">
        <v>46232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45924</v>
      </c>
      <c r="E144" s="1" t="n">
        <v>46232</v>
      </c>
      <c r="F144" t="inlineStr">
        <is>
          <t>VÄRMLANDS LÄN</t>
        </is>
      </c>
      <c r="G144" t="inlineStr">
        <is>
          <t>FILIPSTAD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46232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46232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46232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46232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46232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48103-2025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45933</v>
      </c>
      <c r="E150" s="1" t="n">
        <v>46232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46232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36582-2025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45870</v>
      </c>
      <c r="E152" s="1" t="n">
        <v>46232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46232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46232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46232</v>
      </c>
      <c r="F155" t="inlineStr">
        <is>
          <t>VÄRMLANDS LÄN</t>
        </is>
      </c>
      <c r="G155" t="inlineStr">
        <is>
          <t>FILIPSTAD</t>
        </is>
      </c>
      <c r="H155" t="inlineStr">
        <is>
          <t>Kyrkan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29825-2023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45107</v>
      </c>
      <c r="E156" s="1" t="n">
        <v>46232</v>
      </c>
      <c r="F156" t="inlineStr">
        <is>
          <t>VÄRMLANDS LÄN</t>
        </is>
      </c>
      <c r="G156" t="inlineStr">
        <is>
          <t>FILIPSTAD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45943</v>
      </c>
      <c r="E157" s="1" t="n">
        <v>46232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46232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46232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46232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45940</v>
      </c>
      <c r="E161" s="1" t="n">
        <v>46232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31306-2023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46232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46232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46232</v>
      </c>
      <c r="F164" t="inlineStr">
        <is>
          <t>VÄRMLANDS LÄN</t>
        </is>
      </c>
      <c r="G164" t="inlineStr">
        <is>
          <t>FILIPSTAD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6593-2026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46056</v>
      </c>
      <c r="E165" s="1" t="n">
        <v>46232</v>
      </c>
      <c r="F165" t="inlineStr">
        <is>
          <t>VÄRMLANDS LÄN</t>
        </is>
      </c>
      <c r="G165" t="inlineStr">
        <is>
          <t>FILIPSTAD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46232</v>
      </c>
      <c r="F166" t="inlineStr">
        <is>
          <t>VÄRMLANDS LÄN</t>
        </is>
      </c>
      <c r="G166" t="inlineStr">
        <is>
          <t>FILIPSTAD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46232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46232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46232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7430-2026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46232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46232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46232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45700</v>
      </c>
      <c r="E173" s="1" t="n">
        <v>46232</v>
      </c>
      <c r="F173" t="inlineStr">
        <is>
          <t>VÄRMLANDS LÄN</t>
        </is>
      </c>
      <c r="G173" t="inlineStr">
        <is>
          <t>FILIPSTAD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51572-2025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45951</v>
      </c>
      <c r="E174" s="1" t="n">
        <v>46232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45245</v>
      </c>
      <c r="E175" s="1" t="n">
        <v>46232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45953</v>
      </c>
      <c r="E176" s="1" t="n">
        <v>46232</v>
      </c>
      <c r="F176" t="inlineStr">
        <is>
          <t>VÄRMLANDS LÄN</t>
        </is>
      </c>
      <c r="G176" t="inlineStr">
        <is>
          <t>FILIPSTAD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46232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46232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46232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46064</v>
      </c>
      <c r="E180" s="1" t="n">
        <v>46232</v>
      </c>
      <c r="F180" t="inlineStr">
        <is>
          <t>VÄRMLANDS LÄN</t>
        </is>
      </c>
      <c r="G180" t="inlineStr">
        <is>
          <t>FILIPSTAD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43233-2023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46232</v>
      </c>
      <c r="F181" t="inlineStr">
        <is>
          <t>VÄRMLANDS LÄN</t>
        </is>
      </c>
      <c r="G181" t="inlineStr">
        <is>
          <t>FILIPSTAD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22830-2023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45072</v>
      </c>
      <c r="E182" s="1" t="n">
        <v>46232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45072</v>
      </c>
      <c r="E183" s="1" t="n">
        <v>46232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45960</v>
      </c>
      <c r="E184" s="1" t="n">
        <v>46232</v>
      </c>
      <c r="F184" t="inlineStr">
        <is>
          <t>VÄRMLANDS LÄN</t>
        </is>
      </c>
      <c r="G184" t="inlineStr">
        <is>
          <t>FILIPSTAD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53575-2025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45960</v>
      </c>
      <c r="E185" s="1" t="n">
        <v>46232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46232</v>
      </c>
      <c r="F186" t="inlineStr">
        <is>
          <t>VÄRMLANDS LÄN</t>
        </is>
      </c>
      <c r="G186" t="inlineStr">
        <is>
          <t>FILIPSTAD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46232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45271</v>
      </c>
      <c r="E188" s="1" t="n">
        <v>46232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54497-2025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46232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46232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45968</v>
      </c>
      <c r="E191" s="1" t="n">
        <v>46232</v>
      </c>
      <c r="F191" t="inlineStr">
        <is>
          <t>VÄRMLANDS LÄN</t>
        </is>
      </c>
      <c r="G191" t="inlineStr">
        <is>
          <t>FILIPSTAD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55175-2025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45968</v>
      </c>
      <c r="E192" s="1" t="n">
        <v>46232</v>
      </c>
      <c r="F192" t="inlineStr">
        <is>
          <t>VÄRMLANDS LÄN</t>
        </is>
      </c>
      <c r="G192" t="inlineStr">
        <is>
          <t>FILIPSTAD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46232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46232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46232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56008-2025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46232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46232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45973</v>
      </c>
      <c r="E198" s="1" t="n">
        <v>46232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46232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46232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46232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46232</v>
      </c>
      <c r="F202" t="inlineStr">
        <is>
          <t>VÄRMLANDS LÄN</t>
        </is>
      </c>
      <c r="G202" t="inlineStr">
        <is>
          <t>FILIPSTAD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46232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46232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46232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46232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46232</v>
      </c>
      <c r="F207" t="inlineStr">
        <is>
          <t>VÄRMLANDS LÄN</t>
        </is>
      </c>
      <c r="G207" t="inlineStr">
        <is>
          <t>FILIPSTAD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46232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45974</v>
      </c>
      <c r="E209" s="1" t="n">
        <v>46232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46232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56167-2025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45974</v>
      </c>
      <c r="E211" s="1" t="n">
        <v>46232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46232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19351-2025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45769</v>
      </c>
      <c r="E213" s="1" t="n">
        <v>46232</v>
      </c>
      <c r="F213" t="inlineStr">
        <is>
          <t>VÄRMLANDS LÄN</t>
        </is>
      </c>
      <c r="G213" t="inlineStr">
        <is>
          <t>FILIPSTAD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46232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46232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46232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46232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58211-2025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45985</v>
      </c>
      <c r="E218" s="1" t="n">
        <v>46232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45671</v>
      </c>
      <c r="E219" s="1" t="n">
        <v>46232</v>
      </c>
      <c r="F219" t="inlineStr">
        <is>
          <t>VÄRMLANDS LÄN</t>
        </is>
      </c>
      <c r="G219" t="inlineStr">
        <is>
          <t>FILIPSTAD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46232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46232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46232</v>
      </c>
      <c r="F222" t="inlineStr">
        <is>
          <t>VÄRMLANDS LÄN</t>
        </is>
      </c>
      <c r="G222" t="inlineStr">
        <is>
          <t>FILIPSTAD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12491-2026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46090</v>
      </c>
      <c r="E223" s="1" t="n">
        <v>46232</v>
      </c>
      <c r="F223" t="inlineStr">
        <is>
          <t>VÄRMLANDS LÄN</t>
        </is>
      </c>
      <c r="G223" t="inlineStr">
        <is>
          <t>FILIPSTAD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46232</v>
      </c>
      <c r="F224" t="inlineStr">
        <is>
          <t>VÄRMLANDS LÄN</t>
        </is>
      </c>
      <c r="G224" t="inlineStr">
        <is>
          <t>FILIPSTAD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46232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46232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45989</v>
      </c>
      <c r="E227" s="1" t="n">
        <v>46232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46232</v>
      </c>
      <c r="F228" t="inlineStr">
        <is>
          <t>VÄRMLANDS LÄN</t>
        </is>
      </c>
      <c r="G228" t="inlineStr">
        <is>
          <t>FILIPSTAD</t>
        </is>
      </c>
      <c r="I228" t="n">
        <v>11.7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46232</v>
      </c>
      <c r="F229" t="inlineStr">
        <is>
          <t>VÄRMLANDS LÄN</t>
        </is>
      </c>
      <c r="G229" t="inlineStr">
        <is>
          <t>FILIPSTAD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59423-2025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46232</v>
      </c>
      <c r="F230" t="inlineStr">
        <is>
          <t>VÄRMLANDS LÄN</t>
        </is>
      </c>
      <c r="G230" t="inlineStr">
        <is>
          <t>FILIPSTAD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45992</v>
      </c>
      <c r="E231" s="1" t="n">
        <v>46232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46087</v>
      </c>
      <c r="E232" s="1" t="n">
        <v>46232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59707-2025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45992</v>
      </c>
      <c r="E233" s="1" t="n">
        <v>46232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46232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46232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46232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46232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46232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46232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46090</v>
      </c>
      <c r="E240" s="1" t="n">
        <v>46232</v>
      </c>
      <c r="F240" t="inlineStr">
        <is>
          <t>VÄRMLANDS LÄN</t>
        </is>
      </c>
      <c r="G240" t="inlineStr">
        <is>
          <t>FILIPSTAD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60653-2025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45996</v>
      </c>
      <c r="E241" s="1" t="n">
        <v>46232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46232</v>
      </c>
      <c r="F242" t="inlineStr">
        <is>
          <t>VÄRMLANDS LÄN</t>
        </is>
      </c>
      <c r="G242" t="inlineStr">
        <is>
          <t>FILIPSTAD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61492-2025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46001</v>
      </c>
      <c r="E243" s="1" t="n">
        <v>46232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46232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46232</v>
      </c>
      <c r="F245" t="inlineStr">
        <is>
          <t>VÄRMLANDS LÄN</t>
        </is>
      </c>
      <c r="G245" t="inlineStr">
        <is>
          <t>FILIPSTAD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46232</v>
      </c>
      <c r="F246" t="inlineStr">
        <is>
          <t>VÄRMLANDS LÄN</t>
        </is>
      </c>
      <c r="G246" t="inlineStr">
        <is>
          <t>FILIPSTAD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63482-2021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44508</v>
      </c>
      <c r="E247" s="1" t="n">
        <v>46232</v>
      </c>
      <c r="F247" t="inlineStr">
        <is>
          <t>VÄRMLANDS LÄN</t>
        </is>
      </c>
      <c r="G247" t="inlineStr">
        <is>
          <t>FILIPSTAD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46001</v>
      </c>
      <c r="E248" s="1" t="n">
        <v>46232</v>
      </c>
      <c r="F248" t="inlineStr">
        <is>
          <t>VÄRMLANDS LÄN</t>
        </is>
      </c>
      <c r="G248" t="inlineStr">
        <is>
          <t>FILIPSTAD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61362-2025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46001</v>
      </c>
      <c r="E249" s="1" t="n">
        <v>46232</v>
      </c>
      <c r="F249" t="inlineStr">
        <is>
          <t>VÄRMLANDS LÄN</t>
        </is>
      </c>
      <c r="G249" t="inlineStr">
        <is>
          <t>FILIPSTAD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61417-2025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46001</v>
      </c>
      <c r="E250" s="1" t="n">
        <v>46232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46232</v>
      </c>
      <c r="F251" t="inlineStr">
        <is>
          <t>VÄRMLANDS LÄN</t>
        </is>
      </c>
      <c r="G251" t="inlineStr">
        <is>
          <t>FILIPSTAD</t>
        </is>
      </c>
      <c r="H251" t="inlineStr">
        <is>
          <t>Kommuner</t>
        </is>
      </c>
      <c r="I251" t="n">
        <v>17.7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59296-2023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46232</v>
      </c>
      <c r="F252" t="inlineStr">
        <is>
          <t>VÄRMLANDS LÄN</t>
        </is>
      </c>
      <c r="G252" t="inlineStr">
        <is>
          <t>FILIPSTAD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46232</v>
      </c>
      <c r="F253" t="inlineStr">
        <is>
          <t>VÄRMLANDS LÄN</t>
        </is>
      </c>
      <c r="G253" t="inlineStr">
        <is>
          <t>FILIPSTAD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61327-2025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46001</v>
      </c>
      <c r="E254" s="1" t="n">
        <v>46232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56840-2024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45628</v>
      </c>
      <c r="E255" s="1" t="n">
        <v>46232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61823-2025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46003</v>
      </c>
      <c r="E256" s="1" t="n">
        <v>46232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46232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46232</v>
      </c>
      <c r="F258" t="inlineStr">
        <is>
          <t>VÄRMLANDS LÄN</t>
        </is>
      </c>
      <c r="G258" t="inlineStr">
        <is>
          <t>FILIPSTAD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46232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61566-2025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46001</v>
      </c>
      <c r="E260" s="1" t="n">
        <v>46232</v>
      </c>
      <c r="F260" t="inlineStr">
        <is>
          <t>VÄRMLANDS LÄN</t>
        </is>
      </c>
      <c r="G260" t="inlineStr">
        <is>
          <t>FILIPSTAD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46232</v>
      </c>
      <c r="F261" t="inlineStr">
        <is>
          <t>VÄRMLANDS LÄN</t>
        </is>
      </c>
      <c r="G261" t="inlineStr">
        <is>
          <t>FILIPSTAD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46232</v>
      </c>
      <c r="F262" t="inlineStr">
        <is>
          <t>VÄRMLANDS LÄN</t>
        </is>
      </c>
      <c r="G262" t="inlineStr">
        <is>
          <t>FILIPSTAD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46232</v>
      </c>
      <c r="F263" t="inlineStr">
        <is>
          <t>VÄRMLANDS LÄN</t>
        </is>
      </c>
      <c r="G263" t="inlineStr">
        <is>
          <t>FILIPSTAD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46232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46094</v>
      </c>
      <c r="E265" s="1" t="n">
        <v>46232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62243-2025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46006</v>
      </c>
      <c r="E266" s="1" t="n">
        <v>46232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54127-2023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45232</v>
      </c>
      <c r="E267" s="1" t="n">
        <v>46232</v>
      </c>
      <c r="F267" t="inlineStr">
        <is>
          <t>VÄRMLANDS LÄN</t>
        </is>
      </c>
      <c r="G267" t="inlineStr">
        <is>
          <t>FILIPSTAD</t>
        </is>
      </c>
      <c r="I267" t="n">
        <v>15.5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46232</v>
      </c>
      <c r="F268" t="inlineStr">
        <is>
          <t>VÄRMLANDS LÄN</t>
        </is>
      </c>
      <c r="G268" t="inlineStr">
        <is>
          <t>FILIPSTAD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46004</v>
      </c>
      <c r="E269" s="1" t="n">
        <v>46232</v>
      </c>
      <c r="F269" t="inlineStr">
        <is>
          <t>VÄRMLANDS LÄN</t>
        </is>
      </c>
      <c r="G269" t="inlineStr">
        <is>
          <t>FILIPSTAD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13393-2026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46232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25338-2023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45087</v>
      </c>
      <c r="E271" s="1" t="n">
        <v>46232</v>
      </c>
      <c r="F271" t="inlineStr">
        <is>
          <t>VÄRMLANDS LÄN</t>
        </is>
      </c>
      <c r="G271" t="inlineStr">
        <is>
          <t>FILIPSTAD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45088</v>
      </c>
      <c r="E272" s="1" t="n">
        <v>46232</v>
      </c>
      <c r="F272" t="inlineStr">
        <is>
          <t>VÄRMLANDS LÄN</t>
        </is>
      </c>
      <c r="G272" t="inlineStr">
        <is>
          <t>FILIPSTAD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46232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13387-2026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46232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46094</v>
      </c>
      <c r="E275" s="1" t="n">
        <v>46232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46232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63186-2025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46010</v>
      </c>
      <c r="E277" s="1" t="n">
        <v>46232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13955-2026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46232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16100-2025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45750</v>
      </c>
      <c r="E279" s="1" t="n">
        <v>46232</v>
      </c>
      <c r="F279" t="inlineStr">
        <is>
          <t>VÄRMLANDS LÄN</t>
        </is>
      </c>
      <c r="G279" t="inlineStr">
        <is>
          <t>FILIPSTAD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46232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45167</v>
      </c>
      <c r="E281" s="1" t="n">
        <v>46232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46014</v>
      </c>
      <c r="E282" s="1" t="n">
        <v>46232</v>
      </c>
      <c r="F282" t="inlineStr">
        <is>
          <t>VÄRMLANDS LÄN</t>
        </is>
      </c>
      <c r="G282" t="inlineStr">
        <is>
          <t>FILIPSTAD</t>
        </is>
      </c>
      <c r="I282" t="n">
        <v>9.9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61741-2022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44911</v>
      </c>
      <c r="E283" s="1" t="n">
        <v>46232</v>
      </c>
      <c r="F283" t="inlineStr">
        <is>
          <t>VÄRMLANDS LÄN</t>
        </is>
      </c>
      <c r="G283" t="inlineStr">
        <is>
          <t>FILIPSTAD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13863-2026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46232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13.7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14315-2026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46232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46100</v>
      </c>
      <c r="E286" s="1" t="n">
        <v>46232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45758</v>
      </c>
      <c r="E287" s="1" t="n">
        <v>46232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46232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46232</v>
      </c>
      <c r="F289" t="inlineStr">
        <is>
          <t>VÄRMLANDS LÄN</t>
        </is>
      </c>
      <c r="G289" t="inlineStr">
        <is>
          <t>FILIPSTAD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28161-2023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45093</v>
      </c>
      <c r="E290" s="1" t="n">
        <v>46232</v>
      </c>
      <c r="F290" t="inlineStr">
        <is>
          <t>VÄRMLANDS LÄN</t>
        </is>
      </c>
      <c r="G290" t="inlineStr">
        <is>
          <t>FILIPSTAD</t>
        </is>
      </c>
      <c r="H290" t="inlineStr">
        <is>
          <t>Kommuner</t>
        </is>
      </c>
      <c r="I290" t="n">
        <v>15.4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46232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20663-2024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45436</v>
      </c>
      <c r="E292" s="1" t="n">
        <v>46232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46232</v>
      </c>
      <c r="F293" t="inlineStr">
        <is>
          <t>VÄRMLANDS LÄN</t>
        </is>
      </c>
      <c r="G293" t="inlineStr">
        <is>
          <t>FILIPSTAD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46106</v>
      </c>
      <c r="E294" s="1" t="n">
        <v>46232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46106</v>
      </c>
      <c r="E295" s="1" t="n">
        <v>46232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46232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44384-2021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44435</v>
      </c>
      <c r="E297" s="1" t="n">
        <v>46232</v>
      </c>
      <c r="F297" t="inlineStr">
        <is>
          <t>VÄRMLANDS LÄN</t>
        </is>
      </c>
      <c r="G297" t="inlineStr">
        <is>
          <t>FILIPSTAD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46232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46232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46107</v>
      </c>
      <c r="E300" s="1" t="n">
        <v>46232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46107</v>
      </c>
      <c r="E301" s="1" t="n">
        <v>46232</v>
      </c>
      <c r="F301" t="inlineStr">
        <is>
          <t>VÄRMLANDS LÄN</t>
        </is>
      </c>
      <c r="G301" t="inlineStr">
        <is>
          <t>FILIPSTAD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46232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16040-2026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46108</v>
      </c>
      <c r="E303" s="1" t="n">
        <v>46232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45229</v>
      </c>
      <c r="E304" s="1" t="n">
        <v>46232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46232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14459-2023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45012</v>
      </c>
      <c r="E306" s="1" t="n">
        <v>46232</v>
      </c>
      <c r="F306" t="inlineStr">
        <is>
          <t>VÄRMLANDS LÄN</t>
        </is>
      </c>
      <c r="G306" t="inlineStr">
        <is>
          <t>FILIPSTAD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46114</v>
      </c>
      <c r="E307" s="1" t="n">
        <v>46232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8.1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46232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8.4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46119</v>
      </c>
      <c r="E309" s="1" t="n">
        <v>46232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46232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17292-2026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46232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36251-2022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44803</v>
      </c>
      <c r="E312" s="1" t="n">
        <v>46232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46120</v>
      </c>
      <c r="E313" s="1" t="n">
        <v>46232</v>
      </c>
      <c r="F313" t="inlineStr">
        <is>
          <t>VÄRMLANDS LÄN</t>
        </is>
      </c>
      <c r="G313" t="inlineStr">
        <is>
          <t>FILIPSTAD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45364</v>
      </c>
      <c r="E314" s="1" t="n">
        <v>46232</v>
      </c>
      <c r="F314" t="inlineStr">
        <is>
          <t>VÄRMLANDS LÄN</t>
        </is>
      </c>
      <c r="G314" t="inlineStr">
        <is>
          <t>FILIPSTAD</t>
        </is>
      </c>
      <c r="I314" t="n">
        <v>6.4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45658</v>
      </c>
      <c r="E315" s="1" t="n">
        <v>46232</v>
      </c>
      <c r="F315" t="inlineStr">
        <is>
          <t>VÄRMLANDS LÄN</t>
        </is>
      </c>
      <c r="G315" t="inlineStr">
        <is>
          <t>FILIPSTAD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46232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46232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17900-2026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46122</v>
      </c>
      <c r="E318" s="1" t="n">
        <v>46232</v>
      </c>
      <c r="F318" t="inlineStr">
        <is>
          <t>VÄRMLANDS LÄN</t>
        </is>
      </c>
      <c r="G318" t="inlineStr">
        <is>
          <t>FILIPSTAD</t>
        </is>
      </c>
      <c r="H318" t="inlineStr">
        <is>
          <t>Kommuner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46122</v>
      </c>
      <c r="E319" s="1" t="n">
        <v>46232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46232</v>
      </c>
      <c r="F320" t="inlineStr">
        <is>
          <t>VÄRMLANDS LÄN</t>
        </is>
      </c>
      <c r="G320" t="inlineStr">
        <is>
          <t>FILIPSTAD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18022-2026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46232</v>
      </c>
      <c r="F321" t="inlineStr">
        <is>
          <t>VÄRMLANDS LÄN</t>
        </is>
      </c>
      <c r="G321" t="inlineStr">
        <is>
          <t>FILIPSTAD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18376-2026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46232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45401</v>
      </c>
      <c r="E323" s="1" t="n">
        <v>46232</v>
      </c>
      <c r="F323" t="inlineStr">
        <is>
          <t>VÄRMLANDS LÄN</t>
        </is>
      </c>
      <c r="G323" t="inlineStr">
        <is>
          <t>FILIPSTAD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45618</v>
      </c>
      <c r="E324" s="1" t="n">
        <v>46232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12837-2024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45384</v>
      </c>
      <c r="E325" s="1" t="n">
        <v>46232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54828-2023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45229</v>
      </c>
      <c r="E326" s="1" t="n">
        <v>46232</v>
      </c>
      <c r="F326" t="inlineStr">
        <is>
          <t>VÄRMLANDS LÄN</t>
        </is>
      </c>
      <c r="G326" t="inlineStr">
        <is>
          <t>FILIPSTAD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29474-2024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45484</v>
      </c>
      <c r="E327" s="1" t="n">
        <v>46232</v>
      </c>
      <c r="F327" t="inlineStr">
        <is>
          <t>VÄRMLANDS LÄN</t>
        </is>
      </c>
      <c r="G327" t="inlineStr">
        <is>
          <t>FILIPSTAD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4418-2024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45327</v>
      </c>
      <c r="E328" s="1" t="n">
        <v>46232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46232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46232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18892-2026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46232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46232</v>
      </c>
      <c r="F332" t="inlineStr">
        <is>
          <t>VÄRMLANDS LÄN</t>
        </is>
      </c>
      <c r="G332" t="inlineStr">
        <is>
          <t>FILIPSTAD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46232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45152</v>
      </c>
      <c r="E334" s="1" t="n">
        <v>46232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46232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46127</v>
      </c>
      <c r="E336" s="1" t="n">
        <v>46232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46232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46128</v>
      </c>
      <c r="E338" s="1" t="n">
        <v>46232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46232</v>
      </c>
      <c r="F339" t="inlineStr">
        <is>
          <t>VÄRMLANDS LÄN</t>
        </is>
      </c>
      <c r="G339" t="inlineStr">
        <is>
          <t>FILIPSTAD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18507-2026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46232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19361-2026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46232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46232</v>
      </c>
      <c r="F342" t="inlineStr">
        <is>
          <t>VÄRMLANDS LÄN</t>
        </is>
      </c>
      <c r="G342" t="inlineStr">
        <is>
          <t>FILIPSTAD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19435-2026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46232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19882-2026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46232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8.800000000000001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19595-2026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46134</v>
      </c>
      <c r="E345" s="1" t="n">
        <v>46232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46232</v>
      </c>
      <c r="F346" t="inlineStr">
        <is>
          <t>VÄRMLANDS LÄN</t>
        </is>
      </c>
      <c r="G346" t="inlineStr">
        <is>
          <t>FILIPSTAD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19760-2026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46232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46232</v>
      </c>
      <c r="F348" t="inlineStr">
        <is>
          <t>VÄRMLANDS LÄN</t>
        </is>
      </c>
      <c r="G348" t="inlineStr">
        <is>
          <t>FILIPSTAD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50786-2024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45602</v>
      </c>
      <c r="E349" s="1" t="n">
        <v>46232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46232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47890-2024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45588</v>
      </c>
      <c r="E351" s="1" t="n">
        <v>46232</v>
      </c>
      <c r="F351" t="inlineStr">
        <is>
          <t>VÄRMLANDS LÄN</t>
        </is>
      </c>
      <c r="G351" t="inlineStr">
        <is>
          <t>FILIPSTAD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54080-2025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46232</v>
      </c>
      <c r="F352" t="inlineStr">
        <is>
          <t>VÄRMLANDS LÄN</t>
        </is>
      </c>
      <c r="G352" t="inlineStr">
        <is>
          <t>FILIPSTAD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45391</v>
      </c>
      <c r="E353" s="1" t="n">
        <v>46232</v>
      </c>
      <c r="F353" t="inlineStr">
        <is>
          <t>VÄRMLANDS LÄN</t>
        </is>
      </c>
      <c r="G353" t="inlineStr">
        <is>
          <t>FILIPSTAD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70405-2021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44536</v>
      </c>
      <c r="E354" s="1" t="n">
        <v>46232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44579</v>
      </c>
      <c r="E355" s="1" t="n">
        <v>46232</v>
      </c>
      <c r="F355" t="inlineStr">
        <is>
          <t>VÄRMLANDS LÄN</t>
        </is>
      </c>
      <c r="G355" t="inlineStr">
        <is>
          <t>FILIPSTAD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38075-2025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45882</v>
      </c>
      <c r="E356" s="1" t="n">
        <v>46232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46232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40646-2025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45896</v>
      </c>
      <c r="E358" s="1" t="n">
        <v>46232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46232</v>
      </c>
      <c r="F359" t="inlineStr">
        <is>
          <t>VÄRMLANDS LÄN</t>
        </is>
      </c>
      <c r="G359" t="inlineStr">
        <is>
          <t>FILIPSTAD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46136</v>
      </c>
      <c r="E360" s="1" t="n">
        <v>46232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43634-2021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44433</v>
      </c>
      <c r="E361" s="1" t="n">
        <v>46232</v>
      </c>
      <c r="F361" t="inlineStr">
        <is>
          <t>VÄRMLANDS LÄN</t>
        </is>
      </c>
      <c r="G361" t="inlineStr">
        <is>
          <t>FILIPSTAD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45139-2021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44439</v>
      </c>
      <c r="E362" s="1" t="n">
        <v>46232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45037</v>
      </c>
      <c r="E363" s="1" t="n">
        <v>46232</v>
      </c>
      <c r="F363" t="inlineStr">
        <is>
          <t>VÄRMLANDS LÄN</t>
        </is>
      </c>
      <c r="G363" t="inlineStr">
        <is>
          <t>FILIPSTAD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33671-2022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44789</v>
      </c>
      <c r="E364" s="1" t="n">
        <v>46232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45420</v>
      </c>
      <c r="E365" s="1" t="n">
        <v>46232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44805</v>
      </c>
      <c r="E366" s="1" t="n">
        <v>46232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46232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33449-2025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45841</v>
      </c>
      <c r="E368" s="1" t="n">
        <v>46232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45133</v>
      </c>
      <c r="E369" s="1" t="n">
        <v>46232</v>
      </c>
      <c r="F369" t="inlineStr">
        <is>
          <t>VÄRMLANDS LÄN</t>
        </is>
      </c>
      <c r="G369" t="inlineStr">
        <is>
          <t>FILIPSTAD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24054-2024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46232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22843-2025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46232</v>
      </c>
      <c r="F371" t="inlineStr">
        <is>
          <t>VÄRMLANDS LÄN</t>
        </is>
      </c>
      <c r="G371" t="inlineStr">
        <is>
          <t>FILIPSTAD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46232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54008-2021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44470</v>
      </c>
      <c r="E373" s="1" t="n">
        <v>46232</v>
      </c>
      <c r="F373" t="inlineStr">
        <is>
          <t>VÄRMLANDS LÄN</t>
        </is>
      </c>
      <c r="G373" t="inlineStr">
        <is>
          <t>FILIPSTAD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32059-2025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45835</v>
      </c>
      <c r="E374" s="1" t="n">
        <v>46232</v>
      </c>
      <c r="F374" t="inlineStr">
        <is>
          <t>VÄRMLANDS LÄN</t>
        </is>
      </c>
      <c r="G374" t="inlineStr">
        <is>
          <t>FILIPSTAD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46232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46232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46136</v>
      </c>
      <c r="E377" s="1" t="n">
        <v>46232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45789</v>
      </c>
      <c r="E378" s="1" t="n">
        <v>46232</v>
      </c>
      <c r="F378" t="inlineStr">
        <is>
          <t>VÄRMLANDS LÄN</t>
        </is>
      </c>
      <c r="G378" t="inlineStr">
        <is>
          <t>FILIPSTAD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46232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39896-2025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45891</v>
      </c>
      <c r="E380" s="1" t="n">
        <v>46232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28687-2025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46232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20489-2026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46140</v>
      </c>
      <c r="E382" s="1" t="n">
        <v>46232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49602-2025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46232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46232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46257-2022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44847</v>
      </c>
      <c r="E385" s="1" t="n">
        <v>46232</v>
      </c>
      <c r="F385" t="inlineStr">
        <is>
          <t>VÄRMLANDS LÄN</t>
        </is>
      </c>
      <c r="G385" t="inlineStr">
        <is>
          <t>FILIPSTAD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46140</v>
      </c>
      <c r="E386" s="1" t="n">
        <v>46232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46108</v>
      </c>
      <c r="E387" s="1" t="n">
        <v>46232</v>
      </c>
      <c r="F387" t="inlineStr">
        <is>
          <t>VÄRMLANDS LÄN</t>
        </is>
      </c>
      <c r="G387" t="inlineStr">
        <is>
          <t>FILIPSTAD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54836-2023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45229</v>
      </c>
      <c r="E388" s="1" t="n">
        <v>46232</v>
      </c>
      <c r="F388" t="inlineStr">
        <is>
          <t>VÄRMLANDS LÄN</t>
        </is>
      </c>
      <c r="G388" t="inlineStr">
        <is>
          <t>FILIPSTAD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36272-2025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45867</v>
      </c>
      <c r="E389" s="1" t="n">
        <v>46232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46232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24139-2024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45456</v>
      </c>
      <c r="E391" s="1" t="n">
        <v>46232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45880</v>
      </c>
      <c r="E392" s="1" t="n">
        <v>46232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7.6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20554-2025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45775</v>
      </c>
      <c r="E393" s="1" t="n">
        <v>46232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45077</v>
      </c>
      <c r="E394" s="1" t="n">
        <v>46232</v>
      </c>
      <c r="F394" t="inlineStr">
        <is>
          <t>VÄRMLANDS LÄN</t>
        </is>
      </c>
      <c r="G394" t="inlineStr">
        <is>
          <t>FILIPSTAD</t>
        </is>
      </c>
      <c r="I394" t="n">
        <v>15.8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44960</v>
      </c>
      <c r="E395" s="1" t="n">
        <v>46232</v>
      </c>
      <c r="F395" t="inlineStr">
        <is>
          <t>VÄRMLANDS LÄN</t>
        </is>
      </c>
      <c r="G395" t="inlineStr">
        <is>
          <t>FILIPSTAD</t>
        </is>
      </c>
      <c r="H395" t="inlineStr">
        <is>
          <t>Kommuner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29473-2024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45484</v>
      </c>
      <c r="E396" s="1" t="n">
        <v>46232</v>
      </c>
      <c r="F396" t="inlineStr">
        <is>
          <t>VÄRMLANDS LÄN</t>
        </is>
      </c>
      <c r="G396" t="inlineStr">
        <is>
          <t>FILIPSTAD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20801-2026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46141</v>
      </c>
      <c r="E397" s="1" t="n">
        <v>46232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44588</v>
      </c>
      <c r="E398" s="1" t="n">
        <v>46232</v>
      </c>
      <c r="F398" t="inlineStr">
        <is>
          <t>VÄRMLANDS LÄN</t>
        </is>
      </c>
      <c r="G398" t="inlineStr">
        <is>
          <t>FILIPSTAD</t>
        </is>
      </c>
      <c r="H398" t="inlineStr">
        <is>
          <t>Kommuner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21593-2023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45063</v>
      </c>
      <c r="E399" s="1" t="n">
        <v>46232</v>
      </c>
      <c r="F399" t="inlineStr">
        <is>
          <t>VÄRMLANDS LÄN</t>
        </is>
      </c>
      <c r="G399" t="inlineStr">
        <is>
          <t>FILIPSTAD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9370-2023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44981</v>
      </c>
      <c r="E400" s="1" t="n">
        <v>46232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45203</v>
      </c>
      <c r="E401" s="1" t="n">
        <v>46232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46232</v>
      </c>
      <c r="F402" t="inlineStr">
        <is>
          <t>VÄRMLANDS LÄN</t>
        </is>
      </c>
      <c r="G402" t="inlineStr">
        <is>
          <t>FILIPSTAD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45463</v>
      </c>
      <c r="E403" s="1" t="n">
        <v>46232</v>
      </c>
      <c r="F403" t="inlineStr">
        <is>
          <t>VÄRMLANDS LÄN</t>
        </is>
      </c>
      <c r="G403" t="inlineStr">
        <is>
          <t>FILIPSTAD</t>
        </is>
      </c>
      <c r="I403" t="n">
        <v>13.2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44579</v>
      </c>
      <c r="E404" s="1" t="n">
        <v>46232</v>
      </c>
      <c r="F404" t="inlineStr">
        <is>
          <t>VÄRMLANDS LÄN</t>
        </is>
      </c>
      <c r="G404" t="inlineStr">
        <is>
          <t>FILIPSTAD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20874-2026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46142</v>
      </c>
      <c r="E405" s="1" t="n">
        <v>46232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7.9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46148</v>
      </c>
      <c r="E406" s="1" t="n">
        <v>46232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46190</v>
      </c>
      <c r="E407" s="1" t="n">
        <v>46232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45578</v>
      </c>
      <c r="E408" s="1" t="n">
        <v>46232</v>
      </c>
      <c r="F408" t="inlineStr">
        <is>
          <t>VÄRMLANDS LÄN</t>
        </is>
      </c>
      <c r="G408" t="inlineStr">
        <is>
          <t>FILIPSTAD</t>
        </is>
      </c>
      <c r="I408" t="n">
        <v>27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45120</v>
      </c>
      <c r="E409" s="1" t="n">
        <v>46232</v>
      </c>
      <c r="F409" t="inlineStr">
        <is>
          <t>VÄRMLANDS LÄN</t>
        </is>
      </c>
      <c r="G409" t="inlineStr">
        <is>
          <t>FILIPSTAD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45240</v>
      </c>
      <c r="E410" s="1" t="n">
        <v>46232</v>
      </c>
      <c r="F410" t="inlineStr">
        <is>
          <t>VÄRMLANDS LÄN</t>
        </is>
      </c>
      <c r="G410" t="inlineStr">
        <is>
          <t>FILIPSTAD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27774-2026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46191</v>
      </c>
      <c r="E411" s="1" t="n">
        <v>46232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27867-2026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46191</v>
      </c>
      <c r="E412" s="1" t="n">
        <v>46232</v>
      </c>
      <c r="F412" t="inlineStr">
        <is>
          <t>VÄRMLANDS LÄN</t>
        </is>
      </c>
      <c r="G412" t="inlineStr">
        <is>
          <t>FILIPSTAD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46232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22051-2026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46232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22144-2026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46232</v>
      </c>
      <c r="F415" t="inlineStr">
        <is>
          <t>VÄRMLANDS LÄN</t>
        </is>
      </c>
      <c r="G415" t="inlineStr">
        <is>
          <t>FILIPSTAD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27968-2026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46232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46232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47344-2023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45202</v>
      </c>
      <c r="E418" s="1" t="n">
        <v>46232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22201-2026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46232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22220-2026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46232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46232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22112-2026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46232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46153</v>
      </c>
      <c r="E423" s="1" t="n">
        <v>46232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46153</v>
      </c>
      <c r="E424" s="1" t="n">
        <v>46232</v>
      </c>
      <c r="F424" t="inlineStr">
        <is>
          <t>VÄRMLANDS LÄN</t>
        </is>
      </c>
      <c r="G424" t="inlineStr">
        <is>
          <t>FILIPSTAD</t>
        </is>
      </c>
      <c r="I424" t="n">
        <v>10.8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46232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46232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45547</v>
      </c>
      <c r="E427" s="1" t="n">
        <v>46232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46232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46232</v>
      </c>
      <c r="F429" t="inlineStr">
        <is>
          <t>VÄRMLANDS LÄN</t>
        </is>
      </c>
      <c r="G429" t="inlineStr">
        <is>
          <t>FILIPSTAD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17794-2024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45418</v>
      </c>
      <c r="E430" s="1" t="n">
        <v>46232</v>
      </c>
      <c r="F430" t="inlineStr">
        <is>
          <t>VÄRMLANDS LÄN</t>
        </is>
      </c>
      <c r="G430" t="inlineStr">
        <is>
          <t>FILIPSTAD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46197</v>
      </c>
      <c r="E431" s="1" t="n">
        <v>46232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44994</v>
      </c>
      <c r="E432" s="1" t="n">
        <v>46232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45616</v>
      </c>
      <c r="E433" s="1" t="n">
        <v>46232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46232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28516-2026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46197</v>
      </c>
      <c r="E435" s="1" t="n">
        <v>46232</v>
      </c>
      <c r="F435" t="inlineStr">
        <is>
          <t>VÄRMLANDS LÄN</t>
        </is>
      </c>
      <c r="G435" t="inlineStr">
        <is>
          <t>FILIPSTAD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55397-2022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44887</v>
      </c>
      <c r="E436" s="1" t="n">
        <v>46232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41075-2023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46232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22533-2026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46155</v>
      </c>
      <c r="E438" s="1" t="n">
        <v>46232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45014</v>
      </c>
      <c r="E439" s="1" t="n">
        <v>46232</v>
      </c>
      <c r="F439" t="inlineStr">
        <is>
          <t>VÄRMLANDS LÄN</t>
        </is>
      </c>
      <c r="G439" t="inlineStr">
        <is>
          <t>FILIPSTAD</t>
        </is>
      </c>
      <c r="H439" t="inlineStr">
        <is>
          <t>Kyrkan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4819-2023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44957</v>
      </c>
      <c r="E440" s="1" t="n">
        <v>46232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46232</v>
      </c>
      <c r="F441" t="inlineStr">
        <is>
          <t>VÄRMLANDS LÄN</t>
        </is>
      </c>
      <c r="G441" t="inlineStr">
        <is>
          <t>FILIPSTAD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46232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32185-2024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45511</v>
      </c>
      <c r="E443" s="1" t="n">
        <v>46232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5754-2022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44596</v>
      </c>
      <c r="E444" s="1" t="n">
        <v>46232</v>
      </c>
      <c r="F444" t="inlineStr">
        <is>
          <t>VÄRMLANDS LÄN</t>
        </is>
      </c>
      <c r="G444" t="inlineStr">
        <is>
          <t>FILIPSTAD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43635-2023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45186</v>
      </c>
      <c r="E445" s="1" t="n">
        <v>46232</v>
      </c>
      <c r="F445" t="inlineStr">
        <is>
          <t>VÄRMLANDS LÄN</t>
        </is>
      </c>
      <c r="G445" t="inlineStr">
        <is>
          <t>FILIPSTAD</t>
        </is>
      </c>
      <c r="I445" t="n">
        <v>15.3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46232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43633-2024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45569</v>
      </c>
      <c r="E447" s="1" t="n">
        <v>46232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31358-2023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45114</v>
      </c>
      <c r="E448" s="1" t="n">
        <v>46232</v>
      </c>
      <c r="F448" t="inlineStr">
        <is>
          <t>VÄRMLANDS LÄN</t>
        </is>
      </c>
      <c r="G448" t="inlineStr">
        <is>
          <t>FILIPSTAD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57026-2023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45244</v>
      </c>
      <c r="E449" s="1" t="n">
        <v>46232</v>
      </c>
      <c r="F449" t="inlineStr">
        <is>
          <t>VÄRMLANDS LÄN</t>
        </is>
      </c>
      <c r="G449" t="inlineStr">
        <is>
          <t>FILIPSTAD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45775</v>
      </c>
      <c r="E450" s="1" t="n">
        <v>46232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46680-2024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45583</v>
      </c>
      <c r="E451" s="1" t="n">
        <v>46232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46232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46202</v>
      </c>
      <c r="E453" s="1" t="n">
        <v>46232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19030-2022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44691</v>
      </c>
      <c r="E454" s="1" t="n">
        <v>46232</v>
      </c>
      <c r="F454" t="inlineStr">
        <is>
          <t>VÄRMLANDS LÄN</t>
        </is>
      </c>
      <c r="G454" t="inlineStr">
        <is>
          <t>FILIPSTAD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46232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45096</v>
      </c>
      <c r="E456" s="1" t="n">
        <v>46232</v>
      </c>
      <c r="F456" t="inlineStr">
        <is>
          <t>VÄRMLANDS LÄN</t>
        </is>
      </c>
      <c r="G456" t="inlineStr">
        <is>
          <t>FILIPSTAD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46232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46232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46232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29591-2026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46232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46163</v>
      </c>
      <c r="E461" s="1" t="n">
        <v>46232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46232</v>
      </c>
      <c r="F462" t="inlineStr">
        <is>
          <t>VÄRMLANDS LÄN</t>
        </is>
      </c>
      <c r="G462" t="inlineStr">
        <is>
          <t>FILIPSTAD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45655</v>
      </c>
      <c r="E463" s="1" t="n">
        <v>46232</v>
      </c>
      <c r="F463" t="inlineStr">
        <is>
          <t>VÄRMLANDS LÄN</t>
        </is>
      </c>
      <c r="G463" t="inlineStr">
        <is>
          <t>FILIPSTAD</t>
        </is>
      </c>
      <c r="I463" t="n">
        <v>26.5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62014-2024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45655</v>
      </c>
      <c r="E464" s="1" t="n">
        <v>46232</v>
      </c>
      <c r="F464" t="inlineStr">
        <is>
          <t>VÄRMLANDS LÄN</t>
        </is>
      </c>
      <c r="G464" t="inlineStr">
        <is>
          <t>FILIPSTAD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46232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46232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23555-2026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46163</v>
      </c>
      <c r="E467" s="1" t="n">
        <v>46232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23602-2026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46163</v>
      </c>
      <c r="E468" s="1" t="n">
        <v>46232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8.699999999999999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46203</v>
      </c>
      <c r="E469" s="1" t="n">
        <v>46232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8.199999999999999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46232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29417-2026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46232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45077</v>
      </c>
      <c r="E472" s="1" t="n">
        <v>46232</v>
      </c>
      <c r="F472" t="inlineStr">
        <is>
          <t>VÄRMLANDS LÄN</t>
        </is>
      </c>
      <c r="G472" t="inlineStr">
        <is>
          <t>FILIPSTAD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46205</v>
      </c>
      <c r="E473" s="1" t="n">
        <v>46232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23576-2026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46232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46232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20.3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1170-2023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44935</v>
      </c>
      <c r="E476" s="1" t="n">
        <v>46232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5992-2023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44959</v>
      </c>
      <c r="E477" s="1" t="n">
        <v>46232</v>
      </c>
      <c r="F477" t="inlineStr">
        <is>
          <t>VÄRMLANDS LÄN</t>
        </is>
      </c>
      <c r="G477" t="inlineStr">
        <is>
          <t>FILIPSTAD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46167</v>
      </c>
      <c r="E478" s="1" t="n">
        <v>46232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23952-2026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46232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23931-2026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46167</v>
      </c>
      <c r="E480" s="1" t="n">
        <v>46232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53562-2023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45230</v>
      </c>
      <c r="E481" s="1" t="n">
        <v>46232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9.9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46232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46232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24026-2026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46232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46232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46232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9.300000000000001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46232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63411-2023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45274</v>
      </c>
      <c r="E488" s="1" t="n">
        <v>46232</v>
      </c>
      <c r="F488" t="inlineStr">
        <is>
          <t>VÄRMLANDS LÄN</t>
        </is>
      </c>
      <c r="G488" t="inlineStr">
        <is>
          <t>FILIPSTAD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23922-2026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46232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46232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46232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46232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23959-2026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46232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43484-2023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45184</v>
      </c>
      <c r="E494" s="1" t="n">
        <v>46232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46210</v>
      </c>
      <c r="E495" s="1" t="n">
        <v>46232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46232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33973-2023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45124</v>
      </c>
      <c r="E497" s="1" t="n">
        <v>46232</v>
      </c>
      <c r="F497" t="inlineStr">
        <is>
          <t>VÄRMLANDS LÄN</t>
        </is>
      </c>
      <c r="G497" t="inlineStr">
        <is>
          <t>FILIPSTAD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24260-2026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46169</v>
      </c>
      <c r="E498" s="1" t="n">
        <v>46232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46232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24288-2026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46169</v>
      </c>
      <c r="E500" s="1" t="n">
        <v>46232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34262-2024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45524</v>
      </c>
      <c r="E501" s="1" t="n">
        <v>46232</v>
      </c>
      <c r="F501" t="inlineStr">
        <is>
          <t>VÄRMLANDS LÄN</t>
        </is>
      </c>
      <c r="G501" t="inlineStr">
        <is>
          <t>FILIPSTAD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49935-2025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45940</v>
      </c>
      <c r="E502" s="1" t="n">
        <v>46232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45592-2024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45579</v>
      </c>
      <c r="E503" s="1" t="n">
        <v>46232</v>
      </c>
      <c r="F503" t="inlineStr">
        <is>
          <t>VÄRMLANDS LÄN</t>
        </is>
      </c>
      <c r="G503" t="inlineStr">
        <is>
          <t>FILIPSTAD</t>
        </is>
      </c>
      <c r="H503" t="inlineStr">
        <is>
          <t>Kyrkan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43264-2024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45568</v>
      </c>
      <c r="E504" s="1" t="n">
        <v>46232</v>
      </c>
      <c r="F504" t="inlineStr">
        <is>
          <t>VÄRMLANDS LÄN</t>
        </is>
      </c>
      <c r="G504" t="inlineStr">
        <is>
          <t>FILIPSTAD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46170</v>
      </c>
      <c r="E505" s="1" t="n">
        <v>46232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46232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24529-2026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46232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46232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46212</v>
      </c>
      <c r="E509" s="1" t="n">
        <v>46232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46232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46232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46232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6860-2024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46232</v>
      </c>
      <c r="F513" t="inlineStr">
        <is>
          <t>VÄRMLANDS LÄN</t>
        </is>
      </c>
      <c r="G513" t="inlineStr">
        <is>
          <t>FILIPSTAD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46232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8.5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24886-2026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46232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16063-2025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45749</v>
      </c>
      <c r="E516" s="1" t="n">
        <v>46232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46232</v>
      </c>
      <c r="F517" t="inlineStr">
        <is>
          <t>VÄRMLANDS LÄN</t>
        </is>
      </c>
      <c r="G517" t="inlineStr">
        <is>
          <t>FILIPSTAD</t>
        </is>
      </c>
      <c r="I517" t="n">
        <v>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45835</v>
      </c>
      <c r="E518" s="1" t="n">
        <v>46232</v>
      </c>
      <c r="F518" t="inlineStr">
        <is>
          <t>VÄRMLANDS LÄN</t>
        </is>
      </c>
      <c r="G518" t="inlineStr">
        <is>
          <t>FILIPSTAD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46232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8.9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46232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25205-2026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46175</v>
      </c>
      <c r="E521" s="1" t="n">
        <v>46232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31283-2026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46218</v>
      </c>
      <c r="E522" s="1" t="n">
        <v>46232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46178</v>
      </c>
      <c r="E523" s="1" t="n">
        <v>46232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25869-2026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46178</v>
      </c>
      <c r="E524" s="1" t="n">
        <v>46232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31537-2026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46223</v>
      </c>
      <c r="E525" s="1" t="n">
        <v>46232</v>
      </c>
      <c r="F525" t="inlineStr">
        <is>
          <t>VÄRMLANDS LÄN</t>
        </is>
      </c>
      <c r="G525" t="inlineStr">
        <is>
          <t>FILIPSTAD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45567</v>
      </c>
      <c r="E526" s="1" t="n">
        <v>46232</v>
      </c>
      <c r="F526" t="inlineStr">
        <is>
          <t>VÄRMLANDS LÄN</t>
        </is>
      </c>
      <c r="G526" t="inlineStr">
        <is>
          <t>FILIPSTAD</t>
        </is>
      </c>
      <c r="H526" t="inlineStr">
        <is>
          <t>Kyrkan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6683-2025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46232</v>
      </c>
      <c r="F527" t="inlineStr">
        <is>
          <t>VÄRMLANDS LÄN</t>
        </is>
      </c>
      <c r="G527" t="inlineStr">
        <is>
          <t>FILIPSTAD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31548-2026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46223</v>
      </c>
      <c r="E528" s="1" t="n">
        <v>46232</v>
      </c>
      <c r="F528" t="inlineStr">
        <is>
          <t>VÄRMLANDS LÄN</t>
        </is>
      </c>
      <c r="G528" t="inlineStr">
        <is>
          <t>FILIPSTAD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25376-2023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45088</v>
      </c>
      <c r="E529" s="1" t="n">
        <v>46232</v>
      </c>
      <c r="F529" t="inlineStr">
        <is>
          <t>VÄRMLANDS LÄN</t>
        </is>
      </c>
      <c r="G529" t="inlineStr">
        <is>
          <t>FILIPSTAD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20606-2025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46232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46232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46225</v>
      </c>
      <c r="E532" s="1" t="n">
        <v>46232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69015-2021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44530</v>
      </c>
      <c r="E533" s="1" t="n">
        <v>46232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26227-2026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46232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45439</v>
      </c>
      <c r="E535" s="1" t="n">
        <v>46232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26211-2026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46232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44960</v>
      </c>
      <c r="E537" s="1" t="n">
        <v>46232</v>
      </c>
      <c r="F537" t="inlineStr">
        <is>
          <t>VÄRMLANDS LÄN</t>
        </is>
      </c>
      <c r="G537" t="inlineStr">
        <is>
          <t>FILIPSTAD</t>
        </is>
      </c>
      <c r="H537" t="inlineStr">
        <is>
          <t>Kommuner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46232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26323-2026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46232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26343-2026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46232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46181</v>
      </c>
      <c r="E541" s="1" t="n">
        <v>46232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20661-2024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45436</v>
      </c>
      <c r="E542" s="1" t="n">
        <v>46232</v>
      </c>
      <c r="F542" t="inlineStr">
        <is>
          <t>VÄRMLANDS LÄN</t>
        </is>
      </c>
      <c r="G542" t="inlineStr">
        <is>
          <t>FILIPSTAD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46232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31688-2026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46226</v>
      </c>
      <c r="E544" s="1" t="n">
        <v>46232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46226</v>
      </c>
      <c r="E545" s="1" t="n">
        <v>46232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46183</v>
      </c>
      <c r="E546" s="1" t="n">
        <v>46232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46232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53690-2022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44880</v>
      </c>
      <c r="E548" s="1" t="n">
        <v>46232</v>
      </c>
      <c r="F548" t="inlineStr">
        <is>
          <t>VÄRMLANDS LÄN</t>
        </is>
      </c>
      <c r="G548" t="inlineStr">
        <is>
          <t>FILIPSTAD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6728-2025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45700</v>
      </c>
      <c r="E549" s="1" t="n">
        <v>46232</v>
      </c>
      <c r="F549" t="inlineStr">
        <is>
          <t>VÄRMLANDS LÄN</t>
        </is>
      </c>
      <c r="G549" t="inlineStr">
        <is>
          <t>FILIPSTAD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46232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46227</v>
      </c>
      <c r="E551" s="1" t="n">
        <v>46232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31706-2026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46226</v>
      </c>
      <c r="E552" s="1" t="n">
        <v>46232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46227</v>
      </c>
      <c r="E553" s="1" t="n">
        <v>46232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48040-2023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45204</v>
      </c>
      <c r="E554" s="1" t="n">
        <v>46232</v>
      </c>
      <c r="F554" t="inlineStr">
        <is>
          <t>VÄRMLANDS LÄN</t>
        </is>
      </c>
      <c r="G554" t="inlineStr">
        <is>
          <t>FILIPSTAD</t>
        </is>
      </c>
      <c r="I554" t="n">
        <v>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52981-2021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44467</v>
      </c>
      <c r="E555" s="1" t="n">
        <v>46232</v>
      </c>
      <c r="F555" t="inlineStr">
        <is>
          <t>VÄRMLANDS LÄN</t>
        </is>
      </c>
      <c r="G555" t="inlineStr">
        <is>
          <t>FILIPSTAD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46232</v>
      </c>
      <c r="F556" t="inlineStr">
        <is>
          <t>VÄRMLANDS LÄN</t>
        </is>
      </c>
      <c r="G556" t="inlineStr">
        <is>
          <t>FILIPSTAD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10306-2025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45720</v>
      </c>
      <c r="E557" s="1" t="n">
        <v>46232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27300-2026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46188</v>
      </c>
      <c r="E558" s="1" t="n">
        <v>46232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46187</v>
      </c>
      <c r="E559" s="1" t="n">
        <v>46232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46232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51266-2021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44461</v>
      </c>
      <c r="E561" s="1" t="n">
        <v>46232</v>
      </c>
      <c r="F561" t="inlineStr">
        <is>
          <t>VÄRMLANDS LÄN</t>
        </is>
      </c>
      <c r="G561" t="inlineStr">
        <is>
          <t>FILIPSTAD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51618-2022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44872</v>
      </c>
      <c r="E562" s="1" t="n">
        <v>46232</v>
      </c>
      <c r="F562" t="inlineStr">
        <is>
          <t>VÄRMLANDS LÄN</t>
        </is>
      </c>
      <c r="G562" t="inlineStr">
        <is>
          <t>FILIPSTAD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46231</v>
      </c>
      <c r="E563" s="1" t="n">
        <v>46232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32786-2024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45516</v>
      </c>
      <c r="E564" s="1" t="n">
        <v>46232</v>
      </c>
      <c r="F564" t="inlineStr">
        <is>
          <t>VÄRMLANDS LÄN</t>
        </is>
      </c>
      <c r="G564" t="inlineStr">
        <is>
          <t>FILIPSTAD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27372-2026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46232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37611-2022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44809</v>
      </c>
      <c r="E566" s="1" t="n">
        <v>46232</v>
      </c>
      <c r="F566" t="inlineStr">
        <is>
          <t>VÄRMLANDS LÄN</t>
        </is>
      </c>
      <c r="G566" t="inlineStr">
        <is>
          <t>FILIPSTAD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16591-2022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44672</v>
      </c>
      <c r="E567" s="1" t="n">
        <v>46232</v>
      </c>
      <c r="F567" t="inlineStr">
        <is>
          <t>VÄRMLANDS LÄN</t>
        </is>
      </c>
      <c r="G567" t="inlineStr">
        <is>
          <t>FILIPSTAD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46186</v>
      </c>
      <c r="E568" s="1" t="n">
        <v>46232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5.6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27079-2026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46186</v>
      </c>
      <c r="E569" s="1" t="n">
        <v>46232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12160-2023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44998</v>
      </c>
      <c r="E570" s="1" t="n">
        <v>46232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45195</v>
      </c>
      <c r="E571" s="1" t="n">
        <v>46232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46232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27139-2024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45471</v>
      </c>
      <c r="E573" s="1" t="n">
        <v>46232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45414</v>
      </c>
      <c r="E574" s="1" t="n">
        <v>46232</v>
      </c>
      <c r="F574" t="inlineStr">
        <is>
          <t>VÄRMLANDS LÄN</t>
        </is>
      </c>
      <c r="G574" t="inlineStr">
        <is>
          <t>FILIPSTAD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47002-2024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45586</v>
      </c>
      <c r="E575" s="1" t="n">
        <v>46232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30646-2024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45495</v>
      </c>
      <c r="E576" s="1" t="n">
        <v>46232</v>
      </c>
      <c r="F576" t="inlineStr">
        <is>
          <t>VÄRMLANDS LÄN</t>
        </is>
      </c>
      <c r="G576" t="inlineStr">
        <is>
          <t>FILIPSTAD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46232</v>
      </c>
      <c r="F577" t="inlineStr">
        <is>
          <t>VÄRMLANDS LÄN</t>
        </is>
      </c>
      <c r="G577" t="inlineStr">
        <is>
          <t>FILIPSTAD</t>
        </is>
      </c>
      <c r="H577" t="inlineStr">
        <is>
          <t>Kommuner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45439</v>
      </c>
      <c r="E578" s="1" t="n">
        <v>46232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65167-2021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44515</v>
      </c>
      <c r="E579" s="1" t="n">
        <v>46232</v>
      </c>
      <c r="F579" t="inlineStr">
        <is>
          <t>VÄRMLANDS LÄN</t>
        </is>
      </c>
      <c r="G579" t="inlineStr">
        <is>
          <t>FILIPSTAD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28357-2024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46232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46232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23266-2025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46232</v>
      </c>
      <c r="F582" t="inlineStr">
        <is>
          <t>VÄRMLANDS LÄN</t>
        </is>
      </c>
      <c r="G582" t="inlineStr">
        <is>
          <t>FILIPSTAD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48702-2024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45593</v>
      </c>
      <c r="E583" s="1" t="n">
        <v>46232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22880-2025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46232</v>
      </c>
      <c r="F584" t="inlineStr">
        <is>
          <t>VÄRMLANDS LÄN</t>
        </is>
      </c>
      <c r="G584" t="inlineStr">
        <is>
          <t>FILIPSTAD</t>
        </is>
      </c>
      <c r="H584" t="inlineStr">
        <is>
          <t>Kyrkan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45667</v>
      </c>
      <c r="E585" s="1" t="n">
        <v>46232</v>
      </c>
      <c r="F585" t="inlineStr">
        <is>
          <t>VÄRMLANDS LÄN</t>
        </is>
      </c>
      <c r="G585" t="inlineStr">
        <is>
          <t>FILIPSTAD</t>
        </is>
      </c>
      <c r="H585" t="inlineStr">
        <is>
          <t>Kommuner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45793</v>
      </c>
      <c r="E586" s="1" t="n">
        <v>46232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23399-2025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45792</v>
      </c>
      <c r="E587" s="1" t="n">
        <v>46232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23475-2025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45792</v>
      </c>
      <c r="E588" s="1" t="n">
        <v>46232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45355</v>
      </c>
      <c r="E589" s="1" t="n">
        <v>46232</v>
      </c>
      <c r="F589" t="inlineStr">
        <is>
          <t>VÄRMLANDS LÄN</t>
        </is>
      </c>
      <c r="G589" t="inlineStr">
        <is>
          <t>FILIPSTAD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72118-2021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44543</v>
      </c>
      <c r="E590" s="1" t="n">
        <v>46232</v>
      </c>
      <c r="F590" t="inlineStr">
        <is>
          <t>VÄRMLANDS LÄN</t>
        </is>
      </c>
      <c r="G590" t="inlineStr">
        <is>
          <t>FILIPSTAD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15396-2025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45747</v>
      </c>
      <c r="E591" s="1" t="n">
        <v>46232</v>
      </c>
      <c r="F591" t="inlineStr">
        <is>
          <t>VÄRMLANDS LÄN</t>
        </is>
      </c>
      <c r="G591" t="inlineStr">
        <is>
          <t>FILIPSTAD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65174-2021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44515</v>
      </c>
      <c r="E592" s="1" t="n">
        <v>46232</v>
      </c>
      <c r="F592" t="inlineStr">
        <is>
          <t>VÄRMLANDS LÄN</t>
        </is>
      </c>
      <c r="G592" t="inlineStr">
        <is>
          <t>FILIPSTAD</t>
        </is>
      </c>
      <c r="I592" t="n">
        <v>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24143-2025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45796</v>
      </c>
      <c r="E593" s="1" t="n">
        <v>46232</v>
      </c>
      <c r="F593" t="inlineStr">
        <is>
          <t>VÄRMLANDS LÄN</t>
        </is>
      </c>
      <c r="G593" t="inlineStr">
        <is>
          <t>FILIPSTAD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20844-2024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46232</v>
      </c>
      <c r="F594" t="inlineStr">
        <is>
          <t>VÄRMLANDS LÄN</t>
        </is>
      </c>
      <c r="G594" t="inlineStr">
        <is>
          <t>FILIPSTAD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45322</v>
      </c>
      <c r="E595" s="1" t="n">
        <v>46232</v>
      </c>
      <c r="F595" t="inlineStr">
        <is>
          <t>VÄRMLANDS LÄN</t>
        </is>
      </c>
      <c r="G595" t="inlineStr">
        <is>
          <t>FILIPSTAD</t>
        </is>
      </c>
      <c r="I595" t="n">
        <v>8.199999999999999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15406-2025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45747</v>
      </c>
      <c r="E596" s="1" t="n">
        <v>46232</v>
      </c>
      <c r="F596" t="inlineStr">
        <is>
          <t>VÄRMLANDS LÄN</t>
        </is>
      </c>
      <c r="G596" t="inlineStr">
        <is>
          <t>FILIPSTAD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5757-2021</t>
        </is>
      </c>
      <c r="B597" t="inlineStr">
        <is>
          <t>samrådsanmälan</t>
        </is>
      </c>
      <c r="C597" t="inlineStr">
        <is>
          <t>Basväg</t>
        </is>
      </c>
      <c r="D597" s="1" t="n">
        <v>44438</v>
      </c>
      <c r="E597" s="1" t="n">
        <v>46232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1191-2021</t>
        </is>
      </c>
      <c r="B598" t="inlineStr">
        <is>
          <t>samrådsanmälan</t>
        </is>
      </c>
      <c r="C598" t="inlineStr">
        <is>
          <t>Åtgärd i nyckelbiotop</t>
        </is>
      </c>
      <c r="D598" s="1" t="n">
        <v>44328</v>
      </c>
      <c r="E598" s="1" t="n">
        <v>46232</v>
      </c>
      <c r="F598" t="inlineStr">
        <is>
          <t>VÄRMLANDS LÄN</t>
        </is>
      </c>
      <c r="G598" t="inlineStr">
        <is>
          <t>FILIPSTAD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4134-2023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46232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4115-2023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45246</v>
      </c>
      <c r="E600" s="1" t="n">
        <v>46232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4137-2023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46232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16.5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4132-2023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46232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8.300000000000001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4130-2023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46232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4127-2023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46232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837-2023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44991</v>
      </c>
      <c r="E605" s="1" t="n">
        <v>46232</v>
      </c>
      <c r="F605" t="inlineStr">
        <is>
          <t>VÄRMLANDS LÄN</t>
        </is>
      </c>
      <c r="G605" t="inlineStr">
        <is>
          <t>FILIPSTAD</t>
        </is>
      </c>
      <c r="I605" t="n">
        <v>19.3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4129-2023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45247</v>
      </c>
      <c r="E606" s="1" t="n">
        <v>46232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3919-2023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45233</v>
      </c>
      <c r="E607" s="1" t="n">
        <v>46232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4135-2023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45247</v>
      </c>
      <c r="E608" s="1" t="n">
        <v>46232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18.9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6078-2021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44442</v>
      </c>
      <c r="E609" s="1" t="n">
        <v>46232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4126-2023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45247</v>
      </c>
      <c r="E610" s="1" t="n">
        <v>46232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294-2025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45687</v>
      </c>
      <c r="E611" s="1" t="n">
        <v>46232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186.4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4116-2023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45246</v>
      </c>
      <c r="E612" s="1" t="n">
        <v>46232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6.4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661-2025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45716</v>
      </c>
      <c r="E613" s="1" t="n">
        <v>46232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161.7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3429-2025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45995</v>
      </c>
      <c r="E614" s="1" t="n">
        <v>46232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12.1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3576-2025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46010</v>
      </c>
      <c r="E615" s="1" t="n">
        <v>46232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105-2026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46036</v>
      </c>
      <c r="E616" s="1" t="n">
        <v>46232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238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2026-07-29T01:51:02Z</dcterms:created>
  <dcterms:modified xmlns:dcterms="http://purl.org/dc/terms/" xmlns:xsi="http://www.w3.org/2001/XMLSchema-instance" xsi:type="dcterms:W3CDTF">2026-07-29T01:51:03Z</dcterms:modified>
</cp:coreProperties>
</file>