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46236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46236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46236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46236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46236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46236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46236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46236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46236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46236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46236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46236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46236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46236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46236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46236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46236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46236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51522-2022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46236</v>
      </c>
      <c r="F32" t="inlineStr">
        <is>
          <t>VÄRMLANDS LÄN</t>
        </is>
      </c>
      <c r="G32" t="inlineStr">
        <is>
          <t>FILIPSTAD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HYPERLINK("https://klasma.github.io/Logging_1782/artfynd/A 51522-2022 artfynd.xlsx", "A 51522-2022")</f>
        <v/>
      </c>
      <c r="X32">
        <f>HYPERLINK("https://klasma.github.io/Logging_1782/kartor/A 51522-2022 karta.png", "A 51522-2022")</f>
        <v/>
      </c>
      <c r="Y32">
        <f>HYPERLINK("https://klasma.github.io/Logging_1782/kartor_geotiff/A 51522-2022 georefererad karta.tif", "A 51522-2022")</f>
        <v/>
      </c>
      <c r="AA32">
        <f>HYPERLINK("https://klasma.github.io/Logging_1782/klagomål/A 51522-2022 FSC-klagomål.docx", "A 51522-2022")</f>
        <v/>
      </c>
      <c r="AB32">
        <f>HYPERLINK("https://klasma.github.io/Logging_1782/klagomålsmail/A 51522-2022 FSC-klagomål mail.docx", "A 51522-2022")</f>
        <v/>
      </c>
      <c r="AC32">
        <f>HYPERLINK("https://klasma.github.io/Logging_1782/tillsyn/A 51522-2022 tillsynsbegäran.docx", "A 51522-2022")</f>
        <v/>
      </c>
      <c r="AD32">
        <f>HYPERLINK("https://klasma.github.io/Logging_1782/tillsynsmail/A 51522-2022 tillsynsbegäran mail.docx", "A 51522-2022")</f>
        <v/>
      </c>
    </row>
    <row r="33" ht="15" customHeight="1">
      <c r="A33" t="inlineStr">
        <is>
          <t>A 34145-2024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45524</v>
      </c>
      <c r="E33" s="1" t="n">
        <v>46236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34145-2024 artfynd.xlsx", "A 34145-2024")</f>
        <v/>
      </c>
      <c r="X33">
        <f>HYPERLINK("https://klasma.github.io/Logging_1782/kartor/A 34145-2024 karta.png", "A 34145-2024")</f>
        <v/>
      </c>
      <c r="Y33">
        <f>HYPERLINK("https://klasma.github.io/Logging_1782/kartor_geotiff/A 34145-2024 georefererad karta.tif", "A 34145-2024")</f>
        <v/>
      </c>
      <c r="AA33">
        <f>HYPERLINK("https://klasma.github.io/Logging_1782/klagomål/A 34145-2024 FSC-klagomål.docx", "A 34145-2024")</f>
        <v/>
      </c>
      <c r="AB33">
        <f>HYPERLINK("https://klasma.github.io/Logging_1782/klagomålsmail/A 34145-2024 FSC-klagomål mail.docx", "A 34145-2024")</f>
        <v/>
      </c>
      <c r="AC33">
        <f>HYPERLINK("https://klasma.github.io/Logging_1782/tillsyn/A 34145-2024 tillsynsbegäran.docx", "A 34145-2024")</f>
        <v/>
      </c>
      <c r="AD33">
        <f>HYPERLINK("https://klasma.github.io/Logging_1782/tillsynsmail/A 34145-2024 tillsynsbegäran mail.docx", "A 34145-2024")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46236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46236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45781-2025 artfynd.xlsx", "A 45781-2025")</f>
        <v/>
      </c>
      <c r="X35">
        <f>HYPERLINK("https://klasma.github.io/Logging_1782/kartor/A 45781-2025 karta.png", "A 45781-2025")</f>
        <v/>
      </c>
      <c r="Y35">
        <f>HYPERLINK("https://klasma.github.io/Logging_1782/kartor_geotiff/A 45781-2025 georefererad karta.tif", "A 45781-2025")</f>
        <v/>
      </c>
      <c r="AA35">
        <f>HYPERLINK("https://klasma.github.io/Logging_1782/klagomål/A 45781-2025 FSC-klagomål.docx", "A 45781-2025")</f>
        <v/>
      </c>
      <c r="AB35">
        <f>HYPERLINK("https://klasma.github.io/Logging_1782/klagomålsmail/A 45781-2025 FSC-klagomål mail.docx", "A 45781-2025")</f>
        <v/>
      </c>
      <c r="AC35">
        <f>HYPERLINK("https://klasma.github.io/Logging_1782/tillsyn/A 45781-2025 tillsynsbegäran.docx", "A 45781-2025")</f>
        <v/>
      </c>
      <c r="AD35">
        <f>HYPERLINK("https://klasma.github.io/Logging_1782/tillsynsmail/A 45781-2025 tillsynsbegäran mail.docx", "A 45781-2025")</f>
        <v/>
      </c>
    </row>
    <row r="36" ht="15" customHeight="1">
      <c r="A36" t="inlineStr">
        <is>
          <t>A 28915-2026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46236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HYPERLINK("https://klasma.github.io/Logging_1782/artfynd/A 28915-2026 artfynd.xlsx", "A 28915-2026")</f>
        <v/>
      </c>
      <c r="X36">
        <f>HYPERLINK("https://klasma.github.io/Logging_1782/kartor/A 28915-2026 karta.png", "A 28915-2026")</f>
        <v/>
      </c>
      <c r="Y36">
        <f>HYPERLINK("https://klasma.github.io/Logging_1782/kartor_geotiff/A 28915-2026 georefererad karta.tif", "A 28915-2026")</f>
        <v/>
      </c>
      <c r="AA36">
        <f>HYPERLINK("https://klasma.github.io/Logging_1782/klagomål/A 28915-2026 FSC-klagomål.docx", "A 28915-2026")</f>
        <v/>
      </c>
      <c r="AB36">
        <f>HYPERLINK("https://klasma.github.io/Logging_1782/klagomålsmail/A 28915-2026 FSC-klagomål mail.docx", "A 28915-2026")</f>
        <v/>
      </c>
      <c r="AC36">
        <f>HYPERLINK("https://klasma.github.io/Logging_1782/tillsyn/A 28915-2026 tillsynsbegäran.docx", "A 28915-2026")</f>
        <v/>
      </c>
      <c r="AD36">
        <f>HYPERLINK("https://klasma.github.io/Logging_1782/tillsynsmail/A 28915-2026 tillsynsbegäran mail.docx", "A 28915-2026")</f>
        <v/>
      </c>
    </row>
    <row r="37" ht="15" customHeight="1">
      <c r="A37" t="inlineStr">
        <is>
          <t>A 58734-2025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46236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18.2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HYPERLINK("https://klasma.github.io/Logging_1782/artfynd/A 58734-2025 artfynd.xlsx", "A 58734-2025")</f>
        <v/>
      </c>
      <c r="X37">
        <f>HYPERLINK("https://klasma.github.io/Logging_1782/kartor/A 58734-2025 karta.png", "A 58734-2025")</f>
        <v/>
      </c>
      <c r="Y37">
        <f>HYPERLINK("https://klasma.github.io/Logging_1782/kartor_geotiff/A 58734-2025 georefererad karta.tif", "A 58734-2025")</f>
        <v/>
      </c>
      <c r="AA37">
        <f>HYPERLINK("https://klasma.github.io/Logging_1782/klagomål/A 58734-2025 FSC-klagomål.docx", "A 58734-2025")</f>
        <v/>
      </c>
      <c r="AB37">
        <f>HYPERLINK("https://klasma.github.io/Logging_1782/klagomålsmail/A 58734-2025 FSC-klagomål mail.docx", "A 58734-2025")</f>
        <v/>
      </c>
      <c r="AC37">
        <f>HYPERLINK("https://klasma.github.io/Logging_1782/tillsyn/A 58734-2025 tillsynsbegäran.docx", "A 58734-2025")</f>
        <v/>
      </c>
      <c r="AD37">
        <f>HYPERLINK("https://klasma.github.io/Logging_1782/tillsynsmail/A 58734-2025 tillsynsbegäran mail.docx", "A 58734-2025")</f>
        <v/>
      </c>
      <c r="AE37">
        <f>HYPERLINK("https://klasma.github.io/Logging_1782/fåglar/A 58734-2025 prioriterade fågelarter.docx", "A 58734-2025")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46236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46236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46236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46236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46236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46236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46236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46236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46236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46236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46236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46236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46236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46236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46236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46236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46236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46236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46236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46236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46236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44655</v>
      </c>
      <c r="E71" s="1" t="n">
        <v>46236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46236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46236</v>
      </c>
      <c r="F73" t="inlineStr">
        <is>
          <t>VÄRMLANDS LÄN</t>
        </is>
      </c>
      <c r="G73" t="inlineStr">
        <is>
          <t>FILIPSTAD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46236</v>
      </c>
      <c r="F74" t="inlineStr">
        <is>
          <t>VÄRMLANDS LÄN</t>
        </is>
      </c>
      <c r="G74" t="inlineStr">
        <is>
          <t>FILIPSTAD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45463</v>
      </c>
      <c r="E75" s="1" t="n">
        <v>46236</v>
      </c>
      <c r="F75" t="inlineStr">
        <is>
          <t>VÄRMLANDS LÄN</t>
        </is>
      </c>
      <c r="G75" t="inlineStr">
        <is>
          <t>FILIPSTAD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55978-2022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44889</v>
      </c>
      <c r="E76" s="1" t="n">
        <v>46236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46236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46236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45511</v>
      </c>
      <c r="E79" s="1" t="n">
        <v>46236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46236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50856-2022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44867</v>
      </c>
      <c r="E81" s="1" t="n">
        <v>46236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44911</v>
      </c>
      <c r="E82" s="1" t="n">
        <v>46236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46236</v>
      </c>
      <c r="F83" t="inlineStr">
        <is>
          <t>VÄRMLANDS LÄN</t>
        </is>
      </c>
      <c r="G83" t="inlineStr">
        <is>
          <t>FILIPSTAD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46236</v>
      </c>
      <c r="F84" t="inlineStr">
        <is>
          <t>VÄRMLANDS LÄN</t>
        </is>
      </c>
      <c r="G84" t="inlineStr">
        <is>
          <t>FILIPSTAD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46236</v>
      </c>
      <c r="F85" t="inlineStr">
        <is>
          <t>VÄRMLANDS LÄN</t>
        </is>
      </c>
      <c r="G85" t="inlineStr">
        <is>
          <t>FILIPSTAD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45253</v>
      </c>
      <c r="E86" s="1" t="n">
        <v>46236</v>
      </c>
      <c r="F86" t="inlineStr">
        <is>
          <t>VÄRMLANDS LÄN</t>
        </is>
      </c>
      <c r="G86" t="inlineStr">
        <is>
          <t>FILIPSTAD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46236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46236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46236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46236</v>
      </c>
      <c r="F90" t="inlineStr">
        <is>
          <t>VÄRMLANDS LÄN</t>
        </is>
      </c>
      <c r="G90" t="inlineStr">
        <is>
          <t>FILIPSTAD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46236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46236</v>
      </c>
      <c r="F92" t="inlineStr">
        <is>
          <t>VÄRMLANDS LÄN</t>
        </is>
      </c>
      <c r="G92" t="inlineStr">
        <is>
          <t>FILIPSTAD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46236</v>
      </c>
      <c r="F93" t="inlineStr">
        <is>
          <t>VÄRMLANDS LÄN</t>
        </is>
      </c>
      <c r="G93" t="inlineStr">
        <is>
          <t>FILIPSTAD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46236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44435</v>
      </c>
      <c r="E95" s="1" t="n">
        <v>46236</v>
      </c>
      <c r="F95" t="inlineStr">
        <is>
          <t>VÄRMLANDS LÄN</t>
        </is>
      </c>
      <c r="G95" t="inlineStr">
        <is>
          <t>FILIPSTAD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46236</v>
      </c>
      <c r="F96" t="inlineStr">
        <is>
          <t>VÄRMLANDS LÄN</t>
        </is>
      </c>
      <c r="G96" t="inlineStr">
        <is>
          <t>FILIPSTAD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45153</v>
      </c>
      <c r="E97" s="1" t="n">
        <v>46236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46236</v>
      </c>
      <c r="F98" t="inlineStr">
        <is>
          <t>VÄRMLANDS LÄN</t>
        </is>
      </c>
      <c r="G98" t="inlineStr">
        <is>
          <t>FILIPSTAD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45391</v>
      </c>
      <c r="E99" s="1" t="n">
        <v>46236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46236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46236</v>
      </c>
      <c r="F101" t="inlineStr">
        <is>
          <t>VÄRMLANDS LÄN</t>
        </is>
      </c>
      <c r="G101" t="inlineStr">
        <is>
          <t>FILIPSTAD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44963</v>
      </c>
      <c r="E102" s="1" t="n">
        <v>46236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45428</v>
      </c>
      <c r="E103" s="1" t="n">
        <v>46236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46236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46236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46236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46236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46236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46236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12837-2024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45384</v>
      </c>
      <c r="E110" s="1" t="n">
        <v>46236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44880</v>
      </c>
      <c r="E111" s="1" t="n">
        <v>46236</v>
      </c>
      <c r="F111" t="inlineStr">
        <is>
          <t>VÄRMLANDS LÄN</t>
        </is>
      </c>
      <c r="G111" t="inlineStr">
        <is>
          <t>FILIPSTAD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46236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44672</v>
      </c>
      <c r="E113" s="1" t="n">
        <v>46236</v>
      </c>
      <c r="F113" t="inlineStr">
        <is>
          <t>VÄRMLANDS LÄN</t>
        </is>
      </c>
      <c r="G113" t="inlineStr">
        <is>
          <t>FILIPSTAD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45578</v>
      </c>
      <c r="E114" s="1" t="n">
        <v>46236</v>
      </c>
      <c r="F114" t="inlineStr">
        <is>
          <t>VÄRMLANDS LÄN</t>
        </is>
      </c>
      <c r="G114" t="inlineStr">
        <is>
          <t>FILIPSTAD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46236</v>
      </c>
      <c r="F115" t="inlineStr">
        <is>
          <t>VÄRMLANDS LÄN</t>
        </is>
      </c>
      <c r="G115" t="inlineStr">
        <is>
          <t>FILIPSTAD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46236</v>
      </c>
      <c r="F116" t="inlineStr">
        <is>
          <t>VÄRMLANDS LÄN</t>
        </is>
      </c>
      <c r="G116" t="inlineStr">
        <is>
          <t>FILIPSTAD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46236</v>
      </c>
      <c r="F117" t="inlineStr">
        <is>
          <t>VÄRMLANDS LÄN</t>
        </is>
      </c>
      <c r="G117" t="inlineStr">
        <is>
          <t>FILIPSTAD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46236</v>
      </c>
      <c r="F118" t="inlineStr">
        <is>
          <t>VÄRMLANDS LÄN</t>
        </is>
      </c>
      <c r="G118" t="inlineStr">
        <is>
          <t>FILIPSTAD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45418</v>
      </c>
      <c r="E119" s="1" t="n">
        <v>46236</v>
      </c>
      <c r="F119" t="inlineStr">
        <is>
          <t>VÄRMLANDS LÄN</t>
        </is>
      </c>
      <c r="G119" t="inlineStr">
        <is>
          <t>FILIPSTAD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46236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45790</v>
      </c>
      <c r="E121" s="1" t="n">
        <v>46236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69015-2021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44530</v>
      </c>
      <c r="E122" s="1" t="n">
        <v>46236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46236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46236</v>
      </c>
      <c r="F124" t="inlineStr">
        <is>
          <t>VÄRMLANDS LÄN</t>
        </is>
      </c>
      <c r="G124" t="inlineStr">
        <is>
          <t>FILIPSTAD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41718-2025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45902</v>
      </c>
      <c r="E125" s="1" t="n">
        <v>46236</v>
      </c>
      <c r="F125" t="inlineStr">
        <is>
          <t>VÄRMLANDS LÄN</t>
        </is>
      </c>
      <c r="G125" t="inlineStr">
        <is>
          <t>FILIPSTAD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46236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46236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46236</v>
      </c>
      <c r="F128" t="inlineStr">
        <is>
          <t>VÄRMLANDS LÄN</t>
        </is>
      </c>
      <c r="G128" t="inlineStr">
        <is>
          <t>FILIPSTAD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46236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46236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46236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46236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44935</v>
      </c>
      <c r="E133" s="1" t="n">
        <v>46236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46236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46236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46236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46236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46236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46236</v>
      </c>
      <c r="F139" t="inlineStr">
        <is>
          <t>VÄRMLANDS LÄN</t>
        </is>
      </c>
      <c r="G139" t="inlineStr">
        <is>
          <t>FILIPSTAD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46236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46236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46236</v>
      </c>
      <c r="F142" t="inlineStr">
        <is>
          <t>VÄRMLANDS LÄN</t>
        </is>
      </c>
      <c r="G142" t="inlineStr">
        <is>
          <t>FILIPSTAD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46236</v>
      </c>
      <c r="F143" t="inlineStr">
        <is>
          <t>VÄRMLANDS LÄN</t>
        </is>
      </c>
      <c r="G143" t="inlineStr">
        <is>
          <t>FILIPSTAD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46236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46236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71971-2021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44544</v>
      </c>
      <c r="E146" s="1" t="n">
        <v>46236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46236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46236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45775</v>
      </c>
      <c r="E149" s="1" t="n">
        <v>46236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46236</v>
      </c>
      <c r="F150" t="inlineStr">
        <is>
          <t>VÄRMLANDS LÄN</t>
        </is>
      </c>
      <c r="G150" t="inlineStr">
        <is>
          <t>FILIPSTAD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46236</v>
      </c>
      <c r="F151" t="inlineStr">
        <is>
          <t>VÄRMLANDS LÄN</t>
        </is>
      </c>
      <c r="G151" t="inlineStr">
        <is>
          <t>FILIPSTAD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46236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46236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46236</v>
      </c>
      <c r="F154" t="inlineStr">
        <is>
          <t>VÄRMLANDS LÄN</t>
        </is>
      </c>
      <c r="G154" t="inlineStr">
        <is>
          <t>FILIPSTAD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46236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46236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46236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46236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46236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46236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48103-2025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45933</v>
      </c>
      <c r="E161" s="1" t="n">
        <v>46236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46236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46236</v>
      </c>
      <c r="F163" t="inlineStr">
        <is>
          <t>VÄRMLANDS LÄN</t>
        </is>
      </c>
      <c r="G163" t="inlineStr">
        <is>
          <t>FILIPSTAD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46236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46236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46236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46236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54008-2021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46236</v>
      </c>
      <c r="F168" t="inlineStr">
        <is>
          <t>VÄRMLANDS LÄN</t>
        </is>
      </c>
      <c r="G168" t="inlineStr">
        <is>
          <t>FILIPSTAD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46236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46236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46236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46236</v>
      </c>
      <c r="F173" t="inlineStr">
        <is>
          <t>VÄRMLANDS LÄN</t>
        </is>
      </c>
      <c r="G173" t="inlineStr">
        <is>
          <t>FILIPSTAD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46236</v>
      </c>
      <c r="F175" t="inlineStr">
        <is>
          <t>VÄRMLANDS LÄN</t>
        </is>
      </c>
      <c r="G175" t="inlineStr">
        <is>
          <t>FILIPSTAD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46236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44963</v>
      </c>
      <c r="E177" s="1" t="n">
        <v>46236</v>
      </c>
      <c r="F177" t="inlineStr">
        <is>
          <t>VÄRMLANDS LÄN</t>
        </is>
      </c>
      <c r="G177" t="inlineStr">
        <is>
          <t>FILIPSTAD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46236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46236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46236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46236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46236</v>
      </c>
      <c r="F182" t="inlineStr">
        <is>
          <t>VÄRMLANDS LÄN</t>
        </is>
      </c>
      <c r="G182" t="inlineStr">
        <is>
          <t>FILIPSTAD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46236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45124</v>
      </c>
      <c r="E184" s="1" t="n">
        <v>46236</v>
      </c>
      <c r="F184" t="inlineStr">
        <is>
          <t>VÄRMLANDS LÄN</t>
        </is>
      </c>
      <c r="G184" t="inlineStr">
        <is>
          <t>FILIPSTAD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46236</v>
      </c>
      <c r="F185" t="inlineStr">
        <is>
          <t>VÄRMLANDS LÄN</t>
        </is>
      </c>
      <c r="G185" t="inlineStr">
        <is>
          <t>FILIPSTAD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46236</v>
      </c>
      <c r="F186" t="inlineStr">
        <is>
          <t>VÄRMLANDS LÄN</t>
        </is>
      </c>
      <c r="G186" t="inlineStr">
        <is>
          <t>FILIPSTAD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46236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46236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46236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46236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46236</v>
      </c>
      <c r="F191" t="inlineStr">
        <is>
          <t>VÄRMLANDS LÄN</t>
        </is>
      </c>
      <c r="G191" t="inlineStr">
        <is>
          <t>FILIPSTAD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46236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46236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46236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46236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46236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46236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46236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46236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46236</v>
      </c>
      <c r="F200" t="inlineStr">
        <is>
          <t>VÄRMLANDS LÄN</t>
        </is>
      </c>
      <c r="G200" t="inlineStr">
        <is>
          <t>FILIPSTAD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46236</v>
      </c>
      <c r="F201" t="inlineStr">
        <is>
          <t>VÄRMLANDS LÄN</t>
        </is>
      </c>
      <c r="G201" t="inlineStr">
        <is>
          <t>FILIPSTAD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46236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46236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46236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22866-2023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45072</v>
      </c>
      <c r="E205" s="1" t="n">
        <v>46236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46236</v>
      </c>
      <c r="F206" t="inlineStr">
        <is>
          <t>VÄRMLANDS LÄN</t>
        </is>
      </c>
      <c r="G206" t="inlineStr">
        <is>
          <t>FILIPSTAD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29473-2024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45484</v>
      </c>
      <c r="E207" s="1" t="n">
        <v>46236</v>
      </c>
      <c r="F207" t="inlineStr">
        <is>
          <t>VÄRMLANDS LÄN</t>
        </is>
      </c>
      <c r="G207" t="inlineStr">
        <is>
          <t>FILIPSTAD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46236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46236</v>
      </c>
      <c r="F211" t="inlineStr">
        <is>
          <t>VÄRMLANDS LÄN</t>
        </is>
      </c>
      <c r="G211" t="inlineStr">
        <is>
          <t>FILIPSTAD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46236</v>
      </c>
      <c r="F212" t="inlineStr">
        <is>
          <t>VÄRMLANDS LÄN</t>
        </is>
      </c>
      <c r="G212" t="inlineStr">
        <is>
          <t>FILIPSTAD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46236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46236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46236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46236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46236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46236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46236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46236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46236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46236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46236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46236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46236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46236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46236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46236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46236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46236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46236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46236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46236</v>
      </c>
      <c r="F235" t="inlineStr">
        <is>
          <t>VÄRMLANDS LÄN</t>
        </is>
      </c>
      <c r="G235" t="inlineStr">
        <is>
          <t>FILIPSTAD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25737-2023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45090</v>
      </c>
      <c r="E236" s="1" t="n">
        <v>46236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46236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46236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46199</v>
      </c>
      <c r="E239" s="1" t="n">
        <v>46236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46236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46236</v>
      </c>
      <c r="F241" t="inlineStr">
        <is>
          <t>VÄRMLANDS LÄN</t>
        </is>
      </c>
      <c r="G241" t="inlineStr">
        <is>
          <t>FILIPSTAD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46236</v>
      </c>
      <c r="F242" t="inlineStr">
        <is>
          <t>VÄRMLANDS LÄN</t>
        </is>
      </c>
      <c r="G242" t="inlineStr">
        <is>
          <t>FILIPSTAD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46236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45982</v>
      </c>
      <c r="E244" s="1" t="n">
        <v>46236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46236</v>
      </c>
      <c r="F245" t="inlineStr">
        <is>
          <t>VÄRMLANDS LÄN</t>
        </is>
      </c>
      <c r="G245" t="inlineStr">
        <is>
          <t>FILIPSTAD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46236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46236</v>
      </c>
      <c r="F247" t="inlineStr">
        <is>
          <t>VÄRMLANDS LÄN</t>
        </is>
      </c>
      <c r="G247" t="inlineStr">
        <is>
          <t>FILIPSTAD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44684</v>
      </c>
      <c r="E248" s="1" t="n">
        <v>46236</v>
      </c>
      <c r="F248" t="inlineStr">
        <is>
          <t>VÄRMLANDS LÄN</t>
        </is>
      </c>
      <c r="G248" t="inlineStr">
        <is>
          <t>FILIPSTAD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46203</v>
      </c>
      <c r="E249" s="1" t="n">
        <v>46236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46236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46236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46203</v>
      </c>
      <c r="E252" s="1" t="n">
        <v>46236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46236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46236</v>
      </c>
      <c r="F254" t="inlineStr">
        <is>
          <t>VÄRMLANDS LÄN</t>
        </is>
      </c>
      <c r="G254" t="inlineStr">
        <is>
          <t>FILIPSTAD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46236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46236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46236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46236</v>
      </c>
      <c r="F258" t="inlineStr">
        <is>
          <t>VÄRMLANDS LÄN</t>
        </is>
      </c>
      <c r="G258" t="inlineStr">
        <is>
          <t>FILIPSTAD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46236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46236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45989</v>
      </c>
      <c r="E261" s="1" t="n">
        <v>46236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46236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46236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46236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46236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46236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44579</v>
      </c>
      <c r="E268" s="1" t="n">
        <v>46236</v>
      </c>
      <c r="F268" t="inlineStr">
        <is>
          <t>VÄRMLANDS LÄN</t>
        </is>
      </c>
      <c r="G268" t="inlineStr">
        <is>
          <t>FILIPSTAD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46236</v>
      </c>
      <c r="F269" t="inlineStr">
        <is>
          <t>VÄRMLANDS LÄN</t>
        </is>
      </c>
      <c r="G269" t="inlineStr">
        <is>
          <t>FILIPSTAD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46236</v>
      </c>
      <c r="F270" t="inlineStr">
        <is>
          <t>VÄRMLANDS LÄN</t>
        </is>
      </c>
      <c r="G270" t="inlineStr">
        <is>
          <t>FILIPSTAD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46236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46236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46205</v>
      </c>
      <c r="E273" s="1" t="n">
        <v>46236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46236</v>
      </c>
      <c r="F274" t="inlineStr">
        <is>
          <t>VÄRMLANDS LÄN</t>
        </is>
      </c>
      <c r="G274" t="inlineStr">
        <is>
          <t>FILIPSTAD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46236</v>
      </c>
      <c r="F275" t="inlineStr">
        <is>
          <t>VÄRMLANDS LÄN</t>
        </is>
      </c>
      <c r="G275" t="inlineStr">
        <is>
          <t>FILIPSTAD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46236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46236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45014</v>
      </c>
      <c r="E278" s="1" t="n">
        <v>46236</v>
      </c>
      <c r="F278" t="inlineStr">
        <is>
          <t>VÄRMLANDS LÄN</t>
        </is>
      </c>
      <c r="G278" t="inlineStr">
        <is>
          <t>FILIPSTAD</t>
        </is>
      </c>
      <c r="H278" t="inlineStr">
        <is>
          <t>Kyrkan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46236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46236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46236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45088</v>
      </c>
      <c r="E282" s="1" t="n">
        <v>46236</v>
      </c>
      <c r="F282" t="inlineStr">
        <is>
          <t>VÄRMLANDS LÄN</t>
        </is>
      </c>
      <c r="G282" t="inlineStr">
        <is>
          <t>FILIPSTAD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46236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46205</v>
      </c>
      <c r="E284" s="1" t="n">
        <v>46236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45167</v>
      </c>
      <c r="E285" s="1" t="n">
        <v>46236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19351-2025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45769</v>
      </c>
      <c r="E286" s="1" t="n">
        <v>46236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46236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44959</v>
      </c>
      <c r="E288" s="1" t="n">
        <v>46236</v>
      </c>
      <c r="F288" t="inlineStr">
        <is>
          <t>VÄRMLANDS LÄN</t>
        </is>
      </c>
      <c r="G288" t="inlineStr">
        <is>
          <t>FILIPSTAD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46236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46236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46236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46236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45940</v>
      </c>
      <c r="E293" s="1" t="n">
        <v>46236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46236</v>
      </c>
      <c r="F294" t="inlineStr">
        <is>
          <t>VÄRMLANDS LÄN</t>
        </is>
      </c>
      <c r="G294" t="inlineStr">
        <is>
          <t>FILIPSTAD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46236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45088</v>
      </c>
      <c r="E296" s="1" t="n">
        <v>46236</v>
      </c>
      <c r="F296" t="inlineStr">
        <is>
          <t>VÄRMLANDS LÄN</t>
        </is>
      </c>
      <c r="G296" t="inlineStr">
        <is>
          <t>FILIPSTAD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46236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46236</v>
      </c>
      <c r="F298" t="inlineStr">
        <is>
          <t>VÄRMLANDS LÄN</t>
        </is>
      </c>
      <c r="G298" t="inlineStr">
        <is>
          <t>FILIPSTAD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46236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46001</v>
      </c>
      <c r="E300" s="1" t="n">
        <v>46236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46236</v>
      </c>
      <c r="F301" t="inlineStr">
        <is>
          <t>VÄRMLANDS LÄN</t>
        </is>
      </c>
      <c r="G301" t="inlineStr">
        <is>
          <t>FILIPSTAD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46236</v>
      </c>
      <c r="F302" t="inlineStr">
        <is>
          <t>VÄRMLANDS LÄN</t>
        </is>
      </c>
      <c r="G302" t="inlineStr">
        <is>
          <t>FILIPSTAD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46236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46236</v>
      </c>
      <c r="F304" t="inlineStr">
        <is>
          <t>VÄRMLANDS LÄN</t>
        </is>
      </c>
      <c r="G304" t="inlineStr">
        <is>
          <t>FILIPSTAD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46236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46001</v>
      </c>
      <c r="E306" s="1" t="n">
        <v>46236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45655</v>
      </c>
      <c r="E307" s="1" t="n">
        <v>46236</v>
      </c>
      <c r="F307" t="inlineStr">
        <is>
          <t>VÄRMLANDS LÄN</t>
        </is>
      </c>
      <c r="G307" t="inlineStr">
        <is>
          <t>FILIPSTAD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46236</v>
      </c>
      <c r="F308" t="inlineStr">
        <is>
          <t>VÄRMLANDS LÄN</t>
        </is>
      </c>
      <c r="G308" t="inlineStr">
        <is>
          <t>FILIPSTAD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46236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46236</v>
      </c>
      <c r="F310" t="inlineStr">
        <is>
          <t>VÄRMLANDS LÄN</t>
        </is>
      </c>
      <c r="G310" t="inlineStr">
        <is>
          <t>FILIPSTAD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46236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46236</v>
      </c>
      <c r="F312" t="inlineStr">
        <is>
          <t>VÄRMLANDS LÄN</t>
        </is>
      </c>
      <c r="G312" t="inlineStr">
        <is>
          <t>FILIPSTAD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46236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46236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61492-2025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46001</v>
      </c>
      <c r="E315" s="1" t="n">
        <v>46236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46236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46236</v>
      </c>
      <c r="F317" t="inlineStr">
        <is>
          <t>VÄRMLANDS LÄN</t>
        </is>
      </c>
      <c r="G317" t="inlineStr">
        <is>
          <t>FILIPSTAD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46236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46236</v>
      </c>
      <c r="F319" t="inlineStr">
        <is>
          <t>VÄRMLANDS LÄN</t>
        </is>
      </c>
      <c r="G319" t="inlineStr">
        <is>
          <t>FILIPSTAD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46167</v>
      </c>
      <c r="E320" s="1" t="n">
        <v>46236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46236</v>
      </c>
      <c r="F321" t="inlineStr">
        <is>
          <t>VÄRMLANDS LÄN</t>
        </is>
      </c>
      <c r="G321" t="inlineStr">
        <is>
          <t>FILIPSTAD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46236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46236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46236</v>
      </c>
      <c r="F324" t="inlineStr">
        <is>
          <t>VÄRMLANDS LÄN</t>
        </is>
      </c>
      <c r="G324" t="inlineStr">
        <is>
          <t>FILIPSTAD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46236</v>
      </c>
      <c r="F325" t="inlineStr">
        <is>
          <t>VÄRMLANDS LÄN</t>
        </is>
      </c>
      <c r="G325" t="inlineStr">
        <is>
          <t>FILIPSTAD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46236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46236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46236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61823-2025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46003</v>
      </c>
      <c r="E329" s="1" t="n">
        <v>46236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46236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46236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46236</v>
      </c>
      <c r="F332" t="inlineStr">
        <is>
          <t>VÄRMLANDS LÄN</t>
        </is>
      </c>
      <c r="G332" t="inlineStr">
        <is>
          <t>FILIPSTAD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46236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46236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46236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46236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46236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46236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46236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46236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45578</v>
      </c>
      <c r="E343" s="1" t="n">
        <v>46236</v>
      </c>
      <c r="F343" t="inlineStr">
        <is>
          <t>VÄRMLANDS LÄN</t>
        </is>
      </c>
      <c r="G343" t="inlineStr">
        <is>
          <t>FILIPSTAD</t>
        </is>
      </c>
      <c r="I343" t="n">
        <v>27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46236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46236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46236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46014</v>
      </c>
      <c r="E347" s="1" t="n">
        <v>46236</v>
      </c>
      <c r="F347" t="inlineStr">
        <is>
          <t>VÄRMLANDS LÄN</t>
        </is>
      </c>
      <c r="G347" t="inlineStr">
        <is>
          <t>FILIPSTAD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45072</v>
      </c>
      <c r="E348" s="1" t="n">
        <v>46236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46171</v>
      </c>
      <c r="E349" s="1" t="n">
        <v>46236</v>
      </c>
      <c r="F349" t="inlineStr">
        <is>
          <t>VÄRMLANDS LÄN</t>
        </is>
      </c>
      <c r="G349" t="inlineStr">
        <is>
          <t>FILIPSTAD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32183-2025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46236</v>
      </c>
      <c r="F350" t="inlineStr">
        <is>
          <t>VÄRMLANDS LÄN</t>
        </is>
      </c>
      <c r="G350" t="inlineStr">
        <is>
          <t>FILIPSTAD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46014</v>
      </c>
      <c r="E351" s="1" t="n">
        <v>46236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46236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46236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46236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45655</v>
      </c>
      <c r="E355" s="1" t="n">
        <v>46236</v>
      </c>
      <c r="F355" t="inlineStr">
        <is>
          <t>VÄRMLANDS LÄN</t>
        </is>
      </c>
      <c r="G355" t="inlineStr">
        <is>
          <t>FILIPSTAD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46236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46236</v>
      </c>
      <c r="F357" t="inlineStr">
        <is>
          <t>VÄRMLANDS LÄN</t>
        </is>
      </c>
      <c r="G357" t="inlineStr">
        <is>
          <t>FILIPSTAD</t>
        </is>
      </c>
      <c r="H357" t="inlineStr">
        <is>
          <t>Kyrkan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46236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46236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46236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46236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45204</v>
      </c>
      <c r="E362" s="1" t="n">
        <v>46236</v>
      </c>
      <c r="F362" t="inlineStr">
        <is>
          <t>VÄRMLANDS LÄN</t>
        </is>
      </c>
      <c r="G362" t="inlineStr">
        <is>
          <t>FILIPSTAD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46236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46236</v>
      </c>
      <c r="F364" t="inlineStr">
        <is>
          <t>VÄRMLANDS LÄN</t>
        </is>
      </c>
      <c r="G364" t="inlineStr">
        <is>
          <t>FILIPSTAD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46236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45986</v>
      </c>
      <c r="E367" s="1" t="n">
        <v>46236</v>
      </c>
      <c r="F367" t="inlineStr">
        <is>
          <t>VÄRMLANDS LÄN</t>
        </is>
      </c>
      <c r="G367" t="inlineStr">
        <is>
          <t>FILIPSTAD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46236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44960</v>
      </c>
      <c r="E369" s="1" t="n">
        <v>46236</v>
      </c>
      <c r="F369" t="inlineStr">
        <is>
          <t>VÄRMLANDS LÄN</t>
        </is>
      </c>
      <c r="G369" t="inlineStr">
        <is>
          <t>FILIPSTAD</t>
        </is>
      </c>
      <c r="H369" t="inlineStr">
        <is>
          <t>Kommuner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44957</v>
      </c>
      <c r="E370" s="1" t="n">
        <v>46236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45393</v>
      </c>
      <c r="E371" s="1" t="n">
        <v>46236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44980</v>
      </c>
      <c r="E372" s="1" t="n">
        <v>46236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46236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46236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46236</v>
      </c>
      <c r="F375" t="inlineStr">
        <is>
          <t>VÄRMLANDS LÄN</t>
        </is>
      </c>
      <c r="G375" t="inlineStr">
        <is>
          <t>FILIPSTAD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46236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44935</v>
      </c>
      <c r="E377" s="1" t="n">
        <v>46236</v>
      </c>
      <c r="F377" t="inlineStr">
        <is>
          <t>VÄRMLANDS LÄN</t>
        </is>
      </c>
      <c r="G377" t="inlineStr">
        <is>
          <t>FILIPSTAD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46236</v>
      </c>
      <c r="F378" t="inlineStr">
        <is>
          <t>VÄRMLANDS LÄN</t>
        </is>
      </c>
      <c r="G378" t="inlineStr">
        <is>
          <t>FILIPSTAD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46236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46236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45567</v>
      </c>
      <c r="E381" s="1" t="n">
        <v>46236</v>
      </c>
      <c r="F381" t="inlineStr">
        <is>
          <t>VÄRMLANDS LÄN</t>
        </is>
      </c>
      <c r="G381" t="inlineStr">
        <is>
          <t>FILIPSTAD</t>
        </is>
      </c>
      <c r="H381" t="inlineStr">
        <is>
          <t>Kyrkan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46236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46236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46236</v>
      </c>
      <c r="F384" t="inlineStr">
        <is>
          <t>VÄRMLANDS LÄN</t>
        </is>
      </c>
      <c r="G384" t="inlineStr">
        <is>
          <t>FILIPSTAD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31537-2026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46223</v>
      </c>
      <c r="E385" s="1" t="n">
        <v>46236</v>
      </c>
      <c r="F385" t="inlineStr">
        <is>
          <t>VÄRMLANDS LÄN</t>
        </is>
      </c>
      <c r="G385" t="inlineStr">
        <is>
          <t>FILIPSTAD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46236</v>
      </c>
      <c r="F386" t="inlineStr">
        <is>
          <t>VÄRMLANDS LÄN</t>
        </is>
      </c>
      <c r="G386" t="inlineStr">
        <is>
          <t>FILIPSTAD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46223</v>
      </c>
      <c r="E387" s="1" t="n">
        <v>46236</v>
      </c>
      <c r="F387" t="inlineStr">
        <is>
          <t>VÄRMLANDS LÄN</t>
        </is>
      </c>
      <c r="G387" t="inlineStr">
        <is>
          <t>FILIPSTAD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46236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44637</v>
      </c>
      <c r="E389" s="1" t="n">
        <v>46236</v>
      </c>
      <c r="F389" t="inlineStr">
        <is>
          <t>VÄRMLANDS LÄN</t>
        </is>
      </c>
      <c r="G389" t="inlineStr">
        <is>
          <t>FILIPSTAD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46226</v>
      </c>
      <c r="E390" s="1" t="n">
        <v>46236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46236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45439</v>
      </c>
      <c r="E392" s="1" t="n">
        <v>46236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46236</v>
      </c>
      <c r="F393" t="inlineStr">
        <is>
          <t>VÄRMLANDS LÄN</t>
        </is>
      </c>
      <c r="G393" t="inlineStr">
        <is>
          <t>FILIPSTAD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46236</v>
      </c>
      <c r="F394" t="inlineStr">
        <is>
          <t>VÄRMLANDS LÄN</t>
        </is>
      </c>
      <c r="G394" t="inlineStr">
        <is>
          <t>FILIPSTAD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46226</v>
      </c>
      <c r="E395" s="1" t="n">
        <v>46236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46236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46236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46226</v>
      </c>
      <c r="E398" s="1" t="n">
        <v>46236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46236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46236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45671</v>
      </c>
      <c r="E401" s="1" t="n">
        <v>46236</v>
      </c>
      <c r="F401" t="inlineStr">
        <is>
          <t>VÄRMLANDS LÄN</t>
        </is>
      </c>
      <c r="G401" t="inlineStr">
        <is>
          <t>FILIPSTAD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46236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46236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46225</v>
      </c>
      <c r="E405" s="1" t="n">
        <v>46236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46236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46236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63411-2023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45274</v>
      </c>
      <c r="E408" s="1" t="n">
        <v>46236</v>
      </c>
      <c r="F408" t="inlineStr">
        <is>
          <t>VÄRMLANDS LÄN</t>
        </is>
      </c>
      <c r="G408" t="inlineStr">
        <is>
          <t>FILIPSTAD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46236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46227</v>
      </c>
      <c r="E410" s="1" t="n">
        <v>46236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46227</v>
      </c>
      <c r="E411" s="1" t="n">
        <v>46236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46236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46236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45484</v>
      </c>
      <c r="E414" s="1" t="n">
        <v>46236</v>
      </c>
      <c r="F414" t="inlineStr">
        <is>
          <t>VÄRMLANDS LÄN</t>
        </is>
      </c>
      <c r="G414" t="inlineStr">
        <is>
          <t>FILIPSTAD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46236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46236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46186</v>
      </c>
      <c r="E417" s="1" t="n">
        <v>46236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46186</v>
      </c>
      <c r="E418" s="1" t="n">
        <v>46236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63482-2021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44508</v>
      </c>
      <c r="E419" s="1" t="n">
        <v>46236</v>
      </c>
      <c r="F419" t="inlineStr">
        <is>
          <t>VÄRMLANDS LÄN</t>
        </is>
      </c>
      <c r="G419" t="inlineStr">
        <is>
          <t>FILIPSTAD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46236</v>
      </c>
      <c r="F421" t="inlineStr">
        <is>
          <t>VÄRMLANDS LÄN</t>
        </is>
      </c>
      <c r="G421" t="inlineStr">
        <is>
          <t>FILIPSTAD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46236</v>
      </c>
      <c r="F422" t="inlineStr">
        <is>
          <t>VÄRMLANDS LÄN</t>
        </is>
      </c>
      <c r="G422" t="inlineStr">
        <is>
          <t>FILIPSTAD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46236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46232</v>
      </c>
      <c r="E424" s="1" t="n">
        <v>46236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46231</v>
      </c>
      <c r="E425" s="1" t="n">
        <v>46236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46232</v>
      </c>
      <c r="E426" s="1" t="n">
        <v>46236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46232</v>
      </c>
      <c r="E427" s="1" t="n">
        <v>46236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70405-2021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44596</v>
      </c>
      <c r="E429" s="1" t="n">
        <v>46236</v>
      </c>
      <c r="F429" t="inlineStr">
        <is>
          <t>VÄRMLANDS LÄN</t>
        </is>
      </c>
      <c r="G429" t="inlineStr">
        <is>
          <t>FILIPSTAD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46236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14582-2025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45742</v>
      </c>
      <c r="E432" s="1" t="n">
        <v>46236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46236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46233</v>
      </c>
      <c r="E434" s="1" t="n">
        <v>46236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46236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46236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46233</v>
      </c>
      <c r="E437" s="1" t="n">
        <v>46236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56840-2024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45628</v>
      </c>
      <c r="E438" s="1" t="n">
        <v>46236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46233</v>
      </c>
      <c r="E439" s="1" t="n">
        <v>46236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46234</v>
      </c>
      <c r="E440" s="1" t="n">
        <v>46236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45658</v>
      </c>
      <c r="E441" s="1" t="n">
        <v>46236</v>
      </c>
      <c r="F441" t="inlineStr">
        <is>
          <t>VÄRMLANDS LÄN</t>
        </is>
      </c>
      <c r="G441" t="inlineStr">
        <is>
          <t>FILIPSTAD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46236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46236</v>
      </c>
      <c r="F443" t="inlineStr">
        <is>
          <t>VÄRMLANDS LÄN</t>
        </is>
      </c>
      <c r="G443" t="inlineStr">
        <is>
          <t>FILIPSTAD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45063</v>
      </c>
      <c r="E444" s="1" t="n">
        <v>46236</v>
      </c>
      <c r="F444" t="inlineStr">
        <is>
          <t>VÄRMLANDS LÄN</t>
        </is>
      </c>
      <c r="G444" t="inlineStr">
        <is>
          <t>FILIPSTAD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23618-2023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45077</v>
      </c>
      <c r="E445" s="1" t="n">
        <v>46236</v>
      </c>
      <c r="F445" t="inlineStr">
        <is>
          <t>VÄRMLANDS LÄN</t>
        </is>
      </c>
      <c r="G445" t="inlineStr">
        <is>
          <t>FILIPSTAD</t>
        </is>
      </c>
      <c r="I445" t="n">
        <v>15.8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46236</v>
      </c>
      <c r="F446" t="inlineStr">
        <is>
          <t>VÄRMLANDS LÄN</t>
        </is>
      </c>
      <c r="G446" t="inlineStr">
        <is>
          <t>FILIPSTAD</t>
        </is>
      </c>
      <c r="H446" t="inlineStr">
        <is>
          <t>Kyrkan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46236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46236</v>
      </c>
      <c r="F448" t="inlineStr">
        <is>
          <t>VÄRMLANDS LÄN</t>
        </is>
      </c>
      <c r="G448" t="inlineStr">
        <is>
          <t>FILIPSTAD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46236</v>
      </c>
      <c r="F449" t="inlineStr">
        <is>
          <t>VÄRMLANDS LÄN</t>
        </is>
      </c>
      <c r="G449" t="inlineStr">
        <is>
          <t>FILIPSTAD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46236</v>
      </c>
      <c r="F450" t="inlineStr">
        <is>
          <t>VÄRMLANDS LÄN</t>
        </is>
      </c>
      <c r="G450" t="inlineStr">
        <is>
          <t>FILIPSTAD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46236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46236</v>
      </c>
      <c r="F452" t="inlineStr">
        <is>
          <t>VÄRMLANDS LÄN</t>
        </is>
      </c>
      <c r="G452" t="inlineStr">
        <is>
          <t>FILIPSTAD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46236</v>
      </c>
      <c r="F453" t="inlineStr">
        <is>
          <t>VÄRMLANDS LÄN</t>
        </is>
      </c>
      <c r="G453" t="inlineStr">
        <is>
          <t>FILIPSTAD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46236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46236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46236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46236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46236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46236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46236</v>
      </c>
      <c r="F460" t="inlineStr">
        <is>
          <t>VÄRMLANDS LÄN</t>
        </is>
      </c>
      <c r="G460" t="inlineStr">
        <is>
          <t>FILIPSTAD</t>
        </is>
      </c>
      <c r="H460" t="inlineStr">
        <is>
          <t>Kommuner</t>
        </is>
      </c>
      <c r="I460" t="n">
        <v>17.7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46236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46236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29825-2023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45107</v>
      </c>
      <c r="E464" s="1" t="n">
        <v>46236</v>
      </c>
      <c r="F464" t="inlineStr">
        <is>
          <t>VÄRMLANDS LÄN</t>
        </is>
      </c>
      <c r="G464" t="inlineStr">
        <is>
          <t>FILIPSTAD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46236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14315-2026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46236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46236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46236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44743</v>
      </c>
      <c r="E469" s="1" t="n">
        <v>46236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46236</v>
      </c>
      <c r="F470" t="inlineStr">
        <is>
          <t>VÄRMLANDS LÄN</t>
        </is>
      </c>
      <c r="G470" t="inlineStr">
        <is>
          <t>FILIPSTAD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46236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45700</v>
      </c>
      <c r="E472" s="1" t="n">
        <v>46236</v>
      </c>
      <c r="F472" t="inlineStr">
        <is>
          <t>VÄRMLANDS LÄN</t>
        </is>
      </c>
      <c r="G472" t="inlineStr">
        <is>
          <t>FILIPSTAD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45093</v>
      </c>
      <c r="E473" s="1" t="n">
        <v>46236</v>
      </c>
      <c r="F473" t="inlineStr">
        <is>
          <t>VÄRMLANDS LÄN</t>
        </is>
      </c>
      <c r="G473" t="inlineStr">
        <is>
          <t>FILIPSTAD</t>
        </is>
      </c>
      <c r="H473" t="inlineStr">
        <is>
          <t>Kommuner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46236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46236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46236</v>
      </c>
      <c r="F477" t="inlineStr">
        <is>
          <t>VÄRMLANDS LÄN</t>
        </is>
      </c>
      <c r="G477" t="inlineStr">
        <is>
          <t>FILIPSTAD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46236</v>
      </c>
      <c r="F479" t="inlineStr">
        <is>
          <t>VÄRMLANDS LÄN</t>
        </is>
      </c>
      <c r="G479" t="inlineStr">
        <is>
          <t>FILIPSTAD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45456</v>
      </c>
      <c r="E480" s="1" t="n">
        <v>46236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46236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46236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16040-2026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46108</v>
      </c>
      <c r="E483" s="1" t="n">
        <v>46236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46236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19030-2022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44691</v>
      </c>
      <c r="E486" s="1" t="n">
        <v>46236</v>
      </c>
      <c r="F486" t="inlineStr">
        <is>
          <t>VÄRMLANDS LÄN</t>
        </is>
      </c>
      <c r="G486" t="inlineStr">
        <is>
          <t>FILIPSTAD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46236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46236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46236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46236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46236</v>
      </c>
      <c r="F491" t="inlineStr">
        <is>
          <t>VÄRMLANDS LÄN</t>
        </is>
      </c>
      <c r="G491" t="inlineStr">
        <is>
          <t>FILIPSTAD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46236</v>
      </c>
      <c r="F492" t="inlineStr">
        <is>
          <t>VÄRMLANDS LÄN</t>
        </is>
      </c>
      <c r="G492" t="inlineStr">
        <is>
          <t>FILIPSTAD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46236</v>
      </c>
      <c r="F493" t="inlineStr">
        <is>
          <t>VÄRMLANDS LÄN</t>
        </is>
      </c>
      <c r="G493" t="inlineStr">
        <is>
          <t>FILIPSTAD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46236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46236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46236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46236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46236</v>
      </c>
      <c r="F498" t="inlineStr">
        <is>
          <t>VÄRMLANDS LÄN</t>
        </is>
      </c>
      <c r="G498" t="inlineStr">
        <is>
          <t>FILIPSTAD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46236</v>
      </c>
      <c r="F499" t="inlineStr">
        <is>
          <t>VÄRMLANDS LÄN</t>
        </is>
      </c>
      <c r="G499" t="inlineStr">
        <is>
          <t>FILIPSTAD</t>
        </is>
      </c>
      <c r="H499" t="inlineStr">
        <is>
          <t>Kommuner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46236</v>
      </c>
      <c r="F500" t="inlineStr">
        <is>
          <t>VÄRMLANDS LÄN</t>
        </is>
      </c>
      <c r="G500" t="inlineStr">
        <is>
          <t>FILIPSTAD</t>
        </is>
      </c>
      <c r="H500" t="inlineStr">
        <is>
          <t>Kommuner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46236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44951</v>
      </c>
      <c r="E503" s="1" t="n">
        <v>46236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46236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45495</v>
      </c>
      <c r="E506" s="1" t="n">
        <v>46236</v>
      </c>
      <c r="F506" t="inlineStr">
        <is>
          <t>VÄRMLANDS LÄN</t>
        </is>
      </c>
      <c r="G506" t="inlineStr">
        <is>
          <t>FILIPSTAD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46236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46236</v>
      </c>
      <c r="F508" t="inlineStr">
        <is>
          <t>VÄRMLANDS LÄN</t>
        </is>
      </c>
      <c r="G508" t="inlineStr">
        <is>
          <t>FILIPSTAD</t>
        </is>
      </c>
      <c r="H508" t="inlineStr">
        <is>
          <t>Kommuner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46236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45471</v>
      </c>
      <c r="E510" s="1" t="n">
        <v>46236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45152</v>
      </c>
      <c r="E511" s="1" t="n">
        <v>46236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46236</v>
      </c>
      <c r="F512" t="inlineStr">
        <is>
          <t>VÄRMLANDS LÄN</t>
        </is>
      </c>
      <c r="G512" t="inlineStr">
        <is>
          <t>FILIPSTAD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46236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46236</v>
      </c>
      <c r="F516" t="inlineStr">
        <is>
          <t>VÄRMLANDS LÄN</t>
        </is>
      </c>
      <c r="G516" t="inlineStr">
        <is>
          <t>FILIPSTAD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46236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45186</v>
      </c>
      <c r="E518" s="1" t="n">
        <v>46236</v>
      </c>
      <c r="F518" t="inlineStr">
        <is>
          <t>VÄRMLANDS LÄN</t>
        </is>
      </c>
      <c r="G518" t="inlineStr">
        <is>
          <t>FILIPSTAD</t>
        </is>
      </c>
      <c r="I518" t="n">
        <v>15.3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45439</v>
      </c>
      <c r="E519" s="1" t="n">
        <v>46236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16103-2025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45750</v>
      </c>
      <c r="E520" s="1" t="n">
        <v>46236</v>
      </c>
      <c r="F520" t="inlineStr">
        <is>
          <t>VÄRMLANDS LÄN</t>
        </is>
      </c>
      <c r="G520" t="inlineStr">
        <is>
          <t>FILIPSTAD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46236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19676-2026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46236</v>
      </c>
      <c r="F522" t="inlineStr">
        <is>
          <t>VÄRMLANDS LÄN</t>
        </is>
      </c>
      <c r="G522" t="inlineStr">
        <is>
          <t>FILIPSTAD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46236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46236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46236</v>
      </c>
      <c r="F525" t="inlineStr">
        <is>
          <t>VÄRMLANDS LÄN</t>
        </is>
      </c>
      <c r="G525" t="inlineStr">
        <is>
          <t>FILIPSTAD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36251-2022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44803</v>
      </c>
      <c r="E527" s="1" t="n">
        <v>46236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44789</v>
      </c>
      <c r="E528" s="1" t="n">
        <v>46236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45667</v>
      </c>
      <c r="E529" s="1" t="n">
        <v>46236</v>
      </c>
      <c r="F529" t="inlineStr">
        <is>
          <t>VÄRMLANDS LÄN</t>
        </is>
      </c>
      <c r="G529" t="inlineStr">
        <is>
          <t>FILIPSTAD</t>
        </is>
      </c>
      <c r="H529" t="inlineStr">
        <is>
          <t>Kommuner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47002-2024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46236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46257-2022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44847</v>
      </c>
      <c r="E531" s="1" t="n">
        <v>46236</v>
      </c>
      <c r="F531" t="inlineStr">
        <is>
          <t>VÄRMLANDS LÄN</t>
        </is>
      </c>
      <c r="G531" t="inlineStr">
        <is>
          <t>FILIPSTAD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44805</v>
      </c>
      <c r="E532" s="1" t="n">
        <v>46236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37611-2022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44809</v>
      </c>
      <c r="E533" s="1" t="n">
        <v>46236</v>
      </c>
      <c r="F533" t="inlineStr">
        <is>
          <t>VÄRMLANDS LÄN</t>
        </is>
      </c>
      <c r="G533" t="inlineStr">
        <is>
          <t>FILIPSTAD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46236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46236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46236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38075-2025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45882</v>
      </c>
      <c r="E537" s="1" t="n">
        <v>46236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46236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19833-2026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46135</v>
      </c>
      <c r="E539" s="1" t="n">
        <v>46236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43634-2021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44433</v>
      </c>
      <c r="E540" s="1" t="n">
        <v>46236</v>
      </c>
      <c r="F540" t="inlineStr">
        <is>
          <t>VÄRMLANDS LÄN</t>
        </is>
      </c>
      <c r="G540" t="inlineStr">
        <is>
          <t>FILIPSTAD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46236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46236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46236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18210-2024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45420</v>
      </c>
      <c r="E544" s="1" t="n">
        <v>46236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45087</v>
      </c>
      <c r="E545" s="1" t="n">
        <v>46236</v>
      </c>
      <c r="F545" t="inlineStr">
        <is>
          <t>VÄRMLANDS LÄN</t>
        </is>
      </c>
      <c r="G545" t="inlineStr">
        <is>
          <t>FILIPSTAD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45896</v>
      </c>
      <c r="E546" s="1" t="n">
        <v>46236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45901</v>
      </c>
      <c r="E547" s="1" t="n">
        <v>46236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65167-2021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44515</v>
      </c>
      <c r="E548" s="1" t="n">
        <v>46236</v>
      </c>
      <c r="F548" t="inlineStr">
        <is>
          <t>VÄRMLANDS LÄN</t>
        </is>
      </c>
      <c r="G548" t="inlineStr">
        <is>
          <t>FILIPSTAD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57456-2022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44896</v>
      </c>
      <c r="E549" s="1" t="n">
        <v>46236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46236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46236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46236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45593</v>
      </c>
      <c r="E554" s="1" t="n">
        <v>46236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45530</v>
      </c>
      <c r="E555" s="1" t="n">
        <v>46236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46236</v>
      </c>
      <c r="F556" t="inlineStr">
        <is>
          <t>VÄRMLANDS LÄN</t>
        </is>
      </c>
      <c r="G556" t="inlineStr">
        <is>
          <t>FILIPSTAD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23399-2025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45792</v>
      </c>
      <c r="E557" s="1" t="n">
        <v>46236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45139-2021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44439</v>
      </c>
      <c r="E558" s="1" t="n">
        <v>46236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46236</v>
      </c>
      <c r="F559" t="inlineStr">
        <is>
          <t>VÄRMLANDS LÄN</t>
        </is>
      </c>
      <c r="G559" t="inlineStr">
        <is>
          <t>FILIPSTAD</t>
        </is>
      </c>
      <c r="H559" t="inlineStr">
        <is>
          <t>Kommuner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46236</v>
      </c>
      <c r="F560" t="inlineStr">
        <is>
          <t>VÄRMLANDS LÄN</t>
        </is>
      </c>
      <c r="G560" t="inlineStr">
        <is>
          <t>FILIPSTAD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45322</v>
      </c>
      <c r="E561" s="1" t="n">
        <v>46236</v>
      </c>
      <c r="F561" t="inlineStr">
        <is>
          <t>VÄRMLANDS LÄN</t>
        </is>
      </c>
      <c r="G561" t="inlineStr">
        <is>
          <t>FILIPSTAD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72118-2021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46236</v>
      </c>
      <c r="F562" t="inlineStr">
        <is>
          <t>VÄRMLANDS LÄN</t>
        </is>
      </c>
      <c r="G562" t="inlineStr">
        <is>
          <t>FILIPSTAD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46236</v>
      </c>
      <c r="F563" t="inlineStr">
        <is>
          <t>VÄRMLANDS LÄN</t>
        </is>
      </c>
      <c r="G563" t="inlineStr">
        <is>
          <t>FILIPSTAD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53034-2022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44876</v>
      </c>
      <c r="E564" s="1" t="n">
        <v>46236</v>
      </c>
      <c r="F564" t="inlineStr">
        <is>
          <t>VÄRMLANDS LÄN</t>
        </is>
      </c>
      <c r="G564" t="inlineStr">
        <is>
          <t>FILIPSTAD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45747</v>
      </c>
      <c r="E565" s="1" t="n">
        <v>46236</v>
      </c>
      <c r="F565" t="inlineStr">
        <is>
          <t>VÄRMLANDS LÄN</t>
        </is>
      </c>
      <c r="G565" t="inlineStr">
        <is>
          <t>FILIPSTAD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45793</v>
      </c>
      <c r="E566" s="1" t="n">
        <v>46236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45229</v>
      </c>
      <c r="E567" s="1" t="n">
        <v>46236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45355</v>
      </c>
      <c r="E568" s="1" t="n">
        <v>46236</v>
      </c>
      <c r="F568" t="inlineStr">
        <is>
          <t>VÄRMLANDS LÄN</t>
        </is>
      </c>
      <c r="G568" t="inlineStr">
        <is>
          <t>FILIPSTAD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65174-2021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44515</v>
      </c>
      <c r="E569" s="1" t="n">
        <v>46236</v>
      </c>
      <c r="F569" t="inlineStr">
        <is>
          <t>VÄRMLANDS LÄN</t>
        </is>
      </c>
      <c r="G569" t="inlineStr">
        <is>
          <t>FILIPSTAD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46236</v>
      </c>
      <c r="F570" t="inlineStr">
        <is>
          <t>VÄRMLANDS LÄN</t>
        </is>
      </c>
      <c r="G570" t="inlineStr">
        <is>
          <t>FILIPSTAD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46236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50904-2023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46236</v>
      </c>
      <c r="F572" t="inlineStr">
        <is>
          <t>VÄRMLANDS LÄN</t>
        </is>
      </c>
      <c r="G572" t="inlineStr">
        <is>
          <t>FILIPSTAD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35799-2022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44801</v>
      </c>
      <c r="E573" s="1" t="n">
        <v>46236</v>
      </c>
      <c r="F573" t="inlineStr">
        <is>
          <t>VÄRMLANDS LÄN</t>
        </is>
      </c>
      <c r="G573" t="inlineStr">
        <is>
          <t>FILIPSTAD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55397-2022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44887</v>
      </c>
      <c r="E574" s="1" t="n">
        <v>46236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46236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26123-2025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45805</v>
      </c>
      <c r="E576" s="1" t="n">
        <v>46236</v>
      </c>
      <c r="F576" t="inlineStr">
        <is>
          <t>VÄRMLANDS LÄN</t>
        </is>
      </c>
      <c r="G576" t="inlineStr">
        <is>
          <t>FILIPSTAD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46236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45810</v>
      </c>
      <c r="E578" s="1" t="n">
        <v>46236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45470</v>
      </c>
      <c r="E579" s="1" t="n">
        <v>46236</v>
      </c>
      <c r="F579" t="inlineStr">
        <is>
          <t>VÄRMLANDS LÄN</t>
        </is>
      </c>
      <c r="G579" t="inlineStr">
        <is>
          <t>FILIPSTAD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26599-2024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45469</v>
      </c>
      <c r="E580" s="1" t="n">
        <v>46236</v>
      </c>
      <c r="F580" t="inlineStr">
        <is>
          <t>VÄRMLANDS LÄN</t>
        </is>
      </c>
      <c r="G580" t="inlineStr">
        <is>
          <t>FILIPSTAD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45826</v>
      </c>
      <c r="E581" s="1" t="n">
        <v>46236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46236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46236</v>
      </c>
      <c r="F583" t="inlineStr">
        <is>
          <t>VÄRMLANDS LÄN</t>
        </is>
      </c>
      <c r="G583" t="inlineStr">
        <is>
          <t>FILIPSTAD</t>
        </is>
      </c>
      <c r="H583" t="inlineStr">
        <is>
          <t>Kyrkan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46236</v>
      </c>
      <c r="F584" t="inlineStr">
        <is>
          <t>VÄRMLANDS LÄN</t>
        </is>
      </c>
      <c r="G584" t="inlineStr">
        <is>
          <t>FILIPSTAD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46236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46236</v>
      </c>
      <c r="F586" t="inlineStr">
        <is>
          <t>VÄRMLANDS LÄN</t>
        </is>
      </c>
      <c r="G586" t="inlineStr">
        <is>
          <t>FILIPSTAD</t>
        </is>
      </c>
      <c r="H586" t="inlineStr">
        <is>
          <t>Kyrkan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31172-2025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45832</v>
      </c>
      <c r="E587" s="1" t="n">
        <v>46236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46236</v>
      </c>
      <c r="F588" t="inlineStr">
        <is>
          <t>VÄRMLANDS LÄN</t>
        </is>
      </c>
      <c r="G588" t="inlineStr">
        <is>
          <t>FILIPSTAD</t>
        </is>
      </c>
      <c r="I588" t="n">
        <v>18.7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46236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46236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46236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33407-2025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45841</v>
      </c>
      <c r="E592" s="1" t="n">
        <v>46236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45826</v>
      </c>
      <c r="E593" s="1" t="n">
        <v>46236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36582-2025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45870</v>
      </c>
      <c r="E594" s="1" t="n">
        <v>46236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45882</v>
      </c>
      <c r="E595" s="1" t="n">
        <v>46236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46236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46236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46236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46236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46236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46236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46236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46236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46236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46236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46236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46236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46236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46236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2026-08-02T01:55:38Z</dcterms:created>
  <dcterms:modified xmlns:dcterms="http://purl.org/dc/terms/" xmlns:xsi="http://www.w3.org/2001/XMLSchema-instance" xsi:type="dcterms:W3CDTF">2026-08-02T01:55:39Z</dcterms:modified>
</cp:coreProperties>
</file>