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46251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46251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46251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46251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46251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46251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46251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46251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46251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46251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46251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46251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46251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46251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46251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46251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46251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46251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46251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46251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46251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46251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46251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46251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46251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46251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38140-2024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46251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HYPERLINK("https://klasma.github.io/Logging_1782/artfynd/A 38140-2024 artfynd.xlsx", "A 38140-2024")</f>
        <v/>
      </c>
      <c r="X32">
        <f>HYPERLINK("https://klasma.github.io/Logging_1782/kartor/A 38140-2024 karta.png", "A 38140-2024")</f>
        <v/>
      </c>
      <c r="Y32">
        <f>HYPERLINK("https://klasma.github.io/Logging_1782/kartor_geotiff/A 38140-2024 georefererad karta.tif", "A 38140-2024")</f>
        <v/>
      </c>
      <c r="AA32">
        <f>HYPERLINK("https://klasma.github.io/Logging_1782/klagomål/A 38140-2024 FSC-klagomål.docx", "A 38140-2024")</f>
        <v/>
      </c>
      <c r="AB32">
        <f>HYPERLINK("https://klasma.github.io/Logging_1782/klagomålsmail/A 38140-2024 FSC-klagomål mail.docx", "A 38140-2024")</f>
        <v/>
      </c>
      <c r="AC32">
        <f>HYPERLINK("https://klasma.github.io/Logging_1782/tillsyn/A 38140-2024 tillsynsbegäran.docx", "A 38140-2024")</f>
        <v/>
      </c>
      <c r="AD32">
        <f>HYPERLINK("https://klasma.github.io/Logging_1782/tillsynsmail/A 38140-2024 tillsynsbegäran mail.docx", "A 38140-2024")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46251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46251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46251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17529-2026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46251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Ädellav</t>
        </is>
      </c>
      <c r="W36">
        <f>HYPERLINK("https://klasma.github.io/Logging_1782/artfynd/A 17529-2026 artfynd.xlsx", "A 17529-2026")</f>
        <v/>
      </c>
      <c r="X36">
        <f>HYPERLINK("https://klasma.github.io/Logging_1782/kartor/A 17529-2026 karta.png", "A 17529-2026")</f>
        <v/>
      </c>
      <c r="Y36">
        <f>HYPERLINK("https://klasma.github.io/Logging_1782/kartor_geotiff/A 17529-2026 georefererad karta.tif", "A 17529-2026")</f>
        <v/>
      </c>
      <c r="AA36">
        <f>HYPERLINK("https://klasma.github.io/Logging_1782/klagomål/A 17529-2026 FSC-klagomål.docx", "A 17529-2026")</f>
        <v/>
      </c>
      <c r="AB36">
        <f>HYPERLINK("https://klasma.github.io/Logging_1782/klagomålsmail/A 17529-2026 FSC-klagomål mail.docx", "A 17529-2026")</f>
        <v/>
      </c>
      <c r="AC36">
        <f>HYPERLINK("https://klasma.github.io/Logging_1782/tillsyn/A 17529-2026 tillsynsbegäran.docx", "A 17529-2026")</f>
        <v/>
      </c>
      <c r="AD36">
        <f>HYPERLINK("https://klasma.github.io/Logging_1782/tillsynsmail/A 17529-2026 tillsynsbegäran mail.docx", "A 17529-2026")</f>
        <v/>
      </c>
    </row>
    <row r="37" ht="15" customHeight="1">
      <c r="A37" t="inlineStr">
        <is>
          <t>A 51522-2022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44869</v>
      </c>
      <c r="E37" s="1" t="n">
        <v>46251</v>
      </c>
      <c r="F37" t="inlineStr">
        <is>
          <t>VÄRMLANDS LÄN</t>
        </is>
      </c>
      <c r="G37" t="inlineStr">
        <is>
          <t>FILIPSTAD</t>
        </is>
      </c>
      <c r="I37" t="n">
        <v>4.1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HYPERLINK("https://klasma.github.io/Logging_1782/artfynd/A 51522-2022 artfynd.xlsx", "A 51522-2022")</f>
        <v/>
      </c>
      <c r="X37">
        <f>HYPERLINK("https://klasma.github.io/Logging_1782/kartor/A 51522-2022 karta.png", "A 51522-2022")</f>
        <v/>
      </c>
      <c r="Y37">
        <f>HYPERLINK("https://klasma.github.io/Logging_1782/kartor_geotiff/A 51522-2022 georefererad karta.tif", "A 51522-2022")</f>
        <v/>
      </c>
      <c r="AA37">
        <f>HYPERLINK("https://klasma.github.io/Logging_1782/klagomål/A 51522-2022 FSC-klagomål.docx", "A 51522-2022")</f>
        <v/>
      </c>
      <c r="AB37">
        <f>HYPERLINK("https://klasma.github.io/Logging_1782/klagomålsmail/A 51522-2022 FSC-klagomål mail.docx", "A 51522-2022")</f>
        <v/>
      </c>
      <c r="AC37">
        <f>HYPERLINK("https://klasma.github.io/Logging_1782/tillsyn/A 51522-2022 tillsynsbegäran.docx", "A 51522-2022")</f>
        <v/>
      </c>
      <c r="AD37">
        <f>HYPERLINK("https://klasma.github.io/Logging_1782/tillsynsmail/A 51522-2022 tillsynsbegäran mail.docx", "A 51522-2022")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46251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11453-2025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46251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Purpurknipprot</t>
        </is>
      </c>
      <c r="W39">
        <f>HYPERLINK("https://klasma.github.io/Logging_1782/artfynd/A 11453-2025 artfynd.xlsx", "A 11453-2025")</f>
        <v/>
      </c>
      <c r="X39">
        <f>HYPERLINK("https://klasma.github.io/Logging_1782/kartor/A 11453-2025 karta.png", "A 11453-2025")</f>
        <v/>
      </c>
      <c r="Y39">
        <f>HYPERLINK("https://klasma.github.io/Logging_1782/kartor_geotiff/A 11453-2025 georefererad karta.tif", "A 11453-2025")</f>
        <v/>
      </c>
      <c r="AA39">
        <f>HYPERLINK("https://klasma.github.io/Logging_1782/klagomål/A 11453-2025 FSC-klagomål.docx", "A 11453-2025")</f>
        <v/>
      </c>
      <c r="AB39">
        <f>HYPERLINK("https://klasma.github.io/Logging_1782/klagomålsmail/A 11453-2025 FSC-klagomål mail.docx", "A 11453-2025")</f>
        <v/>
      </c>
      <c r="AC39">
        <f>HYPERLINK("https://klasma.github.io/Logging_1782/tillsyn/A 11453-2025 tillsynsbegäran.docx", "A 11453-2025")</f>
        <v/>
      </c>
      <c r="AD39">
        <f>HYPERLINK("https://klasma.github.io/Logging_1782/tillsynsmail/A 11453-2025 tillsynsbegäran mail.docx", "A 11453-2025")</f>
        <v/>
      </c>
    </row>
    <row r="40" ht="15" customHeight="1">
      <c r="A40" t="inlineStr">
        <is>
          <t>A 31257-2026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46251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10.2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Gräsull</t>
        </is>
      </c>
      <c r="W40">
        <f>HYPERLINK("https://klasma.github.io/Logging_1782/artfynd/A 31257-2026 artfynd.xlsx", "A 31257-2026")</f>
        <v/>
      </c>
      <c r="X40">
        <f>HYPERLINK("https://klasma.github.io/Logging_1782/kartor/A 31257-2026 karta.png", "A 31257-2026")</f>
        <v/>
      </c>
      <c r="Y40">
        <f>HYPERLINK("https://klasma.github.io/Logging_1782/kartor_geotiff/A 31257-2026 georefererad karta.tif", "A 31257-2026")</f>
        <v/>
      </c>
      <c r="AA40">
        <f>HYPERLINK("https://klasma.github.io/Logging_1782/klagomål/A 31257-2026 FSC-klagomål.docx", "A 31257-2026")</f>
        <v/>
      </c>
      <c r="AB40">
        <f>HYPERLINK("https://klasma.github.io/Logging_1782/klagomålsmail/A 31257-2026 FSC-klagomål mail.docx", "A 31257-2026")</f>
        <v/>
      </c>
      <c r="AC40">
        <f>HYPERLINK("https://klasma.github.io/Logging_1782/tillsyn/A 31257-2026 tillsynsbegäran.docx", "A 31257-2026")</f>
        <v/>
      </c>
      <c r="AD40">
        <f>HYPERLINK("https://klasma.github.io/Logging_1782/tillsynsmail/A 31257-2026 tillsynsbegäran mail.docx", "A 31257-2026")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46251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46251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30652-2025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45831</v>
      </c>
      <c r="E43" s="1" t="n">
        <v>46251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4.3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HYPERLINK("https://klasma.github.io/Logging_1782/artfynd/A 30652-2025 artfynd.xlsx", "A 30652-2025")</f>
        <v/>
      </c>
      <c r="X43">
        <f>HYPERLINK("https://klasma.github.io/Logging_1782/kartor/A 30652-2025 karta.png", "A 30652-2025")</f>
        <v/>
      </c>
      <c r="Y43">
        <f>HYPERLINK("https://klasma.github.io/Logging_1782/kartor_geotiff/A 30652-2025 georefererad karta.tif", "A 30652-2025")</f>
        <v/>
      </c>
      <c r="AA43">
        <f>HYPERLINK("https://klasma.github.io/Logging_1782/klagomål/A 30652-2025 FSC-klagomål.docx", "A 30652-2025")</f>
        <v/>
      </c>
      <c r="AB43">
        <f>HYPERLINK("https://klasma.github.io/Logging_1782/klagomålsmail/A 30652-2025 FSC-klagomål mail.docx", "A 30652-2025")</f>
        <v/>
      </c>
      <c r="AC43">
        <f>HYPERLINK("https://klasma.github.io/Logging_1782/tillsyn/A 30652-2025 tillsynsbegäran.docx", "A 30652-2025")</f>
        <v/>
      </c>
      <c r="AD43">
        <f>HYPERLINK("https://klasma.github.io/Logging_1782/tillsynsmail/A 30652-2025 tillsynsbegäran mail.docx", "A 30652-2025")</f>
        <v/>
      </c>
      <c r="AE43">
        <f>HYPERLINK("https://klasma.github.io/Logging_1782/fåglar/A 30652-2025 prioriterade fågelarter.docx", "A 30652-2025")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46251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28915-2026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46251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Stjärnstarr</t>
        </is>
      </c>
      <c r="W45">
        <f>HYPERLINK("https://klasma.github.io/Logging_1782/artfynd/A 28915-2026 artfynd.xlsx", "A 28915-2026")</f>
        <v/>
      </c>
      <c r="X45">
        <f>HYPERLINK("https://klasma.github.io/Logging_1782/kartor/A 28915-2026 karta.png", "A 28915-2026")</f>
        <v/>
      </c>
      <c r="Y45">
        <f>HYPERLINK("https://klasma.github.io/Logging_1782/kartor_geotiff/A 28915-2026 georefererad karta.tif", "A 28915-2026")</f>
        <v/>
      </c>
      <c r="AA45">
        <f>HYPERLINK("https://klasma.github.io/Logging_1782/klagomål/A 28915-2026 FSC-klagomål.docx", "A 28915-2026")</f>
        <v/>
      </c>
      <c r="AB45">
        <f>HYPERLINK("https://klasma.github.io/Logging_1782/klagomålsmail/A 28915-2026 FSC-klagomål mail.docx", "A 28915-2026")</f>
        <v/>
      </c>
      <c r="AC45">
        <f>HYPERLINK("https://klasma.github.io/Logging_1782/tillsyn/A 28915-2026 tillsynsbegäran.docx", "A 28915-2026")</f>
        <v/>
      </c>
      <c r="AD45">
        <f>HYPERLINK("https://klasma.github.io/Logging_1782/tillsynsmail/A 28915-2026 tillsynsbegäran mail.docx", "A 28915-2026")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46251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46251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46251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46251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46251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46251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46251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46251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46251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46251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46251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46251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46251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46251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46251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46251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46251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46251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46251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46251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46251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46251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46251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47536-2023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45203</v>
      </c>
      <c r="E71" s="1" t="n">
        <v>46251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46251</v>
      </c>
      <c r="F72" t="inlineStr">
        <is>
          <t>VÄRMLANDS LÄN</t>
        </is>
      </c>
      <c r="G72" t="inlineStr">
        <is>
          <t>FILIPSTAD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19030-2022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44691</v>
      </c>
      <c r="E73" s="1" t="n">
        <v>46251</v>
      </c>
      <c r="F73" t="inlineStr">
        <is>
          <t>VÄRMLANDS LÄN</t>
        </is>
      </c>
      <c r="G73" t="inlineStr">
        <is>
          <t>FILIPSTAD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45342</v>
      </c>
      <c r="E74" s="1" t="n">
        <v>46251</v>
      </c>
      <c r="F74" t="inlineStr">
        <is>
          <t>VÄRMLANDS LÄN</t>
        </is>
      </c>
      <c r="G74" t="inlineStr">
        <is>
          <t>FILIPSTAD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46251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46251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46251</v>
      </c>
      <c r="F77" t="inlineStr">
        <is>
          <t>VÄRMLANDS LÄN</t>
        </is>
      </c>
      <c r="G77" t="inlineStr">
        <is>
          <t>FILIPSTAD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46251</v>
      </c>
      <c r="F78" t="inlineStr">
        <is>
          <t>VÄRMLANDS LÄN</t>
        </is>
      </c>
      <c r="G78" t="inlineStr">
        <is>
          <t>FILIPSTAD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45391</v>
      </c>
      <c r="E79" s="1" t="n">
        <v>46251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46251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46251</v>
      </c>
      <c r="F81" t="inlineStr">
        <is>
          <t>VÄRMLANDS LÄN</t>
        </is>
      </c>
      <c r="G81" t="inlineStr">
        <is>
          <t>FILIPSTAD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45407</v>
      </c>
      <c r="E82" s="1" t="n">
        <v>46251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46251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8.4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46251</v>
      </c>
      <c r="F84" t="inlineStr">
        <is>
          <t>VÄRMLANDS LÄN</t>
        </is>
      </c>
      <c r="G84" t="inlineStr">
        <is>
          <t>FILIPSTAD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45223</v>
      </c>
      <c r="E85" s="1" t="n">
        <v>46251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45471</v>
      </c>
      <c r="E86" s="1" t="n">
        <v>46251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46251</v>
      </c>
      <c r="F87" t="inlineStr">
        <is>
          <t>VÄRMLANDS LÄN</t>
        </is>
      </c>
      <c r="G87" t="inlineStr">
        <is>
          <t>FILIPSTAD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46251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46251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57087-2021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46251</v>
      </c>
      <c r="F90" t="inlineStr">
        <is>
          <t>VÄRMLANDS LÄN</t>
        </is>
      </c>
      <c r="G90" t="inlineStr">
        <is>
          <t>FILIPSTAD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46251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46251</v>
      </c>
      <c r="F92" t="inlineStr">
        <is>
          <t>VÄRMLANDS LÄN</t>
        </is>
      </c>
      <c r="G92" t="inlineStr">
        <is>
          <t>FILIPSTAD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45222</v>
      </c>
      <c r="E93" s="1" t="n">
        <v>46251</v>
      </c>
      <c r="F93" t="inlineStr">
        <is>
          <t>VÄRMLANDS LÄN</t>
        </is>
      </c>
      <c r="G93" t="inlineStr">
        <is>
          <t>FILIPSTAD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46251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46251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44461</v>
      </c>
      <c r="E96" s="1" t="n">
        <v>46251</v>
      </c>
      <c r="F96" t="inlineStr">
        <is>
          <t>VÄRMLANDS LÄN</t>
        </is>
      </c>
      <c r="G96" t="inlineStr">
        <is>
          <t>FILIPSTAD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46251</v>
      </c>
      <c r="F97" t="inlineStr">
        <is>
          <t>VÄRMLANDS LÄN</t>
        </is>
      </c>
      <c r="G97" t="inlineStr">
        <is>
          <t>FILIPSTAD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45186</v>
      </c>
      <c r="E98" s="1" t="n">
        <v>46251</v>
      </c>
      <c r="F98" t="inlineStr">
        <is>
          <t>VÄRMLANDS LÄN</t>
        </is>
      </c>
      <c r="G98" t="inlineStr">
        <is>
          <t>FILIPSTAD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46251</v>
      </c>
      <c r="F99" t="inlineStr">
        <is>
          <t>VÄRMLANDS LÄN</t>
        </is>
      </c>
      <c r="G99" t="inlineStr">
        <is>
          <t>FILIPSTAD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46251</v>
      </c>
      <c r="F100" t="inlineStr">
        <is>
          <t>VÄRMLANDS LÄN</t>
        </is>
      </c>
      <c r="G100" t="inlineStr">
        <is>
          <t>FILIPSTAD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45750</v>
      </c>
      <c r="E101" s="1" t="n">
        <v>46251</v>
      </c>
      <c r="F101" t="inlineStr">
        <is>
          <t>VÄRMLANDS LÄN</t>
        </is>
      </c>
      <c r="G101" t="inlineStr">
        <is>
          <t>FILIPSTAD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45328</v>
      </c>
      <c r="E102" s="1" t="n">
        <v>46251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36251-2022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44803</v>
      </c>
      <c r="E103" s="1" t="n">
        <v>46251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46251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10.6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46251</v>
      </c>
      <c r="F105" t="inlineStr">
        <is>
          <t>VÄRMLANDS LÄN</t>
        </is>
      </c>
      <c r="G105" t="inlineStr">
        <is>
          <t>FILIPSTAD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45463</v>
      </c>
      <c r="E106" s="1" t="n">
        <v>46251</v>
      </c>
      <c r="F106" t="inlineStr">
        <is>
          <t>VÄRMLANDS LÄN</t>
        </is>
      </c>
      <c r="G106" t="inlineStr">
        <is>
          <t>FILIPSTAD</t>
        </is>
      </c>
      <c r="I106" t="n">
        <v>13.2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45230</v>
      </c>
      <c r="E107" s="1" t="n">
        <v>46251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46251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46251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45120</v>
      </c>
      <c r="E110" s="1" t="n">
        <v>46251</v>
      </c>
      <c r="F110" t="inlineStr">
        <is>
          <t>VÄRMLANDS LÄN</t>
        </is>
      </c>
      <c r="G110" t="inlineStr">
        <is>
          <t>FILIPSTAD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45474</v>
      </c>
      <c r="E111" s="1" t="n">
        <v>46251</v>
      </c>
      <c r="F111" t="inlineStr">
        <is>
          <t>VÄRMLANDS LÄN</t>
        </is>
      </c>
      <c r="G111" t="inlineStr">
        <is>
          <t>FILIPSTAD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41718-2025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45902</v>
      </c>
      <c r="E112" s="1" t="n">
        <v>46251</v>
      </c>
      <c r="F112" t="inlineStr">
        <is>
          <t>VÄRMLANDS LÄN</t>
        </is>
      </c>
      <c r="G112" t="inlineStr">
        <is>
          <t>FILIPSTAD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46251</v>
      </c>
      <c r="F113" t="inlineStr">
        <is>
          <t>VÄRMLANDS LÄN</t>
        </is>
      </c>
      <c r="G113" t="inlineStr">
        <is>
          <t>FILIPSTAD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46251</v>
      </c>
      <c r="F114" t="inlineStr">
        <is>
          <t>VÄRMLANDS LÄN</t>
        </is>
      </c>
      <c r="G114" t="inlineStr">
        <is>
          <t>FILIPSTAD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46251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46251</v>
      </c>
      <c r="F116" t="inlineStr">
        <is>
          <t>VÄRMLANDS LÄN</t>
        </is>
      </c>
      <c r="G116" t="inlineStr">
        <is>
          <t>FILIPSTAD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44588</v>
      </c>
      <c r="E117" s="1" t="n">
        <v>46251</v>
      </c>
      <c r="F117" t="inlineStr">
        <is>
          <t>VÄRMLANDS LÄN</t>
        </is>
      </c>
      <c r="G117" t="inlineStr">
        <is>
          <t>FILIPSTAD</t>
        </is>
      </c>
      <c r="H117" t="inlineStr">
        <is>
          <t>Kommuner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45924</v>
      </c>
      <c r="E118" s="1" t="n">
        <v>46251</v>
      </c>
      <c r="F118" t="inlineStr">
        <is>
          <t>VÄRMLANDS LÄN</t>
        </is>
      </c>
      <c r="G118" t="inlineStr">
        <is>
          <t>FILIPSTAD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45674</v>
      </c>
      <c r="E119" s="1" t="n">
        <v>46251</v>
      </c>
      <c r="F119" t="inlineStr">
        <is>
          <t>VÄRMLANDS LÄN</t>
        </is>
      </c>
      <c r="G119" t="inlineStr">
        <is>
          <t>FILIPSTAD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46251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46257-2022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44847</v>
      </c>
      <c r="E121" s="1" t="n">
        <v>46251</v>
      </c>
      <c r="F121" t="inlineStr">
        <is>
          <t>VÄRMLANDS LÄN</t>
        </is>
      </c>
      <c r="G121" t="inlineStr">
        <is>
          <t>FILIPSTAD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44805</v>
      </c>
      <c r="E122" s="1" t="n">
        <v>46251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46251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46251</v>
      </c>
      <c r="F124" t="inlineStr">
        <is>
          <t>VÄRMLANDS LÄN</t>
        </is>
      </c>
      <c r="G124" t="inlineStr">
        <is>
          <t>FILIPSTAD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46251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46251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46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46251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46251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46251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45933</v>
      </c>
      <c r="E130" s="1" t="n">
        <v>46251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46251</v>
      </c>
      <c r="F131" t="inlineStr">
        <is>
          <t>VÄRMLANDS LÄN</t>
        </is>
      </c>
      <c r="G131" t="inlineStr">
        <is>
          <t>FILIPSTAD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45087</v>
      </c>
      <c r="E132" s="1" t="n">
        <v>46251</v>
      </c>
      <c r="F132" t="inlineStr">
        <is>
          <t>VÄRMLANDS LÄN</t>
        </is>
      </c>
      <c r="G132" t="inlineStr">
        <is>
          <t>FILIPSTAD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45664</v>
      </c>
      <c r="E133" s="1" t="n">
        <v>46251</v>
      </c>
      <c r="F133" t="inlineStr">
        <is>
          <t>VÄRMLANDS LÄN</t>
        </is>
      </c>
      <c r="G133" t="inlineStr">
        <is>
          <t>FILIPSTAD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45418</v>
      </c>
      <c r="E134" s="1" t="n">
        <v>46251</v>
      </c>
      <c r="F134" t="inlineStr">
        <is>
          <t>VÄRMLANDS LÄN</t>
        </is>
      </c>
      <c r="G134" t="inlineStr">
        <is>
          <t>FILIPSTAD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46251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46092</v>
      </c>
      <c r="E136" s="1" t="n">
        <v>46251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46251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46251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46251</v>
      </c>
      <c r="F139" t="inlineStr">
        <is>
          <t>VÄRMLANDS LÄN</t>
        </is>
      </c>
      <c r="G139" t="inlineStr">
        <is>
          <t>FILIPSTAD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46251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46094</v>
      </c>
      <c r="E141" s="1" t="n">
        <v>46251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8.9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45578</v>
      </c>
      <c r="E142" s="1" t="n">
        <v>46251</v>
      </c>
      <c r="F142" t="inlineStr">
        <is>
          <t>VÄRMLANDS LÄN</t>
        </is>
      </c>
      <c r="G142" t="inlineStr">
        <is>
          <t>FILIPSTAD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46251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46251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46098</v>
      </c>
      <c r="E145" s="1" t="n">
        <v>46251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46251</v>
      </c>
      <c r="F146" t="inlineStr">
        <is>
          <t>VÄRMLANDS LÄN</t>
        </is>
      </c>
      <c r="G146" t="inlineStr">
        <is>
          <t>FILIPSTAD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46251</v>
      </c>
      <c r="F147" t="inlineStr">
        <is>
          <t>VÄRMLANDS LÄN</t>
        </is>
      </c>
      <c r="G147" t="inlineStr">
        <is>
          <t>FILIPSTAD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46251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45951</v>
      </c>
      <c r="E149" s="1" t="n">
        <v>46251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46251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46251</v>
      </c>
      <c r="F151" t="inlineStr">
        <is>
          <t>VÄRMLANDS LÄN</t>
        </is>
      </c>
      <c r="G151" t="inlineStr">
        <is>
          <t>FILIPSTAD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44439</v>
      </c>
      <c r="E152" s="1" t="n">
        <v>46251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46251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46251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46251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69015-2021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46251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46251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44876</v>
      </c>
      <c r="E158" s="1" t="n">
        <v>46251</v>
      </c>
      <c r="F158" t="inlineStr">
        <is>
          <t>VÄRMLANDS LÄN</t>
        </is>
      </c>
      <c r="G158" t="inlineStr">
        <is>
          <t>FILIPSTAD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46251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46251</v>
      </c>
      <c r="F160" t="inlineStr">
        <is>
          <t>VÄRMLANDS LÄN</t>
        </is>
      </c>
      <c r="G160" t="inlineStr">
        <is>
          <t>FILIPSTAD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46251</v>
      </c>
      <c r="F161" t="inlineStr">
        <is>
          <t>VÄRMLANDS LÄN</t>
        </is>
      </c>
      <c r="G161" t="inlineStr">
        <is>
          <t>FILIPSTAD</t>
        </is>
      </c>
      <c r="H161" t="inlineStr">
        <is>
          <t>Kyrkan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46251</v>
      </c>
      <c r="F162" t="inlineStr">
        <is>
          <t>VÄRMLANDS LÄN</t>
        </is>
      </c>
      <c r="G162" t="inlineStr">
        <is>
          <t>FILIPSTAD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46251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46251</v>
      </c>
      <c r="F164" t="inlineStr">
        <is>
          <t>VÄRMLANDS LÄN</t>
        </is>
      </c>
      <c r="G164" t="inlineStr">
        <is>
          <t>FILIPSTAD</t>
        </is>
      </c>
      <c r="H164" t="inlineStr">
        <is>
          <t>Kyrkan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46251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44935</v>
      </c>
      <c r="E166" s="1" t="n">
        <v>46251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46251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46251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46107</v>
      </c>
      <c r="E169" s="1" t="n">
        <v>46251</v>
      </c>
      <c r="F169" t="inlineStr">
        <is>
          <t>VÄRMLANDS LÄN</t>
        </is>
      </c>
      <c r="G169" t="inlineStr">
        <is>
          <t>FILIPSTAD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46251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46251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46251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46108</v>
      </c>
      <c r="E174" s="1" t="n">
        <v>46251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16040-2026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46108</v>
      </c>
      <c r="E175" s="1" t="n">
        <v>46251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46108</v>
      </c>
      <c r="E176" s="1" t="n">
        <v>46251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46251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46251</v>
      </c>
      <c r="F178" t="inlineStr">
        <is>
          <t>VÄRMLANDS LÄN</t>
        </is>
      </c>
      <c r="G178" t="inlineStr">
        <is>
          <t>FILIPSTAD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46251</v>
      </c>
      <c r="F179" t="inlineStr">
        <is>
          <t>VÄRMLANDS LÄN</t>
        </is>
      </c>
      <c r="G179" t="inlineStr">
        <is>
          <t>FILIPSTAD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45223</v>
      </c>
      <c r="E180" s="1" t="n">
        <v>46251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46251</v>
      </c>
      <c r="F181" t="inlineStr">
        <is>
          <t>VÄRMLANDS LÄN</t>
        </is>
      </c>
      <c r="G181" t="inlineStr">
        <is>
          <t>FILIPSTAD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46251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46251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46251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46251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46251</v>
      </c>
      <c r="F186" t="inlineStr">
        <is>
          <t>VÄRMLANDS LÄN</t>
        </is>
      </c>
      <c r="G186" t="inlineStr">
        <is>
          <t>FILIPSTAD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46251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44960</v>
      </c>
      <c r="E188" s="1" t="n">
        <v>46251</v>
      </c>
      <c r="F188" t="inlineStr">
        <is>
          <t>VÄRMLANDS LÄN</t>
        </is>
      </c>
      <c r="G188" t="inlineStr">
        <is>
          <t>FILIPSTAD</t>
        </is>
      </c>
      <c r="H188" t="inlineStr">
        <is>
          <t>Kommuner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56180-2025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46251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46251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46251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56158-2025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46251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46251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46251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46251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46251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46251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46251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46114</v>
      </c>
      <c r="E199" s="1" t="n">
        <v>46251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46251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55978-2022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44889</v>
      </c>
      <c r="E201" s="1" t="n">
        <v>46251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46251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46251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46251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44788</v>
      </c>
      <c r="E205" s="1" t="n">
        <v>46251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46251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46119</v>
      </c>
      <c r="E207" s="1" t="n">
        <v>46251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46251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58019-2025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46251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46251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46251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50856-2022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44867</v>
      </c>
      <c r="E212" s="1" t="n">
        <v>46251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44911</v>
      </c>
      <c r="E213" s="1" t="n">
        <v>46251</v>
      </c>
      <c r="F213" t="inlineStr">
        <is>
          <t>VÄRMLANDS LÄN</t>
        </is>
      </c>
      <c r="G213" t="inlineStr">
        <is>
          <t>FILIPSTAD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46251</v>
      </c>
      <c r="F214" t="inlineStr">
        <is>
          <t>VÄRMLANDS LÄN</t>
        </is>
      </c>
      <c r="G214" t="inlineStr">
        <is>
          <t>FILIPSTAD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46120</v>
      </c>
      <c r="E215" s="1" t="n">
        <v>46251</v>
      </c>
      <c r="F215" t="inlineStr">
        <is>
          <t>VÄRMLANDS LÄN</t>
        </is>
      </c>
      <c r="G215" t="inlineStr">
        <is>
          <t>FILIPSTAD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46251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46251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46251</v>
      </c>
      <c r="F218" t="inlineStr">
        <is>
          <t>VÄRMLANDS LÄN</t>
        </is>
      </c>
      <c r="G218" t="inlineStr">
        <is>
          <t>FILIPSTAD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46251</v>
      </c>
      <c r="F219" t="inlineStr">
        <is>
          <t>VÄRMLANDS LÄN</t>
        </is>
      </c>
      <c r="G219" t="inlineStr">
        <is>
          <t>FILIPSTAD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46251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46251</v>
      </c>
      <c r="F221" t="inlineStr">
        <is>
          <t>VÄRMLANDS LÄN</t>
        </is>
      </c>
      <c r="G221" t="inlineStr">
        <is>
          <t>FILIPSTAD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46251</v>
      </c>
      <c r="F222" t="inlineStr">
        <is>
          <t>VÄRMLANDS LÄN</t>
        </is>
      </c>
      <c r="G222" t="inlineStr">
        <is>
          <t>FILIPSTAD</t>
        </is>
      </c>
      <c r="H222" t="inlineStr">
        <is>
          <t>Kommuner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46251</v>
      </c>
      <c r="F223" t="inlineStr">
        <is>
          <t>VÄRMLANDS LÄN</t>
        </is>
      </c>
      <c r="G223" t="inlineStr">
        <is>
          <t>FILIPSTAD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46251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46251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46122</v>
      </c>
      <c r="E226" s="1" t="n">
        <v>46251</v>
      </c>
      <c r="F226" t="inlineStr">
        <is>
          <t>VÄRMLANDS LÄN</t>
        </is>
      </c>
      <c r="G226" t="inlineStr">
        <is>
          <t>FILIPSTAD</t>
        </is>
      </c>
      <c r="H226" t="inlineStr">
        <is>
          <t>Kommuner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45992</v>
      </c>
      <c r="E227" s="1" t="n">
        <v>46251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46251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46251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46251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46251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44951</v>
      </c>
      <c r="E232" s="1" t="n">
        <v>46251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46251</v>
      </c>
      <c r="F233" t="inlineStr">
        <is>
          <t>VÄRMLANDS LÄN</t>
        </is>
      </c>
      <c r="G233" t="inlineStr">
        <is>
          <t>FILIPSTAD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46251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46251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46251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45989</v>
      </c>
      <c r="E237" s="1" t="n">
        <v>46251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46251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46251</v>
      </c>
      <c r="F239" t="inlineStr">
        <is>
          <t>VÄRMLANDS LÄN</t>
        </is>
      </c>
      <c r="G239" t="inlineStr">
        <is>
          <t>FILIPSTAD</t>
        </is>
      </c>
      <c r="H239" t="inlineStr">
        <is>
          <t>Kommuner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46251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46251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45996</v>
      </c>
      <c r="E242" s="1" t="n">
        <v>46251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46251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46251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45152</v>
      </c>
      <c r="E245" s="1" t="n">
        <v>46251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46251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18969-2026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46129</v>
      </c>
      <c r="E247" s="1" t="n">
        <v>46251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46129</v>
      </c>
      <c r="E248" s="1" t="n">
        <v>46251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46251</v>
      </c>
      <c r="F249" t="inlineStr">
        <is>
          <t>VÄRMLANDS LÄN</t>
        </is>
      </c>
      <c r="G249" t="inlineStr">
        <is>
          <t>FILIPSTAD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46251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44384-2021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44435</v>
      </c>
      <c r="E251" s="1" t="n">
        <v>46251</v>
      </c>
      <c r="F251" t="inlineStr">
        <is>
          <t>VÄRMLANDS LÄN</t>
        </is>
      </c>
      <c r="G251" t="inlineStr">
        <is>
          <t>FILIPSTAD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36680-2023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45153</v>
      </c>
      <c r="E252" s="1" t="n">
        <v>46251</v>
      </c>
      <c r="F252" t="inlineStr">
        <is>
          <t>VÄRMLANDS LÄN</t>
        </is>
      </c>
      <c r="G252" t="inlineStr">
        <is>
          <t>FILIPSTAD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46251</v>
      </c>
      <c r="F253" t="inlineStr">
        <is>
          <t>VÄRMLANDS LÄN</t>
        </is>
      </c>
      <c r="G253" t="inlineStr">
        <is>
          <t>FILIPSTAD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46251</v>
      </c>
      <c r="F254" t="inlineStr">
        <is>
          <t>VÄRMLANDS LÄN</t>
        </is>
      </c>
      <c r="G254" t="inlineStr">
        <is>
          <t>FILIPSTAD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61327-2025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46251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46251</v>
      </c>
      <c r="F256" t="inlineStr">
        <is>
          <t>VÄRMLANDS LÄN</t>
        </is>
      </c>
      <c r="G256" t="inlineStr">
        <is>
          <t>FILIPSTAD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46251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46251</v>
      </c>
      <c r="F258" t="inlineStr">
        <is>
          <t>VÄRMLANDS LÄN</t>
        </is>
      </c>
      <c r="G258" t="inlineStr">
        <is>
          <t>FILIPSTAD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44998</v>
      </c>
      <c r="E259" s="1" t="n">
        <v>46251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46001</v>
      </c>
      <c r="E260" s="1" t="n">
        <v>46251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46251</v>
      </c>
      <c r="F261" t="inlineStr">
        <is>
          <t>VÄRMLANDS LÄN</t>
        </is>
      </c>
      <c r="G261" t="inlineStr">
        <is>
          <t>FILIPSTAD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46251</v>
      </c>
      <c r="F262" t="inlineStr">
        <is>
          <t>VÄRMLANDS LÄN</t>
        </is>
      </c>
      <c r="G262" t="inlineStr">
        <is>
          <t>FILIPSTAD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46251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44963</v>
      </c>
      <c r="E264" s="1" t="n">
        <v>46251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61492-2025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46001</v>
      </c>
      <c r="E265" s="1" t="n">
        <v>46251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46251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46251</v>
      </c>
      <c r="F267" t="inlineStr">
        <is>
          <t>VÄRMLANDS LÄN</t>
        </is>
      </c>
      <c r="G267" t="inlineStr">
        <is>
          <t>FILIPSTAD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46004</v>
      </c>
      <c r="E268" s="1" t="n">
        <v>46251</v>
      </c>
      <c r="F268" t="inlineStr">
        <is>
          <t>VÄRMLANDS LÄN</t>
        </is>
      </c>
      <c r="G268" t="inlineStr">
        <is>
          <t>FILIPSTAD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46251</v>
      </c>
      <c r="F269" t="inlineStr">
        <is>
          <t>VÄRMLANDS LÄN</t>
        </is>
      </c>
      <c r="G269" t="inlineStr">
        <is>
          <t>FILIPSTAD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19435-2026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46133</v>
      </c>
      <c r="E270" s="1" t="n">
        <v>46251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62033-2025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46004</v>
      </c>
      <c r="E271" s="1" t="n">
        <v>46251</v>
      </c>
      <c r="F271" t="inlineStr">
        <is>
          <t>VÄRMLANDS LÄN</t>
        </is>
      </c>
      <c r="G271" t="inlineStr">
        <is>
          <t>FILIPSTAD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46251</v>
      </c>
      <c r="F272" t="inlineStr">
        <is>
          <t>VÄRMLANDS LÄN</t>
        </is>
      </c>
      <c r="G272" t="inlineStr">
        <is>
          <t>FILIPSTAD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45602</v>
      </c>
      <c r="E273" s="1" t="n">
        <v>46251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46251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19595-2026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46251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61823-2025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46003</v>
      </c>
      <c r="E276" s="1" t="n">
        <v>46251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46251</v>
      </c>
      <c r="F277" t="inlineStr">
        <is>
          <t>VÄRMLANDS LÄN</t>
        </is>
      </c>
      <c r="G277" t="inlineStr">
        <is>
          <t>FILIPSTAD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46251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46251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46251</v>
      </c>
      <c r="F280" t="inlineStr">
        <is>
          <t>VÄRMLANDS LÄN</t>
        </is>
      </c>
      <c r="G280" t="inlineStr">
        <is>
          <t>FILIPSTAD</t>
        </is>
      </c>
      <c r="I280" t="n">
        <v>15.5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63186-2025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46010</v>
      </c>
      <c r="E281" s="1" t="n">
        <v>46251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51618-2022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44872</v>
      </c>
      <c r="E282" s="1" t="n">
        <v>46251</v>
      </c>
      <c r="F282" t="inlineStr">
        <is>
          <t>VÄRMLANDS LÄN</t>
        </is>
      </c>
      <c r="G282" t="inlineStr">
        <is>
          <t>FILIPSTAD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46251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45569</v>
      </c>
      <c r="E284" s="1" t="n">
        <v>46251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46251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45882</v>
      </c>
      <c r="E286" s="1" t="n">
        <v>46251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46014</v>
      </c>
      <c r="E287" s="1" t="n">
        <v>46251</v>
      </c>
      <c r="F287" t="inlineStr">
        <is>
          <t>VÄRMLANDS LÄN</t>
        </is>
      </c>
      <c r="G287" t="inlineStr">
        <is>
          <t>FILIPSTAD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46014</v>
      </c>
      <c r="E288" s="1" t="n">
        <v>46251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46251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46251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46251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44433</v>
      </c>
      <c r="E292" s="1" t="n">
        <v>46251</v>
      </c>
      <c r="F292" t="inlineStr">
        <is>
          <t>VÄRMLANDS LÄN</t>
        </is>
      </c>
      <c r="G292" t="inlineStr">
        <is>
          <t>FILIPSTAD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71971-2021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44544</v>
      </c>
      <c r="E293" s="1" t="n">
        <v>46251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46251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46251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46251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22866-2023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45072</v>
      </c>
      <c r="E297" s="1" t="n">
        <v>46251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46251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45420</v>
      </c>
      <c r="E299" s="1" t="n">
        <v>46251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29473-2024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45484</v>
      </c>
      <c r="E300" s="1" t="n">
        <v>46251</v>
      </c>
      <c r="F300" t="inlineStr">
        <is>
          <t>VÄRMLANDS LÄN</t>
        </is>
      </c>
      <c r="G300" t="inlineStr">
        <is>
          <t>FILIPSTAD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46251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44981</v>
      </c>
      <c r="E302" s="1" t="n">
        <v>46251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41521-2025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46251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54008-2021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44470</v>
      </c>
      <c r="E304" s="1" t="n">
        <v>46251</v>
      </c>
      <c r="F304" t="inlineStr">
        <is>
          <t>VÄRMLANDS LÄN</t>
        </is>
      </c>
      <c r="G304" t="inlineStr">
        <is>
          <t>FILIPSTAD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46251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58611-2025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45986</v>
      </c>
      <c r="E306" s="1" t="n">
        <v>46251</v>
      </c>
      <c r="F306" t="inlineStr">
        <is>
          <t>VÄRMLANDS LÄN</t>
        </is>
      </c>
      <c r="G306" t="inlineStr">
        <is>
          <t>FILIPSTAD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46251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45790</v>
      </c>
      <c r="E308" s="1" t="n">
        <v>46251</v>
      </c>
      <c r="F308" t="inlineStr">
        <is>
          <t>VÄRMLANDS LÄN</t>
        </is>
      </c>
      <c r="G308" t="inlineStr">
        <is>
          <t>FILIPSTAD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45720</v>
      </c>
      <c r="E309" s="1" t="n">
        <v>46251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46251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44963</v>
      </c>
      <c r="E311" s="1" t="n">
        <v>46251</v>
      </c>
      <c r="F311" t="inlineStr">
        <is>
          <t>VÄRMLANDS LÄN</t>
        </is>
      </c>
      <c r="G311" t="inlineStr">
        <is>
          <t>FILIPSTAD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36809-2022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44805</v>
      </c>
      <c r="E312" s="1" t="n">
        <v>46251</v>
      </c>
      <c r="F312" t="inlineStr">
        <is>
          <t>VÄRMLANDS LÄN</t>
        </is>
      </c>
      <c r="G312" t="inlineStr">
        <is>
          <t>FILIPSTAD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45124</v>
      </c>
      <c r="E313" s="1" t="n">
        <v>46251</v>
      </c>
      <c r="F313" t="inlineStr">
        <is>
          <t>VÄRMLANDS LÄN</t>
        </is>
      </c>
      <c r="G313" t="inlineStr">
        <is>
          <t>FILIPSTAD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45124</v>
      </c>
      <c r="E314" s="1" t="n">
        <v>46251</v>
      </c>
      <c r="F314" t="inlineStr">
        <is>
          <t>VÄRMLANDS LÄN</t>
        </is>
      </c>
      <c r="G314" t="inlineStr">
        <is>
          <t>FILIPSTAD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46251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46251</v>
      </c>
      <c r="F316" t="inlineStr">
        <is>
          <t>VÄRMLANDS LÄN</t>
        </is>
      </c>
      <c r="G316" t="inlineStr">
        <is>
          <t>FILIPSTAD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46251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46040</v>
      </c>
      <c r="E318" s="1" t="n">
        <v>46251</v>
      </c>
      <c r="F318" t="inlineStr">
        <is>
          <t>VÄRMLANDS LÄN</t>
        </is>
      </c>
      <c r="G318" t="inlineStr">
        <is>
          <t>FILIPSTAD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45789</v>
      </c>
      <c r="E319" s="1" t="n">
        <v>46251</v>
      </c>
      <c r="F319" t="inlineStr">
        <is>
          <t>VÄRMLANDS LÄN</t>
        </is>
      </c>
      <c r="G319" t="inlineStr">
        <is>
          <t>FILIPSTAD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25737-2023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45090</v>
      </c>
      <c r="E320" s="1" t="n">
        <v>46251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44579</v>
      </c>
      <c r="E321" s="1" t="n">
        <v>46251</v>
      </c>
      <c r="F321" t="inlineStr">
        <is>
          <t>VÄRMLANDS LÄN</t>
        </is>
      </c>
      <c r="G321" t="inlineStr">
        <is>
          <t>FILIPSTAD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44579</v>
      </c>
      <c r="E322" s="1" t="n">
        <v>46251</v>
      </c>
      <c r="F322" t="inlineStr">
        <is>
          <t>VÄRMLANDS LÄN</t>
        </is>
      </c>
      <c r="G322" t="inlineStr">
        <is>
          <t>FILIPSTAD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46251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45401</v>
      </c>
      <c r="E324" s="1" t="n">
        <v>46251</v>
      </c>
      <c r="F324" t="inlineStr">
        <is>
          <t>VÄRMLANDS LÄN</t>
        </is>
      </c>
      <c r="G324" t="inlineStr">
        <is>
          <t>FILIPSTAD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54828-2023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46251</v>
      </c>
      <c r="F325" t="inlineStr">
        <is>
          <t>VÄRMLANDS LÄN</t>
        </is>
      </c>
      <c r="G325" t="inlineStr">
        <is>
          <t>FILIPSTAD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46251</v>
      </c>
      <c r="F326" t="inlineStr">
        <is>
          <t>VÄRMLANDS LÄN</t>
        </is>
      </c>
      <c r="G326" t="inlineStr">
        <is>
          <t>FILIPSTAD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46056</v>
      </c>
      <c r="E327" s="1" t="n">
        <v>46251</v>
      </c>
      <c r="F327" t="inlineStr">
        <is>
          <t>VÄRMLANDS LÄN</t>
        </is>
      </c>
      <c r="G327" t="inlineStr">
        <is>
          <t>FILIPSTAD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46251</v>
      </c>
      <c r="F328" t="inlineStr">
        <is>
          <t>VÄRMLANDS LÄN</t>
        </is>
      </c>
      <c r="G328" t="inlineStr">
        <is>
          <t>FILIPSTAD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46251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46251</v>
      </c>
      <c r="F330" t="inlineStr">
        <is>
          <t>VÄRMLANDS LÄN</t>
        </is>
      </c>
      <c r="G330" t="inlineStr">
        <is>
          <t>FILIPSTAD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46251</v>
      </c>
      <c r="F331" t="inlineStr">
        <is>
          <t>VÄRMLANDS LÄN</t>
        </is>
      </c>
      <c r="G331" t="inlineStr">
        <is>
          <t>FILIPSTAD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5992-2023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44959</v>
      </c>
      <c r="E332" s="1" t="n">
        <v>46251</v>
      </c>
      <c r="F332" t="inlineStr">
        <is>
          <t>VÄRMLANDS LÄN</t>
        </is>
      </c>
      <c r="G332" t="inlineStr">
        <is>
          <t>FILIPSTAD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45750</v>
      </c>
      <c r="E333" s="1" t="n">
        <v>46251</v>
      </c>
      <c r="F333" t="inlineStr">
        <is>
          <t>VÄRMLANDS LÄN</t>
        </is>
      </c>
      <c r="G333" t="inlineStr">
        <is>
          <t>FILIPSTAD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45655</v>
      </c>
      <c r="E334" s="1" t="n">
        <v>46251</v>
      </c>
      <c r="F334" t="inlineStr">
        <is>
          <t>VÄRMLANDS LÄN</t>
        </is>
      </c>
      <c r="G334" t="inlineStr">
        <is>
          <t>FILIPSTAD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17686-2023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45037</v>
      </c>
      <c r="E335" s="1" t="n">
        <v>46251</v>
      </c>
      <c r="F335" t="inlineStr">
        <is>
          <t>VÄRMLANDS LÄN</t>
        </is>
      </c>
      <c r="G335" t="inlineStr">
        <is>
          <t>FILIPSTAD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44684</v>
      </c>
      <c r="E336" s="1" t="n">
        <v>46251</v>
      </c>
      <c r="F336" t="inlineStr">
        <is>
          <t>VÄRMLANDS LÄN</t>
        </is>
      </c>
      <c r="G336" t="inlineStr">
        <is>
          <t>FILIPSTAD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14459-2023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45012</v>
      </c>
      <c r="E337" s="1" t="n">
        <v>46251</v>
      </c>
      <c r="F337" t="inlineStr">
        <is>
          <t>VÄRMLANDS LÄN</t>
        </is>
      </c>
      <c r="G337" t="inlineStr">
        <is>
          <t>FILIPSTAD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46251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37733-2025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46251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46251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45327</v>
      </c>
      <c r="E341" s="1" t="n">
        <v>46251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9.300000000000001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46251</v>
      </c>
      <c r="F342" t="inlineStr">
        <is>
          <t>VÄRMLANDS LÄN</t>
        </is>
      </c>
      <c r="G342" t="inlineStr">
        <is>
          <t>FILIPSTAD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46251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46251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46546-2021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44445</v>
      </c>
      <c r="E345" s="1" t="n">
        <v>46251</v>
      </c>
      <c r="F345" t="inlineStr">
        <is>
          <t>VÄRMLANDS LÄN</t>
        </is>
      </c>
      <c r="G345" t="inlineStr">
        <is>
          <t>FILIPSTAD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45578</v>
      </c>
      <c r="E346" s="1" t="n">
        <v>46251</v>
      </c>
      <c r="F346" t="inlineStr">
        <is>
          <t>VÄRMLANDS LÄN</t>
        </is>
      </c>
      <c r="G346" t="inlineStr">
        <is>
          <t>FILIPSTAD</t>
        </is>
      </c>
      <c r="I346" t="n">
        <v>27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45583</v>
      </c>
      <c r="E347" s="1" t="n">
        <v>46251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45891</v>
      </c>
      <c r="E348" s="1" t="n">
        <v>46251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22830-2023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45072</v>
      </c>
      <c r="E349" s="1" t="n">
        <v>46251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46251</v>
      </c>
      <c r="F350" t="inlineStr">
        <is>
          <t>VÄRMLANDS LÄN</t>
        </is>
      </c>
      <c r="G350" t="inlineStr">
        <is>
          <t>FILIPSTAD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46251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46141</v>
      </c>
      <c r="E352" s="1" t="n">
        <v>46251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45014</v>
      </c>
      <c r="E353" s="1" t="n">
        <v>46251</v>
      </c>
      <c r="F353" t="inlineStr">
        <is>
          <t>VÄRMLANDS LÄN</t>
        </is>
      </c>
      <c r="G353" t="inlineStr">
        <is>
          <t>FILIPSTAD</t>
        </is>
      </c>
      <c r="H353" t="inlineStr">
        <is>
          <t>Kyrkan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45427</v>
      </c>
      <c r="E354" s="1" t="n">
        <v>46251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46251</v>
      </c>
      <c r="F355" t="inlineStr">
        <is>
          <t>VÄRMLANDS LÄN</t>
        </is>
      </c>
      <c r="G355" t="inlineStr">
        <is>
          <t>FILIPSTAD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45088</v>
      </c>
      <c r="E356" s="1" t="n">
        <v>46251</v>
      </c>
      <c r="F356" t="inlineStr">
        <is>
          <t>VÄRMLANDS LÄN</t>
        </is>
      </c>
      <c r="G356" t="inlineStr">
        <is>
          <t>FILIPSTAD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20554-2025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45775</v>
      </c>
      <c r="E357" s="1" t="n">
        <v>46251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62013-2024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45655</v>
      </c>
      <c r="E358" s="1" t="n">
        <v>46251</v>
      </c>
      <c r="F358" t="inlineStr">
        <is>
          <t>VÄRMLANDS LÄN</t>
        </is>
      </c>
      <c r="G358" t="inlineStr">
        <is>
          <t>FILIPSTAD</t>
        </is>
      </c>
      <c r="I358" t="n">
        <v>26.5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45167</v>
      </c>
      <c r="E359" s="1" t="n">
        <v>46251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49602-2025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46251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46251</v>
      </c>
      <c r="F361" t="inlineStr">
        <is>
          <t>VÄRMLANDS LÄN</t>
        </is>
      </c>
      <c r="G361" t="inlineStr">
        <is>
          <t>FILIPSTAD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19351-2025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45769</v>
      </c>
      <c r="E362" s="1" t="n">
        <v>46251</v>
      </c>
      <c r="F362" t="inlineStr">
        <is>
          <t>VÄRMLANDS LÄN</t>
        </is>
      </c>
      <c r="G362" t="inlineStr">
        <is>
          <t>FILIPSTAD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45867</v>
      </c>
      <c r="E363" s="1" t="n">
        <v>46251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46251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46142</v>
      </c>
      <c r="E365" s="1" t="n">
        <v>46251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46251</v>
      </c>
      <c r="F366" t="inlineStr">
        <is>
          <t>VÄRMLANDS LÄN</t>
        </is>
      </c>
      <c r="G366" t="inlineStr">
        <is>
          <t>FILIPSTAD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24139-2024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45456</v>
      </c>
      <c r="E367" s="1" t="n">
        <v>46251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45195</v>
      </c>
      <c r="E368" s="1" t="n">
        <v>46251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16067-2026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46251</v>
      </c>
      <c r="F369" t="inlineStr">
        <is>
          <t>VÄRMLANDS LÄN</t>
        </is>
      </c>
      <c r="G369" t="inlineStr">
        <is>
          <t>FILIPSTAD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25376-2023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45088</v>
      </c>
      <c r="E370" s="1" t="n">
        <v>46251</v>
      </c>
      <c r="F370" t="inlineStr">
        <is>
          <t>VÄRMLANDS LÄN</t>
        </is>
      </c>
      <c r="G370" t="inlineStr">
        <is>
          <t>FILIPSTAD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44935</v>
      </c>
      <c r="E371" s="1" t="n">
        <v>46251</v>
      </c>
      <c r="F371" t="inlineStr">
        <is>
          <t>VÄRMLANDS LÄN</t>
        </is>
      </c>
      <c r="G371" t="inlineStr">
        <is>
          <t>FILIPSTAD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45720</v>
      </c>
      <c r="E372" s="1" t="n">
        <v>46251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45063</v>
      </c>
      <c r="E373" s="1" t="n">
        <v>46251</v>
      </c>
      <c r="F373" t="inlineStr">
        <is>
          <t>VÄRMLANDS LÄN</t>
        </is>
      </c>
      <c r="G373" t="inlineStr">
        <is>
          <t>FILIPSTAD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45173</v>
      </c>
      <c r="E374" s="1" t="n">
        <v>46251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46251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46251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14582-2025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45742</v>
      </c>
      <c r="E377" s="1" t="n">
        <v>46251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56840-2024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45628</v>
      </c>
      <c r="E378" s="1" t="n">
        <v>46251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45712</v>
      </c>
      <c r="E379" s="1" t="n">
        <v>46251</v>
      </c>
      <c r="F379" t="inlineStr">
        <is>
          <t>VÄRMLANDS LÄN</t>
        </is>
      </c>
      <c r="G379" t="inlineStr">
        <is>
          <t>FILIPSTAD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46251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46251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46251</v>
      </c>
      <c r="F382" t="inlineStr">
        <is>
          <t>VÄRMLANDS LÄN</t>
        </is>
      </c>
      <c r="G382" t="inlineStr">
        <is>
          <t>FILIPSTAD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45077</v>
      </c>
      <c r="E383" s="1" t="n">
        <v>46251</v>
      </c>
      <c r="F383" t="inlineStr">
        <is>
          <t>VÄRMLANDS LÄN</t>
        </is>
      </c>
      <c r="G383" t="inlineStr">
        <is>
          <t>FILIPSTAD</t>
        </is>
      </c>
      <c r="I383" t="n">
        <v>15.8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46251</v>
      </c>
      <c r="F384" t="inlineStr">
        <is>
          <t>VÄRMLANDS LÄN</t>
        </is>
      </c>
      <c r="G384" t="inlineStr">
        <is>
          <t>FILIPSTAD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46251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46251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46251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46251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46251</v>
      </c>
      <c r="F389" t="inlineStr">
        <is>
          <t>VÄRMLANDS LÄN</t>
        </is>
      </c>
      <c r="G389" t="inlineStr">
        <is>
          <t>FILIPSTAD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46251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46251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46251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46251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46251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46251</v>
      </c>
      <c r="F395" t="inlineStr">
        <is>
          <t>VÄRMLANDS LÄN</t>
        </is>
      </c>
      <c r="G395" t="inlineStr">
        <is>
          <t>FILIPSTAD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46251</v>
      </c>
      <c r="F396" t="inlineStr">
        <is>
          <t>VÄRMLANDS LÄN</t>
        </is>
      </c>
      <c r="G396" t="inlineStr">
        <is>
          <t>FILIPSTAD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57212-2023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45245</v>
      </c>
      <c r="E397" s="1" t="n">
        <v>46251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46155</v>
      </c>
      <c r="E398" s="1" t="n">
        <v>46251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46251</v>
      </c>
      <c r="F399" t="inlineStr">
        <is>
          <t>VÄRMLANDS LÄN</t>
        </is>
      </c>
      <c r="G399" t="inlineStr">
        <is>
          <t>FILIPSTAD</t>
        </is>
      </c>
      <c r="H399" t="inlineStr">
        <is>
          <t>Kommuner</t>
        </is>
      </c>
      <c r="I399" t="n">
        <v>17.7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45106</v>
      </c>
      <c r="E400" s="1" t="n">
        <v>46251</v>
      </c>
      <c r="F400" t="inlineStr">
        <is>
          <t>VÄRMLANDS LÄN</t>
        </is>
      </c>
      <c r="G400" t="inlineStr">
        <is>
          <t>FILIPSTAD</t>
        </is>
      </c>
      <c r="H400" t="inlineStr">
        <is>
          <t>Kyrkan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20661-2024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45436</v>
      </c>
      <c r="E401" s="1" t="n">
        <v>46251</v>
      </c>
      <c r="F401" t="inlineStr">
        <is>
          <t>VÄRMLANDS LÄN</t>
        </is>
      </c>
      <c r="G401" t="inlineStr">
        <is>
          <t>FILIPSTAD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45271</v>
      </c>
      <c r="E402" s="1" t="n">
        <v>46251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45741</v>
      </c>
      <c r="E403" s="1" t="n">
        <v>46251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45524</v>
      </c>
      <c r="E404" s="1" t="n">
        <v>46251</v>
      </c>
      <c r="F404" t="inlineStr">
        <is>
          <t>VÄRMLANDS LÄN</t>
        </is>
      </c>
      <c r="G404" t="inlineStr">
        <is>
          <t>FILIPSTAD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45299</v>
      </c>
      <c r="E405" s="1" t="n">
        <v>46251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45133</v>
      </c>
      <c r="E406" s="1" t="n">
        <v>46251</v>
      </c>
      <c r="F406" t="inlineStr">
        <is>
          <t>VÄRMLANDS LÄN</t>
        </is>
      </c>
      <c r="G406" t="inlineStr">
        <is>
          <t>FILIPSTAD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45077</v>
      </c>
      <c r="E407" s="1" t="n">
        <v>46251</v>
      </c>
      <c r="F407" t="inlineStr">
        <is>
          <t>VÄRMLANDS LÄN</t>
        </is>
      </c>
      <c r="G407" t="inlineStr">
        <is>
          <t>FILIPSTAD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46251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8.699999999999999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46251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17.9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46251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46251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46251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44960</v>
      </c>
      <c r="E413" s="1" t="n">
        <v>46251</v>
      </c>
      <c r="F413" t="inlineStr">
        <is>
          <t>VÄRMLANDS LÄN</t>
        </is>
      </c>
      <c r="G413" t="inlineStr">
        <is>
          <t>FILIPSTAD</t>
        </is>
      </c>
      <c r="H413" t="inlineStr">
        <is>
          <t>Kommuner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46251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44957</v>
      </c>
      <c r="E415" s="1" t="n">
        <v>46251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45393</v>
      </c>
      <c r="E416" s="1" t="n">
        <v>46251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9270-2023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44980</v>
      </c>
      <c r="E417" s="1" t="n">
        <v>46251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23514-2026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46251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46251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30646-2024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45495</v>
      </c>
      <c r="E420" s="1" t="n">
        <v>46251</v>
      </c>
      <c r="F420" t="inlineStr">
        <is>
          <t>VÄRMLANDS LÄN</t>
        </is>
      </c>
      <c r="G420" t="inlineStr">
        <is>
          <t>FILIPSTAD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27139-2024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46251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45414</v>
      </c>
      <c r="E422" s="1" t="n">
        <v>46251</v>
      </c>
      <c r="F422" t="inlineStr">
        <is>
          <t>VÄRMLANDS LÄN</t>
        </is>
      </c>
      <c r="G422" t="inlineStr">
        <is>
          <t>FILIPSTAD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46251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49935-2025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45940</v>
      </c>
      <c r="E424" s="1" t="n">
        <v>46251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46251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46251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45114</v>
      </c>
      <c r="E427" s="1" t="n">
        <v>46251</v>
      </c>
      <c r="F427" t="inlineStr">
        <is>
          <t>VÄRMLANDS LÄN</t>
        </is>
      </c>
      <c r="G427" t="inlineStr">
        <is>
          <t>FILIPSTAD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46251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23952-2026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46251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46251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45439</v>
      </c>
      <c r="E431" s="1" t="n">
        <v>46251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46251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23931-2026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46251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45567</v>
      </c>
      <c r="E434" s="1" t="n">
        <v>46251</v>
      </c>
      <c r="F434" t="inlineStr">
        <is>
          <t>VÄRMLANDS LÄN</t>
        </is>
      </c>
      <c r="G434" t="inlineStr">
        <is>
          <t>FILIPSTAD</t>
        </is>
      </c>
      <c r="H434" t="inlineStr">
        <is>
          <t>Kyrkan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46251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46251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46251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46251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46251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46251</v>
      </c>
      <c r="F440" t="inlineStr">
        <is>
          <t>VÄRMLANDS LÄN</t>
        </is>
      </c>
      <c r="G440" t="inlineStr">
        <is>
          <t>FILIPSTAD</t>
        </is>
      </c>
      <c r="H440" t="inlineStr">
        <is>
          <t>Kommuner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46251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46167</v>
      </c>
      <c r="E442" s="1" t="n">
        <v>46251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17795-2024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45418</v>
      </c>
      <c r="E443" s="1" t="n">
        <v>46251</v>
      </c>
      <c r="F443" t="inlineStr">
        <is>
          <t>VÄRMLANDS LÄN</t>
        </is>
      </c>
      <c r="G443" t="inlineStr">
        <is>
          <t>FILIPSTAD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46251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9.300000000000001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46251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47890-2024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45588</v>
      </c>
      <c r="E446" s="1" t="n">
        <v>46251</v>
      </c>
      <c r="F446" t="inlineStr">
        <is>
          <t>VÄRMLANDS LÄN</t>
        </is>
      </c>
      <c r="G446" t="inlineStr">
        <is>
          <t>FILIPSTAD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46251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46251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46251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12247-2022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44637</v>
      </c>
      <c r="E450" s="1" t="n">
        <v>46251</v>
      </c>
      <c r="F450" t="inlineStr">
        <is>
          <t>VÄRMLANDS LÄN</t>
        </is>
      </c>
      <c r="G450" t="inlineStr">
        <is>
          <t>FILIPSTAD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45439</v>
      </c>
      <c r="E451" s="1" t="n">
        <v>46251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46170</v>
      </c>
      <c r="E452" s="1" t="n">
        <v>46251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46251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46251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46251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46251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65167-2021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44515</v>
      </c>
      <c r="E457" s="1" t="n">
        <v>46251</v>
      </c>
      <c r="F457" t="inlineStr">
        <is>
          <t>VÄRMLANDS LÄN</t>
        </is>
      </c>
      <c r="G457" t="inlineStr">
        <is>
          <t>FILIPSTAD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45790</v>
      </c>
      <c r="E458" s="1" t="n">
        <v>46251</v>
      </c>
      <c r="F458" t="inlineStr">
        <is>
          <t>VÄRMLANDS LÄN</t>
        </is>
      </c>
      <c r="G458" t="inlineStr">
        <is>
          <t>FILIPSTAD</t>
        </is>
      </c>
      <c r="H458" t="inlineStr">
        <is>
          <t>Kyrkan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23266-2025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46251</v>
      </c>
      <c r="F459" t="inlineStr">
        <is>
          <t>VÄRMLANDS LÄN</t>
        </is>
      </c>
      <c r="G459" t="inlineStr">
        <is>
          <t>FILIPSTAD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23475-2025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45792</v>
      </c>
      <c r="E460" s="1" t="n">
        <v>46251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45477</v>
      </c>
      <c r="E461" s="1" t="n">
        <v>46251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48702-2024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45593</v>
      </c>
      <c r="E462" s="1" t="n">
        <v>46251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35304-2024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45530</v>
      </c>
      <c r="E463" s="1" t="n">
        <v>46251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23399-2025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45792</v>
      </c>
      <c r="E464" s="1" t="n">
        <v>46251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46251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24453-2026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46251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45667</v>
      </c>
      <c r="E467" s="1" t="n">
        <v>46251</v>
      </c>
      <c r="F467" t="inlineStr">
        <is>
          <t>VÄRMLANDS LÄN</t>
        </is>
      </c>
      <c r="G467" t="inlineStr">
        <is>
          <t>FILIPSTAD</t>
        </is>
      </c>
      <c r="H467" t="inlineStr">
        <is>
          <t>Kommuner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46251</v>
      </c>
      <c r="F468" t="inlineStr">
        <is>
          <t>VÄRMLANDS LÄN</t>
        </is>
      </c>
      <c r="G468" t="inlineStr">
        <is>
          <t>FILIPSTAD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45439</v>
      </c>
      <c r="E469" s="1" t="n">
        <v>46251</v>
      </c>
      <c r="F469" t="inlineStr">
        <is>
          <t>VÄRMLANDS LÄN</t>
        </is>
      </c>
      <c r="G469" t="inlineStr">
        <is>
          <t>FILIPSTAD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3979-2024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45322</v>
      </c>
      <c r="E470" s="1" t="n">
        <v>46251</v>
      </c>
      <c r="F470" t="inlineStr">
        <is>
          <t>VÄRMLANDS LÄN</t>
        </is>
      </c>
      <c r="G470" t="inlineStr">
        <is>
          <t>FILIPSTAD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45671</v>
      </c>
      <c r="E471" s="1" t="n">
        <v>46251</v>
      </c>
      <c r="F471" t="inlineStr">
        <is>
          <t>VÄRMLANDS LÄN</t>
        </is>
      </c>
      <c r="G471" t="inlineStr">
        <is>
          <t>FILIPSTAD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72118-2021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44543</v>
      </c>
      <c r="E472" s="1" t="n">
        <v>46251</v>
      </c>
      <c r="F472" t="inlineStr">
        <is>
          <t>VÄRMLANDS LÄN</t>
        </is>
      </c>
      <c r="G472" t="inlineStr">
        <is>
          <t>FILIPSTAD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45835</v>
      </c>
      <c r="E473" s="1" t="n">
        <v>46251</v>
      </c>
      <c r="F473" t="inlineStr">
        <is>
          <t>VÄRMLANDS LÄN</t>
        </is>
      </c>
      <c r="G473" t="inlineStr">
        <is>
          <t>FILIPSTAD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24143-2025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45796</v>
      </c>
      <c r="E474" s="1" t="n">
        <v>46251</v>
      </c>
      <c r="F474" t="inlineStr">
        <is>
          <t>VÄRMLANDS LÄN</t>
        </is>
      </c>
      <c r="G474" t="inlineStr">
        <is>
          <t>FILIPSTAD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16063-2025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45749</v>
      </c>
      <c r="E475" s="1" t="n">
        <v>46251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46251</v>
      </c>
      <c r="F476" t="inlineStr">
        <is>
          <t>VÄRMLANDS LÄN</t>
        </is>
      </c>
      <c r="G476" t="inlineStr">
        <is>
          <t>FILIPSTAD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45274</v>
      </c>
      <c r="E477" s="1" t="n">
        <v>46251</v>
      </c>
      <c r="F477" t="inlineStr">
        <is>
          <t>VÄRMLANDS LÄN</t>
        </is>
      </c>
      <c r="G477" t="inlineStr">
        <is>
          <t>FILIPSTAD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46251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45355</v>
      </c>
      <c r="E479" s="1" t="n">
        <v>46251</v>
      </c>
      <c r="F479" t="inlineStr">
        <is>
          <t>VÄRMLANDS LÄN</t>
        </is>
      </c>
      <c r="G479" t="inlineStr">
        <is>
          <t>FILIPSTAD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65174-2021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44515</v>
      </c>
      <c r="E480" s="1" t="n">
        <v>46251</v>
      </c>
      <c r="F480" t="inlineStr">
        <is>
          <t>VÄRMLANDS LÄN</t>
        </is>
      </c>
      <c r="G480" t="inlineStr">
        <is>
          <t>FILIPSTAD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45484</v>
      </c>
      <c r="E481" s="1" t="n">
        <v>46251</v>
      </c>
      <c r="F481" t="inlineStr">
        <is>
          <t>VÄRMLANDS LÄN</t>
        </is>
      </c>
      <c r="G481" t="inlineStr">
        <is>
          <t>FILIPSTAD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15406-2025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45747</v>
      </c>
      <c r="E482" s="1" t="n">
        <v>46251</v>
      </c>
      <c r="F482" t="inlineStr">
        <is>
          <t>VÄRMLANDS LÄN</t>
        </is>
      </c>
      <c r="G482" t="inlineStr">
        <is>
          <t>FILIPSTAD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46251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46218</v>
      </c>
      <c r="E484" s="1" t="n">
        <v>46251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63482-2021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44508</v>
      </c>
      <c r="E485" s="1" t="n">
        <v>46251</v>
      </c>
      <c r="F485" t="inlineStr">
        <is>
          <t>VÄRMLANDS LÄN</t>
        </is>
      </c>
      <c r="G485" t="inlineStr">
        <is>
          <t>FILIPSTAD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44801</v>
      </c>
      <c r="E486" s="1" t="n">
        <v>46251</v>
      </c>
      <c r="F486" t="inlineStr">
        <is>
          <t>VÄRMLANDS LÄN</t>
        </is>
      </c>
      <c r="G486" t="inlineStr">
        <is>
          <t>FILIPSTAD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46251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46251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8.9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46251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8.5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45665</v>
      </c>
      <c r="E490" s="1" t="n">
        <v>46251</v>
      </c>
      <c r="F490" t="inlineStr">
        <is>
          <t>VÄRMLANDS LÄN</t>
        </is>
      </c>
      <c r="G490" t="inlineStr">
        <is>
          <t>FILIPSTAD</t>
        </is>
      </c>
      <c r="I490" t="n">
        <v>11.7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46219</v>
      </c>
      <c r="E491" s="1" t="n">
        <v>46251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47261-2024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45586</v>
      </c>
      <c r="E492" s="1" t="n">
        <v>46251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70405-2021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44536</v>
      </c>
      <c r="E493" s="1" t="n">
        <v>46251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46251</v>
      </c>
      <c r="F494" t="inlineStr">
        <is>
          <t>VÄRMLANDS LÄN</t>
        </is>
      </c>
      <c r="G494" t="inlineStr">
        <is>
          <t>FILIPSTAD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54735-2024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45618</v>
      </c>
      <c r="E495" s="1" t="n">
        <v>46251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40244-2023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45169</v>
      </c>
      <c r="E496" s="1" t="n">
        <v>46251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26123-2025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45805</v>
      </c>
      <c r="E497" s="1" t="n">
        <v>46251</v>
      </c>
      <c r="F497" t="inlineStr">
        <is>
          <t>VÄRMLANDS LÄN</t>
        </is>
      </c>
      <c r="G497" t="inlineStr">
        <is>
          <t>FILIPSTAD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46251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26116-2025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45805</v>
      </c>
      <c r="E499" s="1" t="n">
        <v>46251</v>
      </c>
      <c r="F499" t="inlineStr">
        <is>
          <t>VÄRMLANDS LÄN</t>
        </is>
      </c>
      <c r="G499" t="inlineStr">
        <is>
          <t>FILIPSTAD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45810</v>
      </c>
      <c r="E500" s="1" t="n">
        <v>46251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45470</v>
      </c>
      <c r="E501" s="1" t="n">
        <v>46251</v>
      </c>
      <c r="F501" t="inlineStr">
        <is>
          <t>VÄRMLANDS LÄN</t>
        </is>
      </c>
      <c r="G501" t="inlineStr">
        <is>
          <t>FILIPSTAD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46251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46251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31537-2026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46223</v>
      </c>
      <c r="E504" s="1" t="n">
        <v>46251</v>
      </c>
      <c r="F504" t="inlineStr">
        <is>
          <t>VÄRMLANDS LÄN</t>
        </is>
      </c>
      <c r="G504" t="inlineStr">
        <is>
          <t>FILIPSTAD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31548-2026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46223</v>
      </c>
      <c r="E505" s="1" t="n">
        <v>46251</v>
      </c>
      <c r="F505" t="inlineStr">
        <is>
          <t>VÄRMLANDS LÄN</t>
        </is>
      </c>
      <c r="G505" t="inlineStr">
        <is>
          <t>FILIPSTAD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46251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46226</v>
      </c>
      <c r="E507" s="1" t="n">
        <v>46251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45658</v>
      </c>
      <c r="E508" s="1" t="n">
        <v>46251</v>
      </c>
      <c r="F508" t="inlineStr">
        <is>
          <t>VÄRMLANDS LÄN</t>
        </is>
      </c>
      <c r="G508" t="inlineStr">
        <is>
          <t>FILIPSTAD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46251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26599-2024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45469</v>
      </c>
      <c r="E510" s="1" t="n">
        <v>46251</v>
      </c>
      <c r="F510" t="inlineStr">
        <is>
          <t>VÄRMLANDS LÄN</t>
        </is>
      </c>
      <c r="G510" t="inlineStr">
        <is>
          <t>FILIPSTAD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46251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46251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46226</v>
      </c>
      <c r="E513" s="1" t="n">
        <v>46251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46251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26227-2026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46251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46251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45063</v>
      </c>
      <c r="E517" s="1" t="n">
        <v>46251</v>
      </c>
      <c r="F517" t="inlineStr">
        <is>
          <t>VÄRMLANDS LÄN</t>
        </is>
      </c>
      <c r="G517" t="inlineStr">
        <is>
          <t>FILIPSTAD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46182</v>
      </c>
      <c r="E518" s="1" t="n">
        <v>46251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45638</v>
      </c>
      <c r="E519" s="1" t="n">
        <v>46251</v>
      </c>
      <c r="F519" t="inlineStr">
        <is>
          <t>VÄRMLANDS LÄN</t>
        </is>
      </c>
      <c r="G519" t="inlineStr">
        <is>
          <t>FILIPSTAD</t>
        </is>
      </c>
      <c r="H519" t="inlineStr">
        <is>
          <t>Kyrkan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46181</v>
      </c>
      <c r="E520" s="1" t="n">
        <v>46251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46225</v>
      </c>
      <c r="E521" s="1" t="n">
        <v>46251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46251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46251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46227</v>
      </c>
      <c r="E524" s="1" t="n">
        <v>46251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46227</v>
      </c>
      <c r="E525" s="1" t="n">
        <v>46251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46187</v>
      </c>
      <c r="E526" s="1" t="n">
        <v>46251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46183</v>
      </c>
      <c r="E527" s="1" t="n">
        <v>46251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46186</v>
      </c>
      <c r="E528" s="1" t="n">
        <v>46251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46186</v>
      </c>
      <c r="E529" s="1" t="n">
        <v>46251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54836-2023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46251</v>
      </c>
      <c r="F530" t="inlineStr">
        <is>
          <t>VÄRMLANDS LÄN</t>
        </is>
      </c>
      <c r="G530" t="inlineStr">
        <is>
          <t>FILIPSTAD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46251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46251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30049-2025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45826</v>
      </c>
      <c r="E533" s="1" t="n">
        <v>46251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45825</v>
      </c>
      <c r="E534" s="1" t="n">
        <v>46251</v>
      </c>
      <c r="F534" t="inlineStr">
        <is>
          <t>VÄRMLANDS LÄN</t>
        </is>
      </c>
      <c r="G534" t="inlineStr">
        <is>
          <t>FILIPSTAD</t>
        </is>
      </c>
      <c r="H534" t="inlineStr">
        <is>
          <t>Kyrkan</t>
        </is>
      </c>
      <c r="I534" t="n">
        <v>9.199999999999999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45825</v>
      </c>
      <c r="E535" s="1" t="n">
        <v>46251</v>
      </c>
      <c r="F535" t="inlineStr">
        <is>
          <t>VÄRMLANDS LÄN</t>
        </is>
      </c>
      <c r="G535" t="inlineStr">
        <is>
          <t>FILIPSTAD</t>
        </is>
      </c>
      <c r="I535" t="n">
        <v>23.3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29944-2025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45826</v>
      </c>
      <c r="E536" s="1" t="n">
        <v>46251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46189</v>
      </c>
      <c r="E537" s="1" t="n">
        <v>46251</v>
      </c>
      <c r="F537" t="inlineStr">
        <is>
          <t>VÄRMLANDS LÄN</t>
        </is>
      </c>
      <c r="G537" t="inlineStr">
        <is>
          <t>FILIPSTAD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46251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46232</v>
      </c>
      <c r="E539" s="1" t="n">
        <v>46251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46231</v>
      </c>
      <c r="E540" s="1" t="n">
        <v>46251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46232</v>
      </c>
      <c r="E541" s="1" t="n">
        <v>46251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46232</v>
      </c>
      <c r="E542" s="1" t="n">
        <v>46251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30169-2025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45827</v>
      </c>
      <c r="E543" s="1" t="n">
        <v>46251</v>
      </c>
      <c r="F543" t="inlineStr">
        <is>
          <t>VÄRMLANDS LÄN</t>
        </is>
      </c>
      <c r="G543" t="inlineStr">
        <is>
          <t>FILIPSTAD</t>
        </is>
      </c>
      <c r="H543" t="inlineStr">
        <is>
          <t>Kyrkan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31172-2025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45832</v>
      </c>
      <c r="E544" s="1" t="n">
        <v>46251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29825-2023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45107</v>
      </c>
      <c r="E545" s="1" t="n">
        <v>46251</v>
      </c>
      <c r="F545" t="inlineStr">
        <is>
          <t>VÄRMLANDS LÄN</t>
        </is>
      </c>
      <c r="G545" t="inlineStr">
        <is>
          <t>FILIPSTAD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45834</v>
      </c>
      <c r="E546" s="1" t="n">
        <v>46251</v>
      </c>
      <c r="F546" t="inlineStr">
        <is>
          <t>VÄRMLANDS LÄN</t>
        </is>
      </c>
      <c r="G546" t="inlineStr">
        <is>
          <t>FILIPSTAD</t>
        </is>
      </c>
      <c r="I546" t="n">
        <v>18.7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46251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46251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46251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32032-2025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45835</v>
      </c>
      <c r="E550" s="1" t="n">
        <v>46251</v>
      </c>
      <c r="F550" t="inlineStr">
        <is>
          <t>VÄRMLANDS LÄN</t>
        </is>
      </c>
      <c r="G550" t="inlineStr">
        <is>
          <t>FILIPSTAD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46233</v>
      </c>
      <c r="E551" s="1" t="n">
        <v>46251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45827</v>
      </c>
      <c r="E552" s="1" t="n">
        <v>46251</v>
      </c>
      <c r="F552" t="inlineStr">
        <is>
          <t>VÄRMLANDS LÄN</t>
        </is>
      </c>
      <c r="G552" t="inlineStr">
        <is>
          <t>FILIPSTAD</t>
        </is>
      </c>
      <c r="H552" t="inlineStr">
        <is>
          <t>Kyrkan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46233</v>
      </c>
      <c r="E553" s="1" t="n">
        <v>46251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46234</v>
      </c>
      <c r="E554" s="1" t="n">
        <v>46251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4462-2025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45686</v>
      </c>
      <c r="E555" s="1" t="n">
        <v>46251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46251</v>
      </c>
      <c r="F556" t="inlineStr">
        <is>
          <t>VÄRMLANDS LÄN</t>
        </is>
      </c>
      <c r="G556" t="inlineStr">
        <is>
          <t>FILIPSTAD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44743</v>
      </c>
      <c r="E557" s="1" t="n">
        <v>46251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45688</v>
      </c>
      <c r="E558" s="1" t="n">
        <v>46251</v>
      </c>
      <c r="F558" t="inlineStr">
        <is>
          <t>VÄRMLANDS LÄN</t>
        </is>
      </c>
      <c r="G558" t="inlineStr">
        <is>
          <t>FILIPSTAD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46251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32248-2026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46237</v>
      </c>
      <c r="E560" s="1" t="n">
        <v>46251</v>
      </c>
      <c r="F560" t="inlineStr">
        <is>
          <t>VÄRMLANDS LÄN</t>
        </is>
      </c>
      <c r="G560" t="inlineStr">
        <is>
          <t>FILIPSTAD</t>
        </is>
      </c>
      <c r="I560" t="n">
        <v>13.4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43484-2023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45184</v>
      </c>
      <c r="E561" s="1" t="n">
        <v>46251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6674-2025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45700</v>
      </c>
      <c r="E562" s="1" t="n">
        <v>46251</v>
      </c>
      <c r="F562" t="inlineStr">
        <is>
          <t>VÄRMLANDS LÄN</t>
        </is>
      </c>
      <c r="G562" t="inlineStr">
        <is>
          <t>FILIPSTAD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46251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23.8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28161-2023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45093</v>
      </c>
      <c r="E564" s="1" t="n">
        <v>46251</v>
      </c>
      <c r="F564" t="inlineStr">
        <is>
          <t>VÄRMLANDS LÄN</t>
        </is>
      </c>
      <c r="G564" t="inlineStr">
        <is>
          <t>FILIPSTAD</t>
        </is>
      </c>
      <c r="H564" t="inlineStr">
        <is>
          <t>Kommuner</t>
        </is>
      </c>
      <c r="I564" t="n">
        <v>15.4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46237</v>
      </c>
      <c r="E565" s="1" t="n">
        <v>46251</v>
      </c>
      <c r="F565" t="inlineStr">
        <is>
          <t>VÄRMLANDS LÄN</t>
        </is>
      </c>
      <c r="G565" t="inlineStr">
        <is>
          <t>FILIPSTAD</t>
        </is>
      </c>
      <c r="H565" t="inlineStr">
        <is>
          <t>Kommuner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33407-2025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45841</v>
      </c>
      <c r="E566" s="1" t="n">
        <v>46251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45456</v>
      </c>
      <c r="E567" s="1" t="n">
        <v>46251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51031-2025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45947</v>
      </c>
      <c r="E568" s="1" t="n">
        <v>46251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32563-2026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46239</v>
      </c>
      <c r="E569" s="1" t="n">
        <v>46251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46251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32600-2026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46240</v>
      </c>
      <c r="E571" s="1" t="n">
        <v>46251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32603-2026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46251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46251</v>
      </c>
      <c r="F573" t="inlineStr">
        <is>
          <t>VÄRMLANDS LÄN</t>
        </is>
      </c>
      <c r="G573" t="inlineStr">
        <is>
          <t>FILIPSTAD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46240</v>
      </c>
      <c r="E574" s="1" t="n">
        <v>46251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46251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32588-2026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46240</v>
      </c>
      <c r="E576" s="1" t="n">
        <v>46251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30077-2025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45826</v>
      </c>
      <c r="E577" s="1" t="n">
        <v>46251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46251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46251</v>
      </c>
      <c r="F579" t="inlineStr">
        <is>
          <t>VÄRMLANDS LÄN</t>
        </is>
      </c>
      <c r="G579" t="inlineStr">
        <is>
          <t>FILIPSTAD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36582-2025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45870</v>
      </c>
      <c r="E580" s="1" t="n">
        <v>46251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32852-2026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46251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46241</v>
      </c>
      <c r="E582" s="1" t="n">
        <v>46251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32972-2026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46244</v>
      </c>
      <c r="E583" s="1" t="n">
        <v>46251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32980-2026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46251</v>
      </c>
      <c r="F584" t="inlineStr">
        <is>
          <t>VÄRMLANDS LÄN</t>
        </is>
      </c>
      <c r="G584" t="inlineStr">
        <is>
          <t>FILIPSTAD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28977-2026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46251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46245</v>
      </c>
      <c r="E586" s="1" t="n">
        <v>46251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29385-2026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46251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46246</v>
      </c>
      <c r="E588" s="1" t="n">
        <v>46251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46251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46251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46251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46245</v>
      </c>
      <c r="E592" s="1" t="n">
        <v>46251</v>
      </c>
      <c r="F592" t="inlineStr">
        <is>
          <t>VÄRMLANDS LÄN</t>
        </is>
      </c>
      <c r="G592" t="inlineStr">
        <is>
          <t>FILIPSTAD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46251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46251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46205</v>
      </c>
      <c r="E595" s="1" t="n">
        <v>46251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46247</v>
      </c>
      <c r="E596" s="1" t="n">
        <v>46251</v>
      </c>
      <c r="F596" t="inlineStr">
        <is>
          <t>VÄRMLANDS LÄN</t>
        </is>
      </c>
      <c r="G596" t="inlineStr">
        <is>
          <t>FILIPSTAD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46251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29591-2026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46251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46251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8.199999999999999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46251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46251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29863-2026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46205</v>
      </c>
      <c r="E602" s="1" t="n">
        <v>46251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46251</v>
      </c>
      <c r="F603" t="inlineStr">
        <is>
          <t>VÄRMLANDS LÄN</t>
        </is>
      </c>
      <c r="G603" t="inlineStr">
        <is>
          <t>FILIPSTAD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46205</v>
      </c>
      <c r="E604" s="1" t="n">
        <v>46251</v>
      </c>
      <c r="F604" t="inlineStr">
        <is>
          <t>VÄRMLANDS LÄN</t>
        </is>
      </c>
      <c r="G604" t="inlineStr">
        <is>
          <t>FILIPSTAD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5757-2021</t>
        </is>
      </c>
      <c r="B605" t="inlineStr">
        <is>
          <t>samrådsanmälan</t>
        </is>
      </c>
      <c r="C605" t="inlineStr">
        <is>
          <t>Basväg</t>
        </is>
      </c>
      <c r="D605" s="1" t="n">
        <v>44438</v>
      </c>
      <c r="E605" s="1" t="n">
        <v>46251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1191-2021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44328</v>
      </c>
      <c r="E606" s="1" t="n">
        <v>46251</v>
      </c>
      <c r="F606" t="inlineStr">
        <is>
          <t>VÄRMLANDS LÄN</t>
        </is>
      </c>
      <c r="G606" t="inlineStr">
        <is>
          <t>FILIPSTAD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4134-2023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46251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4115-2023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45246</v>
      </c>
      <c r="E608" s="1" t="n">
        <v>46251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4137-2023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46251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4132-2023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45247</v>
      </c>
      <c r="E610" s="1" t="n">
        <v>46251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8.300000000000001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4130-2023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45247</v>
      </c>
      <c r="E611" s="1" t="n">
        <v>46251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4127-2023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45247</v>
      </c>
      <c r="E612" s="1" t="n">
        <v>46251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837-2023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46251</v>
      </c>
      <c r="F613" t="inlineStr">
        <is>
          <t>VÄRMLANDS LÄN</t>
        </is>
      </c>
      <c r="G613" t="inlineStr">
        <is>
          <t>FILIPSTAD</t>
        </is>
      </c>
      <c r="I613" t="n">
        <v>19.3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4129-2023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45247</v>
      </c>
      <c r="E614" s="1" t="n">
        <v>46251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3919-2023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45233</v>
      </c>
      <c r="E615" s="1" t="n">
        <v>46251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4135-2023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46251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6078-2021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44442</v>
      </c>
      <c r="E617" s="1" t="n">
        <v>46251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4126-2023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46251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294-2025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45687</v>
      </c>
      <c r="E619" s="1" t="n">
        <v>46251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186.4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4116-2023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45246</v>
      </c>
      <c r="E620" s="1" t="n">
        <v>46251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661-2025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45716</v>
      </c>
      <c r="E621" s="1" t="n">
        <v>46251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161.7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3429-2025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45995</v>
      </c>
      <c r="E622" s="1" t="n">
        <v>46251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3576-2025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46010</v>
      </c>
      <c r="E623" s="1" t="n">
        <v>46251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27.1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105-2026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46036</v>
      </c>
      <c r="E624" s="1" t="n">
        <v>46251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238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2026-08-17T01:45:25Z</dcterms:created>
  <dcterms:modified xmlns:dcterms="http://purl.org/dc/terms/" xmlns:xsi="http://www.w3.org/2001/XMLSchema-instance" xsi:type="dcterms:W3CDTF">2026-08-17T01:45:26Z</dcterms:modified>
</cp:coreProperties>
</file>