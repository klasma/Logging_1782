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46267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t="n">
        <v>81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46267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46267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46267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Vårärt
Grönkulla
Skogsknipprot
Svart trolldruva
Tibast
Tvåblad
Underviol</t>
        </is>
      </c>
      <c r="W5">
        <f>HYPERLINK("https://klasma.github.io/Logging_1782/artfynd/A 47888-2021 artfynd.xlsx", "A 47888-2021")</f>
        <v/>
      </c>
      <c r="X5">
        <f>HYPERLINK("https://klasma.github.io/Logging_1782/kartor/A 47888-2021 karta.png", "A 47888-2021")</f>
        <v/>
      </c>
      <c r="Y5">
        <f>HYPERLINK("https://klasma.github.io/Logging_1782/kartor_geotiff/A 47888-2021 georefererad karta.tif", "A 47888-2021")</f>
        <v/>
      </c>
      <c r="AA5">
        <f>HYPERLINK("https://klasma.github.io/Logging_1782/klagomål/A 47888-2021 FSC-klagomål.docx", "A 47888-2021")</f>
        <v/>
      </c>
      <c r="AB5">
        <f>HYPERLINK("https://klasma.github.io/Logging_1782/klagomålsmail/A 47888-2021 FSC-klagomål mail.docx", "A 47888-2021")</f>
        <v/>
      </c>
      <c r="AC5">
        <f>HYPERLINK("https://klasma.github.io/Logging_1782/tillsyn/A 47888-2021 tillsynsbegäran.docx", "A 47888-2021")</f>
        <v/>
      </c>
      <c r="AD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46267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t="n">
        <v>0</v>
      </c>
      <c r="V6" s="2" t="inlineStr">
        <is>
          <t>Veckticka
Vårärt
Blåsfliksmossa
Mörk husmossa
Tibast</t>
        </is>
      </c>
      <c r="W6">
        <f>HYPERLINK("https://klasma.github.io/Logging_1782/artfynd/A 45602-2025 artfynd.xlsx", "A 45602-2025")</f>
        <v/>
      </c>
      <c r="X6">
        <f>HYPERLINK("https://klasma.github.io/Logging_1782/kartor/A 45602-2025 karta.png", "A 45602-2025")</f>
        <v/>
      </c>
      <c r="Y6">
        <f>HYPERLINK("https://klasma.github.io/Logging_1782/kartor_geotiff/A 45602-2025 georefererad karta.tif", "A 45602-2025")</f>
        <v/>
      </c>
      <c r="AA6">
        <f>HYPERLINK("https://klasma.github.io/Logging_1782/klagomål/A 45602-2025 FSC-klagomål.docx", "A 45602-2025")</f>
        <v/>
      </c>
      <c r="AB6">
        <f>HYPERLINK("https://klasma.github.io/Logging_1782/klagomålsmail/A 45602-2025 FSC-klagomål mail.docx", "A 45602-2025")</f>
        <v/>
      </c>
      <c r="AC6">
        <f>HYPERLINK("https://klasma.github.io/Logging_1782/tillsyn/A 45602-2025 tillsynsbegäran.docx", "A 45602-2025")</f>
        <v/>
      </c>
      <c r="AD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46267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t="n">
        <v>0</v>
      </c>
      <c r="V7" s="2" t="inlineStr">
        <is>
          <t>Garnlav
Kattfotslav
Bollvitmossa
Vågbandad barkbock
Fläcknycklar</t>
        </is>
      </c>
      <c r="W7">
        <f>HYPERLINK("https://klasma.github.io/Logging_1782/artfynd/A 57471-2025 artfynd.xlsx", "A 57471-2025")</f>
        <v/>
      </c>
      <c r="X7">
        <f>HYPERLINK("https://klasma.github.io/Logging_1782/kartor/A 57471-2025 karta.png", "A 57471-2025")</f>
        <v/>
      </c>
      <c r="Y7">
        <f>HYPERLINK("https://klasma.github.io/Logging_1782/kartor_geotiff/A 57471-2025 georefererad karta.tif", "A 57471-2025")</f>
        <v/>
      </c>
      <c r="AA7">
        <f>HYPERLINK("https://klasma.github.io/Logging_1782/klagomål/A 57471-2025 FSC-klagomål.docx", "A 57471-2025")</f>
        <v/>
      </c>
      <c r="AB7">
        <f>HYPERLINK("https://klasma.github.io/Logging_1782/klagomålsmail/A 57471-2025 FSC-klagomål mail.docx", "A 57471-2025")</f>
        <v/>
      </c>
      <c r="AC7">
        <f>HYPERLINK("https://klasma.github.io/Logging_1782/tillsyn/A 57471-2025 tillsynsbegäran.docx", "A 57471-2025")</f>
        <v/>
      </c>
      <c r="AD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46267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Ullticka
Grön sköldmossa
Korallblylav
Mörk husmossa
Blåsippa</t>
        </is>
      </c>
      <c r="W8">
        <f>HYPERLINK("https://klasma.github.io/Logging_1782/artfynd/A 26186-2026 artfynd.xlsx", "A 26186-2026")</f>
        <v/>
      </c>
      <c r="X8">
        <f>HYPERLINK("https://klasma.github.io/Logging_1782/kartor/A 26186-2026 karta.png", "A 26186-2026")</f>
        <v/>
      </c>
      <c r="Y8">
        <f>HYPERLINK("https://klasma.github.io/Logging_1782/kartor_geotiff/A 26186-2026 georefererad karta.tif", "A 26186-2026")</f>
        <v/>
      </c>
      <c r="AA8">
        <f>HYPERLINK("https://klasma.github.io/Logging_1782/klagomål/A 26186-2026 FSC-klagomål.docx", "A 26186-2026")</f>
        <v/>
      </c>
      <c r="AB8">
        <f>HYPERLINK("https://klasma.github.io/Logging_1782/klagomålsmail/A 26186-2026 FSC-klagomål mail.docx", "A 26186-2026")</f>
        <v/>
      </c>
      <c r="AC8">
        <f>HYPERLINK("https://klasma.github.io/Logging_1782/tillsyn/A 26186-2026 tillsynsbegäran.docx", "A 26186-2026")</f>
        <v/>
      </c>
      <c r="AD8">
        <f>HYPERLINK("https://klasma.github.io/Logging_1782/tillsynsmail/A 26186-2026 tillsynsbegäran mail.docx", "A 26186-2026")</f>
        <v/>
      </c>
    </row>
    <row r="9" ht="15" customHeight="1">
      <c r="A9" t="inlineStr">
        <is>
          <t>A 34605-2026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46255</v>
      </c>
      <c r="E9" s="1" t="n">
        <v>46267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12.5</v>
      </c>
      <c r="J9" t="n">
        <v>4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Månlåsbräken
Rödvingetrast
Purpurknipprot
Kungsfågel
Vanlig snok</t>
        </is>
      </c>
      <c r="W9">
        <f>HYPERLINK("https://klasma.github.io/Logging_1782/artfynd/A 34605-2026 artfynd.xlsx", "A 34605-2026")</f>
        <v/>
      </c>
      <c r="X9">
        <f>HYPERLINK("https://klasma.github.io/Logging_1782/kartor/A 34605-2026 karta.png", "A 34605-2026")</f>
        <v/>
      </c>
      <c r="Y9">
        <f>HYPERLINK("https://klasma.github.io/Logging_1782/kartor_geotiff/A 34605-2026 georefererad karta.tif", "A 34605-2026")</f>
        <v/>
      </c>
      <c r="AA9">
        <f>HYPERLINK("https://klasma.github.io/Logging_1782/klagomål/A 34605-2026 FSC-klagomål.docx", "A 34605-2026")</f>
        <v/>
      </c>
      <c r="AB9">
        <f>HYPERLINK("https://klasma.github.io/Logging_1782/klagomålsmail/A 34605-2026 FSC-klagomål mail.docx", "A 34605-2026")</f>
        <v/>
      </c>
      <c r="AC9">
        <f>HYPERLINK("https://klasma.github.io/Logging_1782/tillsyn/A 34605-2026 tillsynsbegäran.docx", "A 34605-2026")</f>
        <v/>
      </c>
      <c r="AD9">
        <f>HYPERLINK("https://klasma.github.io/Logging_1782/tillsynsmail/A 34605-2026 tillsynsbegäran mail.docx", "A 34605-2026")</f>
        <v/>
      </c>
      <c r="AE9">
        <f>HYPERLINK("https://klasma.github.io/Logging_1782/fåglar/A 34605-2026 prioriterade fågelarter.docx", "A 34605-2026")</f>
        <v/>
      </c>
    </row>
    <row r="10" ht="15" customHeight="1">
      <c r="A10" t="inlineStr">
        <is>
          <t>S 219-2025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45680</v>
      </c>
      <c r="E10" s="1" t="n">
        <v>46267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4.1</v>
      </c>
      <c r="J10" t="n">
        <v>0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Garnlav
Skuggblåslav
Korallblylav
Mindre märgborre
Vanlig flatbagge</t>
        </is>
      </c>
      <c r="W10">
        <f>HYPERLINK("https://klasma.github.io/Logging_1782/artfynd/S 219-2025 artfynd.xlsx", "S 219-2025")</f>
        <v/>
      </c>
      <c r="X10">
        <f>HYPERLINK("https://klasma.github.io/Logging_1782/kartor/S 219-2025 karta.png", "S 219-2025")</f>
        <v/>
      </c>
      <c r="Y10">
        <f>HYPERLINK("https://klasma.github.io/Logging_1782/kartor_geotiff/S 219-2025 georefererad karta.tif", "S 219-2025")</f>
        <v/>
      </c>
      <c r="AA10">
        <f>HYPERLINK("https://klasma.github.io/Logging_1782/klagomål/S 219-2025 FSC-klagomål.docx", "S 219-2025")</f>
        <v/>
      </c>
      <c r="AB10">
        <f>HYPERLINK("https://klasma.github.io/Logging_1782/klagomålsmail/S 219-2025 FSC-klagomål mail.docx", "S 219-2025")</f>
        <v/>
      </c>
      <c r="AC10">
        <f>HYPERLINK("https://klasma.github.io/Logging_1782/tillsyn/S 219-2025 tillsynsbegäran.docx", "S 219-2025")</f>
        <v/>
      </c>
      <c r="AD10">
        <f>HYPERLINK("https://klasma.github.io/Logging_1782/tillsynsmail/S 219-2025 tillsynsbegäran mail.docx", "S 219-2025")</f>
        <v/>
      </c>
    </row>
    <row r="11" ht="15" customHeight="1">
      <c r="A11" t="inlineStr">
        <is>
          <t>A 65201-2023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45289</v>
      </c>
      <c r="E11" s="1" t="n">
        <v>46267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7.5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7</v>
      </c>
      <c r="U11" t="n">
        <v>6</v>
      </c>
      <c r="V11" s="2" t="inlineStr">
        <is>
          <t>Knärot
Brunpudrad nållav
Vedtrappmossa
Blåsippa</t>
        </is>
      </c>
      <c r="W11">
        <f>HYPERLINK("https://klasma.github.io/Logging_1782/artfynd/A 65201-2023 artfynd.xlsx", "A 65201-2023")</f>
        <v/>
      </c>
      <c r="X11">
        <f>HYPERLINK("https://klasma.github.io/Logging_1782/kartor/A 65201-2023 karta.png", "A 65201-2023")</f>
        <v/>
      </c>
      <c r="Y11">
        <f>HYPERLINK("https://klasma.github.io/Logging_1782/kartor_geotiff/A 65201-2023 georefererad karta.tif", "A 65201-2023")</f>
        <v/>
      </c>
      <c r="Z11">
        <f>HYPERLINK("https://klasma.github.io/Logging_1782/knärot/A 65201-2023 karta knärot.png", "A 65201-2023")</f>
        <v/>
      </c>
      <c r="AA11">
        <f>HYPERLINK("https://klasma.github.io/Logging_1782/klagomål/A 65201-2023 FSC-klagomål.docx", "A 65201-2023")</f>
        <v/>
      </c>
      <c r="AB11">
        <f>HYPERLINK("https://klasma.github.io/Logging_1782/klagomålsmail/A 65201-2023 FSC-klagomål mail.docx", "A 65201-2023")</f>
        <v/>
      </c>
      <c r="AC11">
        <f>HYPERLINK("https://klasma.github.io/Logging_1782/tillsyn/A 65201-2023 tillsynsbegäran.docx", "A 65201-2023")</f>
        <v/>
      </c>
      <c r="AD11">
        <f>HYPERLINK("https://klasma.github.io/Logging_1782/tillsynsmail/A 65201-2023 tillsynsbegäran mail.docx", "A 65201-2023")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46267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46267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46267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63625-2023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46267</v>
      </c>
      <c r="F15" t="inlineStr">
        <is>
          <t>VÄRMLANDS LÄN</t>
        </is>
      </c>
      <c r="G15" t="inlineStr">
        <is>
          <t>FILIPSTAD</t>
        </is>
      </c>
      <c r="I15" t="n">
        <v>1.9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Smalfotad taggsvamp
Vaddporing
Utter</t>
        </is>
      </c>
      <c r="W15">
        <f>HYPERLINK("https://klasma.github.io/Logging_1782/artfynd/A 63625-2023 artfynd.xlsx", "A 63625-2023")</f>
        <v/>
      </c>
      <c r="X15">
        <f>HYPERLINK("https://klasma.github.io/Logging_1782/kartor/A 63625-2023 karta.png", "A 63625-2023")</f>
        <v/>
      </c>
      <c r="Y15">
        <f>HYPERLINK("https://klasma.github.io/Logging_1782/kartor_geotiff/A 63625-2023 georefererad karta.tif", "A 63625-2023")</f>
        <v/>
      </c>
      <c r="AA15">
        <f>HYPERLINK("https://klasma.github.io/Logging_1782/klagomål/A 63625-2023 FSC-klagomål.docx", "A 63625-2023")</f>
        <v/>
      </c>
      <c r="AB15">
        <f>HYPERLINK("https://klasma.github.io/Logging_1782/klagomålsmail/A 63625-2023 FSC-klagomål mail.docx", "A 63625-2023")</f>
        <v/>
      </c>
      <c r="AC15">
        <f>HYPERLINK("https://klasma.github.io/Logging_1782/tillsyn/A 63625-2023 tillsynsbegäran.docx", "A 63625-2023")</f>
        <v/>
      </c>
      <c r="AD15">
        <f>HYPERLINK("https://klasma.github.io/Logging_1782/tillsynsmail/A 63625-2023 tillsynsbegäran mail.docx", "A 63625-2023")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46267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46267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t="n">
        <v>2</v>
      </c>
      <c r="V17" s="2" t="inlineStr">
        <is>
          <t>Loppstarr
Majviva
Guckusko</t>
        </is>
      </c>
      <c r="W17">
        <f>HYPERLINK("https://klasma.github.io/Logging_1782/artfynd/S 145-2023 artfynd.xlsx", "S 145-2023")</f>
        <v/>
      </c>
      <c r="X17">
        <f>HYPERLINK("https://klasma.github.io/Logging_1782/kartor/S 145-2023 karta.png", "S 145-2023")</f>
        <v/>
      </c>
      <c r="Y17">
        <f>HYPERLINK("https://klasma.github.io/Logging_1782/kartor_geotiff/S 145-2023 georefererad karta.tif", "S 145-2023")</f>
        <v/>
      </c>
      <c r="AA17">
        <f>HYPERLINK("https://klasma.github.io/Logging_1782/klagomål/S 145-2023 FSC-klagomål.docx", "S 145-2023")</f>
        <v/>
      </c>
      <c r="AB17">
        <f>HYPERLINK("https://klasma.github.io/Logging_1782/klagomålsmail/S 145-2023 FSC-klagomål mail.docx", "S 145-2023")</f>
        <v/>
      </c>
      <c r="AC17">
        <f>HYPERLINK("https://klasma.github.io/Logging_1782/tillsyn/S 145-2023 tillsynsbegäran.docx", "S 145-2023")</f>
        <v/>
      </c>
      <c r="AD17">
        <f>HYPERLINK("https://klasma.github.io/Logging_1782/tillsynsmail/S 145-2023 tillsynsbegäran mail.docx", "S 145-2023")</f>
        <v/>
      </c>
    </row>
    <row r="18" ht="15" customHeight="1">
      <c r="A18" t="inlineStr">
        <is>
          <t>A 45523-2022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44845</v>
      </c>
      <c r="E18" s="1" t="n">
        <v>46267</v>
      </c>
      <c r="F18" t="inlineStr">
        <is>
          <t>VÄRMLANDS LÄN</t>
        </is>
      </c>
      <c r="G18" t="inlineStr">
        <is>
          <t>FILIPSTAD</t>
        </is>
      </c>
      <c r="I18" t="n">
        <v>7.7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Bronshjon
Korallblylav</t>
        </is>
      </c>
      <c r="W18">
        <f>HYPERLINK("https://klasma.github.io/Logging_1782/artfynd/A 45523-2022 artfynd.xlsx", "A 45523-2022")</f>
        <v/>
      </c>
      <c r="X18">
        <f>HYPERLINK("https://klasma.github.io/Logging_1782/kartor/A 45523-2022 karta.png", "A 45523-2022")</f>
        <v/>
      </c>
      <c r="Y18">
        <f>HYPERLINK("https://klasma.github.io/Logging_1782/kartor_geotiff/A 45523-2022 georefererad karta.tif", "A 45523-2022")</f>
        <v/>
      </c>
      <c r="AA18">
        <f>HYPERLINK("https://klasma.github.io/Logging_1782/klagomål/A 45523-2022 FSC-klagomål.docx", "A 45523-2022")</f>
        <v/>
      </c>
      <c r="AB18">
        <f>HYPERLINK("https://klasma.github.io/Logging_1782/klagomålsmail/A 45523-2022 FSC-klagomål mail.docx", "A 45523-2022")</f>
        <v/>
      </c>
      <c r="AC18">
        <f>HYPERLINK("https://klasma.github.io/Logging_1782/tillsyn/A 45523-2022 tillsynsbegäran.docx", "A 45523-2022")</f>
        <v/>
      </c>
      <c r="AD18">
        <f>HYPERLINK("https://klasma.github.io/Logging_1782/tillsynsmail/A 45523-2022 tillsynsbegäran mail.docx", "A 45523-2022")</f>
        <v/>
      </c>
    </row>
    <row r="19" ht="15" customHeight="1">
      <c r="A19" t="inlineStr">
        <is>
          <t>A 51922-2024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45607</v>
      </c>
      <c r="E19" s="1" t="n">
        <v>46267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Läderlappslav
Tjäder</t>
        </is>
      </c>
      <c r="W19">
        <f>HYPERLINK("https://klasma.github.io/Logging_1782/artfynd/A 51922-2024 artfynd.xlsx", "A 51922-2024")</f>
        <v/>
      </c>
      <c r="X19">
        <f>HYPERLINK("https://klasma.github.io/Logging_1782/kartor/A 51922-2024 karta.png", "A 51922-2024")</f>
        <v/>
      </c>
      <c r="Y19">
        <f>HYPERLINK("https://klasma.github.io/Logging_1782/kartor_geotiff/A 51922-2024 georefererad karta.tif", "A 51922-2024")</f>
        <v/>
      </c>
      <c r="AA19">
        <f>HYPERLINK("https://klasma.github.io/Logging_1782/klagomål/A 51922-2024 FSC-klagomål.docx", "A 51922-2024")</f>
        <v/>
      </c>
      <c r="AB19">
        <f>HYPERLINK("https://klasma.github.io/Logging_1782/klagomålsmail/A 51922-2024 FSC-klagomål mail.docx", "A 51922-2024")</f>
        <v/>
      </c>
      <c r="AC19">
        <f>HYPERLINK("https://klasma.github.io/Logging_1782/tillsyn/A 51922-2024 tillsynsbegäran.docx", "A 51922-2024")</f>
        <v/>
      </c>
      <c r="AD19">
        <f>HYPERLINK("https://klasma.github.io/Logging_1782/tillsynsmail/A 51922-2024 tillsynsbegäran mail.docx", "A 51922-2024")</f>
        <v/>
      </c>
      <c r="AE19">
        <f>HYPERLINK("https://klasma.github.io/Logging_1782/fåglar/A 51922-2024 prioriterade fågelarter.docx", "A 51922-2024")</f>
        <v/>
      </c>
    </row>
    <row r="20" ht="15" customHeight="1">
      <c r="A20" t="inlineStr">
        <is>
          <t>A 32438-2026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46239</v>
      </c>
      <c r="E20" s="1" t="n">
        <v>46267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1.1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0</v>
      </c>
      <c r="V20" s="2" t="inlineStr">
        <is>
          <t>Dubbelnycklar
Ängsnycklar</t>
        </is>
      </c>
      <c r="W20">
        <f>HYPERLINK("https://klasma.github.io/Logging_1782/artfynd/A 32438-2026 artfynd.xlsx", "A 32438-2026")</f>
        <v/>
      </c>
      <c r="X20">
        <f>HYPERLINK("https://klasma.github.io/Logging_1782/kartor/A 32438-2026 karta.png", "A 32438-2026")</f>
        <v/>
      </c>
      <c r="Y20">
        <f>HYPERLINK("https://klasma.github.io/Logging_1782/kartor_geotiff/A 32438-2026 georefererad karta.tif", "A 32438-2026")</f>
        <v/>
      </c>
      <c r="AA20">
        <f>HYPERLINK("https://klasma.github.io/Logging_1782/klagomål/A 32438-2026 FSC-klagomål.docx", "A 32438-2026")</f>
        <v/>
      </c>
      <c r="AB20">
        <f>HYPERLINK("https://klasma.github.io/Logging_1782/klagomålsmail/A 32438-2026 FSC-klagomål mail.docx", "A 32438-2026")</f>
        <v/>
      </c>
      <c r="AC20">
        <f>HYPERLINK("https://klasma.github.io/Logging_1782/tillsyn/A 32438-2026 tillsynsbegäran.docx", "A 32438-2026")</f>
        <v/>
      </c>
      <c r="AD20">
        <f>HYPERLINK("https://klasma.github.io/Logging_1782/tillsynsmail/A 32438-2026 tillsynsbegäran mail.docx", "A 32438-2026")</f>
        <v/>
      </c>
    </row>
    <row r="21" ht="15" customHeight="1">
      <c r="A21" t="inlineStr">
        <is>
          <t>A 16139-2025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45750</v>
      </c>
      <c r="E21" s="1" t="n">
        <v>46267</v>
      </c>
      <c r="F21" t="inlineStr">
        <is>
          <t>VÄRMLANDS LÄN</t>
        </is>
      </c>
      <c r="G21" t="inlineStr">
        <is>
          <t>FILIPSTAD</t>
        </is>
      </c>
      <c r="I21" t="n">
        <v>18.2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Bronshjon</t>
        </is>
      </c>
      <c r="W21">
        <f>HYPERLINK("https://klasma.github.io/Logging_1782/artfynd/A 16139-2025 artfynd.xlsx", "A 16139-2025")</f>
        <v/>
      </c>
      <c r="X21">
        <f>HYPERLINK("https://klasma.github.io/Logging_1782/kartor/A 16139-2025 karta.png", "A 16139-2025")</f>
        <v/>
      </c>
      <c r="Y21">
        <f>HYPERLINK("https://klasma.github.io/Logging_1782/kartor_geotiff/A 16139-2025 georefererad karta.tif", "A 16139-2025")</f>
        <v/>
      </c>
      <c r="AA21">
        <f>HYPERLINK("https://klasma.github.io/Logging_1782/klagomål/A 16139-2025 FSC-klagomål.docx", "A 16139-2025")</f>
        <v/>
      </c>
      <c r="AB21">
        <f>HYPERLINK("https://klasma.github.io/Logging_1782/klagomålsmail/A 16139-2025 FSC-klagomål mail.docx", "A 16139-2025")</f>
        <v/>
      </c>
      <c r="AC21">
        <f>HYPERLINK("https://klasma.github.io/Logging_1782/tillsyn/A 16139-2025 tillsynsbegäran.docx", "A 16139-2025")</f>
        <v/>
      </c>
      <c r="AD21">
        <f>HYPERLINK("https://klasma.github.io/Logging_1782/tillsynsmail/A 16139-2025 tillsynsbegäran mail.docx", "A 16139-2025")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46267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Igelkott
Fläcknycklar</t>
        </is>
      </c>
      <c r="W22">
        <f>HYPERLINK("https://klasma.github.io/Logging_1782/artfynd/A 29469-2026 artfynd.xlsx", "A 29469-2026")</f>
        <v/>
      </c>
      <c r="X22">
        <f>HYPERLINK("https://klasma.github.io/Logging_1782/kartor/A 29469-2026 karta.png", "A 29469-2026")</f>
        <v/>
      </c>
      <c r="Y22">
        <f>HYPERLINK("https://klasma.github.io/Logging_1782/kartor_geotiff/A 29469-2026 georefererad karta.tif", "A 29469-2026")</f>
        <v/>
      </c>
      <c r="AA22">
        <f>HYPERLINK("https://klasma.github.io/Logging_1782/klagomål/A 29469-2026 FSC-klagomål.docx", "A 29469-2026")</f>
        <v/>
      </c>
      <c r="AB22">
        <f>HYPERLINK("https://klasma.github.io/Logging_1782/klagomålsmail/A 29469-2026 FSC-klagomål mail.docx", "A 29469-2026")</f>
        <v/>
      </c>
      <c r="AC22">
        <f>HYPERLINK("https://klasma.github.io/Logging_1782/tillsyn/A 29469-2026 tillsynsbegäran.docx", "A 29469-2026")</f>
        <v/>
      </c>
      <c r="AD22">
        <f>HYPERLINK("https://klasma.github.io/Logging_1782/tillsynsmail/A 29469-2026 tillsynsbegäran mail.docx", "A 29469-2026")</f>
        <v/>
      </c>
    </row>
    <row r="23" ht="15" customHeight="1">
      <c r="A23" t="inlineStr">
        <is>
          <t>A 33583-2026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46248</v>
      </c>
      <c r="E23" s="1" t="n">
        <v>46267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16.4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Bårdlav
Stuplav</t>
        </is>
      </c>
      <c r="W23">
        <f>HYPERLINK("https://klasma.github.io/Logging_1782/artfynd/A 33583-2026 artfynd.xlsx", "A 33583-2026")</f>
        <v/>
      </c>
      <c r="X23">
        <f>HYPERLINK("https://klasma.github.io/Logging_1782/kartor/A 33583-2026 karta.png", "A 33583-2026")</f>
        <v/>
      </c>
      <c r="Y23">
        <f>HYPERLINK("https://klasma.github.io/Logging_1782/kartor_geotiff/A 33583-2026 georefererad karta.tif", "A 33583-2026")</f>
        <v/>
      </c>
      <c r="AA23">
        <f>HYPERLINK("https://klasma.github.io/Logging_1782/klagomål/A 33583-2026 FSC-klagomål.docx", "A 33583-2026")</f>
        <v/>
      </c>
      <c r="AB23">
        <f>HYPERLINK("https://klasma.github.io/Logging_1782/klagomålsmail/A 33583-2026 FSC-klagomål mail.docx", "A 33583-2026")</f>
        <v/>
      </c>
      <c r="AC23">
        <f>HYPERLINK("https://klasma.github.io/Logging_1782/tillsyn/A 33583-2026 tillsynsbegäran.docx", "A 33583-2026")</f>
        <v/>
      </c>
      <c r="AD23">
        <f>HYPERLINK("https://klasma.github.io/Logging_1782/tillsynsmail/A 33583-2026 tillsynsbegäran mail.docx", "A 33583-2026")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46267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3</v>
      </c>
      <c r="V24" s="2" t="inlineStr">
        <is>
          <t>Guckusko
Kransrams</t>
        </is>
      </c>
      <c r="W24">
        <f>HYPERLINK("https://klasma.github.io/Logging_1782/artfynd/A 19945-2023 artfynd.xlsx", "A 19945-2023")</f>
        <v/>
      </c>
      <c r="X24">
        <f>HYPERLINK("https://klasma.github.io/Logging_1782/kartor/A 19945-2023 karta.png", "A 19945-2023")</f>
        <v/>
      </c>
      <c r="Y24">
        <f>HYPERLINK("https://klasma.github.io/Logging_1782/kartor_geotiff/A 19945-2023 georefererad karta.tif", "A 19945-2023")</f>
        <v/>
      </c>
      <c r="AA24">
        <f>HYPERLINK("https://klasma.github.io/Logging_1782/klagomål/A 19945-2023 FSC-klagomål.docx", "A 19945-2023")</f>
        <v/>
      </c>
      <c r="AB24">
        <f>HYPERLINK("https://klasma.github.io/Logging_1782/klagomålsmail/A 19945-2023 FSC-klagomål mail.docx", "A 19945-2023")</f>
        <v/>
      </c>
      <c r="AC24">
        <f>HYPERLINK("https://klasma.github.io/Logging_1782/tillsyn/A 19945-2023 tillsynsbegäran.docx", "A 19945-2023")</f>
        <v/>
      </c>
      <c r="AD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46267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Dropptaggsvamp
Talltita</t>
        </is>
      </c>
      <c r="W25">
        <f>HYPERLINK("https://klasma.github.io/Logging_1782/artfynd/A 17274-2024 artfynd.xlsx", "A 17274-2024")</f>
        <v/>
      </c>
      <c r="X25">
        <f>HYPERLINK("https://klasma.github.io/Logging_1782/kartor/A 17274-2024 karta.png", "A 17274-2024")</f>
        <v/>
      </c>
      <c r="Y25">
        <f>HYPERLINK("https://klasma.github.io/Logging_1782/kartor_geotiff/A 17274-2024 georefererad karta.tif", "A 17274-2024")</f>
        <v/>
      </c>
      <c r="AA25">
        <f>HYPERLINK("https://klasma.github.io/Logging_1782/klagomål/A 17274-2024 FSC-klagomål.docx", "A 17274-2024")</f>
        <v/>
      </c>
      <c r="AB25">
        <f>HYPERLINK("https://klasma.github.io/Logging_1782/klagomålsmail/A 17274-2024 FSC-klagomål mail.docx", "A 17274-2024")</f>
        <v/>
      </c>
      <c r="AC25">
        <f>HYPERLINK("https://klasma.github.io/Logging_1782/tillsyn/A 17274-2024 tillsynsbegäran.docx", "A 17274-2024")</f>
        <v/>
      </c>
      <c r="AD25">
        <f>HYPERLINK("https://klasma.github.io/Logging_1782/tillsynsmail/A 17274-2024 tillsynsbegäran mail.docx", "A 17274-2024")</f>
        <v/>
      </c>
      <c r="AE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46267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Grönsiska
Smålom</t>
        </is>
      </c>
      <c r="W26">
        <f>HYPERLINK("https://klasma.github.io/Logging_1782/artfynd/S 3485-2022 artfynd.xlsx", "S 3485-2022")</f>
        <v/>
      </c>
      <c r="X26">
        <f>HYPERLINK("https://klasma.github.io/Logging_1782/kartor/S 3485-2022 karta.png", "S 3485-2022")</f>
        <v/>
      </c>
      <c r="Y26">
        <f>HYPERLINK("https://klasma.github.io/Logging_1782/kartor_geotiff/S 3485-2022 georefererad karta.tif", "S 3485-2022")</f>
        <v/>
      </c>
      <c r="AA26">
        <f>HYPERLINK("https://klasma.github.io/Logging_1782/klagomål/S 3485-2022 FSC-klagomål.docx", "S 3485-2022")</f>
        <v/>
      </c>
      <c r="AB26">
        <f>HYPERLINK("https://klasma.github.io/Logging_1782/klagomålsmail/S 3485-2022 FSC-klagomål mail.docx", "S 3485-2022")</f>
        <v/>
      </c>
      <c r="AC26">
        <f>HYPERLINK("https://klasma.github.io/Logging_1782/tillsyn/S 3485-2022 tillsynsbegäran.docx", "S 3485-2022")</f>
        <v/>
      </c>
      <c r="AD26">
        <f>HYPERLINK("https://klasma.github.io/Logging_1782/tillsynsmail/S 3485-2022 tillsynsbegäran mail.docx", "S 3485-2022")</f>
        <v/>
      </c>
      <c r="AE26">
        <f>HYPERLINK("https://klasma.github.io/Logging_1782/fåglar/S 3485-2022 prioriterade fågelarter.docx", "S 3485-2022")</f>
        <v/>
      </c>
    </row>
    <row r="27" ht="15" customHeight="1">
      <c r="A27" t="inlineStr">
        <is>
          <t>A 63144-2021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44505</v>
      </c>
      <c r="E27" s="1" t="n">
        <v>46267</v>
      </c>
      <c r="F27" t="inlineStr">
        <is>
          <t>VÄRMLANDS LÄN</t>
        </is>
      </c>
      <c r="G27" t="inlineStr">
        <is>
          <t>FILIPSTAD</t>
        </is>
      </c>
      <c r="I27" t="n">
        <v>24.3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2</v>
      </c>
      <c r="V27" s="2" t="inlineStr">
        <is>
          <t>Kungsörn</t>
        </is>
      </c>
      <c r="W27">
        <f>HYPERLINK("https://klasma.github.io/Logging_1782/artfynd/A 63144-2021 artfynd.xlsx", "A 63144-2021")</f>
        <v/>
      </c>
      <c r="X27">
        <f>HYPERLINK("https://klasma.github.io/Logging_1782/kartor/A 63144-2021 karta.png", "A 63144-2021")</f>
        <v/>
      </c>
      <c r="Y27">
        <f>HYPERLINK("https://klasma.github.io/Logging_1782/kartor_geotiff/A 63144-2021 georefererad karta.tif", "A 63144-2021")</f>
        <v/>
      </c>
      <c r="AA27">
        <f>HYPERLINK("https://klasma.github.io/Logging_1782/klagomål/A 63144-2021 FSC-klagomål.docx", "A 63144-2021")</f>
        <v/>
      </c>
      <c r="AB27">
        <f>HYPERLINK("https://klasma.github.io/Logging_1782/klagomålsmail/A 63144-2021 FSC-klagomål mail.docx", "A 63144-2021")</f>
        <v/>
      </c>
      <c r="AC27">
        <f>HYPERLINK("https://klasma.github.io/Logging_1782/tillsyn/A 63144-2021 tillsynsbegäran.docx", "A 63144-2021")</f>
        <v/>
      </c>
      <c r="AD27">
        <f>HYPERLINK("https://klasma.github.io/Logging_1782/tillsynsmail/A 63144-2021 tillsynsbegäran mail.docx", "A 63144-2021")</f>
        <v/>
      </c>
      <c r="AE27">
        <f>HYPERLINK("https://klasma.github.io/Logging_1782/fåglar/A 63144-2021 prioriterade fågelarter.docx", "A 63144-2021")</f>
        <v/>
      </c>
    </row>
    <row r="28" ht="15" customHeight="1">
      <c r="A28" t="inlineStr">
        <is>
          <t>A 62572-2021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46267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46.9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Garnlav</t>
        </is>
      </c>
      <c r="W28">
        <f>HYPERLINK("https://klasma.github.io/Logging_1782/artfynd/A 62572-2021 artfynd.xlsx", "A 62572-2021")</f>
        <v/>
      </c>
      <c r="X28">
        <f>HYPERLINK("https://klasma.github.io/Logging_1782/kartor/A 62572-2021 karta.png", "A 62572-2021")</f>
        <v/>
      </c>
      <c r="Y28">
        <f>HYPERLINK("https://klasma.github.io/Logging_1782/kartor_geotiff/A 62572-2021 georefererad karta.tif", "A 62572-2021")</f>
        <v/>
      </c>
      <c r="AA28">
        <f>HYPERLINK("https://klasma.github.io/Logging_1782/klagomål/A 62572-2021 FSC-klagomål.docx", "A 62572-2021")</f>
        <v/>
      </c>
      <c r="AB28">
        <f>HYPERLINK("https://klasma.github.io/Logging_1782/klagomålsmail/A 62572-2021 FSC-klagomål mail.docx", "A 62572-2021")</f>
        <v/>
      </c>
      <c r="AC28">
        <f>HYPERLINK("https://klasma.github.io/Logging_1782/tillsyn/A 62572-2021 tillsynsbegäran.docx", "A 62572-2021")</f>
        <v/>
      </c>
      <c r="AD28">
        <f>HYPERLINK("https://klasma.github.io/Logging_1782/tillsynsmail/A 62572-2021 tillsynsbegäran mail.docx", "A 62572-2021")</f>
        <v/>
      </c>
    </row>
    <row r="29" ht="15" customHeight="1">
      <c r="A29" t="inlineStr">
        <is>
          <t>A 20754-2022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44701</v>
      </c>
      <c r="E29" s="1" t="n">
        <v>46267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13.6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HYPERLINK("https://klasma.github.io/Logging_1782/artfynd/A 20754-2022 artfynd.xlsx", "A 20754-2022")</f>
        <v/>
      </c>
      <c r="X29">
        <f>HYPERLINK("https://klasma.github.io/Logging_1782/kartor/A 20754-2022 karta.png", "A 20754-2022")</f>
        <v/>
      </c>
      <c r="Y29">
        <f>HYPERLINK("https://klasma.github.io/Logging_1782/kartor_geotiff/A 20754-2022 georefererad karta.tif", "A 20754-2022")</f>
        <v/>
      </c>
      <c r="AA29">
        <f>HYPERLINK("https://klasma.github.io/Logging_1782/klagomål/A 20754-2022 FSC-klagomål.docx", "A 20754-2022")</f>
        <v/>
      </c>
      <c r="AB29">
        <f>HYPERLINK("https://klasma.github.io/Logging_1782/klagomålsmail/A 20754-2022 FSC-klagomål mail.docx", "A 20754-2022")</f>
        <v/>
      </c>
      <c r="AC29">
        <f>HYPERLINK("https://klasma.github.io/Logging_1782/tillsyn/A 20754-2022 tillsynsbegäran.docx", "A 20754-2022")</f>
        <v/>
      </c>
      <c r="AD29">
        <f>HYPERLINK("https://klasma.github.io/Logging_1782/tillsynsmail/A 20754-2022 tillsynsbegäran mail.docx", "A 20754-2022")</f>
        <v/>
      </c>
    </row>
    <row r="30" ht="15" customHeight="1">
      <c r="A30" t="inlineStr">
        <is>
          <t>A 10138-2024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45364</v>
      </c>
      <c r="E30" s="1" t="n">
        <v>46267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6.8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Purpurknipprot</t>
        </is>
      </c>
      <c r="W30">
        <f>HYPERLINK("https://klasma.github.io/Logging_1782/artfynd/A 10138-2024 artfynd.xlsx", "A 10138-2024")</f>
        <v/>
      </c>
      <c r="X30">
        <f>HYPERLINK("https://klasma.github.io/Logging_1782/kartor/A 10138-2024 karta.png", "A 10138-2024")</f>
        <v/>
      </c>
      <c r="Y30">
        <f>HYPERLINK("https://klasma.github.io/Logging_1782/kartor_geotiff/A 10138-2024 georefererad karta.tif", "A 10138-2024")</f>
        <v/>
      </c>
      <c r="AA30">
        <f>HYPERLINK("https://klasma.github.io/Logging_1782/klagomål/A 10138-2024 FSC-klagomål.docx", "A 10138-2024")</f>
        <v/>
      </c>
      <c r="AB30">
        <f>HYPERLINK("https://klasma.github.io/Logging_1782/klagomålsmail/A 10138-2024 FSC-klagomål mail.docx", "A 10138-2024")</f>
        <v/>
      </c>
      <c r="AC30">
        <f>HYPERLINK("https://klasma.github.io/Logging_1782/tillsyn/A 10138-2024 tillsynsbegäran.docx", "A 10138-2024")</f>
        <v/>
      </c>
      <c r="AD30">
        <f>HYPERLINK("https://klasma.github.io/Logging_1782/tillsynsmail/A 10138-2024 tillsynsbegäran mail.docx", "A 10138-2024")</f>
        <v/>
      </c>
    </row>
    <row r="31" ht="15" customHeight="1">
      <c r="A31" t="inlineStr">
        <is>
          <t>A 38140-2024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45545</v>
      </c>
      <c r="E31" s="1" t="n">
        <v>46267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Dropptaggsvamp</t>
        </is>
      </c>
      <c r="W31">
        <f>HYPERLINK("https://klasma.github.io/Logging_1782/artfynd/A 38140-2024 artfynd.xlsx", "A 38140-2024")</f>
        <v/>
      </c>
      <c r="X31">
        <f>HYPERLINK("https://klasma.github.io/Logging_1782/kartor/A 38140-2024 karta.png", "A 38140-2024")</f>
        <v/>
      </c>
      <c r="Y31">
        <f>HYPERLINK("https://klasma.github.io/Logging_1782/kartor_geotiff/A 38140-2024 georefererad karta.tif", "A 38140-2024")</f>
        <v/>
      </c>
      <c r="AA31">
        <f>HYPERLINK("https://klasma.github.io/Logging_1782/klagomål/A 38140-2024 FSC-klagomål.docx", "A 38140-2024")</f>
        <v/>
      </c>
      <c r="AB31">
        <f>HYPERLINK("https://klasma.github.io/Logging_1782/klagomålsmail/A 38140-2024 FSC-klagomål mail.docx", "A 38140-2024")</f>
        <v/>
      </c>
      <c r="AC31">
        <f>HYPERLINK("https://klasma.github.io/Logging_1782/tillsyn/A 38140-2024 tillsynsbegäran.docx", "A 38140-2024")</f>
        <v/>
      </c>
      <c r="AD31">
        <f>HYPERLINK("https://klasma.github.io/Logging_1782/tillsynsmail/A 38140-2024 tillsynsbegäran mail.docx", "A 38140-2024")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46267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HYPERLINK("https://klasma.github.io/Logging_1782/artfynd/A 23046-2023 artfynd.xlsx", "A 23046-2023")</f>
        <v/>
      </c>
      <c r="X32">
        <f>HYPERLINK("https://klasma.github.io/Logging_1782/kartor/A 23046-2023 karta.png", "A 23046-2023")</f>
        <v/>
      </c>
      <c r="Y32">
        <f>HYPERLINK("https://klasma.github.io/Logging_1782/kartor_geotiff/A 23046-2023 georefererad karta.tif", "A 23046-2023")</f>
        <v/>
      </c>
      <c r="Z32">
        <f>HYPERLINK("https://klasma.github.io/Logging_1782/knärot/A 23046-2023 karta knärot.png", "A 23046-2023")</f>
        <v/>
      </c>
      <c r="AA32">
        <f>HYPERLINK("https://klasma.github.io/Logging_1782/klagomål/A 23046-2023 FSC-klagomål.docx", "A 23046-2023")</f>
        <v/>
      </c>
      <c r="AB32">
        <f>HYPERLINK("https://klasma.github.io/Logging_1782/klagomålsmail/A 23046-2023 FSC-klagomål mail.docx", "A 23046-2023")</f>
        <v/>
      </c>
      <c r="AC32">
        <f>HYPERLINK("https://klasma.github.io/Logging_1782/tillsyn/A 23046-2023 tillsynsbegäran.docx", "A 23046-2023")</f>
        <v/>
      </c>
      <c r="AD32">
        <f>HYPERLINK("https://klasma.github.io/Logging_1782/tillsynsmail/A 23046-2023 tillsynsbegäran mail.docx", "A 23046-2023")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46267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HYPERLINK("https://klasma.github.io/Logging_1782/artfynd/A 25916-2025 artfynd.xlsx", "A 25916-2025")</f>
        <v/>
      </c>
      <c r="X33">
        <f>HYPERLINK("https://klasma.github.io/Logging_1782/kartor/A 25916-2025 karta.png", "A 25916-2025")</f>
        <v/>
      </c>
      <c r="Y33">
        <f>HYPERLINK("https://klasma.github.io/Logging_1782/kartor_geotiff/A 25916-2025 georefererad karta.tif", "A 25916-2025")</f>
        <v/>
      </c>
      <c r="AA33">
        <f>HYPERLINK("https://klasma.github.io/Logging_1782/klagomål/A 25916-2025 FSC-klagomål.docx", "A 25916-2025")</f>
        <v/>
      </c>
      <c r="AB33">
        <f>HYPERLINK("https://klasma.github.io/Logging_1782/klagomålsmail/A 25916-2025 FSC-klagomål mail.docx", "A 25916-2025")</f>
        <v/>
      </c>
      <c r="AC33">
        <f>HYPERLINK("https://klasma.github.io/Logging_1782/tillsyn/A 25916-2025 tillsynsbegäran.docx", "A 25916-2025")</f>
        <v/>
      </c>
      <c r="AD33">
        <f>HYPERLINK("https://klasma.github.io/Logging_1782/tillsynsmail/A 25916-2025 tillsynsbegäran mail.docx", "A 25916-2025")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46267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HYPERLINK("https://klasma.github.io/Logging_1782/artfynd/A 30652-2025 artfynd.xlsx", "A 30652-2025")</f>
        <v/>
      </c>
      <c r="X34">
        <f>HYPERLINK("https://klasma.github.io/Logging_1782/kartor/A 30652-2025 karta.png", "A 30652-2025")</f>
        <v/>
      </c>
      <c r="Y34">
        <f>HYPERLINK("https://klasma.github.io/Logging_1782/kartor_geotiff/A 30652-2025 georefererad karta.tif", "A 30652-2025")</f>
        <v/>
      </c>
      <c r="AA34">
        <f>HYPERLINK("https://klasma.github.io/Logging_1782/klagomål/A 30652-2025 FSC-klagomål.docx", "A 30652-2025")</f>
        <v/>
      </c>
      <c r="AB34">
        <f>HYPERLINK("https://klasma.github.io/Logging_1782/klagomålsmail/A 30652-2025 FSC-klagomål mail.docx", "A 30652-2025")</f>
        <v/>
      </c>
      <c r="AC34">
        <f>HYPERLINK("https://klasma.github.io/Logging_1782/tillsyn/A 30652-2025 tillsynsbegäran.docx", "A 30652-2025")</f>
        <v/>
      </c>
      <c r="AD34">
        <f>HYPERLINK("https://klasma.github.io/Logging_1782/tillsynsmail/A 30652-2025 tillsynsbegäran mail.docx", "A 30652-2025")</f>
        <v/>
      </c>
      <c r="AE34">
        <f>HYPERLINK("https://klasma.github.io/Logging_1782/fåglar/A 30652-2025 prioriterade fågelarter.docx", "A 30652-2025")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46267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Brunklöver</t>
        </is>
      </c>
      <c r="W35">
        <f>HYPERLINK("https://klasma.github.io/Logging_1782/artfynd/A 45781-2025 artfynd.xlsx", "A 45781-2025")</f>
        <v/>
      </c>
      <c r="X35">
        <f>HYPERLINK("https://klasma.github.io/Logging_1782/kartor/A 45781-2025 karta.png", "A 45781-2025")</f>
        <v/>
      </c>
      <c r="Y35">
        <f>HYPERLINK("https://klasma.github.io/Logging_1782/kartor_geotiff/A 45781-2025 georefererad karta.tif", "A 45781-2025")</f>
        <v/>
      </c>
      <c r="AA35">
        <f>HYPERLINK("https://klasma.github.io/Logging_1782/klagomål/A 45781-2025 FSC-klagomål.docx", "A 45781-2025")</f>
        <v/>
      </c>
      <c r="AB35">
        <f>HYPERLINK("https://klasma.github.io/Logging_1782/klagomålsmail/A 45781-2025 FSC-klagomål mail.docx", "A 45781-2025")</f>
        <v/>
      </c>
      <c r="AC35">
        <f>HYPERLINK("https://klasma.github.io/Logging_1782/tillsyn/A 45781-2025 tillsynsbegäran.docx", "A 45781-2025")</f>
        <v/>
      </c>
      <c r="AD35">
        <f>HYPERLINK("https://klasma.github.io/Logging_1782/tillsynsmail/A 45781-2025 tillsynsbegäran mail.docx", "A 45781-2025")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46267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Tretåig hackspett</t>
        </is>
      </c>
      <c r="W36">
        <f>HYPERLINK("https://klasma.github.io/Logging_1782/artfynd/A 58734-2025 artfynd.xlsx", "A 58734-2025")</f>
        <v/>
      </c>
      <c r="X36">
        <f>HYPERLINK("https://klasma.github.io/Logging_1782/kartor/A 58734-2025 karta.png", "A 58734-2025")</f>
        <v/>
      </c>
      <c r="Y36">
        <f>HYPERLINK("https://klasma.github.io/Logging_1782/kartor_geotiff/A 58734-2025 georefererad karta.tif", "A 58734-2025")</f>
        <v/>
      </c>
      <c r="AA36">
        <f>HYPERLINK("https://klasma.github.io/Logging_1782/klagomål/A 58734-2025 FSC-klagomål.docx", "A 58734-2025")</f>
        <v/>
      </c>
      <c r="AB36">
        <f>HYPERLINK("https://klasma.github.io/Logging_1782/klagomålsmail/A 58734-2025 FSC-klagomål mail.docx", "A 58734-2025")</f>
        <v/>
      </c>
      <c r="AC36">
        <f>HYPERLINK("https://klasma.github.io/Logging_1782/tillsyn/A 58734-2025 tillsynsbegäran.docx", "A 58734-2025")</f>
        <v/>
      </c>
      <c r="AD36">
        <f>HYPERLINK("https://klasma.github.io/Logging_1782/tillsynsmail/A 58734-2025 tillsynsbegäran mail.docx", "A 58734-2025")</f>
        <v/>
      </c>
      <c r="AE36">
        <f>HYPERLINK("https://klasma.github.io/Logging_1782/fåglar/A 58734-2025 prioriterade fågelarter.docx", "A 58734-2025")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46267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46267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Ädellav</t>
        </is>
      </c>
      <c r="W38">
        <f>HYPERLINK("https://klasma.github.io/Logging_1782/artfynd/A 17529-2026 artfynd.xlsx", "A 17529-2026")</f>
        <v/>
      </c>
      <c r="X38">
        <f>HYPERLINK("https://klasma.github.io/Logging_1782/kartor/A 17529-2026 karta.png", "A 17529-2026")</f>
        <v/>
      </c>
      <c r="Y38">
        <f>HYPERLINK("https://klasma.github.io/Logging_1782/kartor_geotiff/A 17529-2026 georefererad karta.tif", "A 17529-2026")</f>
        <v/>
      </c>
      <c r="AA38">
        <f>HYPERLINK("https://klasma.github.io/Logging_1782/klagomål/A 17529-2026 FSC-klagomål.docx", "A 17529-2026")</f>
        <v/>
      </c>
      <c r="AB38">
        <f>HYPERLINK("https://klasma.github.io/Logging_1782/klagomålsmail/A 17529-2026 FSC-klagomål mail.docx", "A 17529-2026")</f>
        <v/>
      </c>
      <c r="AC38">
        <f>HYPERLINK("https://klasma.github.io/Logging_1782/tillsyn/A 17529-2026 tillsynsbegäran.docx", "A 17529-2026")</f>
        <v/>
      </c>
      <c r="AD38">
        <f>HYPERLINK("https://klasma.github.io/Logging_1782/tillsynsmail/A 17529-2026 tillsynsbegäran mail.docx", "A 17529-2026")</f>
        <v/>
      </c>
    </row>
    <row r="39" ht="15" customHeight="1">
      <c r="A39" t="inlineStr">
        <is>
          <t>A 874-2025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46267</v>
      </c>
      <c r="F39" t="inlineStr">
        <is>
          <t>VÄRMLANDS LÄN</t>
        </is>
      </c>
      <c r="G39" t="inlineStr">
        <is>
          <t>FILIPSTAD</t>
        </is>
      </c>
      <c r="H39" t="inlineStr">
        <is>
          <t>Kyrkan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Kamjordstjärna</t>
        </is>
      </c>
      <c r="W39">
        <f>HYPERLINK("https://klasma.github.io/Logging_1782/artfynd/A 874-2025 artfynd.xlsx", "A 874-2025")</f>
        <v/>
      </c>
      <c r="X39">
        <f>HYPERLINK("https://klasma.github.io/Logging_1782/kartor/A 874-2025 karta.png", "A 874-2025")</f>
        <v/>
      </c>
      <c r="Y39">
        <f>HYPERLINK("https://klasma.github.io/Logging_1782/kartor_geotiff/A 874-2025 georefererad karta.tif", "A 874-2025")</f>
        <v/>
      </c>
      <c r="AA39">
        <f>HYPERLINK("https://klasma.github.io/Logging_1782/klagomål/A 874-2025 FSC-klagomål.docx", "A 874-2025")</f>
        <v/>
      </c>
      <c r="AB39">
        <f>HYPERLINK("https://klasma.github.io/Logging_1782/klagomålsmail/A 874-2025 FSC-klagomål mail.docx", "A 874-2025")</f>
        <v/>
      </c>
      <c r="AC39">
        <f>HYPERLINK("https://klasma.github.io/Logging_1782/tillsyn/A 874-2025 tillsynsbegäran.docx", "A 874-2025")</f>
        <v/>
      </c>
      <c r="AD39">
        <f>HYPERLINK("https://klasma.github.io/Logging_1782/tillsynsmail/A 874-2025 tillsynsbegäran mail.docx", "A 874-2025")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46267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Tibast</t>
        </is>
      </c>
      <c r="W40">
        <f>HYPERLINK("https://klasma.github.io/Logging_1782/artfynd/A 51522-2022 artfynd.xlsx", "A 51522-2022")</f>
        <v/>
      </c>
      <c r="X40">
        <f>HYPERLINK("https://klasma.github.io/Logging_1782/kartor/A 51522-2022 karta.png", "A 51522-2022")</f>
        <v/>
      </c>
      <c r="Y40">
        <f>HYPERLINK("https://klasma.github.io/Logging_1782/kartor_geotiff/A 51522-2022 georefererad karta.tif", "A 51522-2022")</f>
        <v/>
      </c>
      <c r="AA40">
        <f>HYPERLINK("https://klasma.github.io/Logging_1782/klagomål/A 51522-2022 FSC-klagomål.docx", "A 51522-2022")</f>
        <v/>
      </c>
      <c r="AB40">
        <f>HYPERLINK("https://klasma.github.io/Logging_1782/klagomålsmail/A 51522-2022 FSC-klagomål mail.docx", "A 51522-2022")</f>
        <v/>
      </c>
      <c r="AC40">
        <f>HYPERLINK("https://klasma.github.io/Logging_1782/tillsyn/A 51522-2022 tillsynsbegäran.docx", "A 51522-2022")</f>
        <v/>
      </c>
      <c r="AD40">
        <f>HYPERLINK("https://klasma.github.io/Logging_1782/tillsynsmail/A 51522-2022 tillsynsbegäran mail.docx", "A 51522-2022")</f>
        <v/>
      </c>
    </row>
    <row r="41" ht="15" customHeight="1">
      <c r="A41" t="inlineStr">
        <is>
          <t>A 25862-2026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46178</v>
      </c>
      <c r="E41" s="1" t="n">
        <v>46267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3.5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Talltaggsvamp</t>
        </is>
      </c>
      <c r="W41">
        <f>HYPERLINK("https://klasma.github.io/Logging_1782/artfynd/A 25862-2026 artfynd.xlsx", "A 25862-2026")</f>
        <v/>
      </c>
      <c r="X41">
        <f>HYPERLINK("https://klasma.github.io/Logging_1782/kartor/A 25862-2026 karta.png", "A 25862-2026")</f>
        <v/>
      </c>
      <c r="Y41">
        <f>HYPERLINK("https://klasma.github.io/Logging_1782/kartor_geotiff/A 25862-2026 georefererad karta.tif", "A 25862-2026")</f>
        <v/>
      </c>
      <c r="AA41">
        <f>HYPERLINK("https://klasma.github.io/Logging_1782/klagomål/A 25862-2026 FSC-klagomål.docx", "A 25862-2026")</f>
        <v/>
      </c>
      <c r="AB41">
        <f>HYPERLINK("https://klasma.github.io/Logging_1782/klagomålsmail/A 25862-2026 FSC-klagomål mail.docx", "A 25862-2026")</f>
        <v/>
      </c>
      <c r="AC41">
        <f>HYPERLINK("https://klasma.github.io/Logging_1782/tillsyn/A 25862-2026 tillsynsbegäran.docx", "A 25862-2026")</f>
        <v/>
      </c>
      <c r="AD41">
        <f>HYPERLINK("https://klasma.github.io/Logging_1782/tillsynsmail/A 25862-2026 tillsynsbegäran mail.docx", "A 25862-2026")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46267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Stjärnstarr</t>
        </is>
      </c>
      <c r="W42">
        <f>HYPERLINK("https://klasma.github.io/Logging_1782/artfynd/A 28915-2026 artfynd.xlsx", "A 28915-2026")</f>
        <v/>
      </c>
      <c r="X42">
        <f>HYPERLINK("https://klasma.github.io/Logging_1782/kartor/A 28915-2026 karta.png", "A 28915-2026")</f>
        <v/>
      </c>
      <c r="Y42">
        <f>HYPERLINK("https://klasma.github.io/Logging_1782/kartor_geotiff/A 28915-2026 georefererad karta.tif", "A 28915-2026")</f>
        <v/>
      </c>
      <c r="AA42">
        <f>HYPERLINK("https://klasma.github.io/Logging_1782/klagomål/A 28915-2026 FSC-klagomål.docx", "A 28915-2026")</f>
        <v/>
      </c>
      <c r="AB42">
        <f>HYPERLINK("https://klasma.github.io/Logging_1782/klagomålsmail/A 28915-2026 FSC-klagomål mail.docx", "A 28915-2026")</f>
        <v/>
      </c>
      <c r="AC42">
        <f>HYPERLINK("https://klasma.github.io/Logging_1782/tillsyn/A 28915-2026 tillsynsbegäran.docx", "A 28915-2026")</f>
        <v/>
      </c>
      <c r="AD42">
        <f>HYPERLINK("https://klasma.github.io/Logging_1782/tillsynsmail/A 28915-2026 tillsynsbegäran mail.docx", "A 28915-2026")</f>
        <v/>
      </c>
    </row>
    <row r="43" ht="15" customHeight="1">
      <c r="A43" t="inlineStr">
        <is>
          <t>A 30988-2026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46213</v>
      </c>
      <c r="E43" s="1" t="n">
        <v>46267</v>
      </c>
      <c r="F43" t="inlineStr">
        <is>
          <t>VÄRMLANDS LÄN</t>
        </is>
      </c>
      <c r="G43" t="inlineStr">
        <is>
          <t>FILIPSTAD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Skuggblåslav</t>
        </is>
      </c>
      <c r="W43">
        <f>HYPERLINK("https://klasma.github.io/Logging_1782/artfynd/A 30988-2026 artfynd.xlsx", "A 30988-2026")</f>
        <v/>
      </c>
      <c r="X43">
        <f>HYPERLINK("https://klasma.github.io/Logging_1782/kartor/A 30988-2026 karta.png", "A 30988-2026")</f>
        <v/>
      </c>
      <c r="Y43">
        <f>HYPERLINK("https://klasma.github.io/Logging_1782/kartor_geotiff/A 30988-2026 georefererad karta.tif", "A 30988-2026")</f>
        <v/>
      </c>
      <c r="AA43">
        <f>HYPERLINK("https://klasma.github.io/Logging_1782/klagomål/A 30988-2026 FSC-klagomål.docx", "A 30988-2026")</f>
        <v/>
      </c>
      <c r="AB43">
        <f>HYPERLINK("https://klasma.github.io/Logging_1782/klagomålsmail/A 30988-2026 FSC-klagomål mail.docx", "A 30988-2026")</f>
        <v/>
      </c>
      <c r="AC43">
        <f>HYPERLINK("https://klasma.github.io/Logging_1782/tillsyn/A 30988-2026 tillsynsbegäran.docx", "A 30988-2026")</f>
        <v/>
      </c>
      <c r="AD43">
        <f>HYPERLINK("https://klasma.github.io/Logging_1782/tillsynsmail/A 30988-2026 tillsynsbegäran mail.docx", "A 30988-2026")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46267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Purpurknipprot</t>
        </is>
      </c>
      <c r="W44">
        <f>HYPERLINK("https://klasma.github.io/Logging_1782/artfynd/A 11453-2025 artfynd.xlsx", "A 11453-2025")</f>
        <v/>
      </c>
      <c r="X44">
        <f>HYPERLINK("https://klasma.github.io/Logging_1782/kartor/A 11453-2025 karta.png", "A 11453-2025")</f>
        <v/>
      </c>
      <c r="Y44">
        <f>HYPERLINK("https://klasma.github.io/Logging_1782/kartor_geotiff/A 11453-2025 georefererad karta.tif", "A 11453-2025")</f>
        <v/>
      </c>
      <c r="AA44">
        <f>HYPERLINK("https://klasma.github.io/Logging_1782/klagomål/A 11453-2025 FSC-klagomål.docx", "A 11453-2025")</f>
        <v/>
      </c>
      <c r="AB44">
        <f>HYPERLINK("https://klasma.github.io/Logging_1782/klagomålsmail/A 11453-2025 FSC-klagomål mail.docx", "A 11453-2025")</f>
        <v/>
      </c>
      <c r="AC44">
        <f>HYPERLINK("https://klasma.github.io/Logging_1782/tillsyn/A 11453-2025 tillsynsbegäran.docx", "A 11453-2025")</f>
        <v/>
      </c>
      <c r="AD44">
        <f>HYPERLINK("https://klasma.github.io/Logging_1782/tillsynsmail/A 11453-2025 tillsynsbegäran mail.docx", "A 11453-2025")</f>
        <v/>
      </c>
    </row>
    <row r="45" ht="15" customHeight="1">
      <c r="A45" t="inlineStr">
        <is>
          <t>A 31257-2026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46267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10.2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Gräsull</t>
        </is>
      </c>
      <c r="W45">
        <f>HYPERLINK("https://klasma.github.io/Logging_1782/artfynd/A 31257-2026 artfynd.xlsx", "A 31257-2026")</f>
        <v/>
      </c>
      <c r="X45">
        <f>HYPERLINK("https://klasma.github.io/Logging_1782/kartor/A 31257-2026 karta.png", "A 31257-2026")</f>
        <v/>
      </c>
      <c r="Y45">
        <f>HYPERLINK("https://klasma.github.io/Logging_1782/kartor_geotiff/A 31257-2026 georefererad karta.tif", "A 31257-2026")</f>
        <v/>
      </c>
      <c r="AA45">
        <f>HYPERLINK("https://klasma.github.io/Logging_1782/klagomål/A 31257-2026 FSC-klagomål.docx", "A 31257-2026")</f>
        <v/>
      </c>
      <c r="AB45">
        <f>HYPERLINK("https://klasma.github.io/Logging_1782/klagomålsmail/A 31257-2026 FSC-klagomål mail.docx", "A 31257-2026")</f>
        <v/>
      </c>
      <c r="AC45">
        <f>HYPERLINK("https://klasma.github.io/Logging_1782/tillsyn/A 31257-2026 tillsynsbegäran.docx", "A 31257-2026")</f>
        <v/>
      </c>
      <c r="AD45">
        <f>HYPERLINK("https://klasma.github.io/Logging_1782/tillsynsmail/A 31257-2026 tillsynsbegäran mail.docx", "A 31257-2026")</f>
        <v/>
      </c>
    </row>
    <row r="46" ht="15" customHeight="1">
      <c r="A46" t="inlineStr">
        <is>
          <t>S 264-2022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44578</v>
      </c>
      <c r="E46" s="1" t="n">
        <v>46267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398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Slaguggla</t>
        </is>
      </c>
      <c r="W46">
        <f>HYPERLINK("https://klasma.github.io/Logging_1782/artfynd/S 264-2022 artfynd.xlsx", "S 264-2022")</f>
        <v/>
      </c>
      <c r="X46">
        <f>HYPERLINK("https://klasma.github.io/Logging_1782/kartor/S 264-2022 karta.png", "S 264-2022")</f>
        <v/>
      </c>
      <c r="Y46">
        <f>HYPERLINK("https://klasma.github.io/Logging_1782/kartor_geotiff/S 264-2022 georefererad karta.tif", "S 264-2022")</f>
        <v/>
      </c>
      <c r="AA46">
        <f>HYPERLINK("https://klasma.github.io/Logging_1782/klagomål/S 264-2022 FSC-klagomål.docx", "S 264-2022")</f>
        <v/>
      </c>
      <c r="AB46">
        <f>HYPERLINK("https://klasma.github.io/Logging_1782/klagomålsmail/S 264-2022 FSC-klagomål mail.docx", "S 264-2022")</f>
        <v/>
      </c>
      <c r="AC46">
        <f>HYPERLINK("https://klasma.github.io/Logging_1782/tillsyn/S 264-2022 tillsynsbegäran.docx", "S 264-2022")</f>
        <v/>
      </c>
      <c r="AD46">
        <f>HYPERLINK("https://klasma.github.io/Logging_1782/tillsynsmail/S 264-2022 tillsynsbegäran mail.docx", "S 264-2022")</f>
        <v/>
      </c>
      <c r="AE46">
        <f>HYPERLINK("https://klasma.github.io/Logging_1782/fåglar/S 264-2022 prioriterade fågelarter.docx", "S 264-2022")</f>
        <v/>
      </c>
    </row>
    <row r="47" ht="15" customHeight="1">
      <c r="A47" t="inlineStr">
        <is>
          <t>S 383-2025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45691</v>
      </c>
      <c r="E47" s="1" t="n">
        <v>46267</v>
      </c>
      <c r="F47" t="inlineStr">
        <is>
          <t>VÄRMLANDS LÄN</t>
        </is>
      </c>
      <c r="G47" t="inlineStr">
        <is>
          <t>FILIPSTAD</t>
        </is>
      </c>
      <c r="I47" t="n">
        <v>18.6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HYPERLINK("https://klasma.github.io/Logging_1782/artfynd/S 383-2025 artfynd.xlsx", "S 383-2025")</f>
        <v/>
      </c>
      <c r="X47">
        <f>HYPERLINK("https://klasma.github.io/Logging_1782/kartor/S 383-2025 karta.png", "S 383-2025")</f>
        <v/>
      </c>
      <c r="Y47">
        <f>HYPERLINK("https://klasma.github.io/Logging_1782/kartor_geotiff/S 383-2025 georefererad karta.tif", "S 383-2025")</f>
        <v/>
      </c>
      <c r="AA47">
        <f>HYPERLINK("https://klasma.github.io/Logging_1782/klagomål/S 383-2025 FSC-klagomål.docx", "S 383-2025")</f>
        <v/>
      </c>
      <c r="AB47">
        <f>HYPERLINK("https://klasma.github.io/Logging_1782/klagomålsmail/S 383-2025 FSC-klagomål mail.docx", "S 383-2025")</f>
        <v/>
      </c>
      <c r="AC47">
        <f>HYPERLINK("https://klasma.github.io/Logging_1782/tillsyn/S 383-2025 tillsynsbegäran.docx", "S 383-2025")</f>
        <v/>
      </c>
      <c r="AD47">
        <f>HYPERLINK("https://klasma.github.io/Logging_1782/tillsynsmail/S 383-2025 tillsynsbegäran mail.docx", "S 383-2025")</f>
        <v/>
      </c>
    </row>
    <row r="48" ht="15" customHeight="1">
      <c r="A48" t="inlineStr">
        <is>
          <t>A 8482-2022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46267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5.2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44467</v>
      </c>
      <c r="E49" s="1" t="n">
        <v>46267</v>
      </c>
      <c r="F49" t="inlineStr">
        <is>
          <t>VÄRMLANDS LÄN</t>
        </is>
      </c>
      <c r="G49" t="inlineStr">
        <is>
          <t>FILIPSTAD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15932-2022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46267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46267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46267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46267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46267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24442-2022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44726</v>
      </c>
      <c r="E55" s="1" t="n">
        <v>46267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63714-2021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44505</v>
      </c>
      <c r="E56" s="1" t="n">
        <v>46267</v>
      </c>
      <c r="F56" t="inlineStr">
        <is>
          <t>VÄRMLANDS LÄN</t>
        </is>
      </c>
      <c r="G56" t="inlineStr">
        <is>
          <t>FILIPSTAD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14077-2022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44651</v>
      </c>
      <c r="E57" s="1" t="n">
        <v>46267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50063-2021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44456</v>
      </c>
      <c r="E58" s="1" t="n">
        <v>46267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46267</v>
      </c>
      <c r="F59" t="inlineStr">
        <is>
          <t>VÄRMLANDS LÄN</t>
        </is>
      </c>
      <c r="G59" t="inlineStr">
        <is>
          <t>FILIPSTAD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46267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22356-2022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44713</v>
      </c>
      <c r="E61" s="1" t="n">
        <v>46267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32680-2022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44783</v>
      </c>
      <c r="E62" s="1" t="n">
        <v>46267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57090-2021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46267</v>
      </c>
      <c r="F63" t="inlineStr">
        <is>
          <t>VÄRMLANDS LÄN</t>
        </is>
      </c>
      <c r="G63" t="inlineStr">
        <is>
          <t>FILIPSTAD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44854</v>
      </c>
      <c r="E64" s="1" t="n">
        <v>46267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35712-2022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44799</v>
      </c>
      <c r="E65" s="1" t="n">
        <v>46267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19626-2022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44694</v>
      </c>
      <c r="E66" s="1" t="n">
        <v>46267</v>
      </c>
      <c r="F66" t="inlineStr">
        <is>
          <t>VÄRMLANDS LÄN</t>
        </is>
      </c>
      <c r="G66" t="inlineStr">
        <is>
          <t>FILIPSTAD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59954-2021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46267</v>
      </c>
      <c r="F67" t="inlineStr">
        <is>
          <t>VÄRMLANDS LÄN</t>
        </is>
      </c>
      <c r="G67" t="inlineStr">
        <is>
          <t>FILIPSTAD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44651</v>
      </c>
      <c r="E68" s="1" t="n">
        <v>46267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66376-2021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44518</v>
      </c>
      <c r="E69" s="1" t="n">
        <v>46267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46267</v>
      </c>
      <c r="F70" t="inlineStr">
        <is>
          <t>VÄRMLANDS LÄN</t>
        </is>
      </c>
      <c r="G70" t="inlineStr">
        <is>
          <t>FILIPSTAD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46267</v>
      </c>
      <c r="F71" t="inlineStr">
        <is>
          <t>VÄRMLANDS LÄN</t>
        </is>
      </c>
      <c r="G71" t="inlineStr">
        <is>
          <t>FILIPSTAD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46267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44482</v>
      </c>
      <c r="E73" s="1" t="n">
        <v>46267</v>
      </c>
      <c r="F73" t="inlineStr">
        <is>
          <t>VÄRMLANDS LÄN</t>
        </is>
      </c>
      <c r="G73" t="inlineStr">
        <is>
          <t>FILIPSTAD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46267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45230</v>
      </c>
      <c r="E75" s="1" t="n">
        <v>46267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57588-2023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45246</v>
      </c>
      <c r="E76" s="1" t="n">
        <v>46267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45700</v>
      </c>
      <c r="E77" s="1" t="n">
        <v>46267</v>
      </c>
      <c r="F77" t="inlineStr">
        <is>
          <t>VÄRMLANDS LÄN</t>
        </is>
      </c>
      <c r="G77" t="inlineStr">
        <is>
          <t>FILIPSTAD</t>
        </is>
      </c>
      <c r="I77" t="n">
        <v>5.9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47536-2023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45203</v>
      </c>
      <c r="E78" s="1" t="n">
        <v>46267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52981-2021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46267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6860-2024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45342</v>
      </c>
      <c r="E80" s="1" t="n">
        <v>46267</v>
      </c>
      <c r="F80" t="inlineStr">
        <is>
          <t>VÄRMLANDS LÄN</t>
        </is>
      </c>
      <c r="G80" t="inlineStr">
        <is>
          <t>FILIPSTAD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13918-2024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45391</v>
      </c>
      <c r="E81" s="1" t="n">
        <v>46267</v>
      </c>
      <c r="F81" t="inlineStr">
        <is>
          <t>VÄRMLANDS LÄN</t>
        </is>
      </c>
      <c r="G81" t="inlineStr">
        <is>
          <t>FILIPSTAD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45453</v>
      </c>
      <c r="E82" s="1" t="n">
        <v>46267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27080-2023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46267</v>
      </c>
      <c r="F83" t="inlineStr">
        <is>
          <t>VÄRMLANDS LÄN</t>
        </is>
      </c>
      <c r="G83" t="inlineStr">
        <is>
          <t>FILIPSTAD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48524-2023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45208</v>
      </c>
      <c r="E84" s="1" t="n">
        <v>46267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19159-2024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45428</v>
      </c>
      <c r="E85" s="1" t="n">
        <v>46267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8.4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51945-2023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45223</v>
      </c>
      <c r="E86" s="1" t="n">
        <v>46267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27107-2024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45471</v>
      </c>
      <c r="E87" s="1" t="n">
        <v>46267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16584-2024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45408</v>
      </c>
      <c r="E88" s="1" t="n">
        <v>46267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12837-2024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46267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53690-2022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46267</v>
      </c>
      <c r="F90" t="inlineStr">
        <is>
          <t>VÄRMLANDS LÄN</t>
        </is>
      </c>
      <c r="G90" t="inlineStr">
        <is>
          <t>FILIPSTAD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46267</v>
      </c>
      <c r="F91" t="inlineStr">
        <is>
          <t>VÄRMLANDS LÄN</t>
        </is>
      </c>
      <c r="G91" t="inlineStr">
        <is>
          <t>FILIPSTAD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62540-2023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45267</v>
      </c>
      <c r="E92" s="1" t="n">
        <v>46267</v>
      </c>
      <c r="F92" t="inlineStr">
        <is>
          <t>VÄRMLANDS LÄN</t>
        </is>
      </c>
      <c r="G92" t="inlineStr">
        <is>
          <t>FILIPSTAD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45257</v>
      </c>
      <c r="E93" s="1" t="n">
        <v>46267</v>
      </c>
      <c r="F93" t="inlineStr">
        <is>
          <t>VÄRMLANDS LÄN</t>
        </is>
      </c>
      <c r="G93" t="inlineStr">
        <is>
          <t>FILIPSTAD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45418</v>
      </c>
      <c r="E94" s="1" t="n">
        <v>46267</v>
      </c>
      <c r="F94" t="inlineStr">
        <is>
          <t>VÄRMLANDS LÄN</t>
        </is>
      </c>
      <c r="G94" t="inlineStr">
        <is>
          <t>FILIPSTAD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45463</v>
      </c>
      <c r="E95" s="1" t="n">
        <v>46267</v>
      </c>
      <c r="F95" t="inlineStr">
        <is>
          <t>VÄRMLANDS LÄN</t>
        </is>
      </c>
      <c r="G95" t="inlineStr">
        <is>
          <t>FILIPSTAD</t>
        </is>
      </c>
      <c r="I95" t="n">
        <v>13.2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45244</v>
      </c>
      <c r="E96" s="1" t="n">
        <v>46267</v>
      </c>
      <c r="F96" t="inlineStr">
        <is>
          <t>VÄRMLANDS LÄN</t>
        </is>
      </c>
      <c r="G96" t="inlineStr">
        <is>
          <t>FILIPSTAD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32185-2024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45511</v>
      </c>
      <c r="E97" s="1" t="n">
        <v>46267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27400-2024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45474</v>
      </c>
      <c r="E98" s="1" t="n">
        <v>46267</v>
      </c>
      <c r="F98" t="inlineStr">
        <is>
          <t>VÄRMLANDS LÄN</t>
        </is>
      </c>
      <c r="G98" t="inlineStr">
        <is>
          <t>FILIPSTAD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32262-2023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45120</v>
      </c>
      <c r="E99" s="1" t="n">
        <v>46267</v>
      </c>
      <c r="F99" t="inlineStr">
        <is>
          <t>VÄRMLANDS LÄN</t>
        </is>
      </c>
      <c r="G99" t="inlineStr">
        <is>
          <t>FILIPSTAD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14268-2024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45393</v>
      </c>
      <c r="E100" s="1" t="n">
        <v>46267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45674</v>
      </c>
      <c r="E101" s="1" t="n">
        <v>46267</v>
      </c>
      <c r="F101" t="inlineStr">
        <is>
          <t>VÄRMLANDS LÄN</t>
        </is>
      </c>
      <c r="G101" t="inlineStr">
        <is>
          <t>FILIPSTAD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26123-2025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45805</v>
      </c>
      <c r="E102" s="1" t="n">
        <v>46267</v>
      </c>
      <c r="F102" t="inlineStr">
        <is>
          <t>VÄRMLANDS LÄN</t>
        </is>
      </c>
      <c r="G102" t="inlineStr">
        <is>
          <t>FILIPSTAD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26116-2025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45805</v>
      </c>
      <c r="E103" s="1" t="n">
        <v>46267</v>
      </c>
      <c r="F103" t="inlineStr">
        <is>
          <t>VÄRMLANDS LÄN</t>
        </is>
      </c>
      <c r="G103" t="inlineStr">
        <is>
          <t>FILIPSTAD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26812-2025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46267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45470</v>
      </c>
      <c r="E105" s="1" t="n">
        <v>46267</v>
      </c>
      <c r="F105" t="inlineStr">
        <is>
          <t>VÄRMLANDS LÄN</t>
        </is>
      </c>
      <c r="G105" t="inlineStr">
        <is>
          <t>FILIPSTAD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46267</v>
      </c>
      <c r="F106" t="inlineStr">
        <is>
          <t>VÄRMLANDS LÄN</t>
        </is>
      </c>
      <c r="G106" t="inlineStr">
        <is>
          <t>FILIPSTAD</t>
        </is>
      </c>
      <c r="H106" t="inlineStr">
        <is>
          <t>Kommuner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26599-2024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45469</v>
      </c>
      <c r="E107" s="1" t="n">
        <v>46267</v>
      </c>
      <c r="F107" t="inlineStr">
        <is>
          <t>VÄRMLANDS LÄN</t>
        </is>
      </c>
      <c r="G107" t="inlineStr">
        <is>
          <t>FILIPSTAD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46267</v>
      </c>
      <c r="F108" t="inlineStr">
        <is>
          <t>VÄRMLANDS LÄN</t>
        </is>
      </c>
      <c r="G108" t="inlineStr">
        <is>
          <t>FILIPSTAD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46040</v>
      </c>
      <c r="E109" s="1" t="n">
        <v>46267</v>
      </c>
      <c r="F109" t="inlineStr">
        <is>
          <t>VÄRMLANDS LÄN</t>
        </is>
      </c>
      <c r="G109" t="inlineStr">
        <is>
          <t>FILIPSTAD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17794-2024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45418</v>
      </c>
      <c r="E110" s="1" t="n">
        <v>46267</v>
      </c>
      <c r="F110" t="inlineStr">
        <is>
          <t>VÄRMLANDS LÄN</t>
        </is>
      </c>
      <c r="G110" t="inlineStr">
        <is>
          <t>FILIPSTAD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16591-2022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44672</v>
      </c>
      <c r="E111" s="1" t="n">
        <v>46267</v>
      </c>
      <c r="F111" t="inlineStr">
        <is>
          <t>VÄRMLANDS LÄN</t>
        </is>
      </c>
      <c r="G111" t="inlineStr">
        <is>
          <t>FILIPSTAD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45578</v>
      </c>
      <c r="E112" s="1" t="n">
        <v>46267</v>
      </c>
      <c r="F112" t="inlineStr">
        <is>
          <t>VÄRMLANDS LÄN</t>
        </is>
      </c>
      <c r="G112" t="inlineStr">
        <is>
          <t>FILIPSTAD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56151-2023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45240</v>
      </c>
      <c r="E113" s="1" t="n">
        <v>46267</v>
      </c>
      <c r="F113" t="inlineStr">
        <is>
          <t>VÄRMLANDS LÄN</t>
        </is>
      </c>
      <c r="G113" t="inlineStr">
        <is>
          <t>FILIPSTAD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30049-2025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46267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45825</v>
      </c>
      <c r="E115" s="1" t="n">
        <v>46267</v>
      </c>
      <c r="F115" t="inlineStr">
        <is>
          <t>VÄRMLANDS LÄN</t>
        </is>
      </c>
      <c r="G115" t="inlineStr">
        <is>
          <t>FILIPSTAD</t>
        </is>
      </c>
      <c r="H115" t="inlineStr">
        <is>
          <t>Kyrkan</t>
        </is>
      </c>
      <c r="I115" t="n">
        <v>9.199999999999999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29660-2025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46267</v>
      </c>
      <c r="F116" t="inlineStr">
        <is>
          <t>VÄRMLANDS LÄN</t>
        </is>
      </c>
      <c r="G116" t="inlineStr">
        <is>
          <t>FILIPSTAD</t>
        </is>
      </c>
      <c r="I116" t="n">
        <v>23.3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29944-2025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46267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69015-2021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46267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30169-2025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45827</v>
      </c>
      <c r="E119" s="1" t="n">
        <v>46267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31172-2025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45832</v>
      </c>
      <c r="E120" s="1" t="n">
        <v>46267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46267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47436-2024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45587</v>
      </c>
      <c r="E122" s="1" t="n">
        <v>46267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31883-2025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45834</v>
      </c>
      <c r="E123" s="1" t="n">
        <v>46267</v>
      </c>
      <c r="F123" t="inlineStr">
        <is>
          <t>VÄRMLANDS LÄN</t>
        </is>
      </c>
      <c r="G123" t="inlineStr">
        <is>
          <t>FILIPSTAD</t>
        </is>
      </c>
      <c r="I123" t="n">
        <v>18.7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45592-2024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45579</v>
      </c>
      <c r="E124" s="1" t="n">
        <v>46267</v>
      </c>
      <c r="F124" t="inlineStr">
        <is>
          <t>VÄRMLANDS LÄN</t>
        </is>
      </c>
      <c r="G124" t="inlineStr">
        <is>
          <t>FILIPSTAD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32032-2025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45835</v>
      </c>
      <c r="E125" s="1" t="n">
        <v>46267</v>
      </c>
      <c r="F125" t="inlineStr">
        <is>
          <t>VÄRMLANDS LÄN</t>
        </is>
      </c>
      <c r="G125" t="inlineStr">
        <is>
          <t>FILIPSTAD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30165-2025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45827</v>
      </c>
      <c r="E126" s="1" t="n">
        <v>46267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44935</v>
      </c>
      <c r="E127" s="1" t="n">
        <v>46267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45688</v>
      </c>
      <c r="E128" s="1" t="n">
        <v>46267</v>
      </c>
      <c r="F128" t="inlineStr">
        <is>
          <t>VÄRMLANDS LÄN</t>
        </is>
      </c>
      <c r="G128" t="inlineStr">
        <is>
          <t>FILIPSTAD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41718-2025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45902</v>
      </c>
      <c r="E129" s="1" t="n">
        <v>46267</v>
      </c>
      <c r="F129" t="inlineStr">
        <is>
          <t>VÄRMLANDS LÄN</t>
        </is>
      </c>
      <c r="G129" t="inlineStr">
        <is>
          <t>FILIPSTAD</t>
        </is>
      </c>
      <c r="I129" t="n">
        <v>0.1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33407-2025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45841</v>
      </c>
      <c r="E130" s="1" t="n">
        <v>46267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10136-2024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45364</v>
      </c>
      <c r="E131" s="1" t="n">
        <v>46267</v>
      </c>
      <c r="F131" t="inlineStr">
        <is>
          <t>VÄRMLANDS LÄN</t>
        </is>
      </c>
      <c r="G131" t="inlineStr">
        <is>
          <t>FILIPSTAD</t>
        </is>
      </c>
      <c r="I131" t="n">
        <v>6.4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30077-2025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46267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46267</v>
      </c>
      <c r="F133" t="inlineStr">
        <is>
          <t>VÄRMLANDS LÄN</t>
        </is>
      </c>
      <c r="G133" t="inlineStr">
        <is>
          <t>FILIPSTAD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33368-2022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46267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43571-2025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45911</v>
      </c>
      <c r="E135" s="1" t="n">
        <v>46267</v>
      </c>
      <c r="F135" t="inlineStr">
        <is>
          <t>VÄRMLANDS LÄN</t>
        </is>
      </c>
      <c r="G135" t="inlineStr">
        <is>
          <t>FILIPSTAD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45617</v>
      </c>
      <c r="E136" s="1" t="n">
        <v>46267</v>
      </c>
      <c r="F136" t="inlineStr">
        <is>
          <t>VÄRMLANDS LÄN</t>
        </is>
      </c>
      <c r="G136" t="inlineStr">
        <is>
          <t>FILIPSTAD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46267</v>
      </c>
      <c r="F137" t="inlineStr">
        <is>
          <t>VÄRMLANDS LÄN</t>
        </is>
      </c>
      <c r="G137" t="inlineStr">
        <is>
          <t>FILIPSTAD</t>
        </is>
      </c>
      <c r="H137" t="inlineStr">
        <is>
          <t>Kyrkan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36582-2025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45870</v>
      </c>
      <c r="E138" s="1" t="n">
        <v>46267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46204-2025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45924</v>
      </c>
      <c r="E139" s="1" t="n">
        <v>46267</v>
      </c>
      <c r="F139" t="inlineStr">
        <is>
          <t>VÄRMLANDS LÄN</t>
        </is>
      </c>
      <c r="G139" t="inlineStr">
        <is>
          <t>FILIPSTAD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45925</v>
      </c>
      <c r="E140" s="1" t="n">
        <v>46267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6593-2026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46056</v>
      </c>
      <c r="E141" s="1" t="n">
        <v>46267</v>
      </c>
      <c r="F141" t="inlineStr">
        <is>
          <t>VÄRMLANDS LÄN</t>
        </is>
      </c>
      <c r="G141" t="inlineStr">
        <is>
          <t>FILIPSTAD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46267</v>
      </c>
      <c r="F142" t="inlineStr">
        <is>
          <t>VÄRMLANDS LÄN</t>
        </is>
      </c>
      <c r="G142" t="inlineStr">
        <is>
          <t>FILIPSTAD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45882</v>
      </c>
      <c r="E143" s="1" t="n">
        <v>46267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46267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12160-2023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44998</v>
      </c>
      <c r="E145" s="1" t="n">
        <v>46267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11.2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47566-2025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46267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47911-2025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45932</v>
      </c>
      <c r="E147" s="1" t="n">
        <v>46267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46267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20663-2024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45436</v>
      </c>
      <c r="E149" s="1" t="n">
        <v>46267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48103-2025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45933</v>
      </c>
      <c r="E150" s="1" t="n">
        <v>46267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46267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43633-2024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46267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46064</v>
      </c>
      <c r="E153" s="1" t="n">
        <v>46267</v>
      </c>
      <c r="F153" t="inlineStr">
        <is>
          <t>VÄRMLANDS LÄN</t>
        </is>
      </c>
      <c r="G153" t="inlineStr">
        <is>
          <t>FILIPSTAD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22866-2023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45072</v>
      </c>
      <c r="E154" s="1" t="n">
        <v>46267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29473-2024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45484</v>
      </c>
      <c r="E155" s="1" t="n">
        <v>46267</v>
      </c>
      <c r="F155" t="inlineStr">
        <is>
          <t>VÄRMLANDS LÄN</t>
        </is>
      </c>
      <c r="G155" t="inlineStr">
        <is>
          <t>FILIPSTAD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46267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46267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52329-2025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46267</v>
      </c>
      <c r="F158" t="inlineStr">
        <is>
          <t>VÄRMLANDS LÄN</t>
        </is>
      </c>
      <c r="G158" t="inlineStr">
        <is>
          <t>FILIPSTAD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52518-2025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45954</v>
      </c>
      <c r="E159" s="1" t="n">
        <v>46267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10338-2025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45720</v>
      </c>
      <c r="E160" s="1" t="n">
        <v>46267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46978-2023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45195</v>
      </c>
      <c r="E161" s="1" t="n">
        <v>46267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53649-2025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45960</v>
      </c>
      <c r="E162" s="1" t="n">
        <v>46267</v>
      </c>
      <c r="F162" t="inlineStr">
        <is>
          <t>VÄRMLANDS LÄN</t>
        </is>
      </c>
      <c r="G162" t="inlineStr">
        <is>
          <t>FILIPSTAD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46267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45959</v>
      </c>
      <c r="E164" s="1" t="n">
        <v>46267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46267</v>
      </c>
      <c r="F165" t="inlineStr">
        <is>
          <t>VÄRMLANDS LÄN</t>
        </is>
      </c>
      <c r="G165" t="inlineStr">
        <is>
          <t>FILIPSTAD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46076</v>
      </c>
      <c r="E166" s="1" t="n">
        <v>46267</v>
      </c>
      <c r="F166" t="inlineStr">
        <is>
          <t>VÄRMLANDS LÄN</t>
        </is>
      </c>
      <c r="G166" t="inlineStr">
        <is>
          <t>FILIPSTAD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54497-2025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45965</v>
      </c>
      <c r="E167" s="1" t="n">
        <v>46267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19705-2025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45771</v>
      </c>
      <c r="E168" s="1" t="n">
        <v>46267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45965</v>
      </c>
      <c r="E169" s="1" t="n">
        <v>46267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55173-2025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46267</v>
      </c>
      <c r="F170" t="inlineStr">
        <is>
          <t>VÄRMLANDS LÄN</t>
        </is>
      </c>
      <c r="G170" t="inlineStr">
        <is>
          <t>FILIPSTAD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45968</v>
      </c>
      <c r="E171" s="1" t="n">
        <v>46267</v>
      </c>
      <c r="F171" t="inlineStr">
        <is>
          <t>VÄRMLANDS LÄN</t>
        </is>
      </c>
      <c r="G171" t="inlineStr">
        <is>
          <t>FILIPSTAD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54828-2023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46267</v>
      </c>
      <c r="F172" t="inlineStr">
        <is>
          <t>VÄRMLANDS LÄN</t>
        </is>
      </c>
      <c r="G172" t="inlineStr">
        <is>
          <t>FILIPSTAD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46267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55579-2025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45971</v>
      </c>
      <c r="E174" s="1" t="n">
        <v>46267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55668-2025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45972</v>
      </c>
      <c r="E175" s="1" t="n">
        <v>46267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6728-2025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46267</v>
      </c>
      <c r="F176" t="inlineStr">
        <is>
          <t>VÄRMLANDS LÄN</t>
        </is>
      </c>
      <c r="G176" t="inlineStr">
        <is>
          <t>FILIPSTAD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46267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46267</v>
      </c>
      <c r="F178" t="inlineStr">
        <is>
          <t>VÄRMLANDS LÄN</t>
        </is>
      </c>
      <c r="G178" t="inlineStr">
        <is>
          <t>FILIPSTAD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56037-2025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45973</v>
      </c>
      <c r="E179" s="1" t="n">
        <v>46267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46267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46267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46267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56182-2025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46267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56184-2025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46267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56062-2025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46267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56028-2025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46267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45973</v>
      </c>
      <c r="E187" s="1" t="n">
        <v>46267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8.199999999999999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46267</v>
      </c>
      <c r="F188" t="inlineStr">
        <is>
          <t>VÄRMLANDS LÄN</t>
        </is>
      </c>
      <c r="G188" t="inlineStr">
        <is>
          <t>FILIPSTAD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56083-2025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45973</v>
      </c>
      <c r="E189" s="1" t="n">
        <v>46267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56032-2025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46267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56045-2025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46267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14459-2023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45012</v>
      </c>
      <c r="E192" s="1" t="n">
        <v>46267</v>
      </c>
      <c r="F192" t="inlineStr">
        <is>
          <t>VÄRMLANDS LÄN</t>
        </is>
      </c>
      <c r="G192" t="inlineStr">
        <is>
          <t>FILIPSTAD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45978</v>
      </c>
      <c r="E193" s="1" t="n">
        <v>46267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18.8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47455-2023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45202</v>
      </c>
      <c r="E194" s="1" t="n">
        <v>46267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46546-2021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44445</v>
      </c>
      <c r="E195" s="1" t="n">
        <v>46267</v>
      </c>
      <c r="F195" t="inlineStr">
        <is>
          <t>VÄRMLANDS LÄN</t>
        </is>
      </c>
      <c r="G195" t="inlineStr">
        <is>
          <t>FILIPSTAD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58019-2025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45982</v>
      </c>
      <c r="E196" s="1" t="n">
        <v>46267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46267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46267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14840-2023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45014</v>
      </c>
      <c r="E199" s="1" t="n">
        <v>46267</v>
      </c>
      <c r="F199" t="inlineStr">
        <is>
          <t>VÄRMLANDS LÄN</t>
        </is>
      </c>
      <c r="G199" t="inlineStr">
        <is>
          <t>FILIPSTAD</t>
        </is>
      </c>
      <c r="H199" t="inlineStr">
        <is>
          <t>Kyrkan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45427</v>
      </c>
      <c r="E200" s="1" t="n">
        <v>46267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46267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25375-2023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45088</v>
      </c>
      <c r="E202" s="1" t="n">
        <v>46267</v>
      </c>
      <c r="F202" t="inlineStr">
        <is>
          <t>VÄRMLANDS LÄN</t>
        </is>
      </c>
      <c r="G202" t="inlineStr">
        <is>
          <t>FILIPSTAD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45988</v>
      </c>
      <c r="E203" s="1" t="n">
        <v>46267</v>
      </c>
      <c r="F203" t="inlineStr">
        <is>
          <t>VÄRMLANDS LÄN</t>
        </is>
      </c>
      <c r="G203" t="inlineStr">
        <is>
          <t>FILIPSTAD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45167</v>
      </c>
      <c r="E204" s="1" t="n">
        <v>46267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19351-2025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45769</v>
      </c>
      <c r="E205" s="1" t="n">
        <v>46267</v>
      </c>
      <c r="F205" t="inlineStr">
        <is>
          <t>VÄRMLANDS LÄN</t>
        </is>
      </c>
      <c r="G205" t="inlineStr">
        <is>
          <t>FILIPSTAD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59414-2025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45989</v>
      </c>
      <c r="E206" s="1" t="n">
        <v>46267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46267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46267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59709-2025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45992</v>
      </c>
      <c r="E209" s="1" t="n">
        <v>46267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46087</v>
      </c>
      <c r="E210" s="1" t="n">
        <v>46267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6.3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25376-2023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45088</v>
      </c>
      <c r="E211" s="1" t="n">
        <v>46267</v>
      </c>
      <c r="F211" t="inlineStr">
        <is>
          <t>VÄRMLANDS LÄN</t>
        </is>
      </c>
      <c r="G211" t="inlineStr">
        <is>
          <t>FILIPSTAD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46267</v>
      </c>
      <c r="F212" t="inlineStr">
        <is>
          <t>VÄRMLANDS LÄN</t>
        </is>
      </c>
      <c r="G212" t="inlineStr">
        <is>
          <t>FILIPSTAD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46267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46267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45063</v>
      </c>
      <c r="E215" s="1" t="n">
        <v>46267</v>
      </c>
      <c r="F215" t="inlineStr">
        <is>
          <t>VÄRMLANDS LÄN</t>
        </is>
      </c>
      <c r="G215" t="inlineStr">
        <is>
          <t>FILIPSTAD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59929-2025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45993</v>
      </c>
      <c r="E216" s="1" t="n">
        <v>46267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60653-2025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45996</v>
      </c>
      <c r="E217" s="1" t="n">
        <v>46267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45995</v>
      </c>
      <c r="E218" s="1" t="n">
        <v>46267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60433-2025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46267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60396-2025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45995</v>
      </c>
      <c r="E220" s="1" t="n">
        <v>46267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61069-2025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46000</v>
      </c>
      <c r="E221" s="1" t="n">
        <v>46267</v>
      </c>
      <c r="F221" t="inlineStr">
        <is>
          <t>VÄRMLANDS LÄN</t>
        </is>
      </c>
      <c r="G221" t="inlineStr">
        <is>
          <t>FILIPSTAD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46267</v>
      </c>
      <c r="F222" t="inlineStr">
        <is>
          <t>VÄRMLANDS LÄN</t>
        </is>
      </c>
      <c r="G222" t="inlineStr">
        <is>
          <t>FILIPSTAD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61327-2025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46001</v>
      </c>
      <c r="E223" s="1" t="n">
        <v>46267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46267</v>
      </c>
      <c r="F224" t="inlineStr">
        <is>
          <t>VÄRMLANDS LÄN</t>
        </is>
      </c>
      <c r="G224" t="inlineStr">
        <is>
          <t>FILIPSTAD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61482-2025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46267</v>
      </c>
      <c r="F225" t="inlineStr">
        <is>
          <t>VÄRMLANDS LÄN</t>
        </is>
      </c>
      <c r="G225" t="inlineStr">
        <is>
          <t>FILIPSTAD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61717-2025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46002</v>
      </c>
      <c r="E226" s="1" t="n">
        <v>46267</v>
      </c>
      <c r="F226" t="inlineStr">
        <is>
          <t>VÄRMLANDS LÄN</t>
        </is>
      </c>
      <c r="G226" t="inlineStr">
        <is>
          <t>FILIPSTAD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61417-2025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46001</v>
      </c>
      <c r="E227" s="1" t="n">
        <v>46267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46002</v>
      </c>
      <c r="E228" s="1" t="n">
        <v>46267</v>
      </c>
      <c r="F228" t="inlineStr">
        <is>
          <t>VÄRMLANDS LÄN</t>
        </is>
      </c>
      <c r="G228" t="inlineStr">
        <is>
          <t>FILIPSTAD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46267</v>
      </c>
      <c r="F229" t="inlineStr">
        <is>
          <t>VÄRMLANDS LÄN</t>
        </is>
      </c>
      <c r="G229" t="inlineStr">
        <is>
          <t>FILIPSTAD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46267</v>
      </c>
      <c r="F230" t="inlineStr">
        <is>
          <t>VÄRMLANDS LÄN</t>
        </is>
      </c>
      <c r="G230" t="inlineStr">
        <is>
          <t>FILIPSTAD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46267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12955-2026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46267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13555-2026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46094</v>
      </c>
      <c r="E233" s="1" t="n">
        <v>46267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13520-2026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46094</v>
      </c>
      <c r="E234" s="1" t="n">
        <v>46267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61492-2025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46001</v>
      </c>
      <c r="E235" s="1" t="n">
        <v>46267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61391-2025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46267</v>
      </c>
      <c r="F236" t="inlineStr">
        <is>
          <t>VÄRMLANDS LÄN</t>
        </is>
      </c>
      <c r="G236" t="inlineStr">
        <is>
          <t>FILIPSTAD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62034-2025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46004</v>
      </c>
      <c r="E237" s="1" t="n">
        <v>46267</v>
      </c>
      <c r="F237" t="inlineStr">
        <is>
          <t>VÄRMLANDS LÄN</t>
        </is>
      </c>
      <c r="G237" t="inlineStr">
        <is>
          <t>FILIPSTAD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62021-2025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46003</v>
      </c>
      <c r="E238" s="1" t="n">
        <v>46267</v>
      </c>
      <c r="F238" t="inlineStr">
        <is>
          <t>VÄRMLANDS LÄN</t>
        </is>
      </c>
      <c r="G238" t="inlineStr">
        <is>
          <t>FILIPSTAD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46004</v>
      </c>
      <c r="E239" s="1" t="n">
        <v>46267</v>
      </c>
      <c r="F239" t="inlineStr">
        <is>
          <t>VÄRMLANDS LÄN</t>
        </is>
      </c>
      <c r="G239" t="inlineStr">
        <is>
          <t>FILIPSTAD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13387-2026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46094</v>
      </c>
      <c r="E240" s="1" t="n">
        <v>46267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61823-2025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46003</v>
      </c>
      <c r="E241" s="1" t="n">
        <v>46267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46006</v>
      </c>
      <c r="E242" s="1" t="n">
        <v>46267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13553-2026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46094</v>
      </c>
      <c r="E243" s="1" t="n">
        <v>46267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8.9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62243-2025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46267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46267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54127-2023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45232</v>
      </c>
      <c r="E246" s="1" t="n">
        <v>46267</v>
      </c>
      <c r="F246" t="inlineStr">
        <is>
          <t>VÄRMLANDS LÄN</t>
        </is>
      </c>
      <c r="G246" t="inlineStr">
        <is>
          <t>FILIPSTAD</t>
        </is>
      </c>
      <c r="I246" t="n">
        <v>15.5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13393-2026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46094</v>
      </c>
      <c r="E247" s="1" t="n">
        <v>46267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46098</v>
      </c>
      <c r="E248" s="1" t="n">
        <v>46267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13955-2026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46098</v>
      </c>
      <c r="E249" s="1" t="n">
        <v>46267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63186-2025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46267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29426-2023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45106</v>
      </c>
      <c r="E251" s="1" t="n">
        <v>46267</v>
      </c>
      <c r="F251" t="inlineStr">
        <is>
          <t>VÄRMLANDS LÄN</t>
        </is>
      </c>
      <c r="G251" t="inlineStr">
        <is>
          <t>FILIPSTAD</t>
        </is>
      </c>
      <c r="H251" t="inlineStr">
        <is>
          <t>Kyrkan</t>
        </is>
      </c>
      <c r="I251" t="n">
        <v>5.9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63678-2025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46014</v>
      </c>
      <c r="E252" s="1" t="n">
        <v>46267</v>
      </c>
      <c r="F252" t="inlineStr">
        <is>
          <t>VÄRMLANDS LÄN</t>
        </is>
      </c>
      <c r="G252" t="inlineStr">
        <is>
          <t>FILIPSTAD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62787-2023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45271</v>
      </c>
      <c r="E253" s="1" t="n">
        <v>46267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14432-2025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45741</v>
      </c>
      <c r="E254" s="1" t="n">
        <v>46267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45133</v>
      </c>
      <c r="E255" s="1" t="n">
        <v>46267</v>
      </c>
      <c r="F255" t="inlineStr">
        <is>
          <t>VÄRMLANDS LÄN</t>
        </is>
      </c>
      <c r="G255" t="inlineStr">
        <is>
          <t>FILIPSTAD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46267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13.1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14379-2026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46100</v>
      </c>
      <c r="E257" s="1" t="n">
        <v>46267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44960</v>
      </c>
      <c r="E258" s="1" t="n">
        <v>46267</v>
      </c>
      <c r="F258" t="inlineStr">
        <is>
          <t>VÄRMLANDS LÄN</t>
        </is>
      </c>
      <c r="G258" t="inlineStr">
        <is>
          <t>FILIPSTAD</t>
        </is>
      </c>
      <c r="H258" t="inlineStr">
        <is>
          <t>Kommuner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4819-2023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44957</v>
      </c>
      <c r="E259" s="1" t="n">
        <v>46267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11.3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14275-2024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46267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9270-2023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44980</v>
      </c>
      <c r="E261" s="1" t="n">
        <v>46267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46267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46099</v>
      </c>
      <c r="E263" s="1" t="n">
        <v>46267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15197-2026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46267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31358-2023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45114</v>
      </c>
      <c r="E265" s="1" t="n">
        <v>46267</v>
      </c>
      <c r="F265" t="inlineStr">
        <is>
          <t>VÄRMLANDS LÄN</t>
        </is>
      </c>
      <c r="G265" t="inlineStr">
        <is>
          <t>FILIPSTAD</t>
        </is>
      </c>
      <c r="I265" t="n">
        <v>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58611-2025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45986</v>
      </c>
      <c r="E266" s="1" t="n">
        <v>46267</v>
      </c>
      <c r="F266" t="inlineStr">
        <is>
          <t>VÄRMLANDS LÄN</t>
        </is>
      </c>
      <c r="G266" t="inlineStr">
        <is>
          <t>FILIPSTAD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43059-2024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45567</v>
      </c>
      <c r="E267" s="1" t="n">
        <v>46267</v>
      </c>
      <c r="F267" t="inlineStr">
        <is>
          <t>VÄRMLANDS LÄN</t>
        </is>
      </c>
      <c r="G267" t="inlineStr">
        <is>
          <t>FILIPSTAD</t>
        </is>
      </c>
      <c r="H267" t="inlineStr">
        <is>
          <t>Kyrkan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54145-2024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45616</v>
      </c>
      <c r="E268" s="1" t="n">
        <v>46267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15848-2026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46267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17795-2024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45418</v>
      </c>
      <c r="E270" s="1" t="n">
        <v>46267</v>
      </c>
      <c r="F270" t="inlineStr">
        <is>
          <t>VÄRMLANDS LÄN</t>
        </is>
      </c>
      <c r="G270" t="inlineStr">
        <is>
          <t>FILIPSTAD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47890-2024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45588</v>
      </c>
      <c r="E271" s="1" t="n">
        <v>46267</v>
      </c>
      <c r="F271" t="inlineStr">
        <is>
          <t>VÄRMLANDS LÄN</t>
        </is>
      </c>
      <c r="G271" t="inlineStr">
        <is>
          <t>FILIPSTAD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46267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15920-2026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46107</v>
      </c>
      <c r="E273" s="1" t="n">
        <v>46267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15889-2026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46267</v>
      </c>
      <c r="F274" t="inlineStr">
        <is>
          <t>VÄRMLANDS LÄN</t>
        </is>
      </c>
      <c r="G274" t="inlineStr">
        <is>
          <t>FILIPSTAD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46267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46267</v>
      </c>
      <c r="F276" t="inlineStr">
        <is>
          <t>VÄRMLANDS LÄN</t>
        </is>
      </c>
      <c r="G276" t="inlineStr">
        <is>
          <t>FILIPSTAD</t>
        </is>
      </c>
      <c r="H276" t="inlineStr">
        <is>
          <t>Bergvik skog väst AB</t>
        </is>
      </c>
      <c r="I276" t="n">
        <v>6.7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16009-2026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46267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16040-2026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46108</v>
      </c>
      <c r="E278" s="1" t="n">
        <v>46267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16050-2026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46108</v>
      </c>
      <c r="E279" s="1" t="n">
        <v>46267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12247-2022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44637</v>
      </c>
      <c r="E280" s="1" t="n">
        <v>46267</v>
      </c>
      <c r="F280" t="inlineStr">
        <is>
          <t>VÄRMLANDS LÄN</t>
        </is>
      </c>
      <c r="G280" t="inlineStr">
        <is>
          <t>FILIPSTAD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20966-2024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45439</v>
      </c>
      <c r="E281" s="1" t="n">
        <v>46267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45671</v>
      </c>
      <c r="E282" s="1" t="n">
        <v>46267</v>
      </c>
      <c r="F282" t="inlineStr">
        <is>
          <t>VÄRMLANDS LÄN</t>
        </is>
      </c>
      <c r="G282" t="inlineStr">
        <is>
          <t>FILIPSTAD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16975-2026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46267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45274</v>
      </c>
      <c r="E284" s="1" t="n">
        <v>46267</v>
      </c>
      <c r="F284" t="inlineStr">
        <is>
          <t>VÄRMLANDS LÄN</t>
        </is>
      </c>
      <c r="G284" t="inlineStr">
        <is>
          <t>FILIPSTAD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46119</v>
      </c>
      <c r="E285" s="1" t="n">
        <v>46267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17278-2026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46267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46119</v>
      </c>
      <c r="E287" s="1" t="n">
        <v>46267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46267</v>
      </c>
      <c r="F288" t="inlineStr">
        <is>
          <t>VÄRMLANDS LÄN</t>
        </is>
      </c>
      <c r="G288" t="inlineStr">
        <is>
          <t>FILIPSTAD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45484</v>
      </c>
      <c r="E289" s="1" t="n">
        <v>46267</v>
      </c>
      <c r="F289" t="inlineStr">
        <is>
          <t>VÄRMLANDS LÄN</t>
        </is>
      </c>
      <c r="G289" t="inlineStr">
        <is>
          <t>FILIPSTAD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46267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46122</v>
      </c>
      <c r="E291" s="1" t="n">
        <v>46267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18022-2026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46267</v>
      </c>
      <c r="F292" t="inlineStr">
        <is>
          <t>VÄRMLANDS LÄN</t>
        </is>
      </c>
      <c r="G292" t="inlineStr">
        <is>
          <t>FILIPSTAD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63482-2021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44508</v>
      </c>
      <c r="E293" s="1" t="n">
        <v>46267</v>
      </c>
      <c r="F293" t="inlineStr">
        <is>
          <t>VÄRMLANDS LÄN</t>
        </is>
      </c>
      <c r="G293" t="inlineStr">
        <is>
          <t>FILIPSTAD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46267</v>
      </c>
      <c r="F294" t="inlineStr">
        <is>
          <t>VÄRMLANDS LÄN</t>
        </is>
      </c>
      <c r="G294" t="inlineStr">
        <is>
          <t>FILIPSTAD</t>
        </is>
      </c>
      <c r="H294" t="inlineStr">
        <is>
          <t>Kommuner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46122</v>
      </c>
      <c r="E295" s="1" t="n">
        <v>46267</v>
      </c>
      <c r="F295" t="inlineStr">
        <is>
          <t>VÄRMLANDS LÄN</t>
        </is>
      </c>
      <c r="G295" t="inlineStr">
        <is>
          <t>FILIPSTAD</t>
        </is>
      </c>
      <c r="H295" t="inlineStr">
        <is>
          <t>Kommuner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18507-2026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46267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46267</v>
      </c>
      <c r="F297" t="inlineStr">
        <is>
          <t>VÄRMLANDS LÄN</t>
        </is>
      </c>
      <c r="G297" t="inlineStr">
        <is>
          <t>FILIPSTAD</t>
        </is>
      </c>
      <c r="I297" t="n">
        <v>11.7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18533-2026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46267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44951</v>
      </c>
      <c r="E299" s="1" t="n">
        <v>46267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46267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18530-2026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46267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18445-2026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46127</v>
      </c>
      <c r="E302" s="1" t="n">
        <v>46267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46267</v>
      </c>
      <c r="F303" t="inlineStr">
        <is>
          <t>VÄRMLANDS LÄN</t>
        </is>
      </c>
      <c r="G303" t="inlineStr">
        <is>
          <t>FILIPSTAD</t>
        </is>
      </c>
      <c r="H303" t="inlineStr">
        <is>
          <t>Kommuner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18376-2026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46126</v>
      </c>
      <c r="E304" s="1" t="n">
        <v>46267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46267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18969-2026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46129</v>
      </c>
      <c r="E306" s="1" t="n">
        <v>46267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46129</v>
      </c>
      <c r="E307" s="1" t="n">
        <v>46267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24.9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70405-2021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44536</v>
      </c>
      <c r="E308" s="1" t="n">
        <v>46267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5754-2022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44596</v>
      </c>
      <c r="E309" s="1" t="n">
        <v>46267</v>
      </c>
      <c r="F309" t="inlineStr">
        <is>
          <t>VÄRMLANDS LÄN</t>
        </is>
      </c>
      <c r="G309" t="inlineStr">
        <is>
          <t>FILIPSTAD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18826-2026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46128</v>
      </c>
      <c r="E310" s="1" t="n">
        <v>46267</v>
      </c>
      <c r="F310" t="inlineStr">
        <is>
          <t>VÄRMLANDS LÄN</t>
        </is>
      </c>
      <c r="G310" t="inlineStr">
        <is>
          <t>FILIPSTAD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54735-2024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45618</v>
      </c>
      <c r="E311" s="1" t="n">
        <v>46267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40244-2023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45169</v>
      </c>
      <c r="E312" s="1" t="n">
        <v>46267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19435-2026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46267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19676-2026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46134</v>
      </c>
      <c r="E314" s="1" t="n">
        <v>46267</v>
      </c>
      <c r="F314" t="inlineStr">
        <is>
          <t>VÄRMLANDS LÄN</t>
        </is>
      </c>
      <c r="G314" t="inlineStr">
        <is>
          <t>FILIPSTAD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19361-2026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46133</v>
      </c>
      <c r="E315" s="1" t="n">
        <v>46267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19595-2026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46134</v>
      </c>
      <c r="E316" s="1" t="n">
        <v>46267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46267</v>
      </c>
      <c r="F317" t="inlineStr">
        <is>
          <t>VÄRMLANDS LÄN</t>
        </is>
      </c>
      <c r="G317" t="inlineStr">
        <is>
          <t>FILIPSTAD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45658</v>
      </c>
      <c r="E318" s="1" t="n">
        <v>46267</v>
      </c>
      <c r="F318" t="inlineStr">
        <is>
          <t>VÄRMLANDS LÄN</t>
        </is>
      </c>
      <c r="G318" t="inlineStr">
        <is>
          <t>FILIPSTAD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20040-2026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46136</v>
      </c>
      <c r="E319" s="1" t="n">
        <v>46267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38075-2025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45882</v>
      </c>
      <c r="E320" s="1" t="n">
        <v>46267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21608-2023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45063</v>
      </c>
      <c r="E321" s="1" t="n">
        <v>46267</v>
      </c>
      <c r="F321" t="inlineStr">
        <is>
          <t>VÄRMLANDS LÄN</t>
        </is>
      </c>
      <c r="G321" t="inlineStr">
        <is>
          <t>FILIPSTAD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59436-2024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45638</v>
      </c>
      <c r="E322" s="1" t="n">
        <v>46267</v>
      </c>
      <c r="F322" t="inlineStr">
        <is>
          <t>VÄRMLANDS LÄN</t>
        </is>
      </c>
      <c r="G322" t="inlineStr">
        <is>
          <t>FILIPSTAD</t>
        </is>
      </c>
      <c r="H322" t="inlineStr">
        <is>
          <t>Kyrkan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46136</v>
      </c>
      <c r="E323" s="1" t="n">
        <v>46267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20050-2026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46136</v>
      </c>
      <c r="E324" s="1" t="n">
        <v>46267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46135</v>
      </c>
      <c r="E325" s="1" t="n">
        <v>46267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18210-2024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45420</v>
      </c>
      <c r="E326" s="1" t="n">
        <v>46267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45229</v>
      </c>
      <c r="E327" s="1" t="n">
        <v>46267</v>
      </c>
      <c r="F327" t="inlineStr">
        <is>
          <t>VÄRMLANDS LÄN</t>
        </is>
      </c>
      <c r="G327" t="inlineStr">
        <is>
          <t>FILIPSTAD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45896</v>
      </c>
      <c r="E328" s="1" t="n">
        <v>46267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45901</v>
      </c>
      <c r="E329" s="1" t="n">
        <v>46267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44896</v>
      </c>
      <c r="E330" s="1" t="n">
        <v>46267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22843-2025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45790</v>
      </c>
      <c r="E331" s="1" t="n">
        <v>46267</v>
      </c>
      <c r="F331" t="inlineStr">
        <is>
          <t>VÄRMLANDS LÄN</t>
        </is>
      </c>
      <c r="G331" t="inlineStr">
        <is>
          <t>FILIPSTAD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46267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29825-2023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45107</v>
      </c>
      <c r="E333" s="1" t="n">
        <v>46267</v>
      </c>
      <c r="F333" t="inlineStr">
        <is>
          <t>VÄRMLANDS LÄN</t>
        </is>
      </c>
      <c r="G333" t="inlineStr">
        <is>
          <t>FILIPSTAD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28687-2025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45819</v>
      </c>
      <c r="E334" s="1" t="n">
        <v>46267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22558-2025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46267</v>
      </c>
      <c r="F335" t="inlineStr">
        <is>
          <t>VÄRMLANDS LÄN</t>
        </is>
      </c>
      <c r="G335" t="inlineStr">
        <is>
          <t>FILIPSTAD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46267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44743</v>
      </c>
      <c r="E337" s="1" t="n">
        <v>46267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54080-2025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45964</v>
      </c>
      <c r="E338" s="1" t="n">
        <v>46267</v>
      </c>
      <c r="F338" t="inlineStr">
        <is>
          <t>VÄRMLANDS LÄN</t>
        </is>
      </c>
      <c r="G338" t="inlineStr">
        <is>
          <t>FILIPSTAD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33379-2025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45841</v>
      </c>
      <c r="E339" s="1" t="n">
        <v>46267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43484-2023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45184</v>
      </c>
      <c r="E340" s="1" t="n">
        <v>46267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45700</v>
      </c>
      <c r="E341" s="1" t="n">
        <v>46267</v>
      </c>
      <c r="F341" t="inlineStr">
        <is>
          <t>VÄRMLANDS LÄN</t>
        </is>
      </c>
      <c r="G341" t="inlineStr">
        <is>
          <t>FILIPSTAD</t>
        </is>
      </c>
      <c r="I341" t="n">
        <v>5.7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28161-2023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45093</v>
      </c>
      <c r="E342" s="1" t="n">
        <v>46267</v>
      </c>
      <c r="F342" t="inlineStr">
        <is>
          <t>VÄRMLANDS LÄN</t>
        </is>
      </c>
      <c r="G342" t="inlineStr">
        <is>
          <t>FILIPSTAD</t>
        </is>
      </c>
      <c r="H342" t="inlineStr">
        <is>
          <t>Kommuner</t>
        </is>
      </c>
      <c r="I342" t="n">
        <v>15.4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24054-2024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45456</v>
      </c>
      <c r="E343" s="1" t="n">
        <v>46267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37733-2025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45880</v>
      </c>
      <c r="E344" s="1" t="n">
        <v>46267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46267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19030-2022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44691</v>
      </c>
      <c r="E346" s="1" t="n">
        <v>46267</v>
      </c>
      <c r="F346" t="inlineStr">
        <is>
          <t>VÄRMLANDS LÄN</t>
        </is>
      </c>
      <c r="G346" t="inlineStr">
        <is>
          <t>FILIPSTAD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20489-2026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46140</v>
      </c>
      <c r="E347" s="1" t="n">
        <v>46267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39896-2025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45891</v>
      </c>
      <c r="E348" s="1" t="n">
        <v>46267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37577-2023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45159</v>
      </c>
      <c r="E349" s="1" t="n">
        <v>46267</v>
      </c>
      <c r="F349" t="inlineStr">
        <is>
          <t>VÄRMLANDS LÄN</t>
        </is>
      </c>
      <c r="G349" t="inlineStr">
        <is>
          <t>FILIPSTAD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45180</v>
      </c>
      <c r="E350" s="1" t="n">
        <v>46267</v>
      </c>
      <c r="F350" t="inlineStr">
        <is>
          <t>VÄRMLANDS LÄN</t>
        </is>
      </c>
      <c r="G350" t="inlineStr">
        <is>
          <t>FILIPSTAD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16371-2024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45407</v>
      </c>
      <c r="E351" s="1" t="n">
        <v>46267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45835</v>
      </c>
      <c r="E352" s="1" t="n">
        <v>46267</v>
      </c>
      <c r="F352" t="inlineStr">
        <is>
          <t>VÄRMLANDS LÄN</t>
        </is>
      </c>
      <c r="G352" t="inlineStr">
        <is>
          <t>FILIPSTAD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20661-2026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46267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46267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20554-2025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45775</v>
      </c>
      <c r="E355" s="1" t="n">
        <v>46267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49602-2025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45939</v>
      </c>
      <c r="E356" s="1" t="n">
        <v>46267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20919-2026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46142</v>
      </c>
      <c r="E357" s="1" t="n">
        <v>46267</v>
      </c>
      <c r="F357" t="inlineStr">
        <is>
          <t>VÄRMLANDS LÄN</t>
        </is>
      </c>
      <c r="G357" t="inlineStr">
        <is>
          <t>FILIPSTAD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36272-2025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45867</v>
      </c>
      <c r="E358" s="1" t="n">
        <v>46267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31676-2025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45834</v>
      </c>
      <c r="E359" s="1" t="n">
        <v>46267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53210-2023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46267</v>
      </c>
      <c r="F360" t="inlineStr">
        <is>
          <t>VÄRMLANDS LÄN</t>
        </is>
      </c>
      <c r="G360" t="inlineStr">
        <is>
          <t>FILIPSTAD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20874-2026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46142</v>
      </c>
      <c r="E361" s="1" t="n">
        <v>46267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39633-2023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45167</v>
      </c>
      <c r="E362" s="1" t="n">
        <v>46267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24139-2024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45456</v>
      </c>
      <c r="E363" s="1" t="n">
        <v>46267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43635-2023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45186</v>
      </c>
      <c r="E364" s="1" t="n">
        <v>46267</v>
      </c>
      <c r="F364" t="inlineStr">
        <is>
          <t>VÄRMLANDS LÄN</t>
        </is>
      </c>
      <c r="G364" t="inlineStr">
        <is>
          <t>FILIPSTAD</t>
        </is>
      </c>
      <c r="I364" t="n">
        <v>15.3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16067-2026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46108</v>
      </c>
      <c r="E365" s="1" t="n">
        <v>46267</v>
      </c>
      <c r="F365" t="inlineStr">
        <is>
          <t>VÄRMLANDS LÄN</t>
        </is>
      </c>
      <c r="G365" t="inlineStr">
        <is>
          <t>FILIPSTAD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16103-2025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45750</v>
      </c>
      <c r="E366" s="1" t="n">
        <v>46267</v>
      </c>
      <c r="F366" t="inlineStr">
        <is>
          <t>VÄRMLANDS LÄN</t>
        </is>
      </c>
      <c r="G366" t="inlineStr">
        <is>
          <t>FILIPSTAD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4620-2024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45328</v>
      </c>
      <c r="E367" s="1" t="n">
        <v>46267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36251-2022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44803</v>
      </c>
      <c r="E368" s="1" t="n">
        <v>46267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33671-2022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44789</v>
      </c>
      <c r="E369" s="1" t="n">
        <v>46267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21542-2026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46148</v>
      </c>
      <c r="E370" s="1" t="n">
        <v>46267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46257-2022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44847</v>
      </c>
      <c r="E371" s="1" t="n">
        <v>46267</v>
      </c>
      <c r="F371" t="inlineStr">
        <is>
          <t>VÄRMLANDS LÄN</t>
        </is>
      </c>
      <c r="G371" t="inlineStr">
        <is>
          <t>FILIPSTAD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36827-2022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44805</v>
      </c>
      <c r="E372" s="1" t="n">
        <v>46267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37611-2022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44809</v>
      </c>
      <c r="E373" s="1" t="n">
        <v>46267</v>
      </c>
      <c r="F373" t="inlineStr">
        <is>
          <t>VÄRMLANDS LÄN</t>
        </is>
      </c>
      <c r="G373" t="inlineStr">
        <is>
          <t>FILIPSTAD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45245</v>
      </c>
      <c r="E374" s="1" t="n">
        <v>46267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22045-2026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46153</v>
      </c>
      <c r="E375" s="1" t="n">
        <v>46267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22112-2026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46153</v>
      </c>
      <c r="E376" s="1" t="n">
        <v>46267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22136-2026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46153</v>
      </c>
      <c r="E377" s="1" t="n">
        <v>46267</v>
      </c>
      <c r="F377" t="inlineStr">
        <is>
          <t>VÄRMLANDS LÄN</t>
        </is>
      </c>
      <c r="G377" t="inlineStr">
        <is>
          <t>FILIPSTAD</t>
        </is>
      </c>
      <c r="I377" t="n">
        <v>10.8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22144-2026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46267</v>
      </c>
      <c r="F378" t="inlineStr">
        <is>
          <t>VÄRMLANDS LÄN</t>
        </is>
      </c>
      <c r="G378" t="inlineStr">
        <is>
          <t>FILIPSTAD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46153</v>
      </c>
      <c r="E379" s="1" t="n">
        <v>46267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22176-2026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46153</v>
      </c>
      <c r="E380" s="1" t="n">
        <v>46267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22229-2026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46153</v>
      </c>
      <c r="E381" s="1" t="n">
        <v>46267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22032-2026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46153</v>
      </c>
      <c r="E382" s="1" t="n">
        <v>46267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22138-2026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46153</v>
      </c>
      <c r="E383" s="1" t="n">
        <v>46267</v>
      </c>
      <c r="F383" t="inlineStr">
        <is>
          <t>VÄRMLANDS LÄN</t>
        </is>
      </c>
      <c r="G383" t="inlineStr">
        <is>
          <t>FILIPSTAD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25338-2023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45087</v>
      </c>
      <c r="E384" s="1" t="n">
        <v>46267</v>
      </c>
      <c r="F384" t="inlineStr">
        <is>
          <t>VÄRMLANDS LÄN</t>
        </is>
      </c>
      <c r="G384" t="inlineStr">
        <is>
          <t>FILIPSTAD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22021-2026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46153</v>
      </c>
      <c r="E385" s="1" t="n">
        <v>46267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22115-2026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46267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22051-2026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46153</v>
      </c>
      <c r="E387" s="1" t="n">
        <v>46267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22220-2026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46267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22152-2026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46153</v>
      </c>
      <c r="E389" s="1" t="n">
        <v>46267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22533-2026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46155</v>
      </c>
      <c r="E390" s="1" t="n">
        <v>46267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41983-2023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45177</v>
      </c>
      <c r="E391" s="1" t="n">
        <v>46267</v>
      </c>
      <c r="F391" t="inlineStr">
        <is>
          <t>VÄRMLANDS LÄN</t>
        </is>
      </c>
      <c r="G391" t="inlineStr">
        <is>
          <t>FILIPSTAD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53034-2022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44876</v>
      </c>
      <c r="E392" s="1" t="n">
        <v>46267</v>
      </c>
      <c r="F392" t="inlineStr">
        <is>
          <t>VÄRMLANDS LÄN</t>
        </is>
      </c>
      <c r="G392" t="inlineStr">
        <is>
          <t>FILIPSTAD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23620-2023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45077</v>
      </c>
      <c r="E393" s="1" t="n">
        <v>46267</v>
      </c>
      <c r="F393" t="inlineStr">
        <is>
          <t>VÄRMLANDS LÄN</t>
        </is>
      </c>
      <c r="G393" t="inlineStr">
        <is>
          <t>FILIPSTAD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23602-2026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46163</v>
      </c>
      <c r="E394" s="1" t="n">
        <v>46267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8.699999999999999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23576-2026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46267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23529-2026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46267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20.3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23440-2026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46267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46267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23500-2026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46267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46163</v>
      </c>
      <c r="E400" s="1" t="n">
        <v>46267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45229</v>
      </c>
      <c r="E401" s="1" t="n">
        <v>46267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23943-2026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46167</v>
      </c>
      <c r="E402" s="1" t="n">
        <v>46267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49935-2025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45940</v>
      </c>
      <c r="E403" s="1" t="n">
        <v>46267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24027-2026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46167</v>
      </c>
      <c r="E404" s="1" t="n">
        <v>46267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23934-2026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46267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45223</v>
      </c>
      <c r="E406" s="1" t="n">
        <v>46267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6.7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50904-2023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45218</v>
      </c>
      <c r="E407" s="1" t="n">
        <v>46267</v>
      </c>
      <c r="F407" t="inlineStr">
        <is>
          <t>VÄRMLANDS LÄN</t>
        </is>
      </c>
      <c r="G407" t="inlineStr">
        <is>
          <t>FILIPSTAD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23959-2026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46167</v>
      </c>
      <c r="E408" s="1" t="n">
        <v>46267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23952-2026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46267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23922-2026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46167</v>
      </c>
      <c r="E410" s="1" t="n">
        <v>46267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23931-2026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46167</v>
      </c>
      <c r="E411" s="1" t="n">
        <v>46267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9.1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55397-2022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44887</v>
      </c>
      <c r="E412" s="1" t="n">
        <v>46267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24005-2026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46267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24026-2026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46167</v>
      </c>
      <c r="E414" s="1" t="n">
        <v>46267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23886-2026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46167</v>
      </c>
      <c r="E415" s="1" t="n">
        <v>46267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4.5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24022-2026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46167</v>
      </c>
      <c r="E416" s="1" t="n">
        <v>46267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24008-2026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46267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23970-2026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46167</v>
      </c>
      <c r="E418" s="1" t="n">
        <v>46267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9.300000000000001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6520-2023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46267</v>
      </c>
      <c r="F419" t="inlineStr">
        <is>
          <t>VÄRMLANDS LÄN</t>
        </is>
      </c>
      <c r="G419" t="inlineStr">
        <is>
          <t>FILIPSTAD</t>
        </is>
      </c>
      <c r="H419" t="inlineStr">
        <is>
          <t>Kommuner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46169</v>
      </c>
      <c r="E420" s="1" t="n">
        <v>46267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46169</v>
      </c>
      <c r="E421" s="1" t="n">
        <v>46267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46267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55978-2022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44889</v>
      </c>
      <c r="E423" s="1" t="n">
        <v>46267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24514-2026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46267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14.3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24519-2026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46267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24520-2026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46170</v>
      </c>
      <c r="E426" s="1" t="n">
        <v>46267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46170</v>
      </c>
      <c r="E427" s="1" t="n">
        <v>46267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24537-2026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46170</v>
      </c>
      <c r="E428" s="1" t="n">
        <v>46267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46267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24453-2026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46170</v>
      </c>
      <c r="E430" s="1" t="n">
        <v>46267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50856-2022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44867</v>
      </c>
      <c r="E431" s="1" t="n">
        <v>46267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24745-2026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46171</v>
      </c>
      <c r="E432" s="1" t="n">
        <v>46267</v>
      </c>
      <c r="F432" t="inlineStr">
        <is>
          <t>VÄRMLANDS LÄN</t>
        </is>
      </c>
      <c r="G432" t="inlineStr">
        <is>
          <t>FILIPSTAD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61628-2022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44911</v>
      </c>
      <c r="E433" s="1" t="n">
        <v>46267</v>
      </c>
      <c r="F433" t="inlineStr">
        <is>
          <t>VÄRMLANDS LÄN</t>
        </is>
      </c>
      <c r="G433" t="inlineStr">
        <is>
          <t>FILIPSTAD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43264-2024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45568</v>
      </c>
      <c r="E434" s="1" t="n">
        <v>46267</v>
      </c>
      <c r="F434" t="inlineStr">
        <is>
          <t>VÄRMLANDS LÄN</t>
        </is>
      </c>
      <c r="G434" t="inlineStr">
        <is>
          <t>FILIPSTAD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32183-2025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45835</v>
      </c>
      <c r="E435" s="1" t="n">
        <v>46267</v>
      </c>
      <c r="F435" t="inlineStr">
        <is>
          <t>VÄRMLANDS LÄN</t>
        </is>
      </c>
      <c r="G435" t="inlineStr">
        <is>
          <t>FILIPSTAD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16063-2025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45749</v>
      </c>
      <c r="E436" s="1" t="n">
        <v>46267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59296-2023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45253</v>
      </c>
      <c r="E437" s="1" t="n">
        <v>46267</v>
      </c>
      <c r="F437" t="inlineStr">
        <is>
          <t>VÄRMLANDS LÄN</t>
        </is>
      </c>
      <c r="G437" t="inlineStr">
        <is>
          <t>FILIPSTAD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25205-2026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46267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46174</v>
      </c>
      <c r="E439" s="1" t="n">
        <v>46267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25203-2026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46175</v>
      </c>
      <c r="E440" s="1" t="n">
        <v>46267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8.9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24941-2026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46174</v>
      </c>
      <c r="E441" s="1" t="n">
        <v>46267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8.5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11680-2023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44994</v>
      </c>
      <c r="E442" s="1" t="n">
        <v>46267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36680-2023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45153</v>
      </c>
      <c r="E443" s="1" t="n">
        <v>46267</v>
      </c>
      <c r="F443" t="inlineStr">
        <is>
          <t>VÄRMLANDS LÄN</t>
        </is>
      </c>
      <c r="G443" t="inlineStr">
        <is>
          <t>FILIPSTAD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5803-2023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44963</v>
      </c>
      <c r="E444" s="1" t="n">
        <v>46267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25869-2026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46178</v>
      </c>
      <c r="E445" s="1" t="n">
        <v>46267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50776-2024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45602</v>
      </c>
      <c r="E446" s="1" t="n">
        <v>46267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15.5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46181</v>
      </c>
      <c r="E447" s="1" t="n">
        <v>46267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20.9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25769-2026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46178</v>
      </c>
      <c r="E448" s="1" t="n">
        <v>46267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51618-2022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44872</v>
      </c>
      <c r="E449" s="1" t="n">
        <v>46267</v>
      </c>
      <c r="F449" t="inlineStr">
        <is>
          <t>VÄRMLANDS LÄN</t>
        </is>
      </c>
      <c r="G449" t="inlineStr">
        <is>
          <t>FILIPSTAD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25786-2026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46178</v>
      </c>
      <c r="E450" s="1" t="n">
        <v>46267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31688-2026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46226</v>
      </c>
      <c r="E451" s="1" t="n">
        <v>46267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26211-2026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46182</v>
      </c>
      <c r="E452" s="1" t="n">
        <v>46267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46226</v>
      </c>
      <c r="E453" s="1" t="n">
        <v>46267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26323-2026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46267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31699-2026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46226</v>
      </c>
      <c r="E455" s="1" t="n">
        <v>46267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26229-2026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46182</v>
      </c>
      <c r="E456" s="1" t="n">
        <v>46267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26227-2026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46182</v>
      </c>
      <c r="E457" s="1" t="n">
        <v>46267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71971-2021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44544</v>
      </c>
      <c r="E458" s="1" t="n">
        <v>46267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6.1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26501-2026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46183</v>
      </c>
      <c r="E459" s="1" t="n">
        <v>46267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14.2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26298-2026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46182</v>
      </c>
      <c r="E460" s="1" t="n">
        <v>46267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25976-2026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46267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31648-2026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46225</v>
      </c>
      <c r="E462" s="1" t="n">
        <v>46267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31306-2023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45114</v>
      </c>
      <c r="E463" s="1" t="n">
        <v>46267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46182</v>
      </c>
      <c r="E464" s="1" t="n">
        <v>46267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27007-2026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46185</v>
      </c>
      <c r="E465" s="1" t="n">
        <v>46267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31746-2026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46227</v>
      </c>
      <c r="E466" s="1" t="n">
        <v>46267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31726-2026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46227</v>
      </c>
      <c r="E467" s="1" t="n">
        <v>46267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9370-2023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44981</v>
      </c>
      <c r="E468" s="1" t="n">
        <v>46267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27085-2026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46187</v>
      </c>
      <c r="E469" s="1" t="n">
        <v>46267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26549-2026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46183</v>
      </c>
      <c r="E470" s="1" t="n">
        <v>46267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27078-2026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46186</v>
      </c>
      <c r="E471" s="1" t="n">
        <v>46267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27079-2026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46186</v>
      </c>
      <c r="E472" s="1" t="n">
        <v>46267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54008-2021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44470</v>
      </c>
      <c r="E473" s="1" t="n">
        <v>46267</v>
      </c>
      <c r="F473" t="inlineStr">
        <is>
          <t>VÄRMLANDS LÄN</t>
        </is>
      </c>
      <c r="G473" t="inlineStr">
        <is>
          <t>FILIPSTAD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46267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50786-2024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46267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46267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46232</v>
      </c>
      <c r="E477" s="1" t="n">
        <v>46267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31914-2026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46231</v>
      </c>
      <c r="E478" s="1" t="n">
        <v>46267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31957-2026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46232</v>
      </c>
      <c r="E479" s="1" t="n">
        <v>46267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44963</v>
      </c>
      <c r="E480" s="1" t="n">
        <v>46267</v>
      </c>
      <c r="F480" t="inlineStr">
        <is>
          <t>VÄRMLANDS LÄN</t>
        </is>
      </c>
      <c r="G480" t="inlineStr">
        <is>
          <t>FILIPSTAD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46232</v>
      </c>
      <c r="E481" s="1" t="n">
        <v>46267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8.699999999999999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36809-2022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44805</v>
      </c>
      <c r="E482" s="1" t="n">
        <v>46267</v>
      </c>
      <c r="F482" t="inlineStr">
        <is>
          <t>VÄRMLANDS LÄN</t>
        </is>
      </c>
      <c r="G482" t="inlineStr">
        <is>
          <t>FILIPSTAD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33967-2023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45124</v>
      </c>
      <c r="E483" s="1" t="n">
        <v>46267</v>
      </c>
      <c r="F483" t="inlineStr">
        <is>
          <t>VÄRMLANDS LÄN</t>
        </is>
      </c>
      <c r="G483" t="inlineStr">
        <is>
          <t>FILIPSTAD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45124</v>
      </c>
      <c r="E484" s="1" t="n">
        <v>46267</v>
      </c>
      <c r="F484" t="inlineStr">
        <is>
          <t>VÄRMLANDS LÄN</t>
        </is>
      </c>
      <c r="G484" t="inlineStr">
        <is>
          <t>FILIPSTAD</t>
        </is>
      </c>
      <c r="I484" t="n">
        <v>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61741-2022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44911</v>
      </c>
      <c r="E485" s="1" t="n">
        <v>46267</v>
      </c>
      <c r="F485" t="inlineStr">
        <is>
          <t>VÄRMLANDS LÄN</t>
        </is>
      </c>
      <c r="G485" t="inlineStr">
        <is>
          <t>FILIPSTAD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46267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46233</v>
      </c>
      <c r="E487" s="1" t="n">
        <v>46267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27595-2026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46267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25737-2023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45090</v>
      </c>
      <c r="E489" s="1" t="n">
        <v>46267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32035-2026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46233</v>
      </c>
      <c r="E490" s="1" t="n">
        <v>46267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32008-2026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46233</v>
      </c>
      <c r="E491" s="1" t="n">
        <v>46267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32141-2026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46234</v>
      </c>
      <c r="E492" s="1" t="n">
        <v>46267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16.5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27867-2026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46191</v>
      </c>
      <c r="E493" s="1" t="n">
        <v>46267</v>
      </c>
      <c r="F493" t="inlineStr">
        <is>
          <t>VÄRMLANDS LÄN</t>
        </is>
      </c>
      <c r="G493" t="inlineStr">
        <is>
          <t>FILIPSTAD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46267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32248-2026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46237</v>
      </c>
      <c r="E495" s="1" t="n">
        <v>46267</v>
      </c>
      <c r="F495" t="inlineStr">
        <is>
          <t>VÄRMLANDS LÄN</t>
        </is>
      </c>
      <c r="G495" t="inlineStr">
        <is>
          <t>FILIPSTAD</t>
        </is>
      </c>
      <c r="I495" t="n">
        <v>13.4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44579</v>
      </c>
      <c r="E496" s="1" t="n">
        <v>46267</v>
      </c>
      <c r="F496" t="inlineStr">
        <is>
          <t>VÄRMLANDS LÄN</t>
        </is>
      </c>
      <c r="G496" t="inlineStr">
        <is>
          <t>FILIPSTAD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46267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32249-2026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46237</v>
      </c>
      <c r="E498" s="1" t="n">
        <v>46267</v>
      </c>
      <c r="F498" t="inlineStr">
        <is>
          <t>VÄRMLANDS LÄN</t>
        </is>
      </c>
      <c r="G498" t="inlineStr">
        <is>
          <t>FILIPSTAD</t>
        </is>
      </c>
      <c r="H498" t="inlineStr">
        <is>
          <t>Kommuner</t>
        </is>
      </c>
      <c r="I498" t="n">
        <v>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15471-2024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45401</v>
      </c>
      <c r="E499" s="1" t="n">
        <v>46267</v>
      </c>
      <c r="F499" t="inlineStr">
        <is>
          <t>VÄRMLANDS LÄN</t>
        </is>
      </c>
      <c r="G499" t="inlineStr">
        <is>
          <t>FILIPSTAD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32786-2024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45516</v>
      </c>
      <c r="E500" s="1" t="n">
        <v>46267</v>
      </c>
      <c r="F500" t="inlineStr">
        <is>
          <t>VÄRMLANDS LÄN</t>
        </is>
      </c>
      <c r="G500" t="inlineStr">
        <is>
          <t>FILIPSTAD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51031-2025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45947</v>
      </c>
      <c r="E501" s="1" t="n">
        <v>46267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32563-2026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46239</v>
      </c>
      <c r="E502" s="1" t="n">
        <v>46267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32572-2026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46239</v>
      </c>
      <c r="E503" s="1" t="n">
        <v>46267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32600-2026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46240</v>
      </c>
      <c r="E504" s="1" t="n">
        <v>46267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32603-2026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46240</v>
      </c>
      <c r="E505" s="1" t="n">
        <v>46267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5992-2023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44959</v>
      </c>
      <c r="E506" s="1" t="n">
        <v>46267</v>
      </c>
      <c r="F506" t="inlineStr">
        <is>
          <t>VÄRMLANDS LÄN</t>
        </is>
      </c>
      <c r="G506" t="inlineStr">
        <is>
          <t>FILIPSTAD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62014-2024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45655</v>
      </c>
      <c r="E507" s="1" t="n">
        <v>46267</v>
      </c>
      <c r="F507" t="inlineStr">
        <is>
          <t>VÄRMLANDS LÄN</t>
        </is>
      </c>
      <c r="G507" t="inlineStr">
        <is>
          <t>FILIPSTAD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28516-2026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46197</v>
      </c>
      <c r="E508" s="1" t="n">
        <v>46267</v>
      </c>
      <c r="F508" t="inlineStr">
        <is>
          <t>VÄRMLANDS LÄN</t>
        </is>
      </c>
      <c r="G508" t="inlineStr">
        <is>
          <t>FILIPSTAD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17686-2023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45037</v>
      </c>
      <c r="E509" s="1" t="n">
        <v>46267</v>
      </c>
      <c r="F509" t="inlineStr">
        <is>
          <t>VÄRMLANDS LÄN</t>
        </is>
      </c>
      <c r="G509" t="inlineStr">
        <is>
          <t>FILIPSTAD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46267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28419-2026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46197</v>
      </c>
      <c r="E511" s="1" t="n">
        <v>46267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46240</v>
      </c>
      <c r="E512" s="1" t="n">
        <v>46267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4418-2024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45327</v>
      </c>
      <c r="E513" s="1" t="n">
        <v>46267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9.300000000000001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32442-2026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46267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32978-2026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46267</v>
      </c>
      <c r="F515" t="inlineStr">
        <is>
          <t>VÄRMLANDS LÄN</t>
        </is>
      </c>
      <c r="G515" t="inlineStr">
        <is>
          <t>FILIPSTAD</t>
        </is>
      </c>
      <c r="I515" t="n">
        <v>7.5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45516-2024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45578</v>
      </c>
      <c r="E516" s="1" t="n">
        <v>46267</v>
      </c>
      <c r="F516" t="inlineStr">
        <is>
          <t>VÄRMLANDS LÄN</t>
        </is>
      </c>
      <c r="G516" t="inlineStr">
        <is>
          <t>FILIPSTAD</t>
        </is>
      </c>
      <c r="I516" t="n">
        <v>27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46680-2024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45583</v>
      </c>
      <c r="E517" s="1" t="n">
        <v>46267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22830-2023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45072</v>
      </c>
      <c r="E518" s="1" t="n">
        <v>46267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32852-2026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46267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32783-2026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46241</v>
      </c>
      <c r="E520" s="1" t="n">
        <v>46267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32972-2026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46244</v>
      </c>
      <c r="E521" s="1" t="n">
        <v>46267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32980-2026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46244</v>
      </c>
      <c r="E522" s="1" t="n">
        <v>46267</v>
      </c>
      <c r="F522" t="inlineStr">
        <is>
          <t>VÄRMLANDS LÄN</t>
        </is>
      </c>
      <c r="G522" t="inlineStr">
        <is>
          <t>FILIPSTAD</t>
        </is>
      </c>
      <c r="I522" t="n">
        <v>6.3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28977-2026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46199</v>
      </c>
      <c r="E523" s="1" t="n">
        <v>46267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62013-2024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45655</v>
      </c>
      <c r="E524" s="1" t="n">
        <v>46267</v>
      </c>
      <c r="F524" t="inlineStr">
        <is>
          <t>VÄRMLANDS LÄN</t>
        </is>
      </c>
      <c r="G524" t="inlineStr">
        <is>
          <t>FILIPSTAD</t>
        </is>
      </c>
      <c r="I524" t="n">
        <v>26.5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33130-2026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46245</v>
      </c>
      <c r="E525" s="1" t="n">
        <v>46267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48040-2023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46267</v>
      </c>
      <c r="F526" t="inlineStr">
        <is>
          <t>VÄRMLANDS LÄN</t>
        </is>
      </c>
      <c r="G526" t="inlineStr">
        <is>
          <t>FILIPSTAD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29385-2026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46203</v>
      </c>
      <c r="E527" s="1" t="n">
        <v>46267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48908-2023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45195</v>
      </c>
      <c r="E528" s="1" t="n">
        <v>46267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33324-2026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46246</v>
      </c>
      <c r="E529" s="1" t="n">
        <v>46267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46203</v>
      </c>
      <c r="E530" s="1" t="n">
        <v>46267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46202</v>
      </c>
      <c r="E531" s="1" t="n">
        <v>46267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44935</v>
      </c>
      <c r="E532" s="1" t="n">
        <v>46267</v>
      </c>
      <c r="F532" t="inlineStr">
        <is>
          <t>VÄRMLANDS LÄN</t>
        </is>
      </c>
      <c r="G532" t="inlineStr">
        <is>
          <t>FILIPSTAD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29328-2026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46202</v>
      </c>
      <c r="E533" s="1" t="n">
        <v>46267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10306-2025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45720</v>
      </c>
      <c r="E534" s="1" t="n">
        <v>46267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41075-2023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45173</v>
      </c>
      <c r="E535" s="1" t="n">
        <v>46267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33092-2026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46245</v>
      </c>
      <c r="E536" s="1" t="n">
        <v>46267</v>
      </c>
      <c r="F536" t="inlineStr">
        <is>
          <t>VÄRMLANDS LÄN</t>
        </is>
      </c>
      <c r="G536" t="inlineStr">
        <is>
          <t>FILIPSTAD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46199</v>
      </c>
      <c r="E537" s="1" t="n">
        <v>46267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7.2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29010-2026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46267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29821-2026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46205</v>
      </c>
      <c r="E539" s="1" t="n">
        <v>46267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46247</v>
      </c>
      <c r="E540" s="1" t="n">
        <v>46267</v>
      </c>
      <c r="F540" t="inlineStr">
        <is>
          <t>VÄRMLANDS LÄN</t>
        </is>
      </c>
      <c r="G540" t="inlineStr">
        <is>
          <t>FILIPSTAD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46267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7.4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29591-2026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46204</v>
      </c>
      <c r="E542" s="1" t="n">
        <v>46267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5.6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29389-2026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46203</v>
      </c>
      <c r="E543" s="1" t="n">
        <v>46267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8.199999999999999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14582-2025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45742</v>
      </c>
      <c r="E544" s="1" t="n">
        <v>46267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33468-2026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46247</v>
      </c>
      <c r="E545" s="1" t="n">
        <v>46267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56840-2024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45628</v>
      </c>
      <c r="E546" s="1" t="n">
        <v>46267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8692-2025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45712</v>
      </c>
      <c r="E547" s="1" t="n">
        <v>46267</v>
      </c>
      <c r="F547" t="inlineStr">
        <is>
          <t>VÄRMLANDS LÄN</t>
        </is>
      </c>
      <c r="G547" t="inlineStr">
        <is>
          <t>FILIPSTAD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46205</v>
      </c>
      <c r="E548" s="1" t="n">
        <v>46267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26.6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23618-2023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45077</v>
      </c>
      <c r="E549" s="1" t="n">
        <v>46267</v>
      </c>
      <c r="F549" t="inlineStr">
        <is>
          <t>VÄRMLANDS LÄN</t>
        </is>
      </c>
      <c r="G549" t="inlineStr">
        <is>
          <t>FILIPSTAD</t>
        </is>
      </c>
      <c r="I549" t="n">
        <v>15.8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12509-2026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46267</v>
      </c>
      <c r="F550" t="inlineStr">
        <is>
          <t>VÄRMLANDS LÄN</t>
        </is>
      </c>
      <c r="G550" t="inlineStr">
        <is>
          <t>FILIPSTAD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29814-2026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46205</v>
      </c>
      <c r="E551" s="1" t="n">
        <v>46267</v>
      </c>
      <c r="F551" t="inlineStr">
        <is>
          <t>VÄRMLANDS LÄN</t>
        </is>
      </c>
      <c r="G551" t="inlineStr">
        <is>
          <t>FILIPSTAD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33855-2026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46251</v>
      </c>
      <c r="E552" s="1" t="n">
        <v>46267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33866-2026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46251</v>
      </c>
      <c r="E553" s="1" t="n">
        <v>46267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60524-2024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45643</v>
      </c>
      <c r="E554" s="1" t="n">
        <v>46267</v>
      </c>
      <c r="F554" t="inlineStr">
        <is>
          <t>VÄRMLANDS LÄN</t>
        </is>
      </c>
      <c r="G554" t="inlineStr">
        <is>
          <t>FILIPSTAD</t>
        </is>
      </c>
      <c r="I554" t="n">
        <v>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14328-2025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45740</v>
      </c>
      <c r="E555" s="1" t="n">
        <v>46267</v>
      </c>
      <c r="F555" t="inlineStr">
        <is>
          <t>VÄRMLANDS LÄN</t>
        </is>
      </c>
      <c r="G555" t="inlineStr">
        <is>
          <t>FILIPSTAD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34053-2026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46252</v>
      </c>
      <c r="E556" s="1" t="n">
        <v>46267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20.2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15228-2025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45744</v>
      </c>
      <c r="E557" s="1" t="n">
        <v>46267</v>
      </c>
      <c r="F557" t="inlineStr">
        <is>
          <t>VÄRMLANDS LÄN</t>
        </is>
      </c>
      <c r="G557" t="inlineStr">
        <is>
          <t>FILIPSTAD</t>
        </is>
      </c>
      <c r="H557" t="inlineStr">
        <is>
          <t>Kommuner</t>
        </is>
      </c>
      <c r="I557" t="n">
        <v>17.7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46213</v>
      </c>
      <c r="E558" s="1" t="n">
        <v>46267</v>
      </c>
      <c r="F558" t="inlineStr">
        <is>
          <t>VÄRMLANDS LÄN</t>
        </is>
      </c>
      <c r="G558" t="inlineStr">
        <is>
          <t>FILIPSTAD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33859-2026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46251</v>
      </c>
      <c r="E559" s="1" t="n">
        <v>46267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34054-2026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46252</v>
      </c>
      <c r="E560" s="1" t="n">
        <v>46267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46267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46267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33837-2026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46251</v>
      </c>
      <c r="E563" s="1" t="n">
        <v>46267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46267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34262-2024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45524</v>
      </c>
      <c r="E565" s="1" t="n">
        <v>46267</v>
      </c>
      <c r="F565" t="inlineStr">
        <is>
          <t>VÄRMLANDS LÄN</t>
        </is>
      </c>
      <c r="G565" t="inlineStr">
        <is>
          <t>FILIPSTAD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45299</v>
      </c>
      <c r="E566" s="1" t="n">
        <v>46267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30646-2024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45495</v>
      </c>
      <c r="E567" s="1" t="n">
        <v>46267</v>
      </c>
      <c r="F567" t="inlineStr">
        <is>
          <t>VÄRMLANDS LÄN</t>
        </is>
      </c>
      <c r="G567" t="inlineStr">
        <is>
          <t>FILIPSTAD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27139-2024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45471</v>
      </c>
      <c r="E568" s="1" t="n">
        <v>46267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46210</v>
      </c>
      <c r="E569" s="1" t="n">
        <v>46267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17244-2024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45414</v>
      </c>
      <c r="E570" s="1" t="n">
        <v>46267</v>
      </c>
      <c r="F570" t="inlineStr">
        <is>
          <t>VÄRMLANDS LÄN</t>
        </is>
      </c>
      <c r="G570" t="inlineStr">
        <is>
          <t>FILIPSTAD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20875-2024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45439</v>
      </c>
      <c r="E571" s="1" t="n">
        <v>46267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34493-2026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46267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19.2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45667</v>
      </c>
      <c r="E573" s="1" t="n">
        <v>46267</v>
      </c>
      <c r="F573" t="inlineStr">
        <is>
          <t>VÄRMLANDS LÄN</t>
        </is>
      </c>
      <c r="G573" t="inlineStr">
        <is>
          <t>FILIPSTAD</t>
        </is>
      </c>
      <c r="H573" t="inlineStr">
        <is>
          <t>Kommuner</t>
        </is>
      </c>
      <c r="I573" t="n">
        <v>6.9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47002-2024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45586</v>
      </c>
      <c r="E574" s="1" t="n">
        <v>46267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34539-2026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46267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34442-2026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46254</v>
      </c>
      <c r="E576" s="1" t="n">
        <v>46267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10.4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30799-2026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46212</v>
      </c>
      <c r="E577" s="1" t="n">
        <v>46267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65167-2021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44515</v>
      </c>
      <c r="E578" s="1" t="n">
        <v>46267</v>
      </c>
      <c r="F578" t="inlineStr">
        <is>
          <t>VÄRMLANDS LÄN</t>
        </is>
      </c>
      <c r="G578" t="inlineStr">
        <is>
          <t>FILIPSTAD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22880-2025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45790</v>
      </c>
      <c r="E579" s="1" t="n">
        <v>46267</v>
      </c>
      <c r="F579" t="inlineStr">
        <is>
          <t>VÄRMLANDS LÄN</t>
        </is>
      </c>
      <c r="G579" t="inlineStr">
        <is>
          <t>FILIPSTAD</t>
        </is>
      </c>
      <c r="H579" t="inlineStr">
        <is>
          <t>Kyrkan</t>
        </is>
      </c>
      <c r="I579" t="n">
        <v>5.4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34982-2026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46259</v>
      </c>
      <c r="E580" s="1" t="n">
        <v>46267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16.1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23266-2025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46267</v>
      </c>
      <c r="F581" t="inlineStr">
        <is>
          <t>VÄRMLANDS LÄN</t>
        </is>
      </c>
      <c r="G581" t="inlineStr">
        <is>
          <t>FILIPSTAD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23475-2025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45792</v>
      </c>
      <c r="E582" s="1" t="n">
        <v>46267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28357-2024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46267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48702-2024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45593</v>
      </c>
      <c r="E584" s="1" t="n">
        <v>46267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35304-2024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45530</v>
      </c>
      <c r="E585" s="1" t="n">
        <v>46267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6.6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23399-2025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45792</v>
      </c>
      <c r="E586" s="1" t="n">
        <v>46267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46267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45667</v>
      </c>
      <c r="E588" s="1" t="n">
        <v>46267</v>
      </c>
      <c r="F588" t="inlineStr">
        <is>
          <t>VÄRMLANDS LÄN</t>
        </is>
      </c>
      <c r="G588" t="inlineStr">
        <is>
          <t>FILIPSTAD</t>
        </is>
      </c>
      <c r="H588" t="inlineStr">
        <is>
          <t>Kommuner</t>
        </is>
      </c>
      <c r="I588" t="n">
        <v>5.9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35290-2026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46261</v>
      </c>
      <c r="E589" s="1" t="n">
        <v>46267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20844-2024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45439</v>
      </c>
      <c r="E590" s="1" t="n">
        <v>46267</v>
      </c>
      <c r="F590" t="inlineStr">
        <is>
          <t>VÄRMLANDS LÄN</t>
        </is>
      </c>
      <c r="G590" t="inlineStr">
        <is>
          <t>FILIPSTAD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46261</v>
      </c>
      <c r="E591" s="1" t="n">
        <v>46267</v>
      </c>
      <c r="F591" t="inlineStr">
        <is>
          <t>VÄRMLANDS LÄN</t>
        </is>
      </c>
      <c r="G591" t="inlineStr">
        <is>
          <t>FILIPSTAD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3979-2024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45322</v>
      </c>
      <c r="E592" s="1" t="n">
        <v>46267</v>
      </c>
      <c r="F592" t="inlineStr">
        <is>
          <t>VÄRMLANDS LÄN</t>
        </is>
      </c>
      <c r="G592" t="inlineStr">
        <is>
          <t>FILIPSTAD</t>
        </is>
      </c>
      <c r="I592" t="n">
        <v>8.199999999999999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72118-2021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44543</v>
      </c>
      <c r="E593" s="1" t="n">
        <v>46267</v>
      </c>
      <c r="F593" t="inlineStr">
        <is>
          <t>VÄRMLANDS LÄN</t>
        </is>
      </c>
      <c r="G593" t="inlineStr">
        <is>
          <t>FILIPSTAD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24143-2025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45796</v>
      </c>
      <c r="E594" s="1" t="n">
        <v>46267</v>
      </c>
      <c r="F594" t="inlineStr">
        <is>
          <t>VÄRMLANDS LÄN</t>
        </is>
      </c>
      <c r="G594" t="inlineStr">
        <is>
          <t>FILIPSTAD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15396-2025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45747</v>
      </c>
      <c r="E595" s="1" t="n">
        <v>46267</v>
      </c>
      <c r="F595" t="inlineStr">
        <is>
          <t>VÄRMLANDS LÄN</t>
        </is>
      </c>
      <c r="G595" t="inlineStr">
        <is>
          <t>FILIPSTAD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31316-2026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46219</v>
      </c>
      <c r="E596" s="1" t="n">
        <v>46267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23775-2025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45793</v>
      </c>
      <c r="E597" s="1" t="n">
        <v>46267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46261</v>
      </c>
      <c r="E598" s="1" t="n">
        <v>46267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45355</v>
      </c>
      <c r="E599" s="1" t="n">
        <v>46267</v>
      </c>
      <c r="F599" t="inlineStr">
        <is>
          <t>VÄRMLANDS LÄN</t>
        </is>
      </c>
      <c r="G599" t="inlineStr">
        <is>
          <t>FILIPSTAD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31283-2026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46218</v>
      </c>
      <c r="E600" s="1" t="n">
        <v>46267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65174-2021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44515</v>
      </c>
      <c r="E601" s="1" t="n">
        <v>46267</v>
      </c>
      <c r="F601" t="inlineStr">
        <is>
          <t>VÄRMLANDS LÄN</t>
        </is>
      </c>
      <c r="G601" t="inlineStr">
        <is>
          <t>FILIPSTAD</t>
        </is>
      </c>
      <c r="I601" t="n">
        <v>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35314-2026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46261</v>
      </c>
      <c r="E602" s="1" t="n">
        <v>46267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15406-2025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45747</v>
      </c>
      <c r="E603" s="1" t="n">
        <v>46267</v>
      </c>
      <c r="F603" t="inlineStr">
        <is>
          <t>VÄRMLANDS LÄN</t>
        </is>
      </c>
      <c r="G603" t="inlineStr">
        <is>
          <t>FILIPSTAD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35927-2026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46266</v>
      </c>
      <c r="E604" s="1" t="n">
        <v>46267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27.4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35799-2022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44801</v>
      </c>
      <c r="E605" s="1" t="n">
        <v>46267</v>
      </c>
      <c r="F605" t="inlineStr">
        <is>
          <t>VÄRMLANDS LÄN</t>
        </is>
      </c>
      <c r="G605" t="inlineStr">
        <is>
          <t>FILIPSTAD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35614-2026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46264</v>
      </c>
      <c r="E606" s="1" t="n">
        <v>46267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20.8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35945-2026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46266</v>
      </c>
      <c r="E607" s="1" t="n">
        <v>46267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27426-2026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46189</v>
      </c>
      <c r="E608" s="1" t="n">
        <v>46267</v>
      </c>
      <c r="F608" t="inlineStr">
        <is>
          <t>VÄRMLANDS LÄN</t>
        </is>
      </c>
      <c r="G608" t="inlineStr">
        <is>
          <t>FILIPSTAD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31548-2026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46223</v>
      </c>
      <c r="E609" s="1" t="n">
        <v>46267</v>
      </c>
      <c r="F609" t="inlineStr">
        <is>
          <t>VÄRMLANDS LÄN</t>
        </is>
      </c>
      <c r="G609" t="inlineStr">
        <is>
          <t>FILIPSTAD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47261-2024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46267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35821-2026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46267</v>
      </c>
      <c r="F611" t="inlineStr">
        <is>
          <t>VÄRMLANDS LÄN</t>
        </is>
      </c>
      <c r="G611" t="inlineStr">
        <is>
          <t>FILIPSTAD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35948-2026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46267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35641-2026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46265</v>
      </c>
      <c r="E613" s="1" t="n">
        <v>46267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22.8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35615-2026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46264</v>
      </c>
      <c r="E614" s="1" t="n">
        <v>46267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35995-2026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46266</v>
      </c>
      <c r="E615" s="1" t="n">
        <v>46267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31537-2026</t>
        </is>
      </c>
      <c r="B616" t="inlineStr">
        <is>
          <t>avverkningsanmälan</t>
        </is>
      </c>
      <c r="C616" t="inlineStr">
        <is>
          <t>Avverkning för att bevara och utveckla /försöksver</t>
        </is>
      </c>
      <c r="D616" s="1" t="n">
        <v>46223</v>
      </c>
      <c r="E616" s="1" t="n">
        <v>46267</v>
      </c>
      <c r="F616" t="inlineStr">
        <is>
          <t>VÄRMLANDS LÄN</t>
        </is>
      </c>
      <c r="G616" t="inlineStr">
        <is>
          <t>FILIPSTAD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5757-2021</t>
        </is>
      </c>
      <c r="B617" t="inlineStr">
        <is>
          <t>samrådsanmälan</t>
        </is>
      </c>
      <c r="C617" t="inlineStr">
        <is>
          <t>Basväg</t>
        </is>
      </c>
      <c r="D617" s="1" t="n">
        <v>44438</v>
      </c>
      <c r="E617" s="1" t="n">
        <v>46267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1191-2021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44328</v>
      </c>
      <c r="E618" s="1" t="n">
        <v>46267</v>
      </c>
      <c r="F618" t="inlineStr">
        <is>
          <t>VÄRMLANDS LÄN</t>
        </is>
      </c>
      <c r="G618" t="inlineStr">
        <is>
          <t>FILIPSTAD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4134-2023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46267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4115-2023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45246</v>
      </c>
      <c r="E620" s="1" t="n">
        <v>46267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4137-2023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46267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16.5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4132-2023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46267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8.300000000000001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4130-2023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45247</v>
      </c>
      <c r="E623" s="1" t="n">
        <v>46267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4127-2023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46267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56.4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837-2023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44991</v>
      </c>
      <c r="E625" s="1" t="n">
        <v>46267</v>
      </c>
      <c r="F625" t="inlineStr">
        <is>
          <t>VÄRMLANDS LÄN</t>
        </is>
      </c>
      <c r="G625" t="inlineStr">
        <is>
          <t>FILIPSTAD</t>
        </is>
      </c>
      <c r="I625" t="n">
        <v>19.3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4129-2023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46267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3919-2023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45233</v>
      </c>
      <c r="E627" s="1" t="n">
        <v>46267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17.4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4135-2023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46267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6078-2021</t>
        </is>
      </c>
      <c r="B629" t="inlineStr">
        <is>
          <t>samrådsanmälan</t>
        </is>
      </c>
      <c r="C629" t="inlineStr">
        <is>
          <t>Åtgärd i nyckelbiotop</t>
        </is>
      </c>
      <c r="D629" s="1" t="n">
        <v>44442</v>
      </c>
      <c r="E629" s="1" t="n">
        <v>46267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3.7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4126-2023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46267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20.4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294-2025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45687</v>
      </c>
      <c r="E631" s="1" t="n">
        <v>46267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186.4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4116-2023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45246</v>
      </c>
      <c r="E632" s="1" t="n">
        <v>46267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6.4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661-2025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45716</v>
      </c>
      <c r="E633" s="1" t="n">
        <v>46267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161.7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3429-2025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45995</v>
      </c>
      <c r="E634" s="1" t="n">
        <v>46267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3576-2025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46010</v>
      </c>
      <c r="E635" s="1" t="n">
        <v>46267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27.1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105-2026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46036</v>
      </c>
      <c r="E636" s="1" t="n">
        <v>46267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238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2026-09-02T02:05:43Z</dcterms:created>
  <dcterms:modified xmlns:dcterms="http://purl.org/dc/terms/" xmlns:xsi="http://www.w3.org/2001/XMLSchema-instance" xsi:type="dcterms:W3CDTF">2026-09-02T02:05:44Z</dcterms:modified>
</cp:coreProperties>
</file>