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46316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46316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46316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46316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46316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46316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45714-2025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45923</v>
      </c>
      <c r="E11" s="1" t="n">
        <v>46316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Brunklöver
Skuggblåslav
Bårdlav</t>
        </is>
      </c>
      <c r="W11">
        <f>HYPERLINK("https://klasma.github.io/Logging_1782/artfynd/A 45714-2025 artfynd.xlsx", "A 45714-2025")</f>
        <v/>
      </c>
      <c r="X11">
        <f>HYPERLINK("https://klasma.github.io/Logging_1782/kartor/A 45714-2025 karta.png", "A 45714-2025")</f>
        <v/>
      </c>
      <c r="Y11">
        <f>HYPERLINK("https://klasma.github.io/Logging_1782/kartor_geotiff/A 45714-2025 georefererad karta.tif", "A 45714-2025")</f>
        <v/>
      </c>
      <c r="AA11">
        <f>HYPERLINK("https://klasma.github.io/Logging_1782/klagomål/A 45714-2025 FSC-klagomål.docx", "A 45714-2025")</f>
        <v/>
      </c>
      <c r="AB11">
        <f>HYPERLINK("https://klasma.github.io/Logging_1782/klagomålsmail/A 45714-2025 FSC-klagomål mail.docx", "A 45714-2025")</f>
        <v/>
      </c>
      <c r="AC11">
        <f>HYPERLINK("https://klasma.github.io/Logging_1782/tillsyn/A 45714-2025 tillsynsbegäran.docx", "A 45714-2025")</f>
        <v/>
      </c>
      <c r="AD11">
        <f>HYPERLINK("https://klasma.github.io/Logging_1782/tillsynsmail/A 45714-2025 tillsynsbegäran mail.docx", "A 45714-2025")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46316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37620-2026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46276</v>
      </c>
      <c r="E14" s="1" t="n">
        <v>46316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4.1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Kandelabersvamp
Tretåig hackspett</t>
        </is>
      </c>
      <c r="W14">
        <f>HYPERLINK("https://klasma.github.io/Logging_1782/artfynd/A 37620-2026 artfynd.xlsx", "A 37620-2026")</f>
        <v/>
      </c>
      <c r="X14">
        <f>HYPERLINK("https://klasma.github.io/Logging_1782/kartor/A 37620-2026 karta.png", "A 37620-2026")</f>
        <v/>
      </c>
      <c r="Y14">
        <f>HYPERLINK("https://klasma.github.io/Logging_1782/kartor_geotiff/A 37620-2026 georefererad karta.tif", "A 37620-2026")</f>
        <v/>
      </c>
      <c r="AA14">
        <f>HYPERLINK("https://klasma.github.io/Logging_1782/klagomål/A 37620-2026 FSC-klagomål.docx", "A 37620-2026")</f>
        <v/>
      </c>
      <c r="AB14">
        <f>HYPERLINK("https://klasma.github.io/Logging_1782/klagomålsmail/A 37620-2026 FSC-klagomål mail.docx", "A 37620-2026")</f>
        <v/>
      </c>
      <c r="AC14">
        <f>HYPERLINK("https://klasma.github.io/Logging_1782/tillsyn/A 37620-2026 tillsynsbegäran.docx", "A 37620-2026")</f>
        <v/>
      </c>
      <c r="AD14">
        <f>HYPERLINK("https://klasma.github.io/Logging_1782/tillsynsmail/A 37620-2026 tillsynsbegäran mail.docx", "A 37620-2026")</f>
        <v/>
      </c>
      <c r="AE14">
        <f>HYPERLINK("https://klasma.github.io/Logging_1782/fåglar/A 37620-2026 prioriterade fågelarter.docx", "A 37620-2026")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46316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46316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46316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46316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46316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17274-2024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45414</v>
      </c>
      <c r="E20" s="1" t="n">
        <v>46316</v>
      </c>
      <c r="F20" t="inlineStr">
        <is>
          <t>VÄRMLANDS LÄN</t>
        </is>
      </c>
      <c r="G20" t="inlineStr">
        <is>
          <t>FILIPSTAD</t>
        </is>
      </c>
      <c r="H20" t="inlineStr">
        <is>
          <t>Kommuner</t>
        </is>
      </c>
      <c r="I20" t="n">
        <v>5.8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Dropptaggsvamp
Talltita</t>
        </is>
      </c>
      <c r="W20">
        <f>HYPERLINK("https://klasma.github.io/Logging_1782/artfynd/A 17274-2024 artfynd.xlsx", "A 17274-2024")</f>
        <v/>
      </c>
      <c r="X20">
        <f>HYPERLINK("https://klasma.github.io/Logging_1782/kartor/A 17274-2024 karta.png", "A 17274-2024")</f>
        <v/>
      </c>
      <c r="Y20">
        <f>HYPERLINK("https://klasma.github.io/Logging_1782/kartor_geotiff/A 17274-2024 georefererad karta.tif", "A 17274-2024")</f>
        <v/>
      </c>
      <c r="AA20">
        <f>HYPERLINK("https://klasma.github.io/Logging_1782/klagomål/A 17274-2024 FSC-klagomål.docx", "A 17274-2024")</f>
        <v/>
      </c>
      <c r="AB20">
        <f>HYPERLINK("https://klasma.github.io/Logging_1782/klagomålsmail/A 17274-2024 FSC-klagomål mail.docx", "A 17274-2024")</f>
        <v/>
      </c>
      <c r="AC20">
        <f>HYPERLINK("https://klasma.github.io/Logging_1782/tillsyn/A 17274-2024 tillsynsbegäran.docx", "A 17274-2024")</f>
        <v/>
      </c>
      <c r="AD20">
        <f>HYPERLINK("https://klasma.github.io/Logging_1782/tillsynsmail/A 17274-2024 tillsynsbegäran mail.docx", "A 17274-2024")</f>
        <v/>
      </c>
      <c r="AE20">
        <f>HYPERLINK("https://klasma.github.io/Logging_1782/fåglar/A 17274-2024 prioriterade fågelarter.docx", "A 17274-2024")</f>
        <v/>
      </c>
    </row>
    <row r="21" ht="15" customHeight="1">
      <c r="A21" t="inlineStr">
        <is>
          <t>A 19945-2023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46316</v>
      </c>
      <c r="F21" t="inlineStr">
        <is>
          <t>VÄRMLANDS LÄN</t>
        </is>
      </c>
      <c r="G21" t="inlineStr">
        <is>
          <t>FILIPSTAD</t>
        </is>
      </c>
      <c r="I21" t="n">
        <v>3.3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3</v>
      </c>
      <c r="V21" s="2" t="inlineStr">
        <is>
          <t>Guckusko
Kransrams</t>
        </is>
      </c>
      <c r="W21">
        <f>HYPERLINK("https://klasma.github.io/Logging_1782/artfynd/A 19945-2023 artfynd.xlsx", "A 19945-2023")</f>
        <v/>
      </c>
      <c r="X21">
        <f>HYPERLINK("https://klasma.github.io/Logging_1782/kartor/A 19945-2023 karta.png", "A 19945-2023")</f>
        <v/>
      </c>
      <c r="Y21">
        <f>HYPERLINK("https://klasma.github.io/Logging_1782/kartor_geotiff/A 19945-2023 georefererad karta.tif", "A 19945-2023")</f>
        <v/>
      </c>
      <c r="AA21">
        <f>HYPERLINK("https://klasma.github.io/Logging_1782/klagomål/A 19945-2023 FSC-klagomål.docx", "A 19945-2023")</f>
        <v/>
      </c>
      <c r="AB21">
        <f>HYPERLINK("https://klasma.github.io/Logging_1782/klagomålsmail/A 19945-2023 FSC-klagomål mail.docx", "A 19945-2023")</f>
        <v/>
      </c>
      <c r="AC21">
        <f>HYPERLINK("https://klasma.github.io/Logging_1782/tillsyn/A 19945-2023 tillsynsbegäran.docx", "A 19945-2023")</f>
        <v/>
      </c>
      <c r="AD21">
        <f>HYPERLINK("https://klasma.github.io/Logging_1782/tillsynsmail/A 19945-2023 tillsynsbegäran mail.docx", "A 19945-2023")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46316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46316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46316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46316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46316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37534-2026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46276</v>
      </c>
      <c r="E27" s="1" t="n">
        <v>46316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8</v>
      </c>
      <c r="U27" t="n">
        <v>0</v>
      </c>
      <c r="V27" s="2" t="inlineStr">
        <is>
          <t>Garnlav
Spillkråka</t>
        </is>
      </c>
      <c r="W27">
        <f>HYPERLINK("https://klasma.github.io/Logging_1782/artfynd/A 37534-2026 artfynd.xlsx", "A 37534-2026")</f>
        <v/>
      </c>
      <c r="X27">
        <f>HYPERLINK("https://klasma.github.io/Logging_1782/kartor/A 37534-2026 karta.png", "A 37534-2026")</f>
        <v/>
      </c>
      <c r="Y27">
        <f>HYPERLINK("https://klasma.github.io/Logging_1782/kartor_geotiff/A 37534-2026 georefererad karta.tif", "A 37534-2026")</f>
        <v/>
      </c>
      <c r="AA27">
        <f>HYPERLINK("https://klasma.github.io/Logging_1782/klagomål/A 37534-2026 FSC-klagomål.docx", "A 37534-2026")</f>
        <v/>
      </c>
      <c r="AB27">
        <f>HYPERLINK("https://klasma.github.io/Logging_1782/klagomålsmail/A 37534-2026 FSC-klagomål mail.docx", "A 37534-2026")</f>
        <v/>
      </c>
      <c r="AC27">
        <f>HYPERLINK("https://klasma.github.io/Logging_1782/tillsyn/A 37534-2026 tillsynsbegäran.docx", "A 37534-2026")</f>
        <v/>
      </c>
      <c r="AD27">
        <f>HYPERLINK("https://klasma.github.io/Logging_1782/tillsynsmail/A 37534-2026 tillsynsbegäran mail.docx", "A 37534-2026")</f>
        <v/>
      </c>
      <c r="AE27">
        <f>HYPERLINK("https://klasma.github.io/Logging_1782/fåglar/A 37534-2026 prioriterade fågelarter.docx", "A 37534-2026")</f>
        <v/>
      </c>
    </row>
    <row r="28" ht="15" customHeight="1">
      <c r="A28" t="inlineStr">
        <is>
          <t>A 32438-2026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46316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Dubbelnycklar
Ängsnycklar</t>
        </is>
      </c>
      <c r="W28">
        <f>HYPERLINK("https://klasma.github.io/Logging_1782/artfynd/A 32438-2026 artfynd.xlsx", "A 32438-2026")</f>
        <v/>
      </c>
      <c r="X28">
        <f>HYPERLINK("https://klasma.github.io/Logging_1782/kartor/A 32438-2026 karta.png", "A 32438-2026")</f>
        <v/>
      </c>
      <c r="Y28">
        <f>HYPERLINK("https://klasma.github.io/Logging_1782/kartor_geotiff/A 32438-2026 georefererad karta.tif", "A 32438-2026")</f>
        <v/>
      </c>
      <c r="AA28">
        <f>HYPERLINK("https://klasma.github.io/Logging_1782/klagomål/A 32438-2026 FSC-klagomål.docx", "A 32438-2026")</f>
        <v/>
      </c>
      <c r="AB28">
        <f>HYPERLINK("https://klasma.github.io/Logging_1782/klagomålsmail/A 32438-2026 FSC-klagomål mail.docx", "A 32438-2026")</f>
        <v/>
      </c>
      <c r="AC28">
        <f>HYPERLINK("https://klasma.github.io/Logging_1782/tillsyn/A 32438-2026 tillsynsbegäran.docx", "A 32438-2026")</f>
        <v/>
      </c>
      <c r="AD28">
        <f>HYPERLINK("https://klasma.github.io/Logging_1782/tillsynsmail/A 32438-2026 tillsynsbegäran mail.docx", "A 32438-2026")</f>
        <v/>
      </c>
    </row>
    <row r="29" ht="15" customHeight="1">
      <c r="A29" t="inlineStr">
        <is>
          <t>A 33583-2026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46316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16.4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Bårdlav
Stuplav</t>
        </is>
      </c>
      <c r="W29">
        <f>HYPERLINK("https://klasma.github.io/Logging_1782/artfynd/A 33583-2026 artfynd.xlsx", "A 33583-2026")</f>
        <v/>
      </c>
      <c r="X29">
        <f>HYPERLINK("https://klasma.github.io/Logging_1782/kartor/A 33583-2026 karta.png", "A 33583-2026")</f>
        <v/>
      </c>
      <c r="Y29">
        <f>HYPERLINK("https://klasma.github.io/Logging_1782/kartor_geotiff/A 33583-2026 georefererad karta.tif", "A 33583-2026")</f>
        <v/>
      </c>
      <c r="AA29">
        <f>HYPERLINK("https://klasma.github.io/Logging_1782/klagomål/A 33583-2026 FSC-klagomål.docx", "A 33583-2026")</f>
        <v/>
      </c>
      <c r="AB29">
        <f>HYPERLINK("https://klasma.github.io/Logging_1782/klagomålsmail/A 33583-2026 FSC-klagomål mail.docx", "A 33583-2026")</f>
        <v/>
      </c>
      <c r="AC29">
        <f>HYPERLINK("https://klasma.github.io/Logging_1782/tillsyn/A 33583-2026 tillsynsbegäran.docx", "A 33583-2026")</f>
        <v/>
      </c>
      <c r="AD29">
        <f>HYPERLINK("https://klasma.github.io/Logging_1782/tillsynsmail/A 33583-2026 tillsynsbegäran mail.docx", "A 33583-2026")</f>
        <v/>
      </c>
    </row>
    <row r="30" ht="15" customHeight="1">
      <c r="A30" t="inlineStr">
        <is>
          <t>A 42542-2026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46308</v>
      </c>
      <c r="E30" s="1" t="n">
        <v>46316</v>
      </c>
      <c r="F30" t="inlineStr">
        <is>
          <t>VÄRMLANDS LÄN</t>
        </is>
      </c>
      <c r="G30" t="inlineStr">
        <is>
          <t>FILIPSTAD</t>
        </is>
      </c>
      <c r="I30" t="n">
        <v>3.2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Nattviol</t>
        </is>
      </c>
      <c r="W30">
        <f>HYPERLINK("https://klasma.github.io/Logging_1782/artfynd/A 42542-2026 artfynd.xlsx", "A 42542-2026")</f>
        <v/>
      </c>
      <c r="X30">
        <f>HYPERLINK("https://klasma.github.io/Logging_1782/kartor/A 42542-2026 karta.png", "A 42542-2026")</f>
        <v/>
      </c>
      <c r="Y30">
        <f>HYPERLINK("https://klasma.github.io/Logging_1782/kartor_geotiff/A 42542-2026 georefererad karta.tif", "A 42542-2026")</f>
        <v/>
      </c>
      <c r="AA30">
        <f>HYPERLINK("https://klasma.github.io/Logging_1782/klagomål/A 42542-2026 FSC-klagomål.docx", "A 42542-2026")</f>
        <v/>
      </c>
      <c r="AB30">
        <f>HYPERLINK("https://klasma.github.io/Logging_1782/klagomålsmail/A 42542-2026 FSC-klagomål mail.docx", "A 42542-2026")</f>
        <v/>
      </c>
      <c r="AC30">
        <f>HYPERLINK("https://klasma.github.io/Logging_1782/tillsyn/A 42542-2026 tillsynsbegäran.docx", "A 42542-2026")</f>
        <v/>
      </c>
      <c r="AD30">
        <f>HYPERLINK("https://klasma.github.io/Logging_1782/tillsynsmail/A 42542-2026 tillsynsbegäran mail.docx", "A 42542-2026")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46316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46316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46316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11453-2025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45726</v>
      </c>
      <c r="E34" s="1" t="n">
        <v>46316</v>
      </c>
      <c r="F34" t="inlineStr">
        <is>
          <t>VÄRMLANDS LÄN</t>
        </is>
      </c>
      <c r="G34" t="inlineStr">
        <is>
          <t>FILIPSTAD</t>
        </is>
      </c>
      <c r="I34" t="n">
        <v>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Purpurknipprot</t>
        </is>
      </c>
      <c r="W34">
        <f>HYPERLINK("https://klasma.github.io/Logging_1782/artfynd/A 11453-2025 artfynd.xlsx", "A 11453-2025")</f>
        <v/>
      </c>
      <c r="X34">
        <f>HYPERLINK("https://klasma.github.io/Logging_1782/kartor/A 11453-2025 karta.png", "A 11453-2025")</f>
        <v/>
      </c>
      <c r="Y34">
        <f>HYPERLINK("https://klasma.github.io/Logging_1782/kartor_geotiff/A 11453-2025 georefererad karta.tif", "A 11453-2025")</f>
        <v/>
      </c>
      <c r="AA34">
        <f>HYPERLINK("https://klasma.github.io/Logging_1782/klagomål/A 11453-2025 FSC-klagomål.docx", "A 11453-2025")</f>
        <v/>
      </c>
      <c r="AB34">
        <f>HYPERLINK("https://klasma.github.io/Logging_1782/klagomålsmail/A 11453-2025 FSC-klagomål mail.docx", "A 11453-2025")</f>
        <v/>
      </c>
      <c r="AC34">
        <f>HYPERLINK("https://klasma.github.io/Logging_1782/tillsyn/A 11453-2025 tillsynsbegäran.docx", "A 11453-2025")</f>
        <v/>
      </c>
      <c r="AD34">
        <f>HYPERLINK("https://klasma.github.io/Logging_1782/tillsynsmail/A 11453-2025 tillsynsbegäran mail.docx", "A 11453-2025")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46316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46316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46316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50776-2024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46316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15.5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HYPERLINK("https://klasma.github.io/Logging_1782/artfynd/A 50776-2024 artfynd.xlsx", "A 50776-2024")</f>
        <v/>
      </c>
      <c r="X38">
        <f>HYPERLINK("https://klasma.github.io/Logging_1782/kartor/A 50776-2024 karta.png", "A 50776-2024")</f>
        <v/>
      </c>
      <c r="Y38">
        <f>HYPERLINK("https://klasma.github.io/Logging_1782/kartor_geotiff/A 50776-2024 georefererad karta.tif", "A 50776-2024")</f>
        <v/>
      </c>
      <c r="AA38">
        <f>HYPERLINK("https://klasma.github.io/Logging_1782/klagomål/A 50776-2024 FSC-klagomål.docx", "A 50776-2024")</f>
        <v/>
      </c>
      <c r="AB38">
        <f>HYPERLINK("https://klasma.github.io/Logging_1782/klagomålsmail/A 50776-2024 FSC-klagomål mail.docx", "A 50776-2024")</f>
        <v/>
      </c>
      <c r="AC38">
        <f>HYPERLINK("https://klasma.github.io/Logging_1782/tillsyn/A 50776-2024 tillsynsbegäran.docx", "A 50776-2024")</f>
        <v/>
      </c>
      <c r="AD38">
        <f>HYPERLINK("https://klasma.github.io/Logging_1782/tillsynsmail/A 50776-2024 tillsynsbegäran mail.docx", "A 50776-2024")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46316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30652-2025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45831</v>
      </c>
      <c r="E40" s="1" t="n">
        <v>46316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HYPERLINK("https://klasma.github.io/Logging_1782/artfynd/A 30652-2025 artfynd.xlsx", "A 30652-2025")</f>
        <v/>
      </c>
      <c r="X40">
        <f>HYPERLINK("https://klasma.github.io/Logging_1782/kartor/A 30652-2025 karta.png", "A 30652-2025")</f>
        <v/>
      </c>
      <c r="Y40">
        <f>HYPERLINK("https://klasma.github.io/Logging_1782/kartor_geotiff/A 30652-2025 georefererad karta.tif", "A 30652-2025")</f>
        <v/>
      </c>
      <c r="AA40">
        <f>HYPERLINK("https://klasma.github.io/Logging_1782/klagomål/A 30652-2025 FSC-klagomål.docx", "A 30652-2025")</f>
        <v/>
      </c>
      <c r="AB40">
        <f>HYPERLINK("https://klasma.github.io/Logging_1782/klagomålsmail/A 30652-2025 FSC-klagomål mail.docx", "A 30652-2025")</f>
        <v/>
      </c>
      <c r="AC40">
        <f>HYPERLINK("https://klasma.github.io/Logging_1782/tillsyn/A 30652-2025 tillsynsbegäran.docx", "A 30652-2025")</f>
        <v/>
      </c>
      <c r="AD40">
        <f>HYPERLINK("https://klasma.github.io/Logging_1782/tillsynsmail/A 30652-2025 tillsynsbegäran mail.docx", "A 30652-2025")</f>
        <v/>
      </c>
      <c r="AE40">
        <f>HYPERLINK("https://klasma.github.io/Logging_1782/fåglar/A 30652-2025 prioriterade fågelarter.docx", "A 30652-2025")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46316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46316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46316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46316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46316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28989-2026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46316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7.2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28989-2026 artfynd.xlsx", "A 28989-2026")</f>
        <v/>
      </c>
      <c r="X46">
        <f>HYPERLINK("https://klasma.github.io/Logging_1782/kartor/A 28989-2026 karta.png", "A 28989-2026")</f>
        <v/>
      </c>
      <c r="Y46">
        <f>HYPERLINK("https://klasma.github.io/Logging_1782/kartor_geotiff/A 28989-2026 georefererad karta.tif", "A 28989-2026")</f>
        <v/>
      </c>
      <c r="AA46">
        <f>HYPERLINK("https://klasma.github.io/Logging_1782/klagomål/A 28989-2026 FSC-klagomål.docx", "A 28989-2026")</f>
        <v/>
      </c>
      <c r="AB46">
        <f>HYPERLINK("https://klasma.github.io/Logging_1782/klagomålsmail/A 28989-2026 FSC-klagomål mail.docx", "A 28989-2026")</f>
        <v/>
      </c>
      <c r="AC46">
        <f>HYPERLINK("https://klasma.github.io/Logging_1782/tillsyn/A 28989-2026 tillsynsbegäran.docx", "A 28989-2026")</f>
        <v/>
      </c>
      <c r="AD46">
        <f>HYPERLINK("https://klasma.github.io/Logging_1782/tillsynsmail/A 28989-2026 tillsynsbegäran mail.docx", "A 28989-2026")</f>
        <v/>
      </c>
    </row>
    <row r="47" ht="15" customHeight="1">
      <c r="A47" t="inlineStr">
        <is>
          <t>A 31257-2026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46316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10.2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Gräsull</t>
        </is>
      </c>
      <c r="W47">
        <f>HYPERLINK("https://klasma.github.io/Logging_1782/artfynd/A 31257-2026 artfynd.xlsx", "A 31257-2026")</f>
        <v/>
      </c>
      <c r="X47">
        <f>HYPERLINK("https://klasma.github.io/Logging_1782/kartor/A 31257-2026 karta.png", "A 31257-2026")</f>
        <v/>
      </c>
      <c r="Y47">
        <f>HYPERLINK("https://klasma.github.io/Logging_1782/kartor_geotiff/A 31257-2026 georefererad karta.tif", "A 31257-2026")</f>
        <v/>
      </c>
      <c r="AA47">
        <f>HYPERLINK("https://klasma.github.io/Logging_1782/klagomål/A 31257-2026 FSC-klagomål.docx", "A 31257-2026")</f>
        <v/>
      </c>
      <c r="AB47">
        <f>HYPERLINK("https://klasma.github.io/Logging_1782/klagomålsmail/A 31257-2026 FSC-klagomål mail.docx", "A 31257-2026")</f>
        <v/>
      </c>
      <c r="AC47">
        <f>HYPERLINK("https://klasma.github.io/Logging_1782/tillsyn/A 31257-2026 tillsynsbegäran.docx", "A 31257-2026")</f>
        <v/>
      </c>
      <c r="AD47">
        <f>HYPERLINK("https://klasma.github.io/Logging_1782/tillsynsmail/A 31257-2026 tillsynsbegäran mail.docx", "A 31257-2026")</f>
        <v/>
      </c>
    </row>
    <row r="48" ht="15" customHeight="1">
      <c r="A48" t="inlineStr">
        <is>
          <t>A 10138-2024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46316</v>
      </c>
      <c r="F48" t="inlineStr">
        <is>
          <t>VÄRMLANDS LÄN</t>
        </is>
      </c>
      <c r="G48" t="inlineStr">
        <is>
          <t>FILIPSTAD</t>
        </is>
      </c>
      <c r="H48" t="inlineStr">
        <is>
          <t>Kommuner</t>
        </is>
      </c>
      <c r="I48" t="n">
        <v>6.8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Purpurknipprot</t>
        </is>
      </c>
      <c r="W48">
        <f>HYPERLINK("https://klasma.github.io/Logging_1782/artfynd/A 10138-2024 artfynd.xlsx", "A 10138-2024")</f>
        <v/>
      </c>
      <c r="X48">
        <f>HYPERLINK("https://klasma.github.io/Logging_1782/kartor/A 10138-2024 karta.png", "A 10138-2024")</f>
        <v/>
      </c>
      <c r="Y48">
        <f>HYPERLINK("https://klasma.github.io/Logging_1782/kartor_geotiff/A 10138-2024 georefererad karta.tif", "A 10138-2024")</f>
        <v/>
      </c>
      <c r="AA48">
        <f>HYPERLINK("https://klasma.github.io/Logging_1782/klagomål/A 10138-2024 FSC-klagomål.docx", "A 10138-2024")</f>
        <v/>
      </c>
      <c r="AB48">
        <f>HYPERLINK("https://klasma.github.io/Logging_1782/klagomålsmail/A 10138-2024 FSC-klagomål mail.docx", "A 10138-2024")</f>
        <v/>
      </c>
      <c r="AC48">
        <f>HYPERLINK("https://klasma.github.io/Logging_1782/tillsyn/A 10138-2024 tillsynsbegäran.docx", "A 10138-2024")</f>
        <v/>
      </c>
      <c r="AD48">
        <f>HYPERLINK("https://klasma.github.io/Logging_1782/tillsynsmail/A 10138-2024 tillsynsbegäran mail.docx", "A 10138-2024")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46316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46316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46316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23046-2023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46316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HYPERLINK("https://klasma.github.io/Logging_1782/artfynd/A 23046-2023 artfynd.xlsx", "A 23046-2023")</f>
        <v/>
      </c>
      <c r="X52">
        <f>HYPERLINK("https://klasma.github.io/Logging_1782/kartor/A 23046-2023 karta.png", "A 23046-2023")</f>
        <v/>
      </c>
      <c r="Y52">
        <f>HYPERLINK("https://klasma.github.io/Logging_1782/kartor_geotiff/A 23046-2023 georefererad karta.tif", "A 23046-2023")</f>
        <v/>
      </c>
      <c r="Z52">
        <f>HYPERLINK("https://klasma.github.io/Logging_1782/knärot/A 23046-2023 karta knärot.png", "A 23046-2023")</f>
        <v/>
      </c>
      <c r="AA52">
        <f>HYPERLINK("https://klasma.github.io/Logging_1782/klagomål/A 23046-2023 FSC-klagomål.docx", "A 23046-2023")</f>
        <v/>
      </c>
      <c r="AB52">
        <f>HYPERLINK("https://klasma.github.io/Logging_1782/klagomålsmail/A 23046-2023 FSC-klagomål mail.docx", "A 23046-2023")</f>
        <v/>
      </c>
      <c r="AC52">
        <f>HYPERLINK("https://klasma.github.io/Logging_1782/tillsyn/A 23046-2023 tillsynsbegäran.docx", "A 23046-2023")</f>
        <v/>
      </c>
      <c r="AD52">
        <f>HYPERLINK("https://klasma.github.io/Logging_1782/tillsynsmail/A 23046-2023 tillsynsbegäran mail.docx", "A 23046-2023")</f>
        <v/>
      </c>
    </row>
    <row r="53" ht="15" customHeight="1">
      <c r="A53" t="inlineStr">
        <is>
          <t>A 46978-2023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45195</v>
      </c>
      <c r="E53" s="1" t="n">
        <v>46316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46978-2023 artfynd.xlsx", "A 46978-2023")</f>
        <v/>
      </c>
      <c r="X53">
        <f>HYPERLINK("https://klasma.github.io/Logging_1782/kartor/A 46978-2023 karta.png", "A 46978-2023")</f>
        <v/>
      </c>
      <c r="Y53">
        <f>HYPERLINK("https://klasma.github.io/Logging_1782/kartor_geotiff/A 46978-2023 georefererad karta.tif", "A 46978-2023")</f>
        <v/>
      </c>
      <c r="AA53">
        <f>HYPERLINK("https://klasma.github.io/Logging_1782/klagomål/A 46978-2023 FSC-klagomål.docx", "A 46978-2023")</f>
        <v/>
      </c>
      <c r="AB53">
        <f>HYPERLINK("https://klasma.github.io/Logging_1782/klagomålsmail/A 46978-2023 FSC-klagomål mail.docx", "A 46978-2023")</f>
        <v/>
      </c>
      <c r="AC53">
        <f>HYPERLINK("https://klasma.github.io/Logging_1782/tillsyn/A 46978-2023 tillsynsbegäran.docx", "A 46978-2023")</f>
        <v/>
      </c>
      <c r="AD53">
        <f>HYPERLINK("https://klasma.github.io/Logging_1782/tillsynsmail/A 46978-2023 tillsynsbegäran mail.docx", "A 46978-2023")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46316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46316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46316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46316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46316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46316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46316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46316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46316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46316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46316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46316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46316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46316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46316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46316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46316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46316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46316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46316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9270-2023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44980</v>
      </c>
      <c r="E77" s="1" t="n">
        <v>46316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46316</v>
      </c>
      <c r="F78" t="inlineStr">
        <is>
          <t>VÄRMLANDS LÄN</t>
        </is>
      </c>
      <c r="G78" t="inlineStr">
        <is>
          <t>FILIPSTAD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44805</v>
      </c>
      <c r="E79" s="1" t="n">
        <v>46316</v>
      </c>
      <c r="F79" t="inlineStr">
        <is>
          <t>VÄRMLANDS LÄN</t>
        </is>
      </c>
      <c r="G79" t="inlineStr">
        <is>
          <t>FILIPSTAD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54398-2024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46316</v>
      </c>
      <c r="F80" t="inlineStr">
        <is>
          <t>VÄRMLANDS LÄN</t>
        </is>
      </c>
      <c r="G80" t="inlineStr">
        <is>
          <t>FILIPSTAD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46316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25737-2023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46316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44963</v>
      </c>
      <c r="E83" s="1" t="n">
        <v>46316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45218</v>
      </c>
      <c r="E84" s="1" t="n">
        <v>46316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46316</v>
      </c>
      <c r="F85" t="inlineStr">
        <is>
          <t>VÄRMLANDS LÄN</t>
        </is>
      </c>
      <c r="G85" t="inlineStr">
        <is>
          <t>FILIPSTAD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45578</v>
      </c>
      <c r="E86" s="1" t="n">
        <v>46316</v>
      </c>
      <c r="F86" t="inlineStr">
        <is>
          <t>VÄRMLANDS LÄN</t>
        </is>
      </c>
      <c r="G86" t="inlineStr">
        <is>
          <t>FILIPSTAD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46316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46316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46316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46316</v>
      </c>
      <c r="F90" t="inlineStr">
        <is>
          <t>VÄRMLANDS LÄN</t>
        </is>
      </c>
      <c r="G90" t="inlineStr">
        <is>
          <t>FILIPSTAD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46316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14582-2025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45742</v>
      </c>
      <c r="E92" s="1" t="n">
        <v>46316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45790</v>
      </c>
      <c r="E93" s="1" t="n">
        <v>46316</v>
      </c>
      <c r="F93" t="inlineStr">
        <is>
          <t>VÄRMLANDS LÄN</t>
        </is>
      </c>
      <c r="G93" t="inlineStr">
        <is>
          <t>FILIPSTAD</t>
        </is>
      </c>
      <c r="H93" t="inlineStr">
        <is>
          <t>Kyrkan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46316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46316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46001</v>
      </c>
      <c r="E96" s="1" t="n">
        <v>46316</v>
      </c>
      <c r="F96" t="inlineStr">
        <is>
          <t>VÄRMLANDS LÄN</t>
        </is>
      </c>
      <c r="G96" t="inlineStr">
        <is>
          <t>FILIPSTAD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46001</v>
      </c>
      <c r="E97" s="1" t="n">
        <v>46316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61823-2025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46003</v>
      </c>
      <c r="E98" s="1" t="n">
        <v>46316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44743</v>
      </c>
      <c r="E99" s="1" t="n">
        <v>46316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46316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46003</v>
      </c>
      <c r="E101" s="1" t="n">
        <v>46316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46316</v>
      </c>
      <c r="F102" t="inlineStr">
        <is>
          <t>VÄRMLANDS LÄN</t>
        </is>
      </c>
      <c r="G102" t="inlineStr">
        <is>
          <t>FILIPSTAD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46316</v>
      </c>
      <c r="F103" t="inlineStr">
        <is>
          <t>VÄRMLANDS LÄN</t>
        </is>
      </c>
      <c r="G103" t="inlineStr">
        <is>
          <t>FILIPSTAD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46316</v>
      </c>
      <c r="F104" t="inlineStr">
        <is>
          <t>VÄRMLANDS LÄN</t>
        </is>
      </c>
      <c r="G104" t="inlineStr">
        <is>
          <t>FILIPSTAD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46316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46316</v>
      </c>
      <c r="F106" t="inlineStr">
        <is>
          <t>VÄRMLANDS LÄN</t>
        </is>
      </c>
      <c r="G106" t="inlineStr">
        <is>
          <t>FILIPSTAD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46316</v>
      </c>
      <c r="F107" t="inlineStr">
        <is>
          <t>VÄRMLANDS LÄN</t>
        </is>
      </c>
      <c r="G107" t="inlineStr">
        <is>
          <t>FILIPSTAD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46316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23399-2025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45792</v>
      </c>
      <c r="E109" s="1" t="n">
        <v>46316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46316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72118-2021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46316</v>
      </c>
      <c r="F111" t="inlineStr">
        <is>
          <t>VÄRMLANDS LÄN</t>
        </is>
      </c>
      <c r="G111" t="inlineStr">
        <is>
          <t>FILIPSTAD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46316</v>
      </c>
      <c r="F112" t="inlineStr">
        <is>
          <t>VÄRMLANDS LÄN</t>
        </is>
      </c>
      <c r="G112" t="inlineStr">
        <is>
          <t>FILIPSTAD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65174-2021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44515</v>
      </c>
      <c r="E113" s="1" t="n">
        <v>46316</v>
      </c>
      <c r="F113" t="inlineStr">
        <is>
          <t>VÄRMLANDS LÄN</t>
        </is>
      </c>
      <c r="G113" t="inlineStr">
        <is>
          <t>FILIPSTAD</t>
        </is>
      </c>
      <c r="I113" t="n">
        <v>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46316</v>
      </c>
      <c r="F114" t="inlineStr">
        <is>
          <t>VÄRMLANDS LÄN</t>
        </is>
      </c>
      <c r="G114" t="inlineStr">
        <is>
          <t>FILIPSTAD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46316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45439</v>
      </c>
      <c r="E116" s="1" t="n">
        <v>46316</v>
      </c>
      <c r="F116" t="inlineStr">
        <is>
          <t>VÄRMLANDS LÄN</t>
        </is>
      </c>
      <c r="G116" t="inlineStr">
        <is>
          <t>FILIPSTAD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46316</v>
      </c>
      <c r="F117" t="inlineStr">
        <is>
          <t>VÄRMLANDS LÄN</t>
        </is>
      </c>
      <c r="G117" t="inlineStr">
        <is>
          <t>FILIPSTAD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46316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45232</v>
      </c>
      <c r="E119" s="1" t="n">
        <v>46316</v>
      </c>
      <c r="F119" t="inlineStr">
        <is>
          <t>VÄRMLANDS LÄN</t>
        </is>
      </c>
      <c r="G119" t="inlineStr">
        <is>
          <t>FILIPSTAD</t>
        </is>
      </c>
      <c r="I119" t="n">
        <v>15.5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46004</v>
      </c>
      <c r="E120" s="1" t="n">
        <v>46316</v>
      </c>
      <c r="F120" t="inlineStr">
        <is>
          <t>VÄRMLANDS LÄN</t>
        </is>
      </c>
      <c r="G120" t="inlineStr">
        <is>
          <t>FILIPSTAD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46316</v>
      </c>
      <c r="F121" t="inlineStr">
        <is>
          <t>VÄRMLANDS LÄN</t>
        </is>
      </c>
      <c r="G121" t="inlineStr">
        <is>
          <t>FILIPSTAD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46004</v>
      </c>
      <c r="E122" s="1" t="n">
        <v>46316</v>
      </c>
      <c r="F122" t="inlineStr">
        <is>
          <t>VÄRMLANDS LÄN</t>
        </is>
      </c>
      <c r="G122" t="inlineStr">
        <is>
          <t>FILIPSTAD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44801</v>
      </c>
      <c r="E123" s="1" t="n">
        <v>46316</v>
      </c>
      <c r="F123" t="inlineStr">
        <is>
          <t>VÄRMLANDS LÄN</t>
        </is>
      </c>
      <c r="G123" t="inlineStr">
        <is>
          <t>FILIPSTAD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46316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46316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26116-2025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45805</v>
      </c>
      <c r="E126" s="1" t="n">
        <v>46316</v>
      </c>
      <c r="F126" t="inlineStr">
        <is>
          <t>VÄRMLANDS LÄN</t>
        </is>
      </c>
      <c r="G126" t="inlineStr">
        <is>
          <t>FILIPSTAD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26123-2025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45805</v>
      </c>
      <c r="E127" s="1" t="n">
        <v>46316</v>
      </c>
      <c r="F127" t="inlineStr">
        <is>
          <t>VÄRMLANDS LÄN</t>
        </is>
      </c>
      <c r="G127" t="inlineStr">
        <is>
          <t>FILIPSTAD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46014</v>
      </c>
      <c r="E128" s="1" t="n">
        <v>46316</v>
      </c>
      <c r="F128" t="inlineStr">
        <is>
          <t>VÄRMLANDS LÄN</t>
        </is>
      </c>
      <c r="G128" t="inlineStr">
        <is>
          <t>FILIPSTAD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53034-2022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46316</v>
      </c>
      <c r="F129" t="inlineStr">
        <is>
          <t>VÄRMLANDS LÄN</t>
        </is>
      </c>
      <c r="G129" t="inlineStr">
        <is>
          <t>FILIPSTAD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55978-2022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44889</v>
      </c>
      <c r="E130" s="1" t="n">
        <v>46316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46316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46316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45223</v>
      </c>
      <c r="E133" s="1" t="n">
        <v>46316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46316</v>
      </c>
      <c r="F134" t="inlineStr">
        <is>
          <t>VÄRMLANDS LÄN</t>
        </is>
      </c>
      <c r="G134" t="inlineStr">
        <is>
          <t>FILIPSTAD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16103-2025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45750</v>
      </c>
      <c r="E135" s="1" t="n">
        <v>46316</v>
      </c>
      <c r="F135" t="inlineStr">
        <is>
          <t>VÄRMLANDS LÄN</t>
        </is>
      </c>
      <c r="G135" t="inlineStr">
        <is>
          <t>FILIPSTAD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26599-2024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45469</v>
      </c>
      <c r="E136" s="1" t="n">
        <v>46316</v>
      </c>
      <c r="F136" t="inlineStr">
        <is>
          <t>VÄRMLANDS LÄN</t>
        </is>
      </c>
      <c r="G136" t="inlineStr">
        <is>
          <t>FILIPSTAD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41718-2025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45902</v>
      </c>
      <c r="E137" s="1" t="n">
        <v>46316</v>
      </c>
      <c r="F137" t="inlineStr">
        <is>
          <t>VÄRMLANDS LÄN</t>
        </is>
      </c>
      <c r="G137" t="inlineStr">
        <is>
          <t>FILIPSTAD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58611-2025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45986</v>
      </c>
      <c r="E138" s="1" t="n">
        <v>46316</v>
      </c>
      <c r="F138" t="inlineStr">
        <is>
          <t>VÄRMLANDS LÄN</t>
        </is>
      </c>
      <c r="G138" t="inlineStr">
        <is>
          <t>FILIPSTAD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46316</v>
      </c>
      <c r="F139" t="inlineStr">
        <is>
          <t>VÄRMLANDS LÄN</t>
        </is>
      </c>
      <c r="G139" t="inlineStr">
        <is>
          <t>FILIPSTAD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46316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46316</v>
      </c>
      <c r="F141" t="inlineStr">
        <is>
          <t>VÄRMLANDS LÄN</t>
        </is>
      </c>
      <c r="G141" t="inlineStr">
        <is>
          <t>FILIPSTAD</t>
        </is>
      </c>
      <c r="H141" t="inlineStr">
        <is>
          <t>Kyrkan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46316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46040</v>
      </c>
      <c r="E143" s="1" t="n">
        <v>46316</v>
      </c>
      <c r="F143" t="inlineStr">
        <is>
          <t>VÄRMLANDS LÄN</t>
        </is>
      </c>
      <c r="G143" t="inlineStr">
        <is>
          <t>FILIPSTAD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46316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46316</v>
      </c>
      <c r="F145" t="inlineStr">
        <is>
          <t>VÄRMLANDS LÄN</t>
        </is>
      </c>
      <c r="G145" t="inlineStr">
        <is>
          <t>FILIPSTAD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46316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46316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46316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46316</v>
      </c>
      <c r="F149" t="inlineStr">
        <is>
          <t>VÄRMLANDS LÄN</t>
        </is>
      </c>
      <c r="G149" t="inlineStr">
        <is>
          <t>FILIPSTAD</t>
        </is>
      </c>
      <c r="I149" t="n">
        <v>23.3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36680-2023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45153</v>
      </c>
      <c r="E150" s="1" t="n">
        <v>46316</v>
      </c>
      <c r="F150" t="inlineStr">
        <is>
          <t>VÄRMLANDS LÄN</t>
        </is>
      </c>
      <c r="G150" t="inlineStr">
        <is>
          <t>FILIPSTAD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46316</v>
      </c>
      <c r="F151" t="inlineStr">
        <is>
          <t>VÄRMLANDS LÄN</t>
        </is>
      </c>
      <c r="G151" t="inlineStr">
        <is>
          <t>FILIPSTAD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46316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46316</v>
      </c>
      <c r="F153" t="inlineStr">
        <is>
          <t>VÄRMLANDS LÄN</t>
        </is>
      </c>
      <c r="G153" t="inlineStr">
        <is>
          <t>FILIPSTAD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46316</v>
      </c>
      <c r="F154" t="inlineStr">
        <is>
          <t>VÄRMLANDS LÄN</t>
        </is>
      </c>
      <c r="G154" t="inlineStr">
        <is>
          <t>FILIPSTAD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46056</v>
      </c>
      <c r="E155" s="1" t="n">
        <v>46316</v>
      </c>
      <c r="F155" t="inlineStr">
        <is>
          <t>VÄRMLANDS LÄN</t>
        </is>
      </c>
      <c r="G155" t="inlineStr">
        <is>
          <t>FILIPSTAD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46316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46316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46316</v>
      </c>
      <c r="F158" t="inlineStr">
        <is>
          <t>VÄRMLANDS LÄN</t>
        </is>
      </c>
      <c r="G158" t="inlineStr">
        <is>
          <t>FILIPSTAD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46316</v>
      </c>
      <c r="F159" t="inlineStr">
        <is>
          <t>VÄRMLANDS LÄN</t>
        </is>
      </c>
      <c r="G159" t="inlineStr">
        <is>
          <t>FILIPSTAD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46316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46316</v>
      </c>
      <c r="F161" t="inlineStr">
        <is>
          <t>VÄRMLANDS LÄN</t>
        </is>
      </c>
      <c r="G161" t="inlineStr">
        <is>
          <t>FILIPSTAD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48103-2025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45933</v>
      </c>
      <c r="E162" s="1" t="n">
        <v>46316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46316</v>
      </c>
      <c r="F163" t="inlineStr">
        <is>
          <t>VÄRMLANDS LÄN</t>
        </is>
      </c>
      <c r="G163" t="inlineStr">
        <is>
          <t>FILIPSTAD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50856-2022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44867</v>
      </c>
      <c r="E164" s="1" t="n">
        <v>46316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46316</v>
      </c>
      <c r="F165" t="inlineStr">
        <is>
          <t>VÄRMLANDS LÄN</t>
        </is>
      </c>
      <c r="G165" t="inlineStr">
        <is>
          <t>FILIPSTAD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71971-2021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44544</v>
      </c>
      <c r="E166" s="1" t="n">
        <v>46316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46316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45245</v>
      </c>
      <c r="E168" s="1" t="n">
        <v>46316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46316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46092</v>
      </c>
      <c r="E170" s="1" t="n">
        <v>46316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45951</v>
      </c>
      <c r="E171" s="1" t="n">
        <v>46316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46316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46316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46316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46316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46316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46316</v>
      </c>
      <c r="F177" t="inlineStr">
        <is>
          <t>VÄRMLANDS LÄN</t>
        </is>
      </c>
      <c r="G177" t="inlineStr">
        <is>
          <t>FILIPSTAD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46098</v>
      </c>
      <c r="E178" s="1" t="n">
        <v>46316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46098</v>
      </c>
      <c r="E179" s="1" t="n">
        <v>46316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46099</v>
      </c>
      <c r="E180" s="1" t="n">
        <v>46316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46316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46316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46316</v>
      </c>
      <c r="F183" t="inlineStr">
        <is>
          <t>VÄRMLANDS LÄN</t>
        </is>
      </c>
      <c r="G183" t="inlineStr">
        <is>
          <t>FILIPSTAD</t>
        </is>
      </c>
      <c r="H183" t="inlineStr">
        <is>
          <t>Kyrkan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46316</v>
      </c>
      <c r="F184" t="inlineStr">
        <is>
          <t>VÄRMLANDS LÄN</t>
        </is>
      </c>
      <c r="G184" t="inlineStr">
        <is>
          <t>FILIPSTAD</t>
        </is>
      </c>
      <c r="H184" t="inlineStr">
        <is>
          <t>Kyrkan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46316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46316</v>
      </c>
      <c r="F186" t="inlineStr">
        <is>
          <t>VÄRMLANDS LÄN</t>
        </is>
      </c>
      <c r="G186" t="inlineStr">
        <is>
          <t>FILIPSTAD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46316</v>
      </c>
      <c r="F187" t="inlineStr">
        <is>
          <t>VÄRMLANDS LÄN</t>
        </is>
      </c>
      <c r="G187" t="inlineStr">
        <is>
          <t>FILIPSTAD</t>
        </is>
      </c>
      <c r="H187" t="inlineStr">
        <is>
          <t>Kyrkan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46316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46316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46316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46316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46316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46107</v>
      </c>
      <c r="E193" s="1" t="n">
        <v>46316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46107</v>
      </c>
      <c r="E194" s="1" t="n">
        <v>46316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46107</v>
      </c>
      <c r="E195" s="1" t="n">
        <v>46316</v>
      </c>
      <c r="F195" t="inlineStr">
        <is>
          <t>VÄRMLANDS LÄN</t>
        </is>
      </c>
      <c r="G195" t="inlineStr">
        <is>
          <t>FILIPSTAD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46108</v>
      </c>
      <c r="E196" s="1" t="n">
        <v>46316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16040-2026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46108</v>
      </c>
      <c r="E197" s="1" t="n">
        <v>46316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46316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31172-2025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45832</v>
      </c>
      <c r="E199" s="1" t="n">
        <v>46316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46114</v>
      </c>
      <c r="E200" s="1" t="n">
        <v>46316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45968</v>
      </c>
      <c r="E201" s="1" t="n">
        <v>46316</v>
      </c>
      <c r="F201" t="inlineStr">
        <is>
          <t>VÄRMLANDS LÄN</t>
        </is>
      </c>
      <c r="G201" t="inlineStr">
        <is>
          <t>FILIPSTAD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46316</v>
      </c>
      <c r="F202" t="inlineStr">
        <is>
          <t>VÄRMLANDS LÄN</t>
        </is>
      </c>
      <c r="G202" t="inlineStr">
        <is>
          <t>FILIPSTAD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32032-2025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45835</v>
      </c>
      <c r="E203" s="1" t="n">
        <v>46316</v>
      </c>
      <c r="F203" t="inlineStr">
        <is>
          <t>VÄRMLANDS LÄN</t>
        </is>
      </c>
      <c r="G203" t="inlineStr">
        <is>
          <t>FILIPSTAD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46316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46316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46316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46316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46316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46119</v>
      </c>
      <c r="E209" s="1" t="n">
        <v>46316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44788</v>
      </c>
      <c r="E210" s="1" t="n">
        <v>46316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46316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46316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46316</v>
      </c>
      <c r="F213" t="inlineStr">
        <is>
          <t>VÄRMLANDS LÄN</t>
        </is>
      </c>
      <c r="G213" t="inlineStr">
        <is>
          <t>FILIPSTAD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45427</v>
      </c>
      <c r="E214" s="1" t="n">
        <v>46316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46316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45638</v>
      </c>
      <c r="E216" s="1" t="n">
        <v>46316</v>
      </c>
      <c r="F216" t="inlineStr">
        <is>
          <t>VÄRMLANDS LÄN</t>
        </is>
      </c>
      <c r="G216" t="inlineStr">
        <is>
          <t>FILIPSTAD</t>
        </is>
      </c>
      <c r="H216" t="inlineStr">
        <is>
          <t>Kyrkan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46316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29825-2023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45107</v>
      </c>
      <c r="E218" s="1" t="n">
        <v>46316</v>
      </c>
      <c r="F218" t="inlineStr">
        <is>
          <t>VÄRMLANDS LÄN</t>
        </is>
      </c>
      <c r="G218" t="inlineStr">
        <is>
          <t>FILIPSTAD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46316</v>
      </c>
      <c r="F219" t="inlineStr">
        <is>
          <t>VÄRMLANDS LÄN</t>
        </is>
      </c>
      <c r="G219" t="inlineStr">
        <is>
          <t>FILIPSTAD</t>
        </is>
      </c>
      <c r="I219" t="n">
        <v>18.7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46316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46316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46316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46316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46126</v>
      </c>
      <c r="E224" s="1" t="n">
        <v>46316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46316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46316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46316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46316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46316</v>
      </c>
      <c r="F229" t="inlineStr">
        <is>
          <t>VÄRMLANDS LÄN</t>
        </is>
      </c>
      <c r="G229" t="inlineStr">
        <is>
          <t>FILIPSTAD</t>
        </is>
      </c>
      <c r="H229" t="inlineStr">
        <is>
          <t>Kyrkan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46316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46316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46316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46316</v>
      </c>
      <c r="F233" t="inlineStr">
        <is>
          <t>VÄRMLANDS LÄN</t>
        </is>
      </c>
      <c r="G233" t="inlineStr">
        <is>
          <t>FILIPSTAD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46316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46316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46316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46316</v>
      </c>
      <c r="F238" t="inlineStr">
        <is>
          <t>VÄRMLANDS LÄN</t>
        </is>
      </c>
      <c r="G238" t="inlineStr">
        <is>
          <t>FILIPSTAD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46316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33407-2025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45841</v>
      </c>
      <c r="E240" s="1" t="n">
        <v>46316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46316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46316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45114</v>
      </c>
      <c r="E243" s="1" t="n">
        <v>46316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46316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46316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46316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45985</v>
      </c>
      <c r="E247" s="1" t="n">
        <v>46316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46316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46316</v>
      </c>
      <c r="F249" t="inlineStr">
        <is>
          <t>VÄRMLANDS LÄN</t>
        </is>
      </c>
      <c r="G249" t="inlineStr">
        <is>
          <t>FILIPSTAD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46316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46316</v>
      </c>
      <c r="F251" t="inlineStr">
        <is>
          <t>VÄRMLANDS LÄN</t>
        </is>
      </c>
      <c r="G251" t="inlineStr">
        <is>
          <t>FILIPSTAD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46316</v>
      </c>
      <c r="F252" t="inlineStr">
        <is>
          <t>VÄRMLANDS LÄN</t>
        </is>
      </c>
      <c r="G252" t="inlineStr">
        <is>
          <t>FILIPSTAD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46316</v>
      </c>
      <c r="F253" t="inlineStr">
        <is>
          <t>VÄRMLANDS LÄN</t>
        </is>
      </c>
      <c r="G253" t="inlineStr">
        <is>
          <t>FILIPSTAD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46316</v>
      </c>
      <c r="F254" t="inlineStr">
        <is>
          <t>VÄRMLANDS LÄN</t>
        </is>
      </c>
      <c r="G254" t="inlineStr">
        <is>
          <t>FILIPSTAD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45989</v>
      </c>
      <c r="E255" s="1" t="n">
        <v>46316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46316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46316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46316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46316</v>
      </c>
      <c r="F259" t="inlineStr">
        <is>
          <t>VÄRMLANDS LÄN</t>
        </is>
      </c>
      <c r="G259" t="inlineStr">
        <is>
          <t>FILIPSTAD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46316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46316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46316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46316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46316</v>
      </c>
      <c r="F264" t="inlineStr">
        <is>
          <t>VÄRMLANDS LÄN</t>
        </is>
      </c>
      <c r="G264" t="inlineStr">
        <is>
          <t>FILIPSTAD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46316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46316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46316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46316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46316</v>
      </c>
      <c r="F269" t="inlineStr">
        <is>
          <t>VÄRMLANDS LÄN</t>
        </is>
      </c>
      <c r="G269" t="inlineStr">
        <is>
          <t>FILIPSTAD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46316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22830-2023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45072</v>
      </c>
      <c r="E271" s="1" t="n">
        <v>46316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22866-2023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45072</v>
      </c>
      <c r="E272" s="1" t="n">
        <v>46316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45996</v>
      </c>
      <c r="E273" s="1" t="n">
        <v>46316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46316</v>
      </c>
      <c r="F274" t="inlineStr">
        <is>
          <t>VÄRMLANDS LÄN</t>
        </is>
      </c>
      <c r="G274" t="inlineStr">
        <is>
          <t>FILIPSTAD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61492-2025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46001</v>
      </c>
      <c r="E275" s="1" t="n">
        <v>46316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46316</v>
      </c>
      <c r="F276" t="inlineStr">
        <is>
          <t>VÄRMLANDS LÄN</t>
        </is>
      </c>
      <c r="G276" t="inlineStr">
        <is>
          <t>FILIPSTAD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46316</v>
      </c>
      <c r="F277" t="inlineStr">
        <is>
          <t>VÄRMLANDS LÄN</t>
        </is>
      </c>
      <c r="G277" t="inlineStr">
        <is>
          <t>FILIPSTAD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46316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46316</v>
      </c>
      <c r="F279" t="inlineStr">
        <is>
          <t>VÄRMLANDS LÄN</t>
        </is>
      </c>
      <c r="G279" t="inlineStr">
        <is>
          <t>FILIPSTAD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61417-2025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46001</v>
      </c>
      <c r="E280" s="1" t="n">
        <v>46316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46316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46316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45420</v>
      </c>
      <c r="E283" s="1" t="n">
        <v>46316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46316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46316</v>
      </c>
      <c r="F285" t="inlineStr">
        <is>
          <t>VÄRMLANDS LÄN</t>
        </is>
      </c>
      <c r="G285" t="inlineStr">
        <is>
          <t>FILIPSTAD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46316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46316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46316</v>
      </c>
      <c r="F288" t="inlineStr">
        <is>
          <t>VÄRMLANDS LÄN</t>
        </is>
      </c>
      <c r="G288" t="inlineStr">
        <is>
          <t>FILIPSTAD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46316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46316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45870</v>
      </c>
      <c r="E291" s="1" t="n">
        <v>46316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46316</v>
      </c>
      <c r="F292" t="inlineStr">
        <is>
          <t>VÄRMLANDS LÄN</t>
        </is>
      </c>
      <c r="G292" t="inlineStr">
        <is>
          <t>FILIPSTAD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19351-2025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45769</v>
      </c>
      <c r="E293" s="1" t="n">
        <v>46316</v>
      </c>
      <c r="F293" t="inlineStr">
        <is>
          <t>VÄRMLANDS LÄN</t>
        </is>
      </c>
      <c r="G293" t="inlineStr">
        <is>
          <t>FILIPSTAD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33379-2025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46316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57588-2023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45891</v>
      </c>
      <c r="E296" s="1" t="n">
        <v>46316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46316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46316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46316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45671</v>
      </c>
      <c r="E300" s="1" t="n">
        <v>46316</v>
      </c>
      <c r="F300" t="inlineStr">
        <is>
          <t>VÄRMLANDS LÄN</t>
        </is>
      </c>
      <c r="G300" t="inlineStr">
        <is>
          <t>FILIPSTAD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31676-2025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46316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46316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46316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46316</v>
      </c>
      <c r="F304" t="inlineStr">
        <is>
          <t>VÄRMLANDS LÄN</t>
        </is>
      </c>
      <c r="G304" t="inlineStr">
        <is>
          <t>FILIPSTAD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46316</v>
      </c>
      <c r="F305" t="inlineStr">
        <is>
          <t>VÄRMLANDS LÄN</t>
        </is>
      </c>
      <c r="G305" t="inlineStr">
        <is>
          <t>FILIPSTAD</t>
        </is>
      </c>
      <c r="I305" t="n">
        <v>11.7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45124</v>
      </c>
      <c r="E306" s="1" t="n">
        <v>46316</v>
      </c>
      <c r="F306" t="inlineStr">
        <is>
          <t>VÄRMLANDS LÄN</t>
        </is>
      </c>
      <c r="G306" t="inlineStr">
        <is>
          <t>FILIPSTAD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46316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46316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46316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46316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45775</v>
      </c>
      <c r="E311" s="1" t="n">
        <v>46316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46316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46316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46316</v>
      </c>
      <c r="F314" t="inlineStr">
        <is>
          <t>VÄRMLANDS LÄN</t>
        </is>
      </c>
      <c r="G314" t="inlineStr">
        <is>
          <t>FILIPSTAD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63482-2021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44508</v>
      </c>
      <c r="E315" s="1" t="n">
        <v>46316</v>
      </c>
      <c r="F315" t="inlineStr">
        <is>
          <t>VÄRMLANDS LÄN</t>
        </is>
      </c>
      <c r="G315" t="inlineStr">
        <is>
          <t>FILIPSTAD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46316</v>
      </c>
      <c r="F316" t="inlineStr">
        <is>
          <t>VÄRMLANDS LÄN</t>
        </is>
      </c>
      <c r="G316" t="inlineStr">
        <is>
          <t>FILIPSTAD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45744</v>
      </c>
      <c r="E317" s="1" t="n">
        <v>46316</v>
      </c>
      <c r="F317" t="inlineStr">
        <is>
          <t>VÄRMLANDS LÄN</t>
        </is>
      </c>
      <c r="G317" t="inlineStr">
        <is>
          <t>FILIPSTAD</t>
        </is>
      </c>
      <c r="H317" t="inlineStr">
        <is>
          <t>Kommuner</t>
        </is>
      </c>
      <c r="I317" t="n">
        <v>17.7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46316</v>
      </c>
      <c r="F318" t="inlineStr">
        <is>
          <t>VÄRMLANDS LÄN</t>
        </is>
      </c>
      <c r="G318" t="inlineStr">
        <is>
          <t>FILIPSTAD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46316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56840-2024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45628</v>
      </c>
      <c r="E320" s="1" t="n">
        <v>46316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45408</v>
      </c>
      <c r="E321" s="1" t="n">
        <v>46316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45087</v>
      </c>
      <c r="E322" s="1" t="n">
        <v>46316</v>
      </c>
      <c r="F322" t="inlineStr">
        <is>
          <t>VÄRMLANDS LÄN</t>
        </is>
      </c>
      <c r="G322" t="inlineStr">
        <is>
          <t>FILIPSTAD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45088</v>
      </c>
      <c r="E323" s="1" t="n">
        <v>46316</v>
      </c>
      <c r="F323" t="inlineStr">
        <is>
          <t>VÄRMLANDS LÄN</t>
        </is>
      </c>
      <c r="G323" t="inlineStr">
        <is>
          <t>FILIPSTAD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46316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46316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46316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46316</v>
      </c>
      <c r="F327" t="inlineStr">
        <is>
          <t>VÄRMLANDS LÄN</t>
        </is>
      </c>
      <c r="G327" t="inlineStr">
        <is>
          <t>FILIPSTAD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46316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46316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46316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46316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46316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46316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46316</v>
      </c>
      <c r="F334" t="inlineStr">
        <is>
          <t>VÄRMLANDS LÄN</t>
        </is>
      </c>
      <c r="G334" t="inlineStr">
        <is>
          <t>FILIPSTAD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46316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46316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46316</v>
      </c>
      <c r="F337" t="inlineStr">
        <is>
          <t>VÄRMLANDS LÄN</t>
        </is>
      </c>
      <c r="G337" t="inlineStr">
        <is>
          <t>FILIPSTAD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46316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46316</v>
      </c>
      <c r="F339" t="inlineStr">
        <is>
          <t>VÄRMLANDS LÄN</t>
        </is>
      </c>
      <c r="G339" t="inlineStr">
        <is>
          <t>FILIPSTAD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45167</v>
      </c>
      <c r="E340" s="1" t="n">
        <v>46316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61741-2022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44911</v>
      </c>
      <c r="E341" s="1" t="n">
        <v>46316</v>
      </c>
      <c r="F341" t="inlineStr">
        <is>
          <t>VÄRMLANDS LÄN</t>
        </is>
      </c>
      <c r="G341" t="inlineStr">
        <is>
          <t>FILIPSTAD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46316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45257</v>
      </c>
      <c r="E343" s="1" t="n">
        <v>46316</v>
      </c>
      <c r="F343" t="inlineStr">
        <is>
          <t>VÄRMLANDS LÄN</t>
        </is>
      </c>
      <c r="G343" t="inlineStr">
        <is>
          <t>FILIPSTAD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28161-2023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45093</v>
      </c>
      <c r="E344" s="1" t="n">
        <v>46316</v>
      </c>
      <c r="F344" t="inlineStr">
        <is>
          <t>VÄRMLANDS LÄN</t>
        </is>
      </c>
      <c r="G344" t="inlineStr">
        <is>
          <t>FILIPSTAD</t>
        </is>
      </c>
      <c r="H344" t="inlineStr">
        <is>
          <t>Kommuner</t>
        </is>
      </c>
      <c r="I344" t="n">
        <v>15.4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46316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46316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45418</v>
      </c>
      <c r="E347" s="1" t="n">
        <v>46316</v>
      </c>
      <c r="F347" t="inlineStr">
        <is>
          <t>VÄRMLANDS LÄN</t>
        </is>
      </c>
      <c r="G347" t="inlineStr">
        <is>
          <t>FILIPSTAD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46316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46316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46316</v>
      </c>
      <c r="F350" t="inlineStr">
        <is>
          <t>VÄRMLANDS LÄN</t>
        </is>
      </c>
      <c r="G350" t="inlineStr">
        <is>
          <t>FILIPSTAD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46316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46316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46316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46316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46316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46316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46316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46316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46316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46316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53348-2023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45229</v>
      </c>
      <c r="E361" s="1" t="n">
        <v>46316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46316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45393</v>
      </c>
      <c r="E363" s="1" t="n">
        <v>46316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46316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46316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46316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46316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46316</v>
      </c>
      <c r="F368" t="inlineStr">
        <is>
          <t>VÄRMLANDS LÄN</t>
        </is>
      </c>
      <c r="G368" t="inlineStr">
        <is>
          <t>FILIPSTAD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46169</v>
      </c>
      <c r="E369" s="1" t="n">
        <v>46316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46316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46169</v>
      </c>
      <c r="E371" s="1" t="n">
        <v>46316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49935-2025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45940</v>
      </c>
      <c r="E372" s="1" t="n">
        <v>46316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46316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46316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46316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46316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46316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46316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46316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46316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46316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36251-2022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44803</v>
      </c>
      <c r="E382" s="1" t="n">
        <v>46316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45364</v>
      </c>
      <c r="E383" s="1" t="n">
        <v>46316</v>
      </c>
      <c r="F383" t="inlineStr">
        <is>
          <t>VÄRMLANDS LÄN</t>
        </is>
      </c>
      <c r="G383" t="inlineStr">
        <is>
          <t>FILIPSTAD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45658</v>
      </c>
      <c r="E384" s="1" t="n">
        <v>46316</v>
      </c>
      <c r="F384" t="inlineStr">
        <is>
          <t>VÄRMLANDS LÄN</t>
        </is>
      </c>
      <c r="G384" t="inlineStr">
        <is>
          <t>FILIPSTAD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46316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45749</v>
      </c>
      <c r="E386" s="1" t="n">
        <v>46316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46316</v>
      </c>
      <c r="F387" t="inlineStr">
        <is>
          <t>VÄRMLANDS LÄN</t>
        </is>
      </c>
      <c r="G387" t="inlineStr">
        <is>
          <t>FILIPSTAD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46316</v>
      </c>
      <c r="F388" t="inlineStr">
        <is>
          <t>VÄRMLANDS LÄN</t>
        </is>
      </c>
      <c r="G388" t="inlineStr">
        <is>
          <t>FILIPSTAD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46316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45401</v>
      </c>
      <c r="E390" s="1" t="n">
        <v>46316</v>
      </c>
      <c r="F390" t="inlineStr">
        <is>
          <t>VÄRMLANDS LÄN</t>
        </is>
      </c>
      <c r="G390" t="inlineStr">
        <is>
          <t>FILIPSTAD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45618</v>
      </c>
      <c r="E391" s="1" t="n">
        <v>46316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12837-2024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45384</v>
      </c>
      <c r="E392" s="1" t="n">
        <v>46316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46316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46316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45229</v>
      </c>
      <c r="E395" s="1" t="n">
        <v>46316</v>
      </c>
      <c r="F395" t="inlineStr">
        <is>
          <t>VÄRMLANDS LÄN</t>
        </is>
      </c>
      <c r="G395" t="inlineStr">
        <is>
          <t>FILIPSTAD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46316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45484</v>
      </c>
      <c r="E397" s="1" t="n">
        <v>46316</v>
      </c>
      <c r="F397" t="inlineStr">
        <is>
          <t>VÄRMLANDS LÄN</t>
        </is>
      </c>
      <c r="G397" t="inlineStr">
        <is>
          <t>FILIPSTAD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46316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9.300000000000001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46316</v>
      </c>
      <c r="F399" t="inlineStr">
        <is>
          <t>VÄRMLANDS LÄN</t>
        </is>
      </c>
      <c r="G399" t="inlineStr">
        <is>
          <t>FILIPSTAD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46316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46316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46316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45222</v>
      </c>
      <c r="E403" s="1" t="n">
        <v>46316</v>
      </c>
      <c r="F403" t="inlineStr">
        <is>
          <t>VÄRMLANDS LÄN</t>
        </is>
      </c>
      <c r="G403" t="inlineStr">
        <is>
          <t>FILIPSTAD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46316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46316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46316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46316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46316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46316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46316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46316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46316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46187</v>
      </c>
      <c r="E413" s="1" t="n">
        <v>46316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46316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46316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46186</v>
      </c>
      <c r="E416" s="1" t="n">
        <v>46316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46316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45588</v>
      </c>
      <c r="E418" s="1" t="n">
        <v>46316</v>
      </c>
      <c r="F418" t="inlineStr">
        <is>
          <t>VÄRMLANDS LÄN</t>
        </is>
      </c>
      <c r="G418" t="inlineStr">
        <is>
          <t>FILIPSTAD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45391</v>
      </c>
      <c r="E419" s="1" t="n">
        <v>46316</v>
      </c>
      <c r="F419" t="inlineStr">
        <is>
          <t>VÄRMLANDS LÄN</t>
        </is>
      </c>
      <c r="G419" t="inlineStr">
        <is>
          <t>FILIPSTAD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70405-2021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46316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46316</v>
      </c>
      <c r="F421" t="inlineStr">
        <is>
          <t>VÄRMLANDS LÄN</t>
        </is>
      </c>
      <c r="G421" t="inlineStr">
        <is>
          <t>FILIPSTAD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46316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46316</v>
      </c>
      <c r="F423" t="inlineStr">
        <is>
          <t>VÄRMLANDS LÄN</t>
        </is>
      </c>
      <c r="G423" t="inlineStr">
        <is>
          <t>FILIPSTAD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45947</v>
      </c>
      <c r="E424" s="1" t="n">
        <v>46316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46316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46316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46316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46316</v>
      </c>
      <c r="F428" t="inlineStr">
        <is>
          <t>VÄRMLANDS LÄN</t>
        </is>
      </c>
      <c r="G428" t="inlineStr">
        <is>
          <t>FILIPSTAD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46316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45037</v>
      </c>
      <c r="E430" s="1" t="n">
        <v>46316</v>
      </c>
      <c r="F430" t="inlineStr">
        <is>
          <t>VÄRMLANDS LÄN</t>
        </is>
      </c>
      <c r="G430" t="inlineStr">
        <is>
          <t>FILIPSTAD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33671-2022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44789</v>
      </c>
      <c r="E431" s="1" t="n">
        <v>46316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36827-2022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46316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46316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46316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45133</v>
      </c>
      <c r="E435" s="1" t="n">
        <v>46316</v>
      </c>
      <c r="F435" t="inlineStr">
        <is>
          <t>VÄRMLANDS LÄN</t>
        </is>
      </c>
      <c r="G435" t="inlineStr">
        <is>
          <t>FILIPSTAD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46316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46316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46203</v>
      </c>
      <c r="E438" s="1" t="n">
        <v>46316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46316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46090</v>
      </c>
      <c r="E440" s="1" t="n">
        <v>46316</v>
      </c>
      <c r="F440" t="inlineStr">
        <is>
          <t>VÄRMLANDS LÄN</t>
        </is>
      </c>
      <c r="G440" t="inlineStr">
        <is>
          <t>FILIPSTAD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24054-2024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45456</v>
      </c>
      <c r="E441" s="1" t="n">
        <v>46316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46203</v>
      </c>
      <c r="E442" s="1" t="n">
        <v>46316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46316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46316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46316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46316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46316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46316</v>
      </c>
      <c r="F448" t="inlineStr">
        <is>
          <t>VÄRMLANDS LÄN</t>
        </is>
      </c>
      <c r="G448" t="inlineStr">
        <is>
          <t>FILIPSTAD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46257-2022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44847</v>
      </c>
      <c r="E449" s="1" t="n">
        <v>46316</v>
      </c>
      <c r="F449" t="inlineStr">
        <is>
          <t>VÄRMLANDS LÄN</t>
        </is>
      </c>
      <c r="G449" t="inlineStr">
        <is>
          <t>FILIPSTAD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46316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46316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46316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46316</v>
      </c>
      <c r="F453" t="inlineStr">
        <is>
          <t>VÄRMLANDS LÄN</t>
        </is>
      </c>
      <c r="G453" t="inlineStr">
        <is>
          <t>FILIPSTAD</t>
        </is>
      </c>
      <c r="I453" t="n">
        <v>15.8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46316</v>
      </c>
      <c r="F454" t="inlineStr">
        <is>
          <t>VÄRMLANDS LÄN</t>
        </is>
      </c>
      <c r="G454" t="inlineStr">
        <is>
          <t>FILIPSTAD</t>
        </is>
      </c>
      <c r="H454" t="inlineStr">
        <is>
          <t>Kommuner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29473-2024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45484</v>
      </c>
      <c r="E455" s="1" t="n">
        <v>46316</v>
      </c>
      <c r="F455" t="inlineStr">
        <is>
          <t>VÄRMLANDS LÄN</t>
        </is>
      </c>
      <c r="G455" t="inlineStr">
        <is>
          <t>FILIPSTAD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46316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44588</v>
      </c>
      <c r="E457" s="1" t="n">
        <v>46316</v>
      </c>
      <c r="F457" t="inlineStr">
        <is>
          <t>VÄRMLANDS LÄN</t>
        </is>
      </c>
      <c r="G457" t="inlineStr">
        <is>
          <t>FILIPSTAD</t>
        </is>
      </c>
      <c r="H457" t="inlineStr">
        <is>
          <t>Kommuner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46316</v>
      </c>
      <c r="F458" t="inlineStr">
        <is>
          <t>VÄRMLANDS LÄN</t>
        </is>
      </c>
      <c r="G458" t="inlineStr">
        <is>
          <t>FILIPSTAD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46223</v>
      </c>
      <c r="E459" s="1" t="n">
        <v>46316</v>
      </c>
      <c r="F459" t="inlineStr">
        <is>
          <t>VÄRMLANDS LÄN</t>
        </is>
      </c>
      <c r="G459" t="inlineStr">
        <is>
          <t>FILIPSTAD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45063</v>
      </c>
      <c r="E460" s="1" t="n">
        <v>46316</v>
      </c>
      <c r="F460" t="inlineStr">
        <is>
          <t>VÄRMLANDS LÄN</t>
        </is>
      </c>
      <c r="G460" t="inlineStr">
        <is>
          <t>FILIPSTAD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31537-2026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46223</v>
      </c>
      <c r="E461" s="1" t="n">
        <v>46316</v>
      </c>
      <c r="F461" t="inlineStr">
        <is>
          <t>VÄRMLANDS LÄN</t>
        </is>
      </c>
      <c r="G461" t="inlineStr">
        <is>
          <t>FILIPSTAD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46219</v>
      </c>
      <c r="E462" s="1" t="n">
        <v>46316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44981</v>
      </c>
      <c r="E463" s="1" t="n">
        <v>46316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8.1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47536-2023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45203</v>
      </c>
      <c r="E464" s="1" t="n">
        <v>46316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45463</v>
      </c>
      <c r="E465" s="1" t="n">
        <v>46316</v>
      </c>
      <c r="F465" t="inlineStr">
        <is>
          <t>VÄRMLANDS LÄN</t>
        </is>
      </c>
      <c r="G465" t="inlineStr">
        <is>
          <t>FILIPSTAD</t>
        </is>
      </c>
      <c r="I465" t="n">
        <v>13.2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46316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46316</v>
      </c>
      <c r="F467" t="inlineStr">
        <is>
          <t>VÄRMLANDS LÄN</t>
        </is>
      </c>
      <c r="G467" t="inlineStr">
        <is>
          <t>FILIPSTAD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46316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46316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46226</v>
      </c>
      <c r="E470" s="1" t="n">
        <v>46316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46316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46227</v>
      </c>
      <c r="E472" s="1" t="n">
        <v>46316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46186</v>
      </c>
      <c r="E473" s="1" t="n">
        <v>46316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46232</v>
      </c>
      <c r="E474" s="1" t="n">
        <v>46316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37249-2026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46316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46231</v>
      </c>
      <c r="E476" s="1" t="n">
        <v>46316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46232</v>
      </c>
      <c r="E477" s="1" t="n">
        <v>46316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46232</v>
      </c>
      <c r="E478" s="1" t="n">
        <v>46316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8.699999999999999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46316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46276</v>
      </c>
      <c r="E480" s="1" t="n">
        <v>46316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46316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46233</v>
      </c>
      <c r="E483" s="1" t="n">
        <v>46316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46316</v>
      </c>
      <c r="F484" t="inlineStr">
        <is>
          <t>VÄRMLANDS LÄN</t>
        </is>
      </c>
      <c r="G484" t="inlineStr">
        <is>
          <t>FILIPSTAD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46316</v>
      </c>
      <c r="F485" t="inlineStr">
        <is>
          <t>VÄRMLANDS LÄN</t>
        </is>
      </c>
      <c r="G485" t="inlineStr">
        <is>
          <t>FILIPSTAD</t>
        </is>
      </c>
      <c r="H485" t="inlineStr">
        <is>
          <t>Kommuner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46233</v>
      </c>
      <c r="E486" s="1" t="n">
        <v>46316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45578</v>
      </c>
      <c r="E487" s="1" t="n">
        <v>46316</v>
      </c>
      <c r="F487" t="inlineStr">
        <is>
          <t>VÄRMLANDS LÄN</t>
        </is>
      </c>
      <c r="G487" t="inlineStr">
        <is>
          <t>FILIPSTAD</t>
        </is>
      </c>
      <c r="I487" t="n">
        <v>27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46281</v>
      </c>
      <c r="E488" s="1" t="n">
        <v>46316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45120</v>
      </c>
      <c r="E489" s="1" t="n">
        <v>46316</v>
      </c>
      <c r="F489" t="inlineStr">
        <is>
          <t>VÄRMLANDS LÄN</t>
        </is>
      </c>
      <c r="G489" t="inlineStr">
        <is>
          <t>FILIPSTAD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46316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46316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46316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46282</v>
      </c>
      <c r="E493" s="1" t="n">
        <v>46316</v>
      </c>
      <c r="F493" t="inlineStr">
        <is>
          <t>VÄRMLANDS LÄN</t>
        </is>
      </c>
      <c r="G493" t="inlineStr">
        <is>
          <t>FILIPSTAD</t>
        </is>
      </c>
      <c r="H493" t="inlineStr">
        <is>
          <t>Kyrkan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46316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46316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46316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46316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47344-2023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45202</v>
      </c>
      <c r="E498" s="1" t="n">
        <v>46316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46283</v>
      </c>
      <c r="E499" s="1" t="n">
        <v>46316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46316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46316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46287</v>
      </c>
      <c r="E502" s="1" t="n">
        <v>46316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38820-2026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46316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46129</v>
      </c>
      <c r="E504" s="1" t="n">
        <v>46316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45418</v>
      </c>
      <c r="E505" s="1" t="n">
        <v>46316</v>
      </c>
      <c r="F505" t="inlineStr">
        <is>
          <t>VÄRMLANDS LÄN</t>
        </is>
      </c>
      <c r="G505" t="inlineStr">
        <is>
          <t>FILIPSTAD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11680-2023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44994</v>
      </c>
      <c r="E506" s="1" t="n">
        <v>46316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46316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46316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46316</v>
      </c>
      <c r="F509" t="inlineStr">
        <is>
          <t>VÄRMLANDS LÄN</t>
        </is>
      </c>
      <c r="G509" t="inlineStr">
        <is>
          <t>FILIPSTAD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54145-2024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45616</v>
      </c>
      <c r="E510" s="1" t="n">
        <v>46316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46241</v>
      </c>
      <c r="E511" s="1" t="n">
        <v>46316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46316</v>
      </c>
      <c r="F512" t="inlineStr">
        <is>
          <t>VÄRMLANDS LÄN</t>
        </is>
      </c>
      <c r="G512" t="inlineStr">
        <is>
          <t>FILIPSTAD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55397-2022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44887</v>
      </c>
      <c r="E513" s="1" t="n">
        <v>46316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46316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41075-2023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46316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39591-2026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46289</v>
      </c>
      <c r="E516" s="1" t="n">
        <v>46316</v>
      </c>
      <c r="F516" t="inlineStr">
        <is>
          <t>VÄRMLANDS LÄN</t>
        </is>
      </c>
      <c r="G516" t="inlineStr">
        <is>
          <t>FILIPSTAD</t>
        </is>
      </c>
      <c r="H516" t="inlineStr">
        <is>
          <t>Kyrkan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46316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39373-2026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46288</v>
      </c>
      <c r="E518" s="1" t="n">
        <v>46316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46316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39333-2026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46288</v>
      </c>
      <c r="E520" s="1" t="n">
        <v>46316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45014</v>
      </c>
      <c r="E521" s="1" t="n">
        <v>46316</v>
      </c>
      <c r="F521" t="inlineStr">
        <is>
          <t>VÄRMLANDS LÄN</t>
        </is>
      </c>
      <c r="G521" t="inlineStr">
        <is>
          <t>FILIPSTAD</t>
        </is>
      </c>
      <c r="H521" t="inlineStr">
        <is>
          <t>Kyrkan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4819-2023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44957</v>
      </c>
      <c r="E522" s="1" t="n">
        <v>46316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46290</v>
      </c>
      <c r="E523" s="1" t="n">
        <v>46316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46316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46316</v>
      </c>
      <c r="F525" t="inlineStr">
        <is>
          <t>VÄRMLANDS LÄN</t>
        </is>
      </c>
      <c r="G525" t="inlineStr">
        <is>
          <t>FILIPSTAD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46316</v>
      </c>
      <c r="F526" t="inlineStr">
        <is>
          <t>VÄRMLANDS LÄN</t>
        </is>
      </c>
      <c r="G526" t="inlineStr">
        <is>
          <t>FILIPSTAD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46293</v>
      </c>
      <c r="E527" s="1" t="n">
        <v>46316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40121-2026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46293</v>
      </c>
      <c r="E528" s="1" t="n">
        <v>46316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32185-2024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45511</v>
      </c>
      <c r="E529" s="1" t="n">
        <v>46316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44596</v>
      </c>
      <c r="E530" s="1" t="n">
        <v>46316</v>
      </c>
      <c r="F530" t="inlineStr">
        <is>
          <t>VÄRMLANDS LÄN</t>
        </is>
      </c>
      <c r="G530" t="inlineStr">
        <is>
          <t>FILIPSTAD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43635-2023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45186</v>
      </c>
      <c r="E531" s="1" t="n">
        <v>46316</v>
      </c>
      <c r="F531" t="inlineStr">
        <is>
          <t>VÄRMLANDS LÄN</t>
        </is>
      </c>
      <c r="G531" t="inlineStr">
        <is>
          <t>FILIPSTAD</t>
        </is>
      </c>
      <c r="I531" t="n">
        <v>15.3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40113-2026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46293</v>
      </c>
      <c r="E532" s="1" t="n">
        <v>46316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45569</v>
      </c>
      <c r="E533" s="1" t="n">
        <v>46316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45114</v>
      </c>
      <c r="E534" s="1" t="n">
        <v>46316</v>
      </c>
      <c r="F534" t="inlineStr">
        <is>
          <t>VÄRMLANDS LÄN</t>
        </is>
      </c>
      <c r="G534" t="inlineStr">
        <is>
          <t>FILIPSTAD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46316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46316</v>
      </c>
      <c r="F536" t="inlineStr">
        <is>
          <t>VÄRMLANDS LÄN</t>
        </is>
      </c>
      <c r="G536" t="inlineStr">
        <is>
          <t>FILIPSTAD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46316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46251</v>
      </c>
      <c r="E538" s="1" t="n">
        <v>46316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19030-2022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44691</v>
      </c>
      <c r="E539" s="1" t="n">
        <v>46316</v>
      </c>
      <c r="F539" t="inlineStr">
        <is>
          <t>VÄRMLANDS LÄN</t>
        </is>
      </c>
      <c r="G539" t="inlineStr">
        <is>
          <t>FILIPSTAD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46316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46316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45096</v>
      </c>
      <c r="E543" s="1" t="n">
        <v>46316</v>
      </c>
      <c r="F543" t="inlineStr">
        <is>
          <t>VÄRMLANDS LÄN</t>
        </is>
      </c>
      <c r="G543" t="inlineStr">
        <is>
          <t>FILIPSTAD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48908-2023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45195</v>
      </c>
      <c r="E544" s="1" t="n">
        <v>46316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46316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46316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46316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33866-2026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46251</v>
      </c>
      <c r="E548" s="1" t="n">
        <v>46316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45655</v>
      </c>
      <c r="E549" s="1" t="n">
        <v>46316</v>
      </c>
      <c r="F549" t="inlineStr">
        <is>
          <t>VÄRMLANDS LÄN</t>
        </is>
      </c>
      <c r="G549" t="inlineStr">
        <is>
          <t>FILIPSTAD</t>
        </is>
      </c>
      <c r="I549" t="n">
        <v>26.5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62014-2024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45655</v>
      </c>
      <c r="E550" s="1" t="n">
        <v>46316</v>
      </c>
      <c r="F550" t="inlineStr">
        <is>
          <t>VÄRMLANDS LÄN</t>
        </is>
      </c>
      <c r="G550" t="inlineStr">
        <is>
          <t>FILIPSTAD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46316</v>
      </c>
      <c r="F551" t="inlineStr">
        <is>
          <t>VÄRMLANDS LÄN</t>
        </is>
      </c>
      <c r="G551" t="inlineStr">
        <is>
          <t>FILIPSTAD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44935</v>
      </c>
      <c r="E552" s="1" t="n">
        <v>46316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46316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46213</v>
      </c>
      <c r="E554" s="1" t="n">
        <v>46316</v>
      </c>
      <c r="F554" t="inlineStr">
        <is>
          <t>VÄRMLANDS LÄN</t>
        </is>
      </c>
      <c r="G554" t="inlineStr">
        <is>
          <t>FILIPSTAD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45230</v>
      </c>
      <c r="E555" s="1" t="n">
        <v>46316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9.9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46316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46316</v>
      </c>
      <c r="F557" t="inlineStr">
        <is>
          <t>VÄRMLANDS LÄN</t>
        </is>
      </c>
      <c r="G557" t="inlineStr">
        <is>
          <t>FILIPSTAD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46316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19.2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45184</v>
      </c>
      <c r="E559" s="1" t="n">
        <v>46316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41229-2026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46297</v>
      </c>
      <c r="E560" s="1" t="n">
        <v>46316</v>
      </c>
      <c r="F560" t="inlineStr">
        <is>
          <t>VÄRMLANDS LÄN</t>
        </is>
      </c>
      <c r="G560" t="inlineStr">
        <is>
          <t>FILIPSTAD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45124</v>
      </c>
      <c r="E561" s="1" t="n">
        <v>46316</v>
      </c>
      <c r="F561" t="inlineStr">
        <is>
          <t>VÄRMLANDS LÄN</t>
        </is>
      </c>
      <c r="G561" t="inlineStr">
        <is>
          <t>FILIPSTAD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45524</v>
      </c>
      <c r="E562" s="1" t="n">
        <v>46316</v>
      </c>
      <c r="F562" t="inlineStr">
        <is>
          <t>VÄRMLANDS LÄN</t>
        </is>
      </c>
      <c r="G562" t="inlineStr">
        <is>
          <t>FILIPSTAD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45592-2024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46316</v>
      </c>
      <c r="F563" t="inlineStr">
        <is>
          <t>VÄRMLANDS LÄN</t>
        </is>
      </c>
      <c r="G563" t="inlineStr">
        <is>
          <t>FILIPSTAD</t>
        </is>
      </c>
      <c r="H563" t="inlineStr">
        <is>
          <t>Kyrkan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46259</v>
      </c>
      <c r="E564" s="1" t="n">
        <v>46316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43264-2024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45568</v>
      </c>
      <c r="E565" s="1" t="n">
        <v>46316</v>
      </c>
      <c r="F565" t="inlineStr">
        <is>
          <t>VÄRMLANDS LÄN</t>
        </is>
      </c>
      <c r="G565" t="inlineStr">
        <is>
          <t>FILIPSTAD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46316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46316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6860-2024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45342</v>
      </c>
      <c r="E569" s="1" t="n">
        <v>46316</v>
      </c>
      <c r="F569" t="inlineStr">
        <is>
          <t>VÄRMLANDS LÄN</t>
        </is>
      </c>
      <c r="G569" t="inlineStr">
        <is>
          <t>FILIPSTAD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46261</v>
      </c>
      <c r="E570" s="1" t="n">
        <v>46316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47566-2025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45931</v>
      </c>
      <c r="E571" s="1" t="n">
        <v>46316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29328-2026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46202</v>
      </c>
      <c r="E572" s="1" t="n">
        <v>46316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46316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35290-2026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56037-2025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45973</v>
      </c>
      <c r="E575" s="1" t="n">
        <v>46316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46304</v>
      </c>
      <c r="E576" s="1" t="n">
        <v>46316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16009-2026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46108</v>
      </c>
      <c r="E577" s="1" t="n">
        <v>46316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46316</v>
      </c>
      <c r="F578" t="inlineStr">
        <is>
          <t>VÄRMLANDS LÄN</t>
        </is>
      </c>
      <c r="G578" t="inlineStr">
        <is>
          <t>FILIPSTAD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50786-2024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46316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46316</v>
      </c>
      <c r="F580" t="inlineStr">
        <is>
          <t>VÄRMLANDS LÄN</t>
        </is>
      </c>
      <c r="G580" t="inlineStr">
        <is>
          <t>FILIPSTAD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35927-2026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46266</v>
      </c>
      <c r="E581" s="1" t="n">
        <v>46316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46265</v>
      </c>
      <c r="E582" s="1" t="n">
        <v>46316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35615-2026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46264</v>
      </c>
      <c r="E583" s="1" t="n">
        <v>46316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46266</v>
      </c>
      <c r="E584" s="1" t="n">
        <v>46316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46266</v>
      </c>
      <c r="E585" s="1" t="n">
        <v>46316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35945-2026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46266</v>
      </c>
      <c r="E586" s="1" t="n">
        <v>46316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46264</v>
      </c>
      <c r="E587" s="1" t="n">
        <v>46316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42582-2026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46308</v>
      </c>
      <c r="E588" s="1" t="n">
        <v>46316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45567</v>
      </c>
      <c r="E589" s="1" t="n">
        <v>46316</v>
      </c>
      <c r="F589" t="inlineStr">
        <is>
          <t>VÄRMLANDS LÄN</t>
        </is>
      </c>
      <c r="G589" t="inlineStr">
        <is>
          <t>FILIPSTAD</t>
        </is>
      </c>
      <c r="H589" t="inlineStr">
        <is>
          <t>Kyrkan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46268</v>
      </c>
      <c r="E590" s="1" t="n">
        <v>46316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45700</v>
      </c>
      <c r="E591" s="1" t="n">
        <v>46316</v>
      </c>
      <c r="F591" t="inlineStr">
        <is>
          <t>VÄRMLANDS LÄN</t>
        </is>
      </c>
      <c r="G591" t="inlineStr">
        <is>
          <t>FILIPSTAD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43028-2026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46311</v>
      </c>
      <c r="E592" s="1" t="n">
        <v>46316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25376-2023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45088</v>
      </c>
      <c r="E593" s="1" t="n">
        <v>46316</v>
      </c>
      <c r="F593" t="inlineStr">
        <is>
          <t>VÄRMLANDS LÄN</t>
        </is>
      </c>
      <c r="G593" t="inlineStr">
        <is>
          <t>FILIPSTAD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36455-2026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46269</v>
      </c>
      <c r="E594" s="1" t="n">
        <v>46316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69015-2021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44530</v>
      </c>
      <c r="E595" s="1" t="n">
        <v>46316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46269</v>
      </c>
      <c r="E596" s="1" t="n">
        <v>46316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45439</v>
      </c>
      <c r="E597" s="1" t="n">
        <v>46316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46316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36871-2026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46272</v>
      </c>
      <c r="E599" s="1" t="n">
        <v>46316</v>
      </c>
      <c r="F599" t="inlineStr">
        <is>
          <t>VÄRMLANDS LÄN</t>
        </is>
      </c>
      <c r="G599" t="inlineStr">
        <is>
          <t>FILIPSTAD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46316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46316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46269</v>
      </c>
      <c r="E602" s="1" t="n">
        <v>46316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46316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36508-2026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46269</v>
      </c>
      <c r="E604" s="1" t="n">
        <v>46316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46269</v>
      </c>
      <c r="E605" s="1" t="n">
        <v>46316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46316</v>
      </c>
      <c r="F606" t="inlineStr">
        <is>
          <t>VÄRMLANDS LÄN</t>
        </is>
      </c>
      <c r="G606" t="inlineStr">
        <is>
          <t>FILIPSTAD</t>
        </is>
      </c>
      <c r="I606" t="n">
        <v>11.6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46272</v>
      </c>
      <c r="E607" s="1" t="n">
        <v>46316</v>
      </c>
      <c r="F607" t="inlineStr">
        <is>
          <t>VÄRMLANDS LÄN</t>
        </is>
      </c>
      <c r="G607" t="inlineStr">
        <is>
          <t>FILIPSTAD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36955-2026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46316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20661-2024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45436</v>
      </c>
      <c r="E609" s="1" t="n">
        <v>46316</v>
      </c>
      <c r="F609" t="inlineStr">
        <is>
          <t>VÄRMLANDS LÄN</t>
        </is>
      </c>
      <c r="G609" t="inlineStr">
        <is>
          <t>FILIPSTAD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53690-2022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44880</v>
      </c>
      <c r="E610" s="1" t="n">
        <v>46316</v>
      </c>
      <c r="F610" t="inlineStr">
        <is>
          <t>VÄRMLANDS LÄN</t>
        </is>
      </c>
      <c r="G610" t="inlineStr">
        <is>
          <t>FILIPSTAD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45700</v>
      </c>
      <c r="E611" s="1" t="n">
        <v>46316</v>
      </c>
      <c r="F611" t="inlineStr">
        <is>
          <t>VÄRMLANDS LÄN</t>
        </is>
      </c>
      <c r="G611" t="inlineStr">
        <is>
          <t>FILIPSTAD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48040-2023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46316</v>
      </c>
      <c r="F612" t="inlineStr">
        <is>
          <t>VÄRMLANDS LÄN</t>
        </is>
      </c>
      <c r="G612" t="inlineStr">
        <is>
          <t>FILIPSTAD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45720</v>
      </c>
      <c r="E613" s="1" t="n">
        <v>46316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51618-2022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44872</v>
      </c>
      <c r="E614" s="1" t="n">
        <v>46316</v>
      </c>
      <c r="F614" t="inlineStr">
        <is>
          <t>VÄRMLANDS LÄN</t>
        </is>
      </c>
      <c r="G614" t="inlineStr">
        <is>
          <t>FILIPSTAD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32786-2024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45516</v>
      </c>
      <c r="E615" s="1" t="n">
        <v>46316</v>
      </c>
      <c r="F615" t="inlineStr">
        <is>
          <t>VÄRMLANDS LÄN</t>
        </is>
      </c>
      <c r="G615" t="inlineStr">
        <is>
          <t>FILIPSTAD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37611-2022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44809</v>
      </c>
      <c r="E616" s="1" t="n">
        <v>46316</v>
      </c>
      <c r="F616" t="inlineStr">
        <is>
          <t>VÄRMLANDS LÄN</t>
        </is>
      </c>
      <c r="G616" t="inlineStr">
        <is>
          <t>FILIPSTAD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16591-2022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44672</v>
      </c>
      <c r="E617" s="1" t="n">
        <v>46316</v>
      </c>
      <c r="F617" t="inlineStr">
        <is>
          <t>VÄRMLANDS LÄN</t>
        </is>
      </c>
      <c r="G617" t="inlineStr">
        <is>
          <t>FILIPSTAD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12160-2023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44998</v>
      </c>
      <c r="E618" s="1" t="n">
        <v>46316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45741</v>
      </c>
      <c r="E619" s="1" t="n">
        <v>46316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45471</v>
      </c>
      <c r="E620" s="1" t="n">
        <v>46316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45414</v>
      </c>
      <c r="E621" s="1" t="n">
        <v>46316</v>
      </c>
      <c r="F621" t="inlineStr">
        <is>
          <t>VÄRMLANDS LÄN</t>
        </is>
      </c>
      <c r="G621" t="inlineStr">
        <is>
          <t>FILIPSTAD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47002-2024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45586</v>
      </c>
      <c r="E622" s="1" t="n">
        <v>46316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45495</v>
      </c>
      <c r="E623" s="1" t="n">
        <v>46316</v>
      </c>
      <c r="F623" t="inlineStr">
        <is>
          <t>VÄRMLANDS LÄN</t>
        </is>
      </c>
      <c r="G623" t="inlineStr">
        <is>
          <t>FILIPSTAD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20875-2024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45439</v>
      </c>
      <c r="E624" s="1" t="n">
        <v>46316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65167-2021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44515</v>
      </c>
      <c r="E625" s="1" t="n">
        <v>46316</v>
      </c>
      <c r="F625" t="inlineStr">
        <is>
          <t>VÄRMLANDS LÄN</t>
        </is>
      </c>
      <c r="G625" t="inlineStr">
        <is>
          <t>FILIPSTAD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46316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46316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46316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46316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46316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46316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46316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46316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46316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46316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46316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46316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46316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46316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46316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2026-10-21T02:01:33Z</dcterms:created>
  <dcterms:modified xmlns:dcterms="http://purl.org/dc/terms/" xmlns:xsi="http://www.w3.org/2001/XMLSchema-instance" xsi:type="dcterms:W3CDTF">2026-10-21T02:01:34Z</dcterms:modified>
</cp:coreProperties>
</file>