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45513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45513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45513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45513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45513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42882-2020</t>
        </is>
      </c>
      <c r="B7" s="1" t="n">
        <v>44078</v>
      </c>
      <c r="C7" s="1" t="n">
        <v>45513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2.2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Garnlav
Lunglav
Spillkråka
Stjärntagging
Vedticka
Fläcknycklar</t>
        </is>
      </c>
      <c r="S7">
        <f>HYPERLINK("https://klasma.github.io/Logging_1782/artfynd/A 42882-2020 artfynd.xlsx", "A 42882-2020")</f>
        <v/>
      </c>
      <c r="T7">
        <f>HYPERLINK("https://klasma.github.io/Logging_1782/kartor/A 42882-2020 karta.png", "A 42882-2020")</f>
        <v/>
      </c>
      <c r="V7">
        <f>HYPERLINK("https://klasma.github.io/Logging_1782/klagomål/A 42882-2020 FSC-klagomål.docx", "A 42882-2020")</f>
        <v/>
      </c>
      <c r="W7">
        <f>HYPERLINK("https://klasma.github.io/Logging_1782/klagomålsmail/A 42882-2020 FSC-klagomål mail.docx", "A 42882-2020")</f>
        <v/>
      </c>
      <c r="X7">
        <f>HYPERLINK("https://klasma.github.io/Logging_1782/tillsyn/A 42882-2020 tillsynsbegäran.docx", "A 42882-2020")</f>
        <v/>
      </c>
      <c r="Y7">
        <f>HYPERLINK("https://klasma.github.io/Logging_1782/tillsynsmail/A 42882-2020 tillsynsbegäran mail.docx", "A 42882-2020")</f>
        <v/>
      </c>
      <c r="Z7">
        <f>HYPERLINK("https://klasma.github.io/Logging_1782/fåglar/A 42882-2020 prioriterade fågelarter.docx", "A 42882-2020")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45513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Ullticka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30023-2020</t>
        </is>
      </c>
      <c r="B9" s="1" t="n">
        <v>44006</v>
      </c>
      <c r="C9" s="1" t="n">
        <v>45513</v>
      </c>
      <c r="D9" t="inlineStr">
        <is>
          <t>VÄRMLANDS LÄN</t>
        </is>
      </c>
      <c r="E9" t="inlineStr">
        <is>
          <t>FILIPSTAD</t>
        </is>
      </c>
      <c r="G9" t="n">
        <v>1.1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Rödgul trumpetsvamp
Tvåblad
Vårärt
Blåsippa</t>
        </is>
      </c>
      <c r="S9">
        <f>HYPERLINK("https://klasma.github.io/Logging_1782/artfynd/A 30023-2020 artfynd.xlsx", "A 30023-2020")</f>
        <v/>
      </c>
      <c r="T9">
        <f>HYPERLINK("https://klasma.github.io/Logging_1782/kartor/A 30023-2020 karta.png", "A 30023-2020")</f>
        <v/>
      </c>
      <c r="V9">
        <f>HYPERLINK("https://klasma.github.io/Logging_1782/klagomål/A 30023-2020 FSC-klagomål.docx", "A 30023-2020")</f>
        <v/>
      </c>
      <c r="W9">
        <f>HYPERLINK("https://klasma.github.io/Logging_1782/klagomålsmail/A 30023-2020 FSC-klagomål mail.docx", "A 30023-2020")</f>
        <v/>
      </c>
      <c r="X9">
        <f>HYPERLINK("https://klasma.github.io/Logging_1782/tillsyn/A 30023-2020 tillsynsbegäran.docx", "A 30023-2020")</f>
        <v/>
      </c>
      <c r="Y9">
        <f>HYPERLINK("https://klasma.github.io/Logging_1782/tillsynsmail/A 30023-2020 tillsynsbegäran mail.docx", "A 30023-2020")</f>
        <v/>
      </c>
    </row>
    <row r="10" ht="15" customHeight="1">
      <c r="A10" t="inlineStr">
        <is>
          <t>A 46072-2020</t>
        </is>
      </c>
      <c r="B10" s="1" t="n">
        <v>44091</v>
      </c>
      <c r="C10" s="1" t="n">
        <v>45513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Skuggblåslav
Vedticka
Fläcknycklar</t>
        </is>
      </c>
      <c r="S10">
        <f>HYPERLINK("https://klasma.github.io/Logging_1782/artfynd/A 46072-2020 artfynd.xlsx", "A 46072-2020")</f>
        <v/>
      </c>
      <c r="T10">
        <f>HYPERLINK("https://klasma.github.io/Logging_1782/kartor/A 46072-2020 karta.png", "A 46072-2020")</f>
        <v/>
      </c>
      <c r="V10">
        <f>HYPERLINK("https://klasma.github.io/Logging_1782/klagomål/A 46072-2020 FSC-klagomål.docx", "A 46072-2020")</f>
        <v/>
      </c>
      <c r="W10">
        <f>HYPERLINK("https://klasma.github.io/Logging_1782/klagomålsmail/A 46072-2020 FSC-klagomål mail.docx", "A 46072-2020")</f>
        <v/>
      </c>
      <c r="X10">
        <f>HYPERLINK("https://klasma.github.io/Logging_1782/tillsyn/A 46072-2020 tillsynsbegäran.docx", "A 46072-2020")</f>
        <v/>
      </c>
      <c r="Y10">
        <f>HYPERLINK("https://klasma.github.io/Logging_1782/tillsynsmail/A 46072-2020 tillsynsbegäran mail.docx", "A 46072-2020")</f>
        <v/>
      </c>
    </row>
    <row r="11" ht="15" customHeight="1">
      <c r="A11" t="inlineStr">
        <is>
          <t>A 65201-2023</t>
        </is>
      </c>
      <c r="B11" s="1" t="n">
        <v>45289</v>
      </c>
      <c r="C11" s="1" t="n">
        <v>45513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7.5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Brunpudrad nållav
Vedtrappmossa
Blåsippa</t>
        </is>
      </c>
      <c r="S11">
        <f>HYPERLINK("https://klasma.github.io/Logging_1782/artfynd/A 65201-2023 artfynd.xlsx", "A 65201-2023")</f>
        <v/>
      </c>
      <c r="T11">
        <f>HYPERLINK("https://klasma.github.io/Logging_1782/kartor/A 65201-2023 karta.png", "A 65201-2023")</f>
        <v/>
      </c>
      <c r="U11">
        <f>HYPERLINK("https://klasma.github.io/Logging_1782/knärot/A 65201-2023 karta knärot.png", "A 65201-2023")</f>
        <v/>
      </c>
      <c r="V11">
        <f>HYPERLINK("https://klasma.github.io/Logging_1782/klagomål/A 65201-2023 FSC-klagomål.docx", "A 65201-2023")</f>
        <v/>
      </c>
      <c r="W11">
        <f>HYPERLINK("https://klasma.github.io/Logging_1782/klagomålsmail/A 65201-2023 FSC-klagomål mail.docx", "A 65201-2023")</f>
        <v/>
      </c>
      <c r="X11">
        <f>HYPERLINK("https://klasma.github.io/Logging_1782/tillsyn/A 65201-2023 tillsynsbegäran.docx", "A 65201-2023")</f>
        <v/>
      </c>
      <c r="Y11">
        <f>HYPERLINK("https://klasma.github.io/Logging_1782/tillsynsmail/A 65201-2023 tillsynsbegäran mail.docx", "A 65201-2023")</f>
        <v/>
      </c>
    </row>
    <row r="12" ht="15" customHeight="1">
      <c r="A12" t="inlineStr">
        <is>
          <t>A 26276-2019</t>
        </is>
      </c>
      <c r="B12" s="1" t="n">
        <v>43611</v>
      </c>
      <c r="C12" s="1" t="n">
        <v>45513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18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Purpurknipprot
Tvåblad
Brudsporre</t>
        </is>
      </c>
      <c r="S12">
        <f>HYPERLINK("https://klasma.github.io/Logging_1782/artfynd/A 26276-2019 artfynd.xlsx", "A 26276-2019")</f>
        <v/>
      </c>
      <c r="T12">
        <f>HYPERLINK("https://klasma.github.io/Logging_1782/kartor/A 26276-2019 karta.png", "A 26276-2019")</f>
        <v/>
      </c>
      <c r="V12">
        <f>HYPERLINK("https://klasma.github.io/Logging_1782/klagomål/A 26276-2019 FSC-klagomål.docx", "A 26276-2019")</f>
        <v/>
      </c>
      <c r="W12">
        <f>HYPERLINK("https://klasma.github.io/Logging_1782/klagomålsmail/A 26276-2019 FSC-klagomål mail.docx", "A 26276-2019")</f>
        <v/>
      </c>
      <c r="X12">
        <f>HYPERLINK("https://klasma.github.io/Logging_1782/tillsyn/A 26276-2019 tillsynsbegäran.docx", "A 26276-2019")</f>
        <v/>
      </c>
      <c r="Y12">
        <f>HYPERLINK("https://klasma.github.io/Logging_1782/tillsynsmail/A 26276-2019 tillsynsbegäran mail.docx", "A 26276-2019")</f>
        <v/>
      </c>
    </row>
    <row r="13" ht="15" customHeight="1">
      <c r="A13" t="inlineStr">
        <is>
          <t>A 28169-2021</t>
        </is>
      </c>
      <c r="B13" s="1" t="n">
        <v>44355</v>
      </c>
      <c r="C13" s="1" t="n">
        <v>45513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6.1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Garnlav
Mindre märgborre</t>
        </is>
      </c>
      <c r="S13">
        <f>HYPERLINK("https://klasma.github.io/Logging_1782/artfynd/A 28169-2021 artfynd.xlsx", "A 28169-2021")</f>
        <v/>
      </c>
      <c r="T13">
        <f>HYPERLINK("https://klasma.github.io/Logging_1782/kartor/A 28169-2021 karta.png", "A 28169-2021")</f>
        <v/>
      </c>
      <c r="U13">
        <f>HYPERLINK("https://klasma.github.io/Logging_1782/knärot/A 28169-2021 karta knärot.png", "A 28169-2021")</f>
        <v/>
      </c>
      <c r="V13">
        <f>HYPERLINK("https://klasma.github.io/Logging_1782/klagomål/A 28169-2021 FSC-klagomål.docx", "A 28169-2021")</f>
        <v/>
      </c>
      <c r="W13">
        <f>HYPERLINK("https://klasma.github.io/Logging_1782/klagomålsmail/A 28169-2021 FSC-klagomål mail.docx", "A 28169-2021")</f>
        <v/>
      </c>
      <c r="X13">
        <f>HYPERLINK("https://klasma.github.io/Logging_1782/tillsyn/A 28169-2021 tillsynsbegäran.docx", "A 28169-2021")</f>
        <v/>
      </c>
      <c r="Y13">
        <f>HYPERLINK("https://klasma.github.io/Logging_1782/tillsynsmail/A 28169-2021 tillsynsbegäran mail.docx", "A 28169-2021")</f>
        <v/>
      </c>
    </row>
    <row r="14" ht="15" customHeight="1">
      <c r="A14" t="inlineStr">
        <is>
          <t>A 2356-2023</t>
        </is>
      </c>
      <c r="B14" s="1" t="n">
        <v>44942</v>
      </c>
      <c r="C14" s="1" t="n">
        <v>45513</v>
      </c>
      <c r="D14" t="inlineStr">
        <is>
          <t>VÄRMLANDS LÄN</t>
        </is>
      </c>
      <c r="E14" t="inlineStr">
        <is>
          <t>FILIPSTAD</t>
        </is>
      </c>
      <c r="G14" t="n">
        <v>3.8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Loppstarr
Majviva
Guckusko</t>
        </is>
      </c>
      <c r="S14">
        <f>HYPERLINK("https://klasma.github.io/Logging_1782/artfynd/A 2356-2023 artfynd.xlsx", "A 2356-2023")</f>
        <v/>
      </c>
      <c r="T14">
        <f>HYPERLINK("https://klasma.github.io/Logging_1782/kartor/A 2356-2023 karta.png", "A 2356-2023")</f>
        <v/>
      </c>
      <c r="V14">
        <f>HYPERLINK("https://klasma.github.io/Logging_1782/klagomål/A 2356-2023 FSC-klagomål.docx", "A 2356-2023")</f>
        <v/>
      </c>
      <c r="W14">
        <f>HYPERLINK("https://klasma.github.io/Logging_1782/klagomålsmail/A 2356-2023 FSC-klagomål mail.docx", "A 2356-2023")</f>
        <v/>
      </c>
      <c r="X14">
        <f>HYPERLINK("https://klasma.github.io/Logging_1782/tillsyn/A 2356-2023 tillsynsbegäran.docx", "A 2356-2023")</f>
        <v/>
      </c>
      <c r="Y14">
        <f>HYPERLINK("https://klasma.github.io/Logging_1782/tillsynsmail/A 2356-2023 tillsynsbegäran mail.docx", "A 2356-2023")</f>
        <v/>
      </c>
    </row>
    <row r="15" ht="15" customHeight="1">
      <c r="A15" t="inlineStr">
        <is>
          <t>A 26303-2023</t>
        </is>
      </c>
      <c r="B15" s="1" t="n">
        <v>45091</v>
      </c>
      <c r="C15" s="1" t="n">
        <v>45513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8.4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Purpurknipprot
Tvåblad
Brudsporre</t>
        </is>
      </c>
      <c r="S15">
        <f>HYPERLINK("https://klasma.github.io/Logging_1782/artfynd/A 26303-2023 artfynd.xlsx", "A 26303-2023")</f>
        <v/>
      </c>
      <c r="T15">
        <f>HYPERLINK("https://klasma.github.io/Logging_1782/kartor/A 26303-2023 karta.png", "A 26303-2023")</f>
        <v/>
      </c>
      <c r="V15">
        <f>HYPERLINK("https://klasma.github.io/Logging_1782/klagomål/A 26303-2023 FSC-klagomål.docx", "A 26303-2023")</f>
        <v/>
      </c>
      <c r="W15">
        <f>HYPERLINK("https://klasma.github.io/Logging_1782/klagomålsmail/A 26303-2023 FSC-klagomål mail.docx", "A 26303-2023")</f>
        <v/>
      </c>
      <c r="X15">
        <f>HYPERLINK("https://klasma.github.io/Logging_1782/tillsyn/A 26303-2023 tillsynsbegäran.docx", "A 26303-2023")</f>
        <v/>
      </c>
      <c r="Y15">
        <f>HYPERLINK("https://klasma.github.io/Logging_1782/tillsynsmail/A 26303-2023 tillsynsbegäran mail.docx", "A 26303-2023")</f>
        <v/>
      </c>
    </row>
    <row r="16" ht="15" customHeight="1">
      <c r="A16" t="inlineStr">
        <is>
          <t>A 22410-2021</t>
        </is>
      </c>
      <c r="B16" s="1" t="n">
        <v>44326</v>
      </c>
      <c r="C16" s="1" t="n">
        <v>45513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9.800000000000001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Brunklöver
Revlummer</t>
        </is>
      </c>
      <c r="S16">
        <f>HYPERLINK("https://klasma.github.io/Logging_1782/artfynd/A 22410-2021 artfynd.xlsx", "A 22410-2021")</f>
        <v/>
      </c>
      <c r="T16">
        <f>HYPERLINK("https://klasma.github.io/Logging_1782/kartor/A 22410-2021 karta.png", "A 22410-2021")</f>
        <v/>
      </c>
      <c r="V16">
        <f>HYPERLINK("https://klasma.github.io/Logging_1782/klagomål/A 22410-2021 FSC-klagomål.docx", "A 22410-2021")</f>
        <v/>
      </c>
      <c r="W16">
        <f>HYPERLINK("https://klasma.github.io/Logging_1782/klagomålsmail/A 22410-2021 FSC-klagomål mail.docx", "A 22410-2021")</f>
        <v/>
      </c>
      <c r="X16">
        <f>HYPERLINK("https://klasma.github.io/Logging_1782/tillsyn/A 22410-2021 tillsynsbegäran.docx", "A 22410-2021")</f>
        <v/>
      </c>
      <c r="Y16">
        <f>HYPERLINK("https://klasma.github.io/Logging_1782/tillsynsmail/A 22410-2021 tillsynsbegäran mail.docx", "A 22410-2021")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45513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45513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45513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65232-2023</t>
        </is>
      </c>
      <c r="B20" s="1" t="n">
        <v>45289</v>
      </c>
      <c r="C20" s="1" t="n">
        <v>45513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Spetsvaxskivling
Ögonpyrola</t>
        </is>
      </c>
      <c r="S20">
        <f>HYPERLINK("https://klasma.github.io/Logging_1782/artfynd/A 65232-2023 artfynd.xlsx", "A 65232-2023")</f>
        <v/>
      </c>
      <c r="T20">
        <f>HYPERLINK("https://klasma.github.io/Logging_1782/kartor/A 65232-2023 karta.png", "A 65232-2023")</f>
        <v/>
      </c>
      <c r="V20">
        <f>HYPERLINK("https://klasma.github.io/Logging_1782/klagomål/A 65232-2023 FSC-klagomål.docx", "A 65232-2023")</f>
        <v/>
      </c>
      <c r="W20">
        <f>HYPERLINK("https://klasma.github.io/Logging_1782/klagomålsmail/A 65232-2023 FSC-klagomål mail.docx", "A 65232-2023")</f>
        <v/>
      </c>
      <c r="X20">
        <f>HYPERLINK("https://klasma.github.io/Logging_1782/tillsyn/A 65232-2023 tillsynsbegäran.docx", "A 65232-2023")</f>
        <v/>
      </c>
      <c r="Y20">
        <f>HYPERLINK("https://klasma.github.io/Logging_1782/tillsynsmail/A 65232-2023 tillsynsbegäran mail.docx", "A 65232-2023")</f>
        <v/>
      </c>
    </row>
    <row r="21" ht="15" customHeight="1">
      <c r="A21" t="inlineStr">
        <is>
          <t>A 31191-2019</t>
        </is>
      </c>
      <c r="B21" s="1" t="n">
        <v>43640</v>
      </c>
      <c r="C21" s="1" t="n">
        <v>45513</v>
      </c>
      <c r="D21" t="inlineStr">
        <is>
          <t>VÄRMLANDS LÄN</t>
        </is>
      </c>
      <c r="E21" t="inlineStr">
        <is>
          <t>FILIPSTAD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31191-2019 artfynd.xlsx", "A 31191-2019")</f>
        <v/>
      </c>
      <c r="T21">
        <f>HYPERLINK("https://klasma.github.io/Logging_1782/kartor/A 31191-2019 karta.png", "A 31191-2019")</f>
        <v/>
      </c>
      <c r="V21">
        <f>HYPERLINK("https://klasma.github.io/Logging_1782/klagomål/A 31191-2019 FSC-klagomål.docx", "A 31191-2019")</f>
        <v/>
      </c>
      <c r="W21">
        <f>HYPERLINK("https://klasma.github.io/Logging_1782/klagomålsmail/A 31191-2019 FSC-klagomål mail.docx", "A 31191-2019")</f>
        <v/>
      </c>
      <c r="X21">
        <f>HYPERLINK("https://klasma.github.io/Logging_1782/tillsyn/A 31191-2019 tillsynsbegäran.docx", "A 31191-2019")</f>
        <v/>
      </c>
      <c r="Y21">
        <f>HYPERLINK("https://klasma.github.io/Logging_1782/tillsynsmail/A 31191-2019 tillsynsbegäran mail.docx", "A 31191-2019")</f>
        <v/>
      </c>
      <c r="Z21">
        <f>HYPERLINK("https://klasma.github.io/Logging_1782/fåglar/A 31191-2019 prioriterade fågelarter.docx", "A 31191-2019")</f>
        <v/>
      </c>
    </row>
    <row r="22" ht="15" customHeight="1">
      <c r="A22" t="inlineStr">
        <is>
          <t>A 65258-2019</t>
        </is>
      </c>
      <c r="B22" s="1" t="n">
        <v>43802</v>
      </c>
      <c r="C22" s="1" t="n">
        <v>45513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HYPERLINK("https://klasma.github.io/Logging_1782/artfynd/A 65258-2019 artfynd.xlsx", "A 65258-2019")</f>
        <v/>
      </c>
      <c r="T22">
        <f>HYPERLINK("https://klasma.github.io/Logging_1782/kartor/A 65258-2019 karta.png", "A 65258-2019")</f>
        <v/>
      </c>
      <c r="V22">
        <f>HYPERLINK("https://klasma.github.io/Logging_1782/klagomål/A 65258-2019 FSC-klagomål.docx", "A 65258-2019")</f>
        <v/>
      </c>
      <c r="W22">
        <f>HYPERLINK("https://klasma.github.io/Logging_1782/klagomålsmail/A 65258-2019 FSC-klagomål mail.docx", "A 65258-2019")</f>
        <v/>
      </c>
      <c r="X22">
        <f>HYPERLINK("https://klasma.github.io/Logging_1782/tillsyn/A 65258-2019 tillsynsbegäran.docx", "A 65258-2019")</f>
        <v/>
      </c>
      <c r="Y22">
        <f>HYPERLINK("https://klasma.github.io/Logging_1782/tillsynsmail/A 65258-2019 tillsynsbegäran mail.docx", "A 65258-2019")</f>
        <v/>
      </c>
    </row>
    <row r="23" ht="15" customHeight="1">
      <c r="A23" t="inlineStr">
        <is>
          <t>A 42542-2020</t>
        </is>
      </c>
      <c r="B23" s="1" t="n">
        <v>44077</v>
      </c>
      <c r="C23" s="1" t="n">
        <v>45513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HYPERLINK("https://klasma.github.io/Logging_1782/artfynd/A 42542-2020 artfynd.xlsx", "A 42542-2020")</f>
        <v/>
      </c>
      <c r="T23">
        <f>HYPERLINK("https://klasma.github.io/Logging_1782/kartor/A 42542-2020 karta.png", "A 42542-2020")</f>
        <v/>
      </c>
      <c r="V23">
        <f>HYPERLINK("https://klasma.github.io/Logging_1782/klagomål/A 42542-2020 FSC-klagomål.docx", "A 42542-2020")</f>
        <v/>
      </c>
      <c r="W23">
        <f>HYPERLINK("https://klasma.github.io/Logging_1782/klagomålsmail/A 42542-2020 FSC-klagomål mail.docx", "A 42542-2020")</f>
        <v/>
      </c>
      <c r="X23">
        <f>HYPERLINK("https://klasma.github.io/Logging_1782/tillsyn/A 42542-2020 tillsynsbegäran.docx", "A 42542-2020")</f>
        <v/>
      </c>
      <c r="Y23">
        <f>HYPERLINK("https://klasma.github.io/Logging_1782/tillsynsmail/A 42542-2020 tillsynsbegäran mail.docx", "A 42542-2020")</f>
        <v/>
      </c>
    </row>
    <row r="24" ht="15" customHeight="1">
      <c r="A24" t="inlineStr">
        <is>
          <t>A 62572-2021</t>
        </is>
      </c>
      <c r="B24" s="1" t="n">
        <v>44503</v>
      </c>
      <c r="C24" s="1" t="n">
        <v>45513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62572-2021 artfynd.xlsx", "A 62572-2021")</f>
        <v/>
      </c>
      <c r="T24">
        <f>HYPERLINK("https://klasma.github.io/Logging_1782/kartor/A 62572-2021 karta.png", "A 62572-2021")</f>
        <v/>
      </c>
      <c r="V24">
        <f>HYPERLINK("https://klasma.github.io/Logging_1782/klagomål/A 62572-2021 FSC-klagomål.docx", "A 62572-2021")</f>
        <v/>
      </c>
      <c r="W24">
        <f>HYPERLINK("https://klasma.github.io/Logging_1782/klagomålsmail/A 62572-2021 FSC-klagomål mail.docx", "A 62572-2021")</f>
        <v/>
      </c>
      <c r="X24">
        <f>HYPERLINK("https://klasma.github.io/Logging_1782/tillsyn/A 62572-2021 tillsynsbegäran.docx", "A 62572-2021")</f>
        <v/>
      </c>
      <c r="Y24">
        <f>HYPERLINK("https://klasma.github.io/Logging_1782/tillsynsmail/A 62572-2021 tillsynsbegäran mail.docx", "A 62572-2021")</f>
        <v/>
      </c>
    </row>
    <row r="25" ht="15" customHeight="1">
      <c r="A25" t="inlineStr">
        <is>
          <t>A 20754-2022</t>
        </is>
      </c>
      <c r="B25" s="1" t="n">
        <v>44701</v>
      </c>
      <c r="C25" s="1" t="n">
        <v>45513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20754-2022 artfynd.xlsx", "A 20754-2022")</f>
        <v/>
      </c>
      <c r="T25">
        <f>HYPERLINK("https://klasma.github.io/Logging_1782/kartor/A 20754-2022 karta.png", "A 20754-2022")</f>
        <v/>
      </c>
      <c r="V25">
        <f>HYPERLINK("https://klasma.github.io/Logging_1782/klagomål/A 20754-2022 FSC-klagomål.docx", "A 20754-2022")</f>
        <v/>
      </c>
      <c r="W25">
        <f>HYPERLINK("https://klasma.github.io/Logging_1782/klagomålsmail/A 20754-2022 FSC-klagomål mail.docx", "A 20754-2022")</f>
        <v/>
      </c>
      <c r="X25">
        <f>HYPERLINK("https://klasma.github.io/Logging_1782/tillsyn/A 20754-2022 tillsynsbegäran.docx", "A 20754-2022")</f>
        <v/>
      </c>
      <c r="Y25">
        <f>HYPERLINK("https://klasma.github.io/Logging_1782/tillsynsmail/A 20754-2022 tillsynsbegäran mail.docx", "A 20754-2022")</f>
        <v/>
      </c>
    </row>
    <row r="26" ht="15" customHeight="1">
      <c r="A26" t="inlineStr">
        <is>
          <t>A 27105-2022</t>
        </is>
      </c>
      <c r="B26" s="1" t="n">
        <v>44741</v>
      </c>
      <c r="C26" s="1" t="n">
        <v>45513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HYPERLINK("https://klasma.github.io/Logging_1782/artfynd/A 27105-2022 artfynd.xlsx", "A 27105-2022")</f>
        <v/>
      </c>
      <c r="T26">
        <f>HYPERLINK("https://klasma.github.io/Logging_1782/kartor/A 27105-2022 karta.png", "A 27105-2022")</f>
        <v/>
      </c>
      <c r="V26">
        <f>HYPERLINK("https://klasma.github.io/Logging_1782/klagomål/A 27105-2022 FSC-klagomål.docx", "A 27105-2022")</f>
        <v/>
      </c>
      <c r="W26">
        <f>HYPERLINK("https://klasma.github.io/Logging_1782/klagomålsmail/A 27105-2022 FSC-klagomål mail.docx", "A 27105-2022")</f>
        <v/>
      </c>
      <c r="X26">
        <f>HYPERLINK("https://klasma.github.io/Logging_1782/tillsyn/A 27105-2022 tillsynsbegäran.docx", "A 27105-2022")</f>
        <v/>
      </c>
      <c r="Y26">
        <f>HYPERLINK("https://klasma.github.io/Logging_1782/tillsynsmail/A 27105-2022 tillsynsbegäran mail.docx", "A 27105-2022")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45513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37427-2023</t>
        </is>
      </c>
      <c r="B28" s="1" t="n">
        <v>45156</v>
      </c>
      <c r="C28" s="1" t="n">
        <v>45513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37427-2023 artfynd.xlsx", "A 37427-2023")</f>
        <v/>
      </c>
      <c r="T28">
        <f>HYPERLINK("https://klasma.github.io/Logging_1782/kartor/A 37427-2023 karta.png", "A 37427-2023")</f>
        <v/>
      </c>
      <c r="V28">
        <f>HYPERLINK("https://klasma.github.io/Logging_1782/klagomål/A 37427-2023 FSC-klagomål.docx", "A 37427-2023")</f>
        <v/>
      </c>
      <c r="W28">
        <f>HYPERLINK("https://klasma.github.io/Logging_1782/klagomålsmail/A 37427-2023 FSC-klagomål mail.docx", "A 37427-2023")</f>
        <v/>
      </c>
      <c r="X28">
        <f>HYPERLINK("https://klasma.github.io/Logging_1782/tillsyn/A 37427-2023 tillsynsbegäran.docx", "A 37427-2023")</f>
        <v/>
      </c>
      <c r="Y28">
        <f>HYPERLINK("https://klasma.github.io/Logging_1782/tillsynsmail/A 37427-2023 tillsynsbegäran mail.docx", "A 37427-2023")</f>
        <v/>
      </c>
    </row>
    <row r="29" ht="15" customHeight="1">
      <c r="A29" t="inlineStr">
        <is>
          <t>A 61939-2023</t>
        </is>
      </c>
      <c r="B29" s="1" t="n">
        <v>45266</v>
      </c>
      <c r="C29" s="1" t="n">
        <v>45513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HYPERLINK("https://klasma.github.io/Logging_1782/artfynd/A 61939-2023 artfynd.xlsx", "A 61939-2023")</f>
        <v/>
      </c>
      <c r="T29">
        <f>HYPERLINK("https://klasma.github.io/Logging_1782/kartor/A 61939-2023 karta.png", "A 61939-2023")</f>
        <v/>
      </c>
      <c r="V29">
        <f>HYPERLINK("https://klasma.github.io/Logging_1782/klagomål/A 61939-2023 FSC-klagomål.docx", "A 61939-2023")</f>
        <v/>
      </c>
      <c r="W29">
        <f>HYPERLINK("https://klasma.github.io/Logging_1782/klagomålsmail/A 61939-2023 FSC-klagomål mail.docx", "A 61939-2023")</f>
        <v/>
      </c>
      <c r="X29">
        <f>HYPERLINK("https://klasma.github.io/Logging_1782/tillsyn/A 61939-2023 tillsynsbegäran.docx", "A 61939-2023")</f>
        <v/>
      </c>
      <c r="Y29">
        <f>HYPERLINK("https://klasma.github.io/Logging_1782/tillsynsmail/A 61939-2023 tillsynsbegäran mail.docx", "A 61939-2023")</f>
        <v/>
      </c>
    </row>
    <row r="30" ht="15" customHeight="1">
      <c r="A30" t="inlineStr">
        <is>
          <t>A 10812-2024</t>
        </is>
      </c>
      <c r="B30" s="1" t="n">
        <v>45369</v>
      </c>
      <c r="C30" s="1" t="n">
        <v>45513</v>
      </c>
      <c r="D30" t="inlineStr">
        <is>
          <t>VÄRMLANDS LÄN</t>
        </is>
      </c>
      <c r="E30" t="inlineStr">
        <is>
          <t>FILIPSTAD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HYPERLINK("https://klasma.github.io/Logging_1782/artfynd/A 10812-2024 artfynd.xlsx", "A 10812-2024")</f>
        <v/>
      </c>
      <c r="T30">
        <f>HYPERLINK("https://klasma.github.io/Logging_1782/kartor/A 10812-2024 karta.png", "A 10812-2024")</f>
        <v/>
      </c>
      <c r="V30">
        <f>HYPERLINK("https://klasma.github.io/Logging_1782/klagomål/A 10812-2024 FSC-klagomål.docx", "A 10812-2024")</f>
        <v/>
      </c>
      <c r="W30">
        <f>HYPERLINK("https://klasma.github.io/Logging_1782/klagomålsmail/A 10812-2024 FSC-klagomål mail.docx", "A 10812-2024")</f>
        <v/>
      </c>
      <c r="X30">
        <f>HYPERLINK("https://klasma.github.io/Logging_1782/tillsyn/A 10812-2024 tillsynsbegäran.docx", "A 10812-2024")</f>
        <v/>
      </c>
      <c r="Y30">
        <f>HYPERLINK("https://klasma.github.io/Logging_1782/tillsynsmail/A 10812-2024 tillsynsbegäran mail.docx", "A 10812-2024")</f>
        <v/>
      </c>
    </row>
    <row r="31" ht="15" customHeight="1">
      <c r="A31" t="inlineStr">
        <is>
          <t>A 11921-2024</t>
        </is>
      </c>
      <c r="B31" s="1" t="n">
        <v>45376</v>
      </c>
      <c r="C31" s="1" t="n">
        <v>45513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HYPERLINK("https://klasma.github.io/Logging_1782/artfynd/A 11921-2024 artfynd.xlsx", "A 11921-2024")</f>
        <v/>
      </c>
      <c r="T31">
        <f>HYPERLINK("https://klasma.github.io/Logging_1782/kartor/A 11921-2024 karta.png", "A 11921-2024")</f>
        <v/>
      </c>
      <c r="V31">
        <f>HYPERLINK("https://klasma.github.io/Logging_1782/klagomål/A 11921-2024 FSC-klagomål.docx", "A 11921-2024")</f>
        <v/>
      </c>
      <c r="W31">
        <f>HYPERLINK("https://klasma.github.io/Logging_1782/klagomålsmail/A 11921-2024 FSC-klagomål mail.docx", "A 11921-2024")</f>
        <v/>
      </c>
      <c r="X31">
        <f>HYPERLINK("https://klasma.github.io/Logging_1782/tillsyn/A 11921-2024 tillsynsbegäran.docx", "A 11921-2024")</f>
        <v/>
      </c>
      <c r="Y31">
        <f>HYPERLINK("https://klasma.github.io/Logging_1782/tillsynsmail/A 11921-2024 tillsynsbegäran mail.docx", "A 11921-2024")</f>
        <v/>
      </c>
    </row>
    <row r="32" ht="15" customHeight="1">
      <c r="A32" t="inlineStr">
        <is>
          <t>A 16317-2024</t>
        </is>
      </c>
      <c r="B32" s="1" t="n">
        <v>45407</v>
      </c>
      <c r="C32" s="1" t="n">
        <v>45513</v>
      </c>
      <c r="D32" t="inlineStr">
        <is>
          <t>VÄRMLANDS LÄN</t>
        </is>
      </c>
      <c r="E32" t="inlineStr">
        <is>
          <t>FILIPSTAD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Skuggblåslav</t>
        </is>
      </c>
      <c r="S32">
        <f>HYPERLINK("https://klasma.github.io/Logging_1782/artfynd/A 16317-2024 artfynd.xlsx", "A 16317-2024")</f>
        <v/>
      </c>
      <c r="T32">
        <f>HYPERLINK("https://klasma.github.io/Logging_1782/kartor/A 16317-2024 karta.png", "A 16317-2024")</f>
        <v/>
      </c>
      <c r="V32">
        <f>HYPERLINK("https://klasma.github.io/Logging_1782/klagomål/A 16317-2024 FSC-klagomål.docx", "A 16317-2024")</f>
        <v/>
      </c>
      <c r="W32">
        <f>HYPERLINK("https://klasma.github.io/Logging_1782/klagomålsmail/A 16317-2024 FSC-klagomål mail.docx", "A 16317-2024")</f>
        <v/>
      </c>
      <c r="X32">
        <f>HYPERLINK("https://klasma.github.io/Logging_1782/tillsyn/A 16317-2024 tillsynsbegäran.docx", "A 16317-2024")</f>
        <v/>
      </c>
      <c r="Y32">
        <f>HYPERLINK("https://klasma.github.io/Logging_1782/tillsynsmail/A 16317-2024 tillsynsbegäran mail.docx", "A 16317-2024")</f>
        <v/>
      </c>
    </row>
    <row r="33" ht="15" customHeight="1">
      <c r="A33" t="inlineStr">
        <is>
          <t>A 23377-2024</t>
        </is>
      </c>
      <c r="B33" s="1" t="n">
        <v>45453</v>
      </c>
      <c r="C33" s="1" t="n">
        <v>45513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Tallbit</t>
        </is>
      </c>
      <c r="S33">
        <f>HYPERLINK("https://klasma.github.io/Logging_1782/artfynd/A 23377-2024 artfynd.xlsx", "A 23377-2024")</f>
        <v/>
      </c>
      <c r="T33">
        <f>HYPERLINK("https://klasma.github.io/Logging_1782/kartor/A 23377-2024 karta.png", "A 23377-2024")</f>
        <v/>
      </c>
      <c r="V33">
        <f>HYPERLINK("https://klasma.github.io/Logging_1782/klagomål/A 23377-2024 FSC-klagomål.docx", "A 23377-2024")</f>
        <v/>
      </c>
      <c r="W33">
        <f>HYPERLINK("https://klasma.github.io/Logging_1782/klagomålsmail/A 23377-2024 FSC-klagomål mail.docx", "A 23377-2024")</f>
        <v/>
      </c>
      <c r="X33">
        <f>HYPERLINK("https://klasma.github.io/Logging_1782/tillsyn/A 23377-2024 tillsynsbegäran.docx", "A 23377-2024")</f>
        <v/>
      </c>
      <c r="Y33">
        <f>HYPERLINK("https://klasma.github.io/Logging_1782/tillsynsmail/A 23377-2024 tillsynsbegäran mail.docx", "A 23377-2024")</f>
        <v/>
      </c>
      <c r="Z33">
        <f>HYPERLINK("https://klasma.github.io/Logging_1782/fåglar/A 23377-2024 prioriterade fågelarter.docx", "A 23377-2024")</f>
        <v/>
      </c>
    </row>
    <row r="34" ht="15" customHeight="1">
      <c r="A34" t="inlineStr">
        <is>
          <t>A 19491-2019</t>
        </is>
      </c>
      <c r="B34" s="1" t="n">
        <v>43565</v>
      </c>
      <c r="C34" s="1" t="n">
        <v>45513</v>
      </c>
      <c r="D34" t="inlineStr">
        <is>
          <t>VÄRMLANDS LÄN</t>
        </is>
      </c>
      <c r="E34" t="inlineStr">
        <is>
          <t>FILIPSTAD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20047-2019</t>
        </is>
      </c>
      <c r="B35" s="1" t="n">
        <v>43570</v>
      </c>
      <c r="C35" s="1" t="n">
        <v>45513</v>
      </c>
      <c r="D35" t="inlineStr">
        <is>
          <t>VÄRMLANDS LÄN</t>
        </is>
      </c>
      <c r="E35" t="inlineStr">
        <is>
          <t>FILIPSTAD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20045-2019</t>
        </is>
      </c>
      <c r="B36" s="1" t="n">
        <v>43570</v>
      </c>
      <c r="C36" s="1" t="n">
        <v>45513</v>
      </c>
      <c r="D36" t="inlineStr">
        <is>
          <t>VÄRMLANDS LÄN</t>
        </is>
      </c>
      <c r="E36" t="inlineStr">
        <is>
          <t>FILIPSTAD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21222-2019</t>
        </is>
      </c>
      <c r="B37" s="1" t="n">
        <v>43579</v>
      </c>
      <c r="C37" s="1" t="n">
        <v>45513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23023-2019</t>
        </is>
      </c>
      <c r="B38" s="1" t="n">
        <v>43591</v>
      </c>
      <c r="C38" s="1" t="n">
        <v>45513</v>
      </c>
      <c r="D38" t="inlineStr">
        <is>
          <t>VÄRMLANDS LÄN</t>
        </is>
      </c>
      <c r="E38" t="inlineStr">
        <is>
          <t>FILIPSTAD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24902-2019</t>
        </is>
      </c>
      <c r="B39" s="1" t="n">
        <v>43602</v>
      </c>
      <c r="C39" s="1" t="n">
        <v>45513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25041-2019</t>
        </is>
      </c>
      <c r="B40" s="1" t="n">
        <v>43603</v>
      </c>
      <c r="C40" s="1" t="n">
        <v>45513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26274-2019</t>
        </is>
      </c>
      <c r="B41" s="1" t="n">
        <v>43611</v>
      </c>
      <c r="C41" s="1" t="n">
        <v>45513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26289-2019</t>
        </is>
      </c>
      <c r="B42" s="1" t="n">
        <v>43611</v>
      </c>
      <c r="C42" s="1" t="n">
        <v>45513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26280-2019</t>
        </is>
      </c>
      <c r="B43" s="1" t="n">
        <v>43611</v>
      </c>
      <c r="C43" s="1" t="n">
        <v>45513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26287-2019</t>
        </is>
      </c>
      <c r="B44" s="1" t="n">
        <v>43611</v>
      </c>
      <c r="C44" s="1" t="n">
        <v>45513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27199-2019</t>
        </is>
      </c>
      <c r="B45" s="1" t="n">
        <v>43614</v>
      </c>
      <c r="C45" s="1" t="n">
        <v>45513</v>
      </c>
      <c r="D45" t="inlineStr">
        <is>
          <t>VÄRMLANDS LÄN</t>
        </is>
      </c>
      <c r="E45" t="inlineStr">
        <is>
          <t>FILIPSTAD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27388-2019</t>
        </is>
      </c>
      <c r="B46" s="1" t="n">
        <v>43616</v>
      </c>
      <c r="C46" s="1" t="n">
        <v>45513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34.4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27430-2019</t>
        </is>
      </c>
      <c r="B47" s="1" t="n">
        <v>43617</v>
      </c>
      <c r="C47" s="1" t="n">
        <v>45513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30777-2019</t>
        </is>
      </c>
      <c r="B48" s="1" t="n">
        <v>43636</v>
      </c>
      <c r="C48" s="1" t="n">
        <v>45513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31121-2019</t>
        </is>
      </c>
      <c r="B49" s="1" t="n">
        <v>43640</v>
      </c>
      <c r="C49" s="1" t="n">
        <v>45513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31122-2019</t>
        </is>
      </c>
      <c r="B50" s="1" t="n">
        <v>43640</v>
      </c>
      <c r="C50" s="1" t="n">
        <v>45513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31120-2019</t>
        </is>
      </c>
      <c r="B51" s="1" t="n">
        <v>43640</v>
      </c>
      <c r="C51" s="1" t="n">
        <v>45513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31664-2019</t>
        </is>
      </c>
      <c r="B52" s="1" t="n">
        <v>43640</v>
      </c>
      <c r="C52" s="1" t="n">
        <v>45513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31650-2019</t>
        </is>
      </c>
      <c r="B53" s="1" t="n">
        <v>43640</v>
      </c>
      <c r="C53" s="1" t="n">
        <v>45513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32562-2019</t>
        </is>
      </c>
      <c r="B54" s="1" t="n">
        <v>43647</v>
      </c>
      <c r="C54" s="1" t="n">
        <v>45513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34513-2019</t>
        </is>
      </c>
      <c r="B55" s="1" t="n">
        <v>43657</v>
      </c>
      <c r="C55" s="1" t="n">
        <v>45513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35422-2019</t>
        </is>
      </c>
      <c r="B56" s="1" t="n">
        <v>43663</v>
      </c>
      <c r="C56" s="1" t="n">
        <v>45513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37216-2019</t>
        </is>
      </c>
      <c r="B57" s="1" t="n">
        <v>43677</v>
      </c>
      <c r="C57" s="1" t="n">
        <v>45513</v>
      </c>
      <c r="D57" t="inlineStr">
        <is>
          <t>VÄRMLANDS LÄN</t>
        </is>
      </c>
      <c r="E57" t="inlineStr">
        <is>
          <t>FILIPSTAD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37833-2019</t>
        </is>
      </c>
      <c r="B58" s="1" t="n">
        <v>43682</v>
      </c>
      <c r="C58" s="1" t="n">
        <v>45513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37867-2019</t>
        </is>
      </c>
      <c r="B59" s="1" t="n">
        <v>43682</v>
      </c>
      <c r="C59" s="1" t="n">
        <v>45513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37856-2019</t>
        </is>
      </c>
      <c r="B60" s="1" t="n">
        <v>43682</v>
      </c>
      <c r="C60" s="1" t="n">
        <v>45513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41821-2019</t>
        </is>
      </c>
      <c r="B61" s="1" t="n">
        <v>43700</v>
      </c>
      <c r="C61" s="1" t="n">
        <v>45513</v>
      </c>
      <c r="D61" t="inlineStr">
        <is>
          <t>VÄRMLANDS LÄN</t>
        </is>
      </c>
      <c r="E61" t="inlineStr">
        <is>
          <t>FILIPSTAD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42033-2019</t>
        </is>
      </c>
      <c r="B62" s="1" t="n">
        <v>43700</v>
      </c>
      <c r="C62" s="1" t="n">
        <v>45513</v>
      </c>
      <c r="D62" t="inlineStr">
        <is>
          <t>VÄRMLANDS LÄN</t>
        </is>
      </c>
      <c r="E62" t="inlineStr">
        <is>
          <t>FILIPSTAD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42131-2019</t>
        </is>
      </c>
      <c r="B63" s="1" t="n">
        <v>43703</v>
      </c>
      <c r="C63" s="1" t="n">
        <v>45513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42980-2019</t>
        </is>
      </c>
      <c r="B64" s="1" t="n">
        <v>43705</v>
      </c>
      <c r="C64" s="1" t="n">
        <v>45513</v>
      </c>
      <c r="D64" t="inlineStr">
        <is>
          <t>VÄRMLANDS LÄN</t>
        </is>
      </c>
      <c r="E64" t="inlineStr">
        <is>
          <t>FILIPSTAD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43291-2019</t>
        </is>
      </c>
      <c r="B65" s="1" t="n">
        <v>43706</v>
      </c>
      <c r="C65" s="1" t="n">
        <v>45513</v>
      </c>
      <c r="D65" t="inlineStr">
        <is>
          <t>VÄRMLANDS LÄN</t>
        </is>
      </c>
      <c r="E65" t="inlineStr">
        <is>
          <t>FILIPSTAD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44177-2019</t>
        </is>
      </c>
      <c r="B66" s="1" t="n">
        <v>43710</v>
      </c>
      <c r="C66" s="1" t="n">
        <v>45513</v>
      </c>
      <c r="D66" t="inlineStr">
        <is>
          <t>VÄRMLANDS LÄN</t>
        </is>
      </c>
      <c r="E66" t="inlineStr">
        <is>
          <t>FILIPSTAD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45704-2019</t>
        </is>
      </c>
      <c r="B67" s="1" t="n">
        <v>43717</v>
      </c>
      <c r="C67" s="1" t="n">
        <v>45513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46822-2019</t>
        </is>
      </c>
      <c r="B68" s="1" t="n">
        <v>43720</v>
      </c>
      <c r="C68" s="1" t="n">
        <v>45513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46904-2019</t>
        </is>
      </c>
      <c r="B69" s="1" t="n">
        <v>43720</v>
      </c>
      <c r="C69" s="1" t="n">
        <v>45513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48936-2019</t>
        </is>
      </c>
      <c r="B70" s="1" t="n">
        <v>43728</v>
      </c>
      <c r="C70" s="1" t="n">
        <v>45513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50933-2019</t>
        </is>
      </c>
      <c r="B71" s="1" t="n">
        <v>43738</v>
      </c>
      <c r="C71" s="1" t="n">
        <v>45513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50939-2019</t>
        </is>
      </c>
      <c r="B72" s="1" t="n">
        <v>43738</v>
      </c>
      <c r="C72" s="1" t="n">
        <v>45513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50840-2019</t>
        </is>
      </c>
      <c r="B73" s="1" t="n">
        <v>43738</v>
      </c>
      <c r="C73" s="1" t="n">
        <v>45513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51260-2019</t>
        </is>
      </c>
      <c r="B74" s="1" t="n">
        <v>43739</v>
      </c>
      <c r="C74" s="1" t="n">
        <v>45513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53932-2019</t>
        </is>
      </c>
      <c r="B75" s="1" t="n">
        <v>43742</v>
      </c>
      <c r="C75" s="1" t="n">
        <v>45513</v>
      </c>
      <c r="D75" t="inlineStr">
        <is>
          <t>VÄRMLANDS LÄN</t>
        </is>
      </c>
      <c r="E75" t="inlineStr">
        <is>
          <t>FILIPSTAD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54839-2019</t>
        </is>
      </c>
      <c r="B76" s="1" t="n">
        <v>43755</v>
      </c>
      <c r="C76" s="1" t="n">
        <v>45513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54778-2019</t>
        </is>
      </c>
      <c r="B77" s="1" t="n">
        <v>43755</v>
      </c>
      <c r="C77" s="1" t="n">
        <v>45513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54706-2019</t>
        </is>
      </c>
      <c r="B78" s="1" t="n">
        <v>43755</v>
      </c>
      <c r="C78" s="1" t="n">
        <v>45513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59883-2019</t>
        </is>
      </c>
      <c r="B79" s="1" t="n">
        <v>43777</v>
      </c>
      <c r="C79" s="1" t="n">
        <v>45513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64342-2019</t>
        </is>
      </c>
      <c r="B80" s="1" t="n">
        <v>43797</v>
      </c>
      <c r="C80" s="1" t="n">
        <v>45513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64343-2019</t>
        </is>
      </c>
      <c r="B81" s="1" t="n">
        <v>43797</v>
      </c>
      <c r="C81" s="1" t="n">
        <v>45513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64353-2019</t>
        </is>
      </c>
      <c r="B82" s="1" t="n">
        <v>43797</v>
      </c>
      <c r="C82" s="1" t="n">
        <v>45513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65089-2019</t>
        </is>
      </c>
      <c r="B83" s="1" t="n">
        <v>43802</v>
      </c>
      <c r="C83" s="1" t="n">
        <v>45513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65078-2019</t>
        </is>
      </c>
      <c r="B84" s="1" t="n">
        <v>43802</v>
      </c>
      <c r="C84" s="1" t="n">
        <v>45513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65235-2019</t>
        </is>
      </c>
      <c r="B85" s="1" t="n">
        <v>43802</v>
      </c>
      <c r="C85" s="1" t="n">
        <v>45513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65345-2019</t>
        </is>
      </c>
      <c r="B86" s="1" t="n">
        <v>43803</v>
      </c>
      <c r="C86" s="1" t="n">
        <v>45513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65366-2019</t>
        </is>
      </c>
      <c r="B87" s="1" t="n">
        <v>43803</v>
      </c>
      <c r="C87" s="1" t="n">
        <v>45513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66877-2019</t>
        </is>
      </c>
      <c r="B88" s="1" t="n">
        <v>43810</v>
      </c>
      <c r="C88" s="1" t="n">
        <v>45513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67904-2019</t>
        </is>
      </c>
      <c r="B89" s="1" t="n">
        <v>43816</v>
      </c>
      <c r="C89" s="1" t="n">
        <v>45513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68495-2019</t>
        </is>
      </c>
      <c r="B90" s="1" t="n">
        <v>43818</v>
      </c>
      <c r="C90" s="1" t="n">
        <v>45513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69138-2019</t>
        </is>
      </c>
      <c r="B91" s="1" t="n">
        <v>43829</v>
      </c>
      <c r="C91" s="1" t="n">
        <v>45513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69113-2019</t>
        </is>
      </c>
      <c r="B92" s="1" t="n">
        <v>43829</v>
      </c>
      <c r="C92" s="1" t="n">
        <v>45513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5196-2020</t>
        </is>
      </c>
      <c r="B93" s="1" t="n">
        <v>43860</v>
      </c>
      <c r="C93" s="1" t="n">
        <v>45513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5229-2020</t>
        </is>
      </c>
      <c r="B94" s="1" t="n">
        <v>43860</v>
      </c>
      <c r="C94" s="1" t="n">
        <v>45513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5280-2020</t>
        </is>
      </c>
      <c r="B95" s="1" t="n">
        <v>43860</v>
      </c>
      <c r="C95" s="1" t="n">
        <v>45513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6181-2020</t>
        </is>
      </c>
      <c r="B96" s="1" t="n">
        <v>43865</v>
      </c>
      <c r="C96" s="1" t="n">
        <v>45513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7656-2020</t>
        </is>
      </c>
      <c r="B97" s="1" t="n">
        <v>43872</v>
      </c>
      <c r="C97" s="1" t="n">
        <v>45513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7831-2020</t>
        </is>
      </c>
      <c r="B98" s="1" t="n">
        <v>43872</v>
      </c>
      <c r="C98" s="1" t="n">
        <v>45513</v>
      </c>
      <c r="D98" t="inlineStr">
        <is>
          <t>VÄRMLANDS LÄN</t>
        </is>
      </c>
      <c r="E98" t="inlineStr">
        <is>
          <t>FILIPSTAD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7859-2020</t>
        </is>
      </c>
      <c r="B99" s="1" t="n">
        <v>43872</v>
      </c>
      <c r="C99" s="1" t="n">
        <v>45513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7828-2020</t>
        </is>
      </c>
      <c r="B100" s="1" t="n">
        <v>43872</v>
      </c>
      <c r="C100" s="1" t="n">
        <v>45513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9117-2020</t>
        </is>
      </c>
      <c r="B101" s="1" t="n">
        <v>43879</v>
      </c>
      <c r="C101" s="1" t="n">
        <v>45513</v>
      </c>
      <c r="D101" t="inlineStr">
        <is>
          <t>VÄRMLANDS LÄN</t>
        </is>
      </c>
      <c r="E101" t="inlineStr">
        <is>
          <t>FILIPSTAD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9395-2020</t>
        </is>
      </c>
      <c r="B102" s="1" t="n">
        <v>43880</v>
      </c>
      <c r="C102" s="1" t="n">
        <v>45513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9931-2020</t>
        </is>
      </c>
      <c r="B103" s="1" t="n">
        <v>43882</v>
      </c>
      <c r="C103" s="1" t="n">
        <v>45513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9939-2020</t>
        </is>
      </c>
      <c r="B104" s="1" t="n">
        <v>43882</v>
      </c>
      <c r="C104" s="1" t="n">
        <v>45513</v>
      </c>
      <c r="D104" t="inlineStr">
        <is>
          <t>VÄRMLANDS LÄN</t>
        </is>
      </c>
      <c r="E104" t="inlineStr">
        <is>
          <t>FILIPSTAD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10721-2020</t>
        </is>
      </c>
      <c r="B105" s="1" t="n">
        <v>43885</v>
      </c>
      <c r="C105" s="1" t="n">
        <v>45513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11219-2020</t>
        </is>
      </c>
      <c r="B106" s="1" t="n">
        <v>43886</v>
      </c>
      <c r="C106" s="1" t="n">
        <v>45513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10464-2020</t>
        </is>
      </c>
      <c r="B107" s="1" t="n">
        <v>43886</v>
      </c>
      <c r="C107" s="1" t="n">
        <v>45513</v>
      </c>
      <c r="D107" t="inlineStr">
        <is>
          <t>VÄRMLANDS LÄN</t>
        </is>
      </c>
      <c r="E107" t="inlineStr">
        <is>
          <t>FILIPSTAD</t>
        </is>
      </c>
      <c r="G107" t="n">
        <v>17.3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10497-2020</t>
        </is>
      </c>
      <c r="B108" s="1" t="n">
        <v>43886</v>
      </c>
      <c r="C108" s="1" t="n">
        <v>45513</v>
      </c>
      <c r="D108" t="inlineStr">
        <is>
          <t>VÄRMLANDS LÄN</t>
        </is>
      </c>
      <c r="E108" t="inlineStr">
        <is>
          <t>FILIPSTAD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10319-2020</t>
        </is>
      </c>
      <c r="B109" s="1" t="n">
        <v>43887</v>
      </c>
      <c r="C109" s="1" t="n">
        <v>45513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10560-2020</t>
        </is>
      </c>
      <c r="B110" s="1" t="n">
        <v>43887</v>
      </c>
      <c r="C110" s="1" t="n">
        <v>45513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11944-2020</t>
        </is>
      </c>
      <c r="B111" s="1" t="n">
        <v>43889</v>
      </c>
      <c r="C111" s="1" t="n">
        <v>45513</v>
      </c>
      <c r="D111" t="inlineStr">
        <is>
          <t>VÄRMLANDS LÄN</t>
        </is>
      </c>
      <c r="E111" t="inlineStr">
        <is>
          <t>FILIPSTAD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11160-2020</t>
        </is>
      </c>
      <c r="B112" s="1" t="n">
        <v>43891</v>
      </c>
      <c r="C112" s="1" t="n">
        <v>45513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12372-2020</t>
        </is>
      </c>
      <c r="B113" s="1" t="n">
        <v>43896</v>
      </c>
      <c r="C113" s="1" t="n">
        <v>45513</v>
      </c>
      <c r="D113" t="inlineStr">
        <is>
          <t>VÄRMLANDS LÄN</t>
        </is>
      </c>
      <c r="E113" t="inlineStr">
        <is>
          <t>FILIPSTAD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13740-2020</t>
        </is>
      </c>
      <c r="B114" s="1" t="n">
        <v>43903</v>
      </c>
      <c r="C114" s="1" t="n">
        <v>45513</v>
      </c>
      <c r="D114" t="inlineStr">
        <is>
          <t>VÄRMLANDS LÄN</t>
        </is>
      </c>
      <c r="E114" t="inlineStr">
        <is>
          <t>FILIPSTAD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16322-2020</t>
        </is>
      </c>
      <c r="B115" s="1" t="n">
        <v>43907</v>
      </c>
      <c r="C115" s="1" t="n">
        <v>45513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16305-2020</t>
        </is>
      </c>
      <c r="B116" s="1" t="n">
        <v>43907</v>
      </c>
      <c r="C116" s="1" t="n">
        <v>45513</v>
      </c>
      <c r="D116" t="inlineStr">
        <is>
          <t>VÄRMLANDS LÄN</t>
        </is>
      </c>
      <c r="E116" t="inlineStr">
        <is>
          <t>FILIPSTAD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14501-2020</t>
        </is>
      </c>
      <c r="B117" s="1" t="n">
        <v>43908</v>
      </c>
      <c r="C117" s="1" t="n">
        <v>45513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15598-2020</t>
        </is>
      </c>
      <c r="B118" s="1" t="n">
        <v>43914</v>
      </c>
      <c r="C118" s="1" t="n">
        <v>45513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15702-2020</t>
        </is>
      </c>
      <c r="B119" s="1" t="n">
        <v>43915</v>
      </c>
      <c r="C119" s="1" t="n">
        <v>45513</v>
      </c>
      <c r="D119" t="inlineStr">
        <is>
          <t>VÄRMLANDS LÄN</t>
        </is>
      </c>
      <c r="E119" t="inlineStr">
        <is>
          <t>FILIPSTAD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17892-2020</t>
        </is>
      </c>
      <c r="B120" s="1" t="n">
        <v>43924</v>
      </c>
      <c r="C120" s="1" t="n">
        <v>45513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17879-2020</t>
        </is>
      </c>
      <c r="B121" s="1" t="n">
        <v>43924</v>
      </c>
      <c r="C121" s="1" t="n">
        <v>45513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18707-2020</t>
        </is>
      </c>
      <c r="B122" s="1" t="n">
        <v>43930</v>
      </c>
      <c r="C122" s="1" t="n">
        <v>45513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18804-2020</t>
        </is>
      </c>
      <c r="B123" s="1" t="n">
        <v>43933</v>
      </c>
      <c r="C123" s="1" t="n">
        <v>45513</v>
      </c>
      <c r="D123" t="inlineStr">
        <is>
          <t>VÄRMLANDS LÄN</t>
        </is>
      </c>
      <c r="E123" t="inlineStr">
        <is>
          <t>FILIPSTAD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19282-2020</t>
        </is>
      </c>
      <c r="B124" s="1" t="n">
        <v>43937</v>
      </c>
      <c r="C124" s="1" t="n">
        <v>45513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20706-2020</t>
        </is>
      </c>
      <c r="B125" s="1" t="n">
        <v>43949</v>
      </c>
      <c r="C125" s="1" t="n">
        <v>45513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20735-2020</t>
        </is>
      </c>
      <c r="B126" s="1" t="n">
        <v>43949</v>
      </c>
      <c r="C126" s="1" t="n">
        <v>45513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20671-2020</t>
        </is>
      </c>
      <c r="B127" s="1" t="n">
        <v>43949</v>
      </c>
      <c r="C127" s="1" t="n">
        <v>45513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20744-2020</t>
        </is>
      </c>
      <c r="B128" s="1" t="n">
        <v>43949</v>
      </c>
      <c r="C128" s="1" t="n">
        <v>45513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20753-2020</t>
        </is>
      </c>
      <c r="B129" s="1" t="n">
        <v>43949</v>
      </c>
      <c r="C129" s="1" t="n">
        <v>45513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20670-2020</t>
        </is>
      </c>
      <c r="B130" s="1" t="n">
        <v>43949</v>
      </c>
      <c r="C130" s="1" t="n">
        <v>45513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20702-2020</t>
        </is>
      </c>
      <c r="B131" s="1" t="n">
        <v>43949</v>
      </c>
      <c r="C131" s="1" t="n">
        <v>45513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20709-2020</t>
        </is>
      </c>
      <c r="B132" s="1" t="n">
        <v>43949</v>
      </c>
      <c r="C132" s="1" t="n">
        <v>45513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20726-2020</t>
        </is>
      </c>
      <c r="B133" s="1" t="n">
        <v>43949</v>
      </c>
      <c r="C133" s="1" t="n">
        <v>45513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20751-2020</t>
        </is>
      </c>
      <c r="B134" s="1" t="n">
        <v>43949</v>
      </c>
      <c r="C134" s="1" t="n">
        <v>45513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20741-2020</t>
        </is>
      </c>
      <c r="B135" s="1" t="n">
        <v>43949</v>
      </c>
      <c r="C135" s="1" t="n">
        <v>45513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20729-2020</t>
        </is>
      </c>
      <c r="B136" s="1" t="n">
        <v>43949</v>
      </c>
      <c r="C136" s="1" t="n">
        <v>45513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22086-2020</t>
        </is>
      </c>
      <c r="B137" s="1" t="n">
        <v>43959</v>
      </c>
      <c r="C137" s="1" t="n">
        <v>45513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22125-2020</t>
        </is>
      </c>
      <c r="B138" s="1" t="n">
        <v>43960</v>
      </c>
      <c r="C138" s="1" t="n">
        <v>45513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22600-2020</t>
        </is>
      </c>
      <c r="B139" s="1" t="n">
        <v>43963</v>
      </c>
      <c r="C139" s="1" t="n">
        <v>45513</v>
      </c>
      <c r="D139" t="inlineStr">
        <is>
          <t>VÄRMLANDS LÄN</t>
        </is>
      </c>
      <c r="E139" t="inlineStr">
        <is>
          <t>FILIPSTAD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22871-2020</t>
        </is>
      </c>
      <c r="B140" s="1" t="n">
        <v>43964</v>
      </c>
      <c r="C140" s="1" t="n">
        <v>45513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22869-2020</t>
        </is>
      </c>
      <c r="B141" s="1" t="n">
        <v>43964</v>
      </c>
      <c r="C141" s="1" t="n">
        <v>45513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23293-2020</t>
        </is>
      </c>
      <c r="B142" s="1" t="n">
        <v>43966</v>
      </c>
      <c r="C142" s="1" t="n">
        <v>45513</v>
      </c>
      <c r="D142" t="inlineStr">
        <is>
          <t>VÄRMLANDS LÄN</t>
        </is>
      </c>
      <c r="E142" t="inlineStr">
        <is>
          <t>FILIPSTAD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25528-2020</t>
        </is>
      </c>
      <c r="B143" s="1" t="n">
        <v>43983</v>
      </c>
      <c r="C143" s="1" t="n">
        <v>45513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25971-2020</t>
        </is>
      </c>
      <c r="B144" s="1" t="n">
        <v>43985</v>
      </c>
      <c r="C144" s="1" t="n">
        <v>45513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26440-2020</t>
        </is>
      </c>
      <c r="B145" s="1" t="n">
        <v>43987</v>
      </c>
      <c r="C145" s="1" t="n">
        <v>45513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26545-2020</t>
        </is>
      </c>
      <c r="B146" s="1" t="n">
        <v>43987</v>
      </c>
      <c r="C146" s="1" t="n">
        <v>45513</v>
      </c>
      <c r="D146" t="inlineStr">
        <is>
          <t>VÄRMLANDS LÄN</t>
        </is>
      </c>
      <c r="E146" t="inlineStr">
        <is>
          <t>FILIPSTAD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26517-2020</t>
        </is>
      </c>
      <c r="B147" s="1" t="n">
        <v>43987</v>
      </c>
      <c r="C147" s="1" t="n">
        <v>45513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28301-2020</t>
        </is>
      </c>
      <c r="B148" s="1" t="n">
        <v>43998</v>
      </c>
      <c r="C148" s="1" t="n">
        <v>45513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28522-2020</t>
        </is>
      </c>
      <c r="B149" s="1" t="n">
        <v>43999</v>
      </c>
      <c r="C149" s="1" t="n">
        <v>45513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30017-2020</t>
        </is>
      </c>
      <c r="B150" s="1" t="n">
        <v>44006</v>
      </c>
      <c r="C150" s="1" t="n">
        <v>45513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30028-2020</t>
        </is>
      </c>
      <c r="B151" s="1" t="n">
        <v>44006</v>
      </c>
      <c r="C151" s="1" t="n">
        <v>45513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30085-2020</t>
        </is>
      </c>
      <c r="B152" s="1" t="n">
        <v>44006</v>
      </c>
      <c r="C152" s="1" t="n">
        <v>45513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30007-2020</t>
        </is>
      </c>
      <c r="B153" s="1" t="n">
        <v>44006</v>
      </c>
      <c r="C153" s="1" t="n">
        <v>45513</v>
      </c>
      <c r="D153" t="inlineStr">
        <is>
          <t>VÄRMLANDS LÄN</t>
        </is>
      </c>
      <c r="E153" t="inlineStr">
        <is>
          <t>FILIPSTAD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30768-2020</t>
        </is>
      </c>
      <c r="B154" s="1" t="n">
        <v>44008</v>
      </c>
      <c r="C154" s="1" t="n">
        <v>45513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30767-2020</t>
        </is>
      </c>
      <c r="B155" s="1" t="n">
        <v>44008</v>
      </c>
      <c r="C155" s="1" t="n">
        <v>45513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33872-2020</t>
        </is>
      </c>
      <c r="B156" s="1" t="n">
        <v>44027</v>
      </c>
      <c r="C156" s="1" t="n">
        <v>45513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34105-2020</t>
        </is>
      </c>
      <c r="B157" s="1" t="n">
        <v>44028</v>
      </c>
      <c r="C157" s="1" t="n">
        <v>45513</v>
      </c>
      <c r="D157" t="inlineStr">
        <is>
          <t>VÄRMLANDS LÄN</t>
        </is>
      </c>
      <c r="E157" t="inlineStr">
        <is>
          <t>FILIPSTAD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33969-2020</t>
        </is>
      </c>
      <c r="B158" s="1" t="n">
        <v>44028</v>
      </c>
      <c r="C158" s="1" t="n">
        <v>45513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34461-2020</t>
        </is>
      </c>
      <c r="B159" s="1" t="n">
        <v>44032</v>
      </c>
      <c r="C159" s="1" t="n">
        <v>45513</v>
      </c>
      <c r="D159" t="inlineStr">
        <is>
          <t>VÄRMLANDS LÄN</t>
        </is>
      </c>
      <c r="E159" t="inlineStr">
        <is>
          <t>FILIPSTAD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35194-2020</t>
        </is>
      </c>
      <c r="B160" s="1" t="n">
        <v>44040</v>
      </c>
      <c r="C160" s="1" t="n">
        <v>45513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36126-2020</t>
        </is>
      </c>
      <c r="B161" s="1" t="n">
        <v>44048</v>
      </c>
      <c r="C161" s="1" t="n">
        <v>45513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36090-2020</t>
        </is>
      </c>
      <c r="B162" s="1" t="n">
        <v>44048</v>
      </c>
      <c r="C162" s="1" t="n">
        <v>45513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37465-2020</t>
        </is>
      </c>
      <c r="B163" s="1" t="n">
        <v>44055</v>
      </c>
      <c r="C163" s="1" t="n">
        <v>45513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37458-2020</t>
        </is>
      </c>
      <c r="B164" s="1" t="n">
        <v>44055</v>
      </c>
      <c r="C164" s="1" t="n">
        <v>45513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37880-2020</t>
        </is>
      </c>
      <c r="B165" s="1" t="n">
        <v>44057</v>
      </c>
      <c r="C165" s="1" t="n">
        <v>45513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39813-2020</t>
        </is>
      </c>
      <c r="B166" s="1" t="n">
        <v>44067</v>
      </c>
      <c r="C166" s="1" t="n">
        <v>45513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40873-2020</t>
        </is>
      </c>
      <c r="B167" s="1" t="n">
        <v>44070</v>
      </c>
      <c r="C167" s="1" t="n">
        <v>45513</v>
      </c>
      <c r="D167" t="inlineStr">
        <is>
          <t>VÄRMLANDS LÄN</t>
        </is>
      </c>
      <c r="E167" t="inlineStr">
        <is>
          <t>FILIPSTAD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40829-2020</t>
        </is>
      </c>
      <c r="B168" s="1" t="n">
        <v>44070</v>
      </c>
      <c r="C168" s="1" t="n">
        <v>45513</v>
      </c>
      <c r="D168" t="inlineStr">
        <is>
          <t>VÄRMLANDS LÄN</t>
        </is>
      </c>
      <c r="E168" t="inlineStr">
        <is>
          <t>FILIPSTAD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42584-2020</t>
        </is>
      </c>
      <c r="B169" s="1" t="n">
        <v>44077</v>
      </c>
      <c r="C169" s="1" t="n">
        <v>45513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42597-2020</t>
        </is>
      </c>
      <c r="B170" s="1" t="n">
        <v>44077</v>
      </c>
      <c r="C170" s="1" t="n">
        <v>45513</v>
      </c>
      <c r="D170" t="inlineStr">
        <is>
          <t>VÄRMLANDS LÄN</t>
        </is>
      </c>
      <c r="E170" t="inlineStr">
        <is>
          <t>FILIPSTAD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43613-2020</t>
        </is>
      </c>
      <c r="B171" s="1" t="n">
        <v>44082</v>
      </c>
      <c r="C171" s="1" t="n">
        <v>45513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43671-2020</t>
        </is>
      </c>
      <c r="B172" s="1" t="n">
        <v>44082</v>
      </c>
      <c r="C172" s="1" t="n">
        <v>45513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45513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45513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45513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45513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45513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45513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45513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45513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45513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45513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45513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45513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45513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45513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45513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45513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45513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45513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45513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45513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45513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45513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45513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45513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45513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45513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45513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45513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45513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45513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45513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45513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45513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45513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45513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45513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45513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45513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45513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45513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45513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45513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45513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45513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45513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45513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45513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45513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45513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45513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45513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45513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45513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45513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45513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45513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45513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45513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45513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45513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45513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45513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45513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45513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45513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45513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45513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45513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45513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45513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45513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45513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45513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45513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45513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45513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45513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45513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45513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45513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45513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45513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45513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45513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45513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45513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45513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45513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45513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45513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45513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45513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45513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45513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45513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45513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45513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45513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45513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45513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45513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45513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45513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45513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45513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45513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45513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45513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45513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45513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45513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45513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45513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45513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45513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45513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45513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45513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45513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45513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45513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45513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45513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45513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45513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45513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45513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45513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45513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45513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45513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45513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45513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45513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45513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45513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45513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45513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45513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45513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45513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45513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45513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45513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45513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45513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45513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45513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45513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45513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45513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45513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45513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45513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45513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45513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45513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45513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45513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45513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45513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45513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45513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45513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45513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45513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45513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45513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45513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45513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45513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45513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45513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45513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45513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45513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45513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45513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45513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45513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45513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45513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45513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45513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45513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45513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45513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45513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45513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45513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45513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45513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45513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45513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45513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45513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45513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45513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45513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45513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45513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45513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45513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45513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45513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45513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45513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45513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45513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45513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45513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45513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45513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45513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45513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45513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45513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45513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45513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45513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45513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45513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45513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45513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45513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45513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45513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45513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45513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45513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45513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45513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45513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45513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45513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45513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45513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45513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45513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45513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45513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45513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45513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45513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45513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45513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45513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45513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45513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45513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45513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45513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45513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45513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45513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45513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45513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45513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45513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45513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45513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45513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45513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45513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45513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45513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45513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45513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45513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45513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45513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45513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45513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45513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45513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45513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45513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45513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45513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45513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45513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45513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45513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45513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45513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45513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45513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45513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45513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45513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45513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45513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45513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45513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45513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45513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45513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45513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45513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45513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45513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45513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45513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45513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45513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45513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45513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45513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45513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45513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45513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45513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45513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45513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45513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45513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45513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45513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45513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45513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45513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45513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45513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45513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45513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45513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45513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45513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45513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45513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45513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45513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45513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45513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45513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45513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45513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45513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45513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45513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45513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45513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45513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45513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45513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45513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45513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45513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45513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45513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45513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45513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45513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45513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45513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45513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45513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45513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45513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45513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45513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45513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45513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45513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45513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45513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45513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45513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45513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45513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45513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45513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45513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45513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45513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45513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45513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45513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45513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45513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45513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45513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45513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45513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45513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45513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45513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45513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45513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45513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45513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45513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45513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45513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45513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45513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45513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45513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45513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45513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45513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45513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45513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45513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45513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45513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45513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45513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45513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45513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45513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45513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45513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45513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45513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45513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45513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45513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45513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45513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45513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45513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45513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45513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45513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45513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45513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45513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45513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45513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45513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45513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45513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45513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45513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45513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45513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45513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45513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45513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45513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45513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45513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45513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45513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45513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45513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45513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45513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45513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45513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45513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45513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45513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45513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45513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45513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45513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45513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45513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45513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45513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45513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45513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45513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45513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45513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45513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45513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45513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45513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45513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45513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45513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45513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45513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45513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45513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45513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45513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45513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45513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45513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45513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45513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45513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45513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45513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45513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45513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45513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45513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45513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45513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45513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45513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45513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45513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45513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45513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45513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45513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45513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45513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45513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45513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45513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45513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45513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45513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45513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45513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45513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45513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45513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45513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45513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45513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45513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45513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45513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45513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45513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45513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45513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45513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45513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45513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45513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45513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45513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45513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45513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45513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45513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45513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45513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45513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45513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45513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45513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45513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45513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45513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45513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45513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45513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45513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45513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45513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45513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45513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45513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45513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45513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45513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45513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45513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45513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45513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45513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45513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45513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45513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45513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45513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45513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23382-2024</t>
        </is>
      </c>
      <c r="B740" s="1" t="n">
        <v>45453</v>
      </c>
      <c r="C740" s="1" t="n">
        <v>45513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23371-2024</t>
        </is>
      </c>
      <c r="B741" s="1" t="n">
        <v>45453</v>
      </c>
      <c r="C741" s="1" t="n">
        <v>45513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24082-2024</t>
        </is>
      </c>
      <c r="B742" s="1" t="n">
        <v>45456</v>
      </c>
      <c r="C742" s="1" t="n">
        <v>45513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24054-2024</t>
        </is>
      </c>
      <c r="B743" s="1" t="n">
        <v>45456</v>
      </c>
      <c r="C743" s="1" t="n">
        <v>45513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24139-2024</t>
        </is>
      </c>
      <c r="B744" s="1" t="n">
        <v>45456</v>
      </c>
      <c r="C744" s="1" t="n">
        <v>45513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45513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45513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45513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25521-2024</t>
        </is>
      </c>
      <c r="B748" s="1" t="n">
        <v>45463</v>
      </c>
      <c r="C748" s="1" t="n">
        <v>45513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25468-2024</t>
        </is>
      </c>
      <c r="B749" s="1" t="n">
        <v>45463</v>
      </c>
      <c r="C749" s="1" t="n">
        <v>45513</v>
      </c>
      <c r="D749" t="inlineStr">
        <is>
          <t>VÄRMLANDS LÄN</t>
        </is>
      </c>
      <c r="E749" t="inlineStr">
        <is>
          <t>FILIPSTAD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25462-2024</t>
        </is>
      </c>
      <c r="B750" s="1" t="n">
        <v>45463</v>
      </c>
      <c r="C750" s="1" t="n">
        <v>45513</v>
      </c>
      <c r="D750" t="inlineStr">
        <is>
          <t>VÄRMLANDS LÄN</t>
        </is>
      </c>
      <c r="E750" t="inlineStr">
        <is>
          <t>FILIPSTAD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26179-2024</t>
        </is>
      </c>
      <c r="B751" s="1" t="n">
        <v>45468</v>
      </c>
      <c r="C751" s="1" t="n">
        <v>45513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45513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26165-2024</t>
        </is>
      </c>
      <c r="B753" s="1" t="n">
        <v>45468</v>
      </c>
      <c r="C753" s="1" t="n">
        <v>45513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45513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26880-2024</t>
        </is>
      </c>
      <c r="B755" s="1" t="n">
        <v>45470</v>
      </c>
      <c r="C755" s="1" t="n">
        <v>45513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18.3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26816-2024</t>
        </is>
      </c>
      <c r="B756" s="1" t="n">
        <v>45470</v>
      </c>
      <c r="C756" s="1" t="n">
        <v>45513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26843-2024</t>
        </is>
      </c>
      <c r="B757" s="1" t="n">
        <v>45470</v>
      </c>
      <c r="C757" s="1" t="n">
        <v>45513</v>
      </c>
      <c r="D757" t="inlineStr">
        <is>
          <t>VÄRMLANDS LÄN</t>
        </is>
      </c>
      <c r="E757" t="inlineStr">
        <is>
          <t>FILIPSTAD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26811-2024</t>
        </is>
      </c>
      <c r="B758" s="1" t="n">
        <v>45470</v>
      </c>
      <c r="C758" s="1" t="n">
        <v>45513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26809-2024</t>
        </is>
      </c>
      <c r="B759" s="1" t="n">
        <v>45470</v>
      </c>
      <c r="C759" s="1" t="n">
        <v>45513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27129-2024</t>
        </is>
      </c>
      <c r="B760" s="1" t="n">
        <v>45471</v>
      </c>
      <c r="C760" s="1" t="n">
        <v>45513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27107-2024</t>
        </is>
      </c>
      <c r="B761" s="1" t="n">
        <v>45471</v>
      </c>
      <c r="C761" s="1" t="n">
        <v>45513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27139-2024</t>
        </is>
      </c>
      <c r="B762" s="1" t="n">
        <v>45471</v>
      </c>
      <c r="C762" s="1" t="n">
        <v>45513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27105-2024</t>
        </is>
      </c>
      <c r="B763" s="1" t="n">
        <v>45471</v>
      </c>
      <c r="C763" s="1" t="n">
        <v>45513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26991-2024</t>
        </is>
      </c>
      <c r="B764" s="1" t="n">
        <v>45471</v>
      </c>
      <c r="C764" s="1" t="n">
        <v>45513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26975-2024</t>
        </is>
      </c>
      <c r="B765" s="1" t="n">
        <v>45471</v>
      </c>
      <c r="C765" s="1" t="n">
        <v>45513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26974-2024</t>
        </is>
      </c>
      <c r="B766" s="1" t="n">
        <v>45471</v>
      </c>
      <c r="C766" s="1" t="n">
        <v>45513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27400-2024</t>
        </is>
      </c>
      <c r="B767" s="1" t="n">
        <v>45474</v>
      </c>
      <c r="C767" s="1" t="n">
        <v>45513</v>
      </c>
      <c r="D767" t="inlineStr">
        <is>
          <t>VÄRMLANDS LÄN</t>
        </is>
      </c>
      <c r="E767" t="inlineStr">
        <is>
          <t>FILIPSTAD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28034-2024</t>
        </is>
      </c>
      <c r="B768" s="1" t="n">
        <v>45476</v>
      </c>
      <c r="C768" s="1" t="n">
        <v>45513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28357-2024</t>
        </is>
      </c>
      <c r="B769" s="1" t="n">
        <v>45477</v>
      </c>
      <c r="C769" s="1" t="n">
        <v>45513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28615-2024</t>
        </is>
      </c>
      <c r="B770" s="1" t="n">
        <v>45478</v>
      </c>
      <c r="C770" s="1" t="n">
        <v>45513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29358-2024</t>
        </is>
      </c>
      <c r="B771" s="1" t="n">
        <v>45483</v>
      </c>
      <c r="C771" s="1" t="n">
        <v>45513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29520-2024</t>
        </is>
      </c>
      <c r="B772" s="1" t="n">
        <v>45484</v>
      </c>
      <c r="C772" s="1" t="n">
        <v>45513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29474-2024</t>
        </is>
      </c>
      <c r="B773" s="1" t="n">
        <v>45484</v>
      </c>
      <c r="C773" s="1" t="n">
        <v>45513</v>
      </c>
      <c r="D773" t="inlineStr">
        <is>
          <t>VÄRMLANDS LÄN</t>
        </is>
      </c>
      <c r="E773" t="inlineStr">
        <is>
          <t>FILIPSTAD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29473-2024</t>
        </is>
      </c>
      <c r="B774" s="1" t="n">
        <v>45484</v>
      </c>
      <c r="C774" s="1" t="n">
        <v>45513</v>
      </c>
      <c r="D774" t="inlineStr">
        <is>
          <t>VÄRMLANDS LÄN</t>
        </is>
      </c>
      <c r="E774" t="inlineStr">
        <is>
          <t>FILIPSTAD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30527-2024</t>
        </is>
      </c>
      <c r="B775" s="1" t="n">
        <v>45492</v>
      </c>
      <c r="C775" s="1" t="n">
        <v>45513</v>
      </c>
      <c r="D775" t="inlineStr">
        <is>
          <t>VÄRMLANDS LÄN</t>
        </is>
      </c>
      <c r="E775" t="inlineStr">
        <is>
          <t>FILIPSTAD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30540-2024</t>
        </is>
      </c>
      <c r="B776" s="1" t="n">
        <v>45492</v>
      </c>
      <c r="C776" s="1" t="n">
        <v>45513</v>
      </c>
      <c r="D776" t="inlineStr">
        <is>
          <t>VÄRMLANDS LÄN</t>
        </is>
      </c>
      <c r="E776" t="inlineStr">
        <is>
          <t>FILIPSTAD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30552-2024</t>
        </is>
      </c>
      <c r="B777" s="1" t="n">
        <v>45492</v>
      </c>
      <c r="C777" s="1" t="n">
        <v>45513</v>
      </c>
      <c r="D777" t="inlineStr">
        <is>
          <t>VÄRMLANDS LÄN</t>
        </is>
      </c>
      <c r="E777" t="inlineStr">
        <is>
          <t>FILIPSTAD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30646-2024</t>
        </is>
      </c>
      <c r="B778" s="1" t="n">
        <v>45495</v>
      </c>
      <c r="C778" s="1" t="n">
        <v>45513</v>
      </c>
      <c r="D778" t="inlineStr">
        <is>
          <t>VÄRMLANDS LÄN</t>
        </is>
      </c>
      <c r="E778" t="inlineStr">
        <is>
          <t>FILIPSTAD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31630-2024</t>
        </is>
      </c>
      <c r="B779" s="1" t="n">
        <v>45506</v>
      </c>
      <c r="C779" s="1" t="n">
        <v>45513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31632-2024</t>
        </is>
      </c>
      <c r="B780" s="1" t="n">
        <v>45506</v>
      </c>
      <c r="C780" s="1" t="n">
        <v>45513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32172-2024</t>
        </is>
      </c>
      <c r="B781" s="1" t="n">
        <v>45511</v>
      </c>
      <c r="C781" s="1" t="n">
        <v>45513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32185-2024</t>
        </is>
      </c>
      <c r="B782" s="1" t="n">
        <v>45511</v>
      </c>
      <c r="C782" s="1" t="n">
        <v>45513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32094-2024</t>
        </is>
      </c>
      <c r="B783" s="1" t="n">
        <v>45511</v>
      </c>
      <c r="C783" s="1" t="n">
        <v>45513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2024-08-09T10:46:29Z</dcterms:created>
  <dcterms:modified xmlns:dcterms="http://purl.org/dc/terms/" xmlns:xsi="http://www.w3.org/2001/XMLSchema-instance" xsi:type="dcterms:W3CDTF">2024-08-09T10:46:29Z</dcterms:modified>
</cp:coreProperties>
</file>