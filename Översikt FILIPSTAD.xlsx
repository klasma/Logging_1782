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46219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46219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46219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Vårärt
Grönkulla
Skogsknipprot
Svart trolldruva
Tibast
Tvåblad
Underviol</t>
        </is>
      </c>
      <c r="V4">
        <f>HYPERLINK("https://klasma.github.io/Logging_1782/artfynd/A 47888-2021 artfynd.xlsx", "A 47888-2021")</f>
        <v/>
      </c>
      <c r="W4">
        <f>HYPERLINK("https://klasma.github.io/Logging_1782/kartor/A 47888-2021 karta.png", "A 47888-2021")</f>
        <v/>
      </c>
      <c r="Y4">
        <f>HYPERLINK("https://klasma.github.io/Logging_1782/klagomål/A 47888-2021 FSC-klagomål.docx", "A 47888-2021")</f>
        <v/>
      </c>
      <c r="Z4">
        <f>HYPERLINK("https://klasma.github.io/Logging_1782/klagomålsmail/A 47888-2021 FSC-klagomål mail.docx", "A 47888-2021")</f>
        <v/>
      </c>
      <c r="AA4">
        <f>HYPERLINK("https://klasma.github.io/Logging_1782/tillsyn/A 47888-2021 tillsynsbegäran.docx", "A 47888-2021")</f>
        <v/>
      </c>
      <c r="AB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46219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s="2" t="inlineStr">
        <is>
          <t>Garnlav
Dropptaggsvamp
Skuggblåslav
Ullticka
Vedtrappmossa
Bollvitmossa
Bronshjon</t>
        </is>
      </c>
      <c r="V5">
        <f>HYPERLINK("https://klasma.github.io/Logging_1782/artfynd/A 58718-2021 artfynd.xlsx", "A 58718-2021")</f>
        <v/>
      </c>
      <c r="W5">
        <f>HYPERLINK("https://klasma.github.io/Logging_1782/kartor/A 58718-2021 karta.png", "A 58718-2021")</f>
        <v/>
      </c>
      <c r="Y5">
        <f>HYPERLINK("https://klasma.github.io/Logging_1782/klagomål/A 58718-2021 FSC-klagomål.docx", "A 58718-2021")</f>
        <v/>
      </c>
      <c r="Z5">
        <f>HYPERLINK("https://klasma.github.io/Logging_1782/klagomålsmail/A 58718-2021 FSC-klagomål mail.docx", "A 58718-2021")</f>
        <v/>
      </c>
      <c r="AA5">
        <f>HYPERLINK("https://klasma.github.io/Logging_1782/tillsyn/A 58718-2021 tillsynsbegäran.docx", "A 58718-2021")</f>
        <v/>
      </c>
      <c r="AB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46219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46219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Y7">
        <f>HYPERLINK("https://klasma.github.io/Logging_1782/klagomål/A 57471-2025 FSC-klagomål.docx", "A 57471-2025")</f>
        <v/>
      </c>
      <c r="Z7">
        <f>HYPERLINK("https://klasma.github.io/Logging_1782/klagomålsmail/A 57471-2025 FSC-klagomål mail.docx", "A 57471-2025")</f>
        <v/>
      </c>
      <c r="AA7">
        <f>HYPERLINK("https://klasma.github.io/Logging_1782/tillsyn/A 57471-2025 tillsynsbegäran.docx", "A 57471-2025")</f>
        <v/>
      </c>
      <c r="AB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46219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Y8">
        <f>HYPERLINK("https://klasma.github.io/Logging_1782/klagomål/A 26186-2026 FSC-klagomål.docx", "A 26186-2026")</f>
        <v/>
      </c>
      <c r="Z8">
        <f>HYPERLINK("https://klasma.github.io/Logging_1782/klagomålsmail/A 26186-2026 FSC-klagomål mail.docx", "A 26186-2026")</f>
        <v/>
      </c>
      <c r="AA8">
        <f>HYPERLINK("https://klasma.github.io/Logging_1782/tillsyn/A 26186-2026 tillsynsbegäran.docx", "A 26186-2026")</f>
        <v/>
      </c>
      <c r="AB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46219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46219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46219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46219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Norsk näverlav
Skuggblåslav
Grön sköldmossa</t>
        </is>
      </c>
      <c r="V12">
        <f>HYPERLINK("https://klasma.github.io/Logging_1782/artfynd/A 43333-2023 artfynd.xlsx", "A 43333-2023")</f>
        <v/>
      </c>
      <c r="W12">
        <f>HYPERLINK("https://klasma.github.io/Logging_1782/kartor/A 43333-2023 karta.png", "A 43333-2023")</f>
        <v/>
      </c>
      <c r="Y12">
        <f>HYPERLINK("https://klasma.github.io/Logging_1782/klagomål/A 43333-2023 FSC-klagomål.docx", "A 43333-2023")</f>
        <v/>
      </c>
      <c r="Z12">
        <f>HYPERLINK("https://klasma.github.io/Logging_1782/klagomålsmail/A 43333-2023 FSC-klagomål mail.docx", "A 43333-2023")</f>
        <v/>
      </c>
      <c r="AA12">
        <f>HYPERLINK("https://klasma.github.io/Logging_1782/tillsyn/A 43333-2023 tillsynsbegäran.docx", "A 43333-2023")</f>
        <v/>
      </c>
      <c r="AB12">
        <f>HYPERLINK("https://klasma.github.io/Logging_1782/tillsynsmail/A 43333-2023 tillsynsbegäran mail.docx", "A 43333-2023")</f>
        <v/>
      </c>
    </row>
    <row r="13" ht="15" customHeight="1">
      <c r="A13" t="inlineStr">
        <is>
          <t>A 38134-2024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46219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s="2" t="inlineStr">
        <is>
          <t>Garnlav
Dropptaggsvamp
Skuggblåslav</t>
        </is>
      </c>
      <c r="V13">
        <f>HYPERLINK("https://klasma.github.io/Logging_1782/artfynd/A 38134-2024 artfynd.xlsx", "A 38134-2024")</f>
        <v/>
      </c>
      <c r="W13">
        <f>HYPERLINK("https://klasma.github.io/Logging_1782/kartor/A 38134-2024 karta.png", "A 38134-2024")</f>
        <v/>
      </c>
      <c r="Y13">
        <f>HYPERLINK("https://klasma.github.io/Logging_1782/klagomål/A 38134-2024 FSC-klagomål.docx", "A 38134-2024")</f>
        <v/>
      </c>
      <c r="Z13">
        <f>HYPERLINK("https://klasma.github.io/Logging_1782/klagomålsmail/A 38134-2024 FSC-klagomål mail.docx", "A 38134-2024")</f>
        <v/>
      </c>
      <c r="AA13">
        <f>HYPERLINK("https://klasma.github.io/Logging_1782/tillsyn/A 38134-2024 tillsynsbegäran.docx", "A 38134-2024")</f>
        <v/>
      </c>
      <c r="AB13">
        <f>HYPERLINK("https://klasma.github.io/Logging_1782/tillsynsmail/A 38134-2024 tillsynsbegäran mail.docx", "A 38134-2024")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46219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s="2" t="inlineStr">
        <is>
          <t>Brunklöver
Skuggblåslav
Bårdlav</t>
        </is>
      </c>
      <c r="V14">
        <f>HYPERLINK("https://klasma.github.io/Logging_1782/artfynd/A 45714-2025 artfynd.xlsx", "A 45714-2025")</f>
        <v/>
      </c>
      <c r="W14">
        <f>HYPERLINK("https://klasma.github.io/Logging_1782/kartor/A 45714-2025 karta.png", "A 45714-2025")</f>
        <v/>
      </c>
      <c r="Y14">
        <f>HYPERLINK("https://klasma.github.io/Logging_1782/klagomål/A 45714-2025 FSC-klagomål.docx", "A 45714-2025")</f>
        <v/>
      </c>
      <c r="Z14">
        <f>HYPERLINK("https://klasma.github.io/Logging_1782/klagomålsmail/A 45714-2025 FSC-klagomål mail.docx", "A 45714-2025")</f>
        <v/>
      </c>
      <c r="AA14">
        <f>HYPERLINK("https://klasma.github.io/Logging_1782/tillsyn/A 45714-2025 tillsynsbegäran.docx", "A 45714-2025")</f>
        <v/>
      </c>
      <c r="AB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46219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Tjäder
Orre
Fläcknycklar</t>
        </is>
      </c>
      <c r="V15">
        <f>HYPERLINK("https://klasma.github.io/Logging_1782/artfynd/A 62116-2025 artfynd.xlsx", "A 62116-2025")</f>
        <v/>
      </c>
      <c r="W15">
        <f>HYPERLINK("https://klasma.github.io/Logging_1782/kartor/A 62116-2025 karta.png", "A 62116-2025")</f>
        <v/>
      </c>
      <c r="Y15">
        <f>HYPERLINK("https://klasma.github.io/Logging_1782/klagomål/A 62116-2025 FSC-klagomål.docx", "A 62116-2025")</f>
        <v/>
      </c>
      <c r="Z15">
        <f>HYPERLINK("https://klasma.github.io/Logging_1782/klagomålsmail/A 62116-2025 FSC-klagomål mail.docx", "A 62116-2025")</f>
        <v/>
      </c>
      <c r="AA15">
        <f>HYPERLINK("https://klasma.github.io/Logging_1782/tillsyn/A 62116-2025 tillsynsbegäran.docx", "A 62116-2025")</f>
        <v/>
      </c>
      <c r="AB15">
        <f>HYPERLINK("https://klasma.github.io/Logging_1782/tillsynsmail/A 62116-2025 tillsynsbegäran mail.docx", "A 62116-2025")</f>
        <v/>
      </c>
      <c r="AC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46219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Y16">
        <f>HYPERLINK("https://klasma.github.io/Logging_1782/klagomål/A 63625-2023 FSC-klagomål.docx", "A 63625-2023")</f>
        <v/>
      </c>
      <c r="Z16">
        <f>HYPERLINK("https://klasma.github.io/Logging_1782/klagomålsmail/A 63625-2023 FSC-klagomål mail.docx", "A 63625-2023")</f>
        <v/>
      </c>
      <c r="AA16">
        <f>HYPERLINK("https://klasma.github.io/Logging_1782/tillsyn/A 63625-2023 tillsynsbegäran.docx", "A 63625-2023")</f>
        <v/>
      </c>
      <c r="AB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46219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46219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Fläcknycklar</t>
        </is>
      </c>
      <c r="V18">
        <f>HYPERLINK("https://klasma.github.io/Logging_1782/artfynd/A 38132-2024 artfynd.xlsx", "A 38132-2024")</f>
        <v/>
      </c>
      <c r="W18">
        <f>HYPERLINK("https://klasma.github.io/Logging_1782/kartor/A 38132-2024 karta.png", "A 38132-2024")</f>
        <v/>
      </c>
      <c r="Y18">
        <f>HYPERLINK("https://klasma.github.io/Logging_1782/klagomål/A 38132-2024 FSC-klagomål.docx", "A 38132-2024")</f>
        <v/>
      </c>
      <c r="Z18">
        <f>HYPERLINK("https://klasma.github.io/Logging_1782/klagomålsmail/A 38132-2024 FSC-klagomål mail.docx", "A 38132-2024")</f>
        <v/>
      </c>
      <c r="AA18">
        <f>HYPERLINK("https://klasma.github.io/Logging_1782/tillsyn/A 38132-2024 tillsynsbegäran.docx", "A 38132-2024")</f>
        <v/>
      </c>
      <c r="AB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46219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Bronshjon
Korallblylav</t>
        </is>
      </c>
      <c r="V19">
        <f>HYPERLINK("https://klasma.github.io/Logging_1782/artfynd/A 45523-2022 artfynd.xlsx", "A 45523-2022")</f>
        <v/>
      </c>
      <c r="W19">
        <f>HYPERLINK("https://klasma.github.io/Logging_1782/kartor/A 45523-2022 karta.png", "A 45523-2022")</f>
        <v/>
      </c>
      <c r="Y19">
        <f>HYPERLINK("https://klasma.github.io/Logging_1782/klagomål/A 45523-2022 FSC-klagomål.docx", "A 45523-2022")</f>
        <v/>
      </c>
      <c r="Z19">
        <f>HYPERLINK("https://klasma.github.io/Logging_1782/klagomålsmail/A 45523-2022 FSC-klagomål mail.docx", "A 45523-2022")</f>
        <v/>
      </c>
      <c r="AA19">
        <f>HYPERLINK("https://klasma.github.io/Logging_1782/tillsyn/A 45523-2022 tillsynsbegäran.docx", "A 45523-2022")</f>
        <v/>
      </c>
      <c r="AB19">
        <f>HYPERLINK("https://klasma.github.io/Logging_1782/tillsynsmail/A 45523-2022 tillsynsbegäran mail.docx", "A 45523-2022")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46219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Grönsiska
Smålom</t>
        </is>
      </c>
      <c r="V20">
        <f>HYPERLINK("https://klasma.github.io/Logging_1782/artfynd/A 51103-2025 artfynd.xlsx", "A 51103-2025")</f>
        <v/>
      </c>
      <c r="W20">
        <f>HYPERLINK("https://klasma.github.io/Logging_1782/kartor/A 51103-2025 karta.png", "A 51103-2025")</f>
        <v/>
      </c>
      <c r="Y20">
        <f>HYPERLINK("https://klasma.github.io/Logging_1782/klagomål/A 51103-2025 FSC-klagomål.docx", "A 51103-2025")</f>
        <v/>
      </c>
      <c r="Z20">
        <f>HYPERLINK("https://klasma.github.io/Logging_1782/klagomålsmail/A 51103-2025 FSC-klagomål mail.docx", "A 51103-2025")</f>
        <v/>
      </c>
      <c r="AA20">
        <f>HYPERLINK("https://klasma.github.io/Logging_1782/tillsyn/A 51103-2025 tillsynsbegäran.docx", "A 51103-2025")</f>
        <v/>
      </c>
      <c r="AB20">
        <f>HYPERLINK("https://klasma.github.io/Logging_1782/tillsynsmail/A 51103-2025 tillsynsbegäran mail.docx", "A 51103-2025")</f>
        <v/>
      </c>
      <c r="AC20">
        <f>HYPERLINK("https://klasma.github.io/Logging_1782/fåglar/A 51103-2025 prioriterade fågelarter.docx", "A 51103-2025")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46219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Igelkott
Fläcknycklar</t>
        </is>
      </c>
      <c r="V21">
        <f>HYPERLINK("https://klasma.github.io/Logging_1782/artfynd/A 29469-2026 artfynd.xlsx", "A 29469-2026")</f>
        <v/>
      </c>
      <c r="W21">
        <f>HYPERLINK("https://klasma.github.io/Logging_1782/kartor/A 29469-2026 karta.png", "A 29469-2026")</f>
        <v/>
      </c>
      <c r="Y21">
        <f>HYPERLINK("https://klasma.github.io/Logging_1782/klagomål/A 29469-2026 FSC-klagomål.docx", "A 29469-2026")</f>
        <v/>
      </c>
      <c r="Z21">
        <f>HYPERLINK("https://klasma.github.io/Logging_1782/klagomålsmail/A 29469-2026 FSC-klagomål mail.docx", "A 29469-2026")</f>
        <v/>
      </c>
      <c r="AA21">
        <f>HYPERLINK("https://klasma.github.io/Logging_1782/tillsyn/A 29469-2026 tillsynsbegäran.docx", "A 29469-2026")</f>
        <v/>
      </c>
      <c r="AB21">
        <f>HYPERLINK("https://klasma.github.io/Logging_1782/tillsynsmail/A 29469-2026 tillsynsbegäran mail.docx", "A 29469-2026")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46219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Garnlav
Bronshjon</t>
        </is>
      </c>
      <c r="V22">
        <f>HYPERLINK("https://klasma.github.io/Logging_1782/artfynd/A 16139-2025 artfynd.xlsx", "A 16139-2025")</f>
        <v/>
      </c>
      <c r="W22">
        <f>HYPERLINK("https://klasma.github.io/Logging_1782/kartor/A 16139-2025 karta.png", "A 16139-2025")</f>
        <v/>
      </c>
      <c r="Y22">
        <f>HYPERLINK("https://klasma.github.io/Logging_1782/klagomål/A 16139-2025 FSC-klagomål.docx", "A 16139-2025")</f>
        <v/>
      </c>
      <c r="Z22">
        <f>HYPERLINK("https://klasma.github.io/Logging_1782/klagomålsmail/A 16139-2025 FSC-klagomål mail.docx", "A 16139-2025")</f>
        <v/>
      </c>
      <c r="AA22">
        <f>HYPERLINK("https://klasma.github.io/Logging_1782/tillsyn/A 16139-2025 tillsynsbegäran.docx", "A 16139-2025")</f>
        <v/>
      </c>
      <c r="AB22">
        <f>HYPERLINK("https://klasma.github.io/Logging_1782/tillsynsmail/A 16139-2025 tillsynsbegäran mail.docx", "A 16139-2025")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46219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s="2" t="inlineStr">
        <is>
          <t>Guckusko
Kransrams</t>
        </is>
      </c>
      <c r="V23">
        <f>HYPERLINK("https://klasma.github.io/Logging_1782/artfynd/A 19945-2023 artfynd.xlsx", "A 19945-2023")</f>
        <v/>
      </c>
      <c r="W23">
        <f>HYPERLINK("https://klasma.github.io/Logging_1782/kartor/A 19945-2023 karta.png", "A 19945-2023")</f>
        <v/>
      </c>
      <c r="Y23">
        <f>HYPERLINK("https://klasma.github.io/Logging_1782/klagomål/A 19945-2023 FSC-klagomål.docx", "A 19945-2023")</f>
        <v/>
      </c>
      <c r="Z23">
        <f>HYPERLINK("https://klasma.github.io/Logging_1782/klagomålsmail/A 19945-2023 FSC-klagomål mail.docx", "A 19945-2023")</f>
        <v/>
      </c>
      <c r="AA23">
        <f>HYPERLINK("https://klasma.github.io/Logging_1782/tillsyn/A 19945-2023 tillsynsbegäran.docx", "A 19945-2023")</f>
        <v/>
      </c>
      <c r="AB23">
        <f>HYPERLINK("https://klasma.github.io/Logging_1782/tillsynsmail/A 19945-2023 tillsynsbegäran mail.docx", "A 19945-2023")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46219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Dropptaggsvamp
Talltita</t>
        </is>
      </c>
      <c r="V24">
        <f>HYPERLINK("https://klasma.github.io/Logging_1782/artfynd/A 17274-2024 artfynd.xlsx", "A 17274-2024")</f>
        <v/>
      </c>
      <c r="W24">
        <f>HYPERLINK("https://klasma.github.io/Logging_1782/kartor/A 17274-2024 karta.png", "A 17274-2024")</f>
        <v/>
      </c>
      <c r="Y24">
        <f>HYPERLINK("https://klasma.github.io/Logging_1782/klagomål/A 17274-2024 FSC-klagomål.docx", "A 17274-2024")</f>
        <v/>
      </c>
      <c r="Z24">
        <f>HYPERLINK("https://klasma.github.io/Logging_1782/klagomålsmail/A 17274-2024 FSC-klagomål mail.docx", "A 17274-2024")</f>
        <v/>
      </c>
      <c r="AA24">
        <f>HYPERLINK("https://klasma.github.io/Logging_1782/tillsyn/A 17274-2024 tillsynsbegäran.docx", "A 17274-2024")</f>
        <v/>
      </c>
      <c r="AB24">
        <f>HYPERLINK("https://klasma.github.io/Logging_1782/tillsynsmail/A 17274-2024 tillsynsbegäran mail.docx", "A 17274-2024")</f>
        <v/>
      </c>
      <c r="AC24">
        <f>HYPERLINK("https://klasma.github.io/Logging_1782/fåglar/A 17274-2024 prioriterade fågelarter.docx", "A 17274-2024")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46219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s="2" t="inlineStr">
        <is>
          <t>Läderlappslav
Tjäder</t>
        </is>
      </c>
      <c r="V25">
        <f>HYPERLINK("https://klasma.github.io/Logging_1782/artfynd/A 51922-2024 artfynd.xlsx", "A 51922-2024")</f>
        <v/>
      </c>
      <c r="W25">
        <f>HYPERLINK("https://klasma.github.io/Logging_1782/kartor/A 51922-2024 karta.png", "A 51922-2024")</f>
        <v/>
      </c>
      <c r="Y25">
        <f>HYPERLINK("https://klasma.github.io/Logging_1782/klagomål/A 51922-2024 FSC-klagomål.docx", "A 51922-2024")</f>
        <v/>
      </c>
      <c r="Z25">
        <f>HYPERLINK("https://klasma.github.io/Logging_1782/klagomålsmail/A 51922-2024 FSC-klagomål mail.docx", "A 51922-2024")</f>
        <v/>
      </c>
      <c r="AA25">
        <f>HYPERLINK("https://klasma.github.io/Logging_1782/tillsyn/A 51922-2024 tillsynsbegäran.docx", "A 51922-2024")</f>
        <v/>
      </c>
      <c r="AB25">
        <f>HYPERLINK("https://klasma.github.io/Logging_1782/tillsynsmail/A 51922-2024 tillsynsbegäran mail.docx", "A 51922-2024")</f>
        <v/>
      </c>
      <c r="AC25">
        <f>HYPERLINK("https://klasma.github.io/Logging_1782/fåglar/A 51922-2024 prioriterade fågelarter.docx", "A 51922-2024")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46219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46219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46219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46219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Purpurknipprot</t>
        </is>
      </c>
      <c r="V29">
        <f>HYPERLINK("https://klasma.github.io/Logging_1782/artfynd/A 10138-2024 artfynd.xlsx", "A 10138-2024")</f>
        <v/>
      </c>
      <c r="W29">
        <f>HYPERLINK("https://klasma.github.io/Logging_1782/kartor/A 10138-2024 karta.png", "A 10138-2024")</f>
        <v/>
      </c>
      <c r="Y29">
        <f>HYPERLINK("https://klasma.github.io/Logging_1782/klagomål/A 10138-2024 FSC-klagomål.docx", "A 10138-2024")</f>
        <v/>
      </c>
      <c r="Z29">
        <f>HYPERLINK("https://klasma.github.io/Logging_1782/klagomålsmail/A 10138-2024 FSC-klagomål mail.docx", "A 10138-2024")</f>
        <v/>
      </c>
      <c r="AA29">
        <f>HYPERLINK("https://klasma.github.io/Logging_1782/tillsyn/A 10138-2024 tillsynsbegäran.docx", "A 10138-2024")</f>
        <v/>
      </c>
      <c r="AB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46219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Dropptaggsvamp</t>
        </is>
      </c>
      <c r="V30">
        <f>HYPERLINK("https://klasma.github.io/Logging_1782/artfynd/A 38140-2024 artfynd.xlsx", "A 38140-2024")</f>
        <v/>
      </c>
      <c r="W30">
        <f>HYPERLINK("https://klasma.github.io/Logging_1782/kartor/A 38140-2024 karta.png", "A 38140-2024")</f>
        <v/>
      </c>
      <c r="Y30">
        <f>HYPERLINK("https://klasma.github.io/Logging_1782/klagomål/A 38140-2024 FSC-klagomål.docx", "A 38140-2024")</f>
        <v/>
      </c>
      <c r="Z30">
        <f>HYPERLINK("https://klasma.github.io/Logging_1782/klagomålsmail/A 38140-2024 FSC-klagomål mail.docx", "A 38140-2024")</f>
        <v/>
      </c>
      <c r="AA30">
        <f>HYPERLINK("https://klasma.github.io/Logging_1782/tillsyn/A 38140-2024 tillsynsbegäran.docx", "A 38140-2024")</f>
        <v/>
      </c>
      <c r="AB30">
        <f>HYPERLINK("https://klasma.github.io/Logging_1782/tillsynsmail/A 38140-2024 tillsynsbegäran mail.docx", "A 38140-2024")</f>
        <v/>
      </c>
    </row>
    <row r="31" ht="15" customHeight="1">
      <c r="A31" t="inlineStr">
        <is>
          <t>A 34145-2024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45524</v>
      </c>
      <c r="E31" s="1" t="n">
        <v>46219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Brunklöver</t>
        </is>
      </c>
      <c r="V31">
        <f>HYPERLINK("https://klasma.github.io/Logging_1782/artfynd/A 34145-2024 artfynd.xlsx", "A 34145-2024")</f>
        <v/>
      </c>
      <c r="W31">
        <f>HYPERLINK("https://klasma.github.io/Logging_1782/kartor/A 34145-2024 karta.png", "A 34145-2024")</f>
        <v/>
      </c>
      <c r="Y31">
        <f>HYPERLINK("https://klasma.github.io/Logging_1782/klagomål/A 34145-2024 FSC-klagomål.docx", "A 34145-2024")</f>
        <v/>
      </c>
      <c r="Z31">
        <f>HYPERLINK("https://klasma.github.io/Logging_1782/klagomålsmail/A 34145-2024 FSC-klagomål mail.docx", "A 34145-2024")</f>
        <v/>
      </c>
      <c r="AA31">
        <f>HYPERLINK("https://klasma.github.io/Logging_1782/tillsyn/A 34145-2024 tillsynsbegäran.docx", "A 34145-2024")</f>
        <v/>
      </c>
      <c r="AB31">
        <f>HYPERLINK("https://klasma.github.io/Logging_1782/tillsynsmail/A 34145-2024 tillsynsbegäran mail.docx", "A 34145-2024")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46219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Brunklöver</t>
        </is>
      </c>
      <c r="V32">
        <f>HYPERLINK("https://klasma.github.io/Logging_1782/artfynd/A 45781-2025 artfynd.xlsx", "A 45781-2025")</f>
        <v/>
      </c>
      <c r="W32">
        <f>HYPERLINK("https://klasma.github.io/Logging_1782/kartor/A 45781-2025 karta.png", "A 45781-2025")</f>
        <v/>
      </c>
      <c r="Y32">
        <f>HYPERLINK("https://klasma.github.io/Logging_1782/klagomål/A 45781-2025 FSC-klagomål.docx", "A 45781-2025")</f>
        <v/>
      </c>
      <c r="Z32">
        <f>HYPERLINK("https://klasma.github.io/Logging_1782/klagomålsmail/A 45781-2025 FSC-klagomål mail.docx", "A 45781-2025")</f>
        <v/>
      </c>
      <c r="AA32">
        <f>HYPERLINK("https://klasma.github.io/Logging_1782/tillsyn/A 45781-2025 tillsynsbegäran.docx", "A 45781-2025")</f>
        <v/>
      </c>
      <c r="AB32">
        <f>HYPERLINK("https://klasma.github.io/Logging_1782/tillsynsmail/A 45781-2025 tillsynsbegäran mail.docx", "A 45781-2025")</f>
        <v/>
      </c>
    </row>
    <row r="33" ht="15" customHeight="1">
      <c r="A33" t="inlineStr">
        <is>
          <t>A 23046-2023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45075</v>
      </c>
      <c r="E33" s="1" t="n">
        <v>46219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Knärot</t>
        </is>
      </c>
      <c r="V33">
        <f>HYPERLINK("https://klasma.github.io/Logging_1782/artfynd/A 23046-2023 artfynd.xlsx", "A 23046-2023")</f>
        <v/>
      </c>
      <c r="W33">
        <f>HYPERLINK("https://klasma.github.io/Logging_1782/kartor/A 23046-2023 karta.png", "A 23046-2023")</f>
        <v/>
      </c>
      <c r="X33">
        <f>HYPERLINK("https://klasma.github.io/Logging_1782/knärot/A 23046-2023 karta knärot.png", "A 23046-2023")</f>
        <v/>
      </c>
      <c r="Y33">
        <f>HYPERLINK("https://klasma.github.io/Logging_1782/klagomål/A 23046-2023 FSC-klagomål.docx", "A 23046-2023")</f>
        <v/>
      </c>
      <c r="Z33">
        <f>HYPERLINK("https://klasma.github.io/Logging_1782/klagomålsmail/A 23046-2023 FSC-klagomål mail.docx", "A 23046-2023")</f>
        <v/>
      </c>
      <c r="AA33">
        <f>HYPERLINK("https://klasma.github.io/Logging_1782/tillsyn/A 23046-2023 tillsynsbegäran.docx", "A 23046-2023")</f>
        <v/>
      </c>
      <c r="AB33">
        <f>HYPERLINK("https://klasma.github.io/Logging_1782/tillsynsmail/A 23046-2023 tillsynsbegäran mail.docx", "A 23046-2023")</f>
        <v/>
      </c>
    </row>
    <row r="34" ht="15" customHeight="1">
      <c r="A34" t="inlineStr">
        <is>
          <t>A 28915-2026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46199</v>
      </c>
      <c r="E34" s="1" t="n">
        <v>46219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Stjärnstarr</t>
        </is>
      </c>
      <c r="V34">
        <f>HYPERLINK("https://klasma.github.io/Logging_1782/artfynd/A 28915-2026 artfynd.xlsx", "A 28915-2026")</f>
        <v/>
      </c>
      <c r="W34">
        <f>HYPERLINK("https://klasma.github.io/Logging_1782/kartor/A 28915-2026 karta.png", "A 28915-2026")</f>
        <v/>
      </c>
      <c r="Y34">
        <f>HYPERLINK("https://klasma.github.io/Logging_1782/klagomål/A 28915-2026 FSC-klagomål.docx", "A 28915-2026")</f>
        <v/>
      </c>
      <c r="Z34">
        <f>HYPERLINK("https://klasma.github.io/Logging_1782/klagomålsmail/A 28915-2026 FSC-klagomål mail.docx", "A 28915-2026")</f>
        <v/>
      </c>
      <c r="AA34">
        <f>HYPERLINK("https://klasma.github.io/Logging_1782/tillsyn/A 28915-2026 tillsynsbegäran.docx", "A 28915-2026")</f>
        <v/>
      </c>
      <c r="AB34">
        <f>HYPERLINK("https://klasma.github.io/Logging_1782/tillsynsmail/A 28915-2026 tillsynsbegäran mail.docx", "A 28915-2026")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46219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HYPERLINK("https://klasma.github.io/Logging_1782/artfynd/A 58734-2025 artfynd.xlsx", "A 58734-2025")</f>
        <v/>
      </c>
      <c r="W35">
        <f>HYPERLINK("https://klasma.github.io/Logging_1782/kartor/A 58734-2025 karta.png", "A 58734-2025")</f>
        <v/>
      </c>
      <c r="Y35">
        <f>HYPERLINK("https://klasma.github.io/Logging_1782/klagomål/A 58734-2025 FSC-klagomål.docx", "A 58734-2025")</f>
        <v/>
      </c>
      <c r="Z35">
        <f>HYPERLINK("https://klasma.github.io/Logging_1782/klagomålsmail/A 58734-2025 FSC-klagomål mail.docx", "A 58734-2025")</f>
        <v/>
      </c>
      <c r="AA35">
        <f>HYPERLINK("https://klasma.github.io/Logging_1782/tillsyn/A 58734-2025 tillsynsbegäran.docx", "A 58734-2025")</f>
        <v/>
      </c>
      <c r="AB35">
        <f>HYPERLINK("https://klasma.github.io/Logging_1782/tillsynsmail/A 58734-2025 tillsynsbegäran mail.docx", "A 58734-2025")</f>
        <v/>
      </c>
      <c r="AC35">
        <f>HYPERLINK("https://klasma.github.io/Logging_1782/fåglar/A 58734-2025 prioriterade fågelarter.docx", "A 58734-2025")</f>
        <v/>
      </c>
    </row>
    <row r="36" ht="15" customHeight="1">
      <c r="A36" t="inlineStr">
        <is>
          <t>A 31257-2026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46219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10.2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Gräsull</t>
        </is>
      </c>
      <c r="V36">
        <f>HYPERLINK("https://klasma.github.io/Logging_1782/artfynd/A 31257-2026 artfynd.xlsx", "A 31257-2026")</f>
        <v/>
      </c>
      <c r="W36">
        <f>HYPERLINK("https://klasma.github.io/Logging_1782/kartor/A 31257-2026 karta.png", "A 31257-2026")</f>
        <v/>
      </c>
      <c r="Y36">
        <f>HYPERLINK("https://klasma.github.io/Logging_1782/klagomål/A 31257-2026 FSC-klagomål.docx", "A 31257-2026")</f>
        <v/>
      </c>
      <c r="Z36">
        <f>HYPERLINK("https://klasma.github.io/Logging_1782/klagomålsmail/A 31257-2026 FSC-klagomål mail.docx", "A 31257-2026")</f>
        <v/>
      </c>
      <c r="AA36">
        <f>HYPERLINK("https://klasma.github.io/Logging_1782/tillsyn/A 31257-2026 tillsynsbegäran.docx", "A 31257-2026")</f>
        <v/>
      </c>
      <c r="AB36">
        <f>HYPERLINK("https://klasma.github.io/Logging_1782/tillsynsmail/A 31257-2026 tillsynsbegäran mail.docx", "A 31257-2026")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46219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Skrovlig taggsvamp</t>
        </is>
      </c>
      <c r="V37">
        <f>HYPERLINK("https://klasma.github.io/Logging_1782/artfynd/A 4560-2025 artfynd.xlsx", "A 4560-2025")</f>
        <v/>
      </c>
      <c r="W37">
        <f>HYPERLINK("https://klasma.github.io/Logging_1782/kartor/A 4560-2025 karta.png", "A 4560-2025")</f>
        <v/>
      </c>
      <c r="Y37">
        <f>HYPERLINK("https://klasma.github.io/Logging_1782/klagomål/A 4560-2025 FSC-klagomål.docx", "A 4560-2025")</f>
        <v/>
      </c>
      <c r="Z37">
        <f>HYPERLINK("https://klasma.github.io/Logging_1782/klagomålsmail/A 4560-2025 FSC-klagomål mail.docx", "A 4560-2025")</f>
        <v/>
      </c>
      <c r="AA37">
        <f>HYPERLINK("https://klasma.github.io/Logging_1782/tillsyn/A 4560-2025 tillsynsbegäran.docx", "A 4560-2025")</f>
        <v/>
      </c>
      <c r="AB37">
        <f>HYPERLINK("https://klasma.github.io/Logging_1782/tillsynsmail/A 4560-2025 tillsynsbegäran mail.docx", "A 4560-2025")</f>
        <v/>
      </c>
    </row>
    <row r="38" ht="15" customHeight="1">
      <c r="A38" t="inlineStr">
        <is>
          <t>A 874-2025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46219</v>
      </c>
      <c r="F38" t="inlineStr">
        <is>
          <t>VÄRMLANDS LÄN</t>
        </is>
      </c>
      <c r="G38" t="inlineStr">
        <is>
          <t>FILIPSTAD</t>
        </is>
      </c>
      <c r="H38" t="inlineStr">
        <is>
          <t>Kyrkan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Kamjordstjärna</t>
        </is>
      </c>
      <c r="V38">
        <f>HYPERLINK("https://klasma.github.io/Logging_1782/artfynd/A 874-2025 artfynd.xlsx", "A 874-2025")</f>
        <v/>
      </c>
      <c r="W38">
        <f>HYPERLINK("https://klasma.github.io/Logging_1782/kartor/A 874-2025 karta.png", "A 874-2025")</f>
        <v/>
      </c>
      <c r="Y38">
        <f>HYPERLINK("https://klasma.github.io/Logging_1782/klagomål/A 874-2025 FSC-klagomål.docx", "A 874-2025")</f>
        <v/>
      </c>
      <c r="Z38">
        <f>HYPERLINK("https://klasma.github.io/Logging_1782/klagomålsmail/A 874-2025 FSC-klagomål mail.docx", "A 874-2025")</f>
        <v/>
      </c>
      <c r="AA38">
        <f>HYPERLINK("https://klasma.github.io/Logging_1782/tillsyn/A 874-2025 tillsynsbegäran.docx", "A 874-2025")</f>
        <v/>
      </c>
      <c r="AB38">
        <f>HYPERLINK("https://klasma.github.io/Logging_1782/tillsynsmail/A 874-2025 tillsynsbegäran mail.docx", "A 874-2025")</f>
        <v/>
      </c>
    </row>
    <row r="39" ht="15" customHeight="1">
      <c r="A39" t="inlineStr">
        <is>
          <t>A 11453-2025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46219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Purpurknipprot</t>
        </is>
      </c>
      <c r="V39">
        <f>HYPERLINK("https://klasma.github.io/Logging_1782/artfynd/A 11453-2025 artfynd.xlsx", "A 11453-2025")</f>
        <v/>
      </c>
      <c r="W39">
        <f>HYPERLINK("https://klasma.github.io/Logging_1782/kartor/A 11453-2025 karta.png", "A 11453-2025")</f>
        <v/>
      </c>
      <c r="Y39">
        <f>HYPERLINK("https://klasma.github.io/Logging_1782/klagomål/A 11453-2025 FSC-klagomål.docx", "A 11453-2025")</f>
        <v/>
      </c>
      <c r="Z39">
        <f>HYPERLINK("https://klasma.github.io/Logging_1782/klagomålsmail/A 11453-2025 FSC-klagomål mail.docx", "A 11453-2025")</f>
        <v/>
      </c>
      <c r="AA39">
        <f>HYPERLINK("https://klasma.github.io/Logging_1782/tillsyn/A 11453-2025 tillsynsbegäran.docx", "A 11453-2025")</f>
        <v/>
      </c>
      <c r="AB39">
        <f>HYPERLINK("https://klasma.github.io/Logging_1782/tillsynsmail/A 11453-2025 tillsynsbegäran mail.docx", "A 11453-2025")</f>
        <v/>
      </c>
    </row>
    <row r="40" ht="15" customHeight="1">
      <c r="A40" t="inlineStr">
        <is>
          <t>A 25916-2025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45804</v>
      </c>
      <c r="E40" s="1" t="n">
        <v>46219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26.4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HYPERLINK("https://klasma.github.io/Logging_1782/artfynd/A 25916-2025 artfynd.xlsx", "A 25916-2025")</f>
        <v/>
      </c>
      <c r="W40">
        <f>HYPERLINK("https://klasma.github.io/Logging_1782/kartor/A 25916-2025 karta.png", "A 25916-2025")</f>
        <v/>
      </c>
      <c r="Y40">
        <f>HYPERLINK("https://klasma.github.io/Logging_1782/klagomål/A 25916-2025 FSC-klagomål.docx", "A 25916-2025")</f>
        <v/>
      </c>
      <c r="Z40">
        <f>HYPERLINK("https://klasma.github.io/Logging_1782/klagomålsmail/A 25916-2025 FSC-klagomål mail.docx", "A 25916-2025")</f>
        <v/>
      </c>
      <c r="AA40">
        <f>HYPERLINK("https://klasma.github.io/Logging_1782/tillsyn/A 25916-2025 tillsynsbegäran.docx", "A 25916-2025")</f>
        <v/>
      </c>
      <c r="AB40">
        <f>HYPERLINK("https://klasma.github.io/Logging_1782/tillsynsmail/A 25916-2025 tillsynsbegäran mail.docx", "A 25916-2025")</f>
        <v/>
      </c>
    </row>
    <row r="41" ht="15" customHeight="1">
      <c r="A41" t="inlineStr">
        <is>
          <t>A 17529-2026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46219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Ädellav</t>
        </is>
      </c>
      <c r="V41">
        <f>HYPERLINK("https://klasma.github.io/Logging_1782/artfynd/A 17529-2026 artfynd.xlsx", "A 17529-2026")</f>
        <v/>
      </c>
      <c r="W41">
        <f>HYPERLINK("https://klasma.github.io/Logging_1782/kartor/A 17529-2026 karta.png", "A 17529-2026")</f>
        <v/>
      </c>
      <c r="Y41">
        <f>HYPERLINK("https://klasma.github.io/Logging_1782/klagomål/A 17529-2026 FSC-klagomål.docx", "A 17529-2026")</f>
        <v/>
      </c>
      <c r="Z41">
        <f>HYPERLINK("https://klasma.github.io/Logging_1782/klagomålsmail/A 17529-2026 FSC-klagomål mail.docx", "A 17529-2026")</f>
        <v/>
      </c>
      <c r="AA41">
        <f>HYPERLINK("https://klasma.github.io/Logging_1782/tillsyn/A 17529-2026 tillsynsbegäran.docx", "A 17529-2026")</f>
        <v/>
      </c>
      <c r="AB41">
        <f>HYPERLINK("https://klasma.github.io/Logging_1782/tillsynsmail/A 17529-2026 tillsynsbegäran mail.docx", "A 17529-2026")</f>
        <v/>
      </c>
    </row>
    <row r="42" ht="15" customHeight="1">
      <c r="A42" t="inlineStr">
        <is>
          <t>A 51522-2022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46219</v>
      </c>
      <c r="F42" t="inlineStr">
        <is>
          <t>VÄRMLANDS LÄN</t>
        </is>
      </c>
      <c r="G42" t="inlineStr">
        <is>
          <t>FILIPSTAD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Tibast</t>
        </is>
      </c>
      <c r="V42">
        <f>HYPERLINK("https://klasma.github.io/Logging_1782/artfynd/A 51522-2022 artfynd.xlsx", "A 51522-2022")</f>
        <v/>
      </c>
      <c r="W42">
        <f>HYPERLINK("https://klasma.github.io/Logging_1782/kartor/A 51522-2022 karta.png", "A 51522-2022")</f>
        <v/>
      </c>
      <c r="Y42">
        <f>HYPERLINK("https://klasma.github.io/Logging_1782/klagomål/A 51522-2022 FSC-klagomål.docx", "A 51522-2022")</f>
        <v/>
      </c>
      <c r="Z42">
        <f>HYPERLINK("https://klasma.github.io/Logging_1782/klagomålsmail/A 51522-2022 FSC-klagomål mail.docx", "A 51522-2022")</f>
        <v/>
      </c>
      <c r="AA42">
        <f>HYPERLINK("https://klasma.github.io/Logging_1782/tillsyn/A 51522-2022 tillsynsbegäran.docx", "A 51522-2022")</f>
        <v/>
      </c>
      <c r="AB42">
        <f>HYPERLINK("https://klasma.github.io/Logging_1782/tillsynsmail/A 51522-2022 tillsynsbegäran mail.docx", "A 51522-2022")</f>
        <v/>
      </c>
    </row>
    <row r="43" ht="15" customHeight="1">
      <c r="A43" t="inlineStr">
        <is>
          <t>A 30652-2025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46219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HYPERLINK("https://klasma.github.io/Logging_1782/artfynd/A 30652-2025 artfynd.xlsx", "A 30652-2025")</f>
        <v/>
      </c>
      <c r="W43">
        <f>HYPERLINK("https://klasma.github.io/Logging_1782/kartor/A 30652-2025 karta.png", "A 30652-2025")</f>
        <v/>
      </c>
      <c r="Y43">
        <f>HYPERLINK("https://klasma.github.io/Logging_1782/klagomål/A 30652-2025 FSC-klagomål.docx", "A 30652-2025")</f>
        <v/>
      </c>
      <c r="Z43">
        <f>HYPERLINK("https://klasma.github.io/Logging_1782/klagomålsmail/A 30652-2025 FSC-klagomål mail.docx", "A 30652-2025")</f>
        <v/>
      </c>
      <c r="AA43">
        <f>HYPERLINK("https://klasma.github.io/Logging_1782/tillsyn/A 30652-2025 tillsynsbegäran.docx", "A 30652-2025")</f>
        <v/>
      </c>
      <c r="AB43">
        <f>HYPERLINK("https://klasma.github.io/Logging_1782/tillsynsmail/A 30652-2025 tillsynsbegäran mail.docx", "A 30652-2025")</f>
        <v/>
      </c>
      <c r="AC43">
        <f>HYPERLINK("https://klasma.github.io/Logging_1782/fåglar/A 30652-2025 prioriterade fågelarter.docx", "A 30652-2025")</f>
        <v/>
      </c>
    </row>
    <row r="44" ht="15" customHeight="1">
      <c r="A44" t="inlineStr">
        <is>
          <t>A 25862-2026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46219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Talltaggsvamp</t>
        </is>
      </c>
      <c r="V44">
        <f>HYPERLINK("https://klasma.github.io/Logging_1782/artfynd/A 25862-2026 artfynd.xlsx", "A 25862-2026")</f>
        <v/>
      </c>
      <c r="W44">
        <f>HYPERLINK("https://klasma.github.io/Logging_1782/kartor/A 25862-2026 karta.png", "A 25862-2026")</f>
        <v/>
      </c>
      <c r="Y44">
        <f>HYPERLINK("https://klasma.github.io/Logging_1782/klagomål/A 25862-2026 FSC-klagomål.docx", "A 25862-2026")</f>
        <v/>
      </c>
      <c r="Z44">
        <f>HYPERLINK("https://klasma.github.io/Logging_1782/klagomålsmail/A 25862-2026 FSC-klagomål mail.docx", "A 25862-2026")</f>
        <v/>
      </c>
      <c r="AA44">
        <f>HYPERLINK("https://klasma.github.io/Logging_1782/tillsyn/A 25862-2026 tillsynsbegäran.docx", "A 25862-2026")</f>
        <v/>
      </c>
      <c r="AB44">
        <f>HYPERLINK("https://klasma.github.io/Logging_1782/tillsynsmail/A 25862-2026 tillsynsbegäran mail.docx", "A 25862-2026")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46219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Slaguggla</t>
        </is>
      </c>
      <c r="V45">
        <f>HYPERLINK("https://klasma.github.io/Logging_1782/artfynd/S 264-2022 artfynd.xlsx", "S 264-2022")</f>
        <v/>
      </c>
      <c r="W45">
        <f>HYPERLINK("https://klasma.github.io/Logging_1782/kartor/S 264-2022 karta.png", "S 264-2022")</f>
        <v/>
      </c>
      <c r="Y45">
        <f>HYPERLINK("https://klasma.github.io/Logging_1782/klagomål/S 264-2022 FSC-klagomål.docx", "S 264-2022")</f>
        <v/>
      </c>
      <c r="Z45">
        <f>HYPERLINK("https://klasma.github.io/Logging_1782/klagomålsmail/S 264-2022 FSC-klagomål mail.docx", "S 264-2022")</f>
        <v/>
      </c>
      <c r="AA45">
        <f>HYPERLINK("https://klasma.github.io/Logging_1782/tillsyn/S 264-2022 tillsynsbegäran.docx", "S 264-2022")</f>
        <v/>
      </c>
      <c r="AB45">
        <f>HYPERLINK("https://klasma.github.io/Logging_1782/tillsynsmail/S 264-2022 tillsynsbegäran mail.docx", "S 264-2022")</f>
        <v/>
      </c>
      <c r="AC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46219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Skrovlig taggsvamp</t>
        </is>
      </c>
      <c r="V46">
        <f>HYPERLINK("https://klasma.github.io/Logging_1782/artfynd/S 383-2025 artfynd.xlsx", "S 383-2025")</f>
        <v/>
      </c>
      <c r="W46">
        <f>HYPERLINK("https://klasma.github.io/Logging_1782/kartor/S 383-2025 karta.png", "S 383-2025")</f>
        <v/>
      </c>
      <c r="Y46">
        <f>HYPERLINK("https://klasma.github.io/Logging_1782/klagomål/S 383-2025 FSC-klagomål.docx", "S 383-2025")</f>
        <v/>
      </c>
      <c r="Z46">
        <f>HYPERLINK("https://klasma.github.io/Logging_1782/klagomålsmail/S 383-2025 FSC-klagomål mail.docx", "S 383-2025")</f>
        <v/>
      </c>
      <c r="AA46">
        <f>HYPERLINK("https://klasma.github.io/Logging_1782/tillsyn/S 383-2025 tillsynsbegäran.docx", "S 383-2025")</f>
        <v/>
      </c>
      <c r="AB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46219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46219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46219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46219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46219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46219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46219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46219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46219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37783-2021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46219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44465</v>
      </c>
      <c r="E57" s="1" t="n">
        <v>46219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37784-2021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44401</v>
      </c>
      <c r="E58" s="1" t="n">
        <v>46219</v>
      </c>
      <c r="F58" t="inlineStr">
        <is>
          <t>VÄRMLANDS LÄN</t>
        </is>
      </c>
      <c r="G58" t="inlineStr">
        <is>
          <t>FILIPSTAD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46219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30.7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63714-2021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44505</v>
      </c>
      <c r="E60" s="1" t="n">
        <v>46219</v>
      </c>
      <c r="F60" t="inlineStr">
        <is>
          <t>VÄRMLANDS LÄN</t>
        </is>
      </c>
      <c r="G60" t="inlineStr">
        <is>
          <t>FILIPSTAD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14077-2022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46219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46219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46219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46219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46219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57090-2021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44482</v>
      </c>
      <c r="E66" s="1" t="n">
        <v>46219</v>
      </c>
      <c r="F66" t="inlineStr">
        <is>
          <t>VÄRMLANDS LÄN</t>
        </is>
      </c>
      <c r="G66" t="inlineStr">
        <is>
          <t>FILIPSTAD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46219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46219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46219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46219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46219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46219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46219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46219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47344-2023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45202</v>
      </c>
      <c r="E75" s="1" t="n">
        <v>46219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47436-2024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46219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45592-2024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45579</v>
      </c>
      <c r="E77" s="1" t="n">
        <v>46219</v>
      </c>
      <c r="F77" t="inlineStr">
        <is>
          <t>VÄRMLANDS LÄN</t>
        </is>
      </c>
      <c r="G77" t="inlineStr">
        <is>
          <t>FILIPSTAD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46219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46219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46219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1170-2023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44935</v>
      </c>
      <c r="E81" s="1" t="n">
        <v>46219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15471-2024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45401</v>
      </c>
      <c r="E82" s="1" t="n">
        <v>46219</v>
      </c>
      <c r="F82" t="inlineStr">
        <is>
          <t>VÄRMLANDS LÄN</t>
        </is>
      </c>
      <c r="G82" t="inlineStr">
        <is>
          <t>FILIPSTAD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50009-2021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46219</v>
      </c>
      <c r="F83" t="inlineStr">
        <is>
          <t>VÄRMLANDS LÄN</t>
        </is>
      </c>
      <c r="G83" t="inlineStr">
        <is>
          <t>FILIPSTAD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10136-2024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46219</v>
      </c>
      <c r="F84" t="inlineStr">
        <is>
          <t>VÄRMLANDS LÄN</t>
        </is>
      </c>
      <c r="G84" t="inlineStr">
        <is>
          <t>FILIPSTAD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14582-2022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46219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32786-2024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45516</v>
      </c>
      <c r="E86" s="1" t="n">
        <v>46219</v>
      </c>
      <c r="F86" t="inlineStr">
        <is>
          <t>VÄRMLANDS LÄN</t>
        </is>
      </c>
      <c r="G86" t="inlineStr">
        <is>
          <t>FILIPSTAD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53562-2023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46219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33368-2022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44788</v>
      </c>
      <c r="E88" s="1" t="n">
        <v>46219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5992-2023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44959</v>
      </c>
      <c r="E89" s="1" t="n">
        <v>46219</v>
      </c>
      <c r="F89" t="inlineStr">
        <is>
          <t>VÄRMLANDS LÄN</t>
        </is>
      </c>
      <c r="G89" t="inlineStr">
        <is>
          <t>FILIPSTAD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46219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62014-2024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45655</v>
      </c>
      <c r="E91" s="1" t="n">
        <v>46219</v>
      </c>
      <c r="F91" t="inlineStr">
        <is>
          <t>VÄRMLANDS LÄN</t>
        </is>
      </c>
      <c r="G91" t="inlineStr">
        <is>
          <t>FILIPSTAD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17686-2023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46219</v>
      </c>
      <c r="F92" t="inlineStr">
        <is>
          <t>VÄRMLANDS LÄN</t>
        </is>
      </c>
      <c r="G92" t="inlineStr">
        <is>
          <t>FILIPSTAD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6683-2025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46219</v>
      </c>
      <c r="F93" t="inlineStr">
        <is>
          <t>VÄRMLANDS LÄN</t>
        </is>
      </c>
      <c r="G93" t="inlineStr">
        <is>
          <t>FILIPSTAD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46219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47536-2023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46219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43045-2024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46219</v>
      </c>
      <c r="F96" t="inlineStr">
        <is>
          <t>VÄRMLANDS LÄN</t>
        </is>
      </c>
      <c r="G96" t="inlineStr">
        <is>
          <t>FILIPSTAD</t>
        </is>
      </c>
      <c r="H96" t="inlineStr">
        <is>
          <t>Kyrkan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52981-2021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46219</v>
      </c>
      <c r="F97" t="inlineStr">
        <is>
          <t>VÄRMLANDS LÄN</t>
        </is>
      </c>
      <c r="G97" t="inlineStr">
        <is>
          <t>FILIPSTAD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6860-2024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45342</v>
      </c>
      <c r="E98" s="1" t="n">
        <v>46219</v>
      </c>
      <c r="F98" t="inlineStr">
        <is>
          <t>VÄRMLANDS LÄN</t>
        </is>
      </c>
      <c r="G98" t="inlineStr">
        <is>
          <t>FILIPSTAD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46219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13918-2024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45391</v>
      </c>
      <c r="E100" s="1" t="n">
        <v>46219</v>
      </c>
      <c r="F100" t="inlineStr">
        <is>
          <t>VÄRMLANDS LÄN</t>
        </is>
      </c>
      <c r="G100" t="inlineStr">
        <is>
          <t>FILIPSTAD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23382-2024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46219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27080-2023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46219</v>
      </c>
      <c r="F102" t="inlineStr">
        <is>
          <t>VÄRMLANDS LÄN</t>
        </is>
      </c>
      <c r="G102" t="inlineStr">
        <is>
          <t>FILIPSTAD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19159-2024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45428</v>
      </c>
      <c r="E103" s="1" t="n">
        <v>46219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48524-2023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46219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51945-2023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46219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27107-2024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46219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12160-2023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46219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11.2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45516-2024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45578</v>
      </c>
      <c r="E108" s="1" t="n">
        <v>46219</v>
      </c>
      <c r="F108" t="inlineStr">
        <is>
          <t>VÄRMLANDS LÄN</t>
        </is>
      </c>
      <c r="G108" t="inlineStr">
        <is>
          <t>FILIPSTAD</t>
        </is>
      </c>
      <c r="I108" t="n">
        <v>27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16584-2024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46219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12837-2024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45384</v>
      </c>
      <c r="E110" s="1" t="n">
        <v>46219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44880</v>
      </c>
      <c r="E111" s="1" t="n">
        <v>46219</v>
      </c>
      <c r="F111" t="inlineStr">
        <is>
          <t>VÄRMLANDS LÄN</t>
        </is>
      </c>
      <c r="G111" t="inlineStr">
        <is>
          <t>FILIPSTAD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20663-2024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45436</v>
      </c>
      <c r="E112" s="1" t="n">
        <v>46219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46680-2024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46219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22830-2023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45072</v>
      </c>
      <c r="E114" s="1" t="n">
        <v>46219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51266-2021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44461</v>
      </c>
      <c r="E115" s="1" t="n">
        <v>46219</v>
      </c>
      <c r="F115" t="inlineStr">
        <is>
          <t>VÄRMLANDS LÄN</t>
        </is>
      </c>
      <c r="G115" t="inlineStr">
        <is>
          <t>FILIPSTAD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62540-2023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46219</v>
      </c>
      <c r="F116" t="inlineStr">
        <is>
          <t>VÄRMLANDS LÄN</t>
        </is>
      </c>
      <c r="G116" t="inlineStr">
        <is>
          <t>FILIPSTAD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60296-2023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46219</v>
      </c>
      <c r="F117" t="inlineStr">
        <is>
          <t>VÄRMLANDS LÄN</t>
        </is>
      </c>
      <c r="G117" t="inlineStr">
        <is>
          <t>FILIPSTAD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17788-2024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45418</v>
      </c>
      <c r="E118" s="1" t="n">
        <v>46219</v>
      </c>
      <c r="F118" t="inlineStr">
        <is>
          <t>VÄRMLANDS LÄN</t>
        </is>
      </c>
      <c r="G118" t="inlineStr">
        <is>
          <t>FILIPSTAD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43633-2024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45569</v>
      </c>
      <c r="E119" s="1" t="n">
        <v>46219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57026-2023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46219</v>
      </c>
      <c r="F120" t="inlineStr">
        <is>
          <t>VÄRMLANDS LÄN</t>
        </is>
      </c>
      <c r="G120" t="inlineStr">
        <is>
          <t>FILIPSTAD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25468-2024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45463</v>
      </c>
      <c r="E121" s="1" t="n">
        <v>46219</v>
      </c>
      <c r="F121" t="inlineStr">
        <is>
          <t>VÄRMLANDS LÄN</t>
        </is>
      </c>
      <c r="G121" t="inlineStr">
        <is>
          <t>FILIPSTAD</t>
        </is>
      </c>
      <c r="I121" t="n">
        <v>13.2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40764-2025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46219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22866-2023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45072</v>
      </c>
      <c r="E123" s="1" t="n">
        <v>46219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29473-2024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45484</v>
      </c>
      <c r="E124" s="1" t="n">
        <v>46219</v>
      </c>
      <c r="F124" t="inlineStr">
        <is>
          <t>VÄRMLANDS LÄN</t>
        </is>
      </c>
      <c r="G124" t="inlineStr">
        <is>
          <t>FILIPSTAD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32185-2024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45511</v>
      </c>
      <c r="E125" s="1" t="n">
        <v>46219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41718-2025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45902</v>
      </c>
      <c r="E126" s="1" t="n">
        <v>46219</v>
      </c>
      <c r="F126" t="inlineStr">
        <is>
          <t>VÄRMLANDS LÄN</t>
        </is>
      </c>
      <c r="G126" t="inlineStr">
        <is>
          <t>FILIPSTAD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32262-2023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46219</v>
      </c>
      <c r="F127" t="inlineStr">
        <is>
          <t>VÄRMLANDS LÄN</t>
        </is>
      </c>
      <c r="G127" t="inlineStr">
        <is>
          <t>FILIPSTAD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27400-2024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46219</v>
      </c>
      <c r="F128" t="inlineStr">
        <is>
          <t>VÄRMLANDS LÄN</t>
        </is>
      </c>
      <c r="G128" t="inlineStr">
        <is>
          <t>FILIPSTAD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46219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46978-2023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46219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46219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46219</v>
      </c>
      <c r="F132" t="inlineStr">
        <is>
          <t>VÄRMLANDS LÄN</t>
        </is>
      </c>
      <c r="G132" t="inlineStr">
        <is>
          <t>FILIPSTAD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44579</v>
      </c>
      <c r="E133" s="1" t="n">
        <v>46219</v>
      </c>
      <c r="F133" t="inlineStr">
        <is>
          <t>VÄRMLANDS LÄN</t>
        </is>
      </c>
      <c r="G133" t="inlineStr">
        <is>
          <t>FILIPSTAD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20528-2025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45775</v>
      </c>
      <c r="E134" s="1" t="n">
        <v>46219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14268-2024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46219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19705-2025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46219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46219</v>
      </c>
      <c r="F137" t="inlineStr">
        <is>
          <t>VÄRMLANDS LÄN</t>
        </is>
      </c>
      <c r="G137" t="inlineStr">
        <is>
          <t>FILIPSTAD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54828-2023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46219</v>
      </c>
      <c r="F138" t="inlineStr">
        <is>
          <t>VÄRMLANDS LÄN</t>
        </is>
      </c>
      <c r="G138" t="inlineStr">
        <is>
          <t>FILIPSTAD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46219</v>
      </c>
      <c r="F139" t="inlineStr">
        <is>
          <t>VÄRMLANDS LÄN</t>
        </is>
      </c>
      <c r="G139" t="inlineStr">
        <is>
          <t>FILIPSTAD</t>
        </is>
      </c>
      <c r="H139" t="inlineStr">
        <is>
          <t>Kommuner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45655</v>
      </c>
      <c r="E140" s="1" t="n">
        <v>46219</v>
      </c>
      <c r="F140" t="inlineStr">
        <is>
          <t>VÄRMLANDS LÄN</t>
        </is>
      </c>
      <c r="G140" t="inlineStr">
        <is>
          <t>FILIPSTAD</t>
        </is>
      </c>
      <c r="I140" t="n">
        <v>26.5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46219</v>
      </c>
      <c r="F141" t="inlineStr">
        <is>
          <t>VÄRMLANDS LÄN</t>
        </is>
      </c>
      <c r="G141" t="inlineStr">
        <is>
          <t>FILIPSTAD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46219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46219</v>
      </c>
      <c r="F143" t="inlineStr">
        <is>
          <t>VÄRMLANDS LÄN</t>
        </is>
      </c>
      <c r="G143" t="inlineStr">
        <is>
          <t>FILIPSTAD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16100-2025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45750</v>
      </c>
      <c r="E144" s="1" t="n">
        <v>46219</v>
      </c>
      <c r="F144" t="inlineStr">
        <is>
          <t>VÄRMLANDS LÄN</t>
        </is>
      </c>
      <c r="G144" t="inlineStr">
        <is>
          <t>FILIPSTAD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48040-2023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46219</v>
      </c>
      <c r="F145" t="inlineStr">
        <is>
          <t>VÄRMLANDS LÄN</t>
        </is>
      </c>
      <c r="G145" t="inlineStr">
        <is>
          <t>FILIPSTAD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46219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18138-2022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44684</v>
      </c>
      <c r="E147" s="1" t="n">
        <v>46219</v>
      </c>
      <c r="F147" t="inlineStr">
        <is>
          <t>VÄRMLANDS LÄN</t>
        </is>
      </c>
      <c r="G147" t="inlineStr">
        <is>
          <t>FILIPSTAD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45012</v>
      </c>
      <c r="E148" s="1" t="n">
        <v>46219</v>
      </c>
      <c r="F148" t="inlineStr">
        <is>
          <t>VÄRMLANDS LÄN</t>
        </is>
      </c>
      <c r="G148" t="inlineStr">
        <is>
          <t>FILIPSTAD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46219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46219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47633-2025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46219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46219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47455-2023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46219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46546-2021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44445</v>
      </c>
      <c r="E154" s="1" t="n">
        <v>46219</v>
      </c>
      <c r="F154" t="inlineStr">
        <is>
          <t>VÄRMLANDS LÄN</t>
        </is>
      </c>
      <c r="G154" t="inlineStr">
        <is>
          <t>FILIPSTAD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46219</v>
      </c>
      <c r="F155" t="inlineStr">
        <is>
          <t>VÄRMLANDS LÄN</t>
        </is>
      </c>
      <c r="G155" t="inlineStr">
        <is>
          <t>FILIPSTAD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17794-2024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45418</v>
      </c>
      <c r="E156" s="1" t="n">
        <v>46219</v>
      </c>
      <c r="F156" t="inlineStr">
        <is>
          <t>VÄRMLANDS LÄN</t>
        </is>
      </c>
      <c r="G156" t="inlineStr">
        <is>
          <t>FILIPSTAD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16591-2022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46219</v>
      </c>
      <c r="F157" t="inlineStr">
        <is>
          <t>VÄRMLANDS LÄN</t>
        </is>
      </c>
      <c r="G157" t="inlineStr">
        <is>
          <t>FILIPSTAD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45511-2024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46219</v>
      </c>
      <c r="F158" t="inlineStr">
        <is>
          <t>VÄRMLANDS LÄN</t>
        </is>
      </c>
      <c r="G158" t="inlineStr">
        <is>
          <t>FILIPSTAD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49878-2025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46219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14840-2023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45014</v>
      </c>
      <c r="E160" s="1" t="n">
        <v>46219</v>
      </c>
      <c r="F160" t="inlineStr">
        <is>
          <t>VÄRMLANDS LÄN</t>
        </is>
      </c>
      <c r="G160" t="inlineStr">
        <is>
          <t>FILIPSTAD</t>
        </is>
      </c>
      <c r="H160" t="inlineStr">
        <is>
          <t>Kyrkan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56151-2023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46219</v>
      </c>
      <c r="F161" t="inlineStr">
        <is>
          <t>VÄRMLANDS LÄN</t>
        </is>
      </c>
      <c r="G161" t="inlineStr">
        <is>
          <t>FILIPSTAD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18999-2024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45427</v>
      </c>
      <c r="E162" s="1" t="n">
        <v>46219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50195-2025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46219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46219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25375-2023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45088</v>
      </c>
      <c r="E165" s="1" t="n">
        <v>46219</v>
      </c>
      <c r="F165" t="inlineStr">
        <is>
          <t>VÄRMLANDS LÄN</t>
        </is>
      </c>
      <c r="G165" t="inlineStr">
        <is>
          <t>FILIPSTAD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48908-2023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45195</v>
      </c>
      <c r="E166" s="1" t="n">
        <v>46219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50032-2025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45943</v>
      </c>
      <c r="E167" s="1" t="n">
        <v>46219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45943</v>
      </c>
      <c r="E168" s="1" t="n">
        <v>46219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39566-2023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46219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19351-2025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45769</v>
      </c>
      <c r="E170" s="1" t="n">
        <v>46219</v>
      </c>
      <c r="F170" t="inlineStr">
        <is>
          <t>VÄRMLANDS LÄN</t>
        </is>
      </c>
      <c r="G170" t="inlineStr">
        <is>
          <t>FILIPSTAD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46219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69015-2021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46219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51039-2025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46219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25376-2023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45088</v>
      </c>
      <c r="E174" s="1" t="n">
        <v>46219</v>
      </c>
      <c r="F174" t="inlineStr">
        <is>
          <t>VÄRMLANDS LÄN</t>
        </is>
      </c>
      <c r="G174" t="inlineStr">
        <is>
          <t>FILIPSTAD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51355-2025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46219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50996-2025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45947</v>
      </c>
      <c r="E176" s="1" t="n">
        <v>46219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29591-2026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46204</v>
      </c>
      <c r="E177" s="1" t="n">
        <v>46219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21593-2023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45063</v>
      </c>
      <c r="E178" s="1" t="n">
        <v>46219</v>
      </c>
      <c r="F178" t="inlineStr">
        <is>
          <t>VÄRMLANDS LÄN</t>
        </is>
      </c>
      <c r="G178" t="inlineStr">
        <is>
          <t>FILIPSTAD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51572-2025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46219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46219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46219</v>
      </c>
      <c r="F181" t="inlineStr">
        <is>
          <t>VÄRMLANDS LÄN</t>
        </is>
      </c>
      <c r="G181" t="inlineStr">
        <is>
          <t>FILIPSTAD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28989-2026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46199</v>
      </c>
      <c r="E182" s="1" t="n">
        <v>46219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38866-2024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46219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52518-2025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46219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23620-2023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46219</v>
      </c>
      <c r="F185" t="inlineStr">
        <is>
          <t>VÄRMLANDS LÄN</t>
        </is>
      </c>
      <c r="G185" t="inlineStr">
        <is>
          <t>FILIPSTAD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46219</v>
      </c>
      <c r="F186" t="inlineStr">
        <is>
          <t>VÄRMLANDS LÄN</t>
        </is>
      </c>
      <c r="G186" t="inlineStr">
        <is>
          <t>FILIPSTAD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29385-2026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46203</v>
      </c>
      <c r="E187" s="1" t="n">
        <v>46219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29417-2026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46203</v>
      </c>
      <c r="E188" s="1" t="n">
        <v>46219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29389-2026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46219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29376-2026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46203</v>
      </c>
      <c r="E190" s="1" t="n">
        <v>46219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23602-2026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46219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53649-2025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46219</v>
      </c>
      <c r="F192" t="inlineStr">
        <is>
          <t>VÄRMLANDS LÄN</t>
        </is>
      </c>
      <c r="G192" t="inlineStr">
        <is>
          <t>FILIPSTAD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23576-2026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46219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53655-2025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46219</v>
      </c>
      <c r="F194" t="inlineStr">
        <is>
          <t>VÄRMLANDS LÄN</t>
        </is>
      </c>
      <c r="G194" t="inlineStr">
        <is>
          <t>FILIPSTAD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23529-2026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46219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46219</v>
      </c>
      <c r="F196" t="inlineStr">
        <is>
          <t>VÄRMLANDS LÄN</t>
        </is>
      </c>
      <c r="G196" t="inlineStr">
        <is>
          <t>FILIPSTAD</t>
        </is>
      </c>
      <c r="H196" t="inlineStr">
        <is>
          <t>Kyrkan</t>
        </is>
      </c>
      <c r="I196" t="n">
        <v>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30074-2026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46219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53395-2025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46219</v>
      </c>
      <c r="F198" t="inlineStr">
        <is>
          <t>VÄRMLANDS LÄN</t>
        </is>
      </c>
      <c r="G198" t="inlineStr">
        <is>
          <t>FILIPSTAD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53575-2025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46219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23440-2026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46219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46219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23500-2026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46219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29863-2026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46205</v>
      </c>
      <c r="E203" s="1" t="n">
        <v>46219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29814-2026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46205</v>
      </c>
      <c r="E204" s="1" t="n">
        <v>46219</v>
      </c>
      <c r="F204" t="inlineStr">
        <is>
          <t>VÄRMLANDS LÄN</t>
        </is>
      </c>
      <c r="G204" t="inlineStr">
        <is>
          <t>FILIPSTAD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54497-2025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46219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57212-2023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46219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54328-2025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46219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29821-2026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46205</v>
      </c>
      <c r="E208" s="1" t="n">
        <v>46219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55173-2025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46219</v>
      </c>
      <c r="F209" t="inlineStr">
        <is>
          <t>VÄRMLANDS LÄN</t>
        </is>
      </c>
      <c r="G209" t="inlineStr">
        <is>
          <t>FILIPSTAD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55175-2025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46219</v>
      </c>
      <c r="F210" t="inlineStr">
        <is>
          <t>VÄRMLANDS LÄN</t>
        </is>
      </c>
      <c r="G210" t="inlineStr">
        <is>
          <t>FILIPSTAD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23514-2026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46219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10306-2025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46219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46219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29426-2023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46219</v>
      </c>
      <c r="F214" t="inlineStr">
        <is>
          <t>VÄRMLANDS LÄN</t>
        </is>
      </c>
      <c r="G214" t="inlineStr">
        <is>
          <t>FILIPSTAD</t>
        </is>
      </c>
      <c r="H214" t="inlineStr">
        <is>
          <t>Kyrkan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46219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23943-2026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46219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46219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49935-2025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45940</v>
      </c>
      <c r="E218" s="1" t="n">
        <v>46219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24027-2026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46167</v>
      </c>
      <c r="E219" s="1" t="n">
        <v>46219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23934-2026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46167</v>
      </c>
      <c r="E220" s="1" t="n">
        <v>46219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62787-2023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46219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56086-2025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46219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15459-2026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46219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14432-2025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46219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56180-2025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46219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56037-2025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46219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23959-2026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46167</v>
      </c>
      <c r="E227" s="1" t="n">
        <v>46219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56201-2025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46219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56158-2025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46219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56167-2025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46219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56182-2025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46219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56184-2025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46219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56062-2025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46219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9.199999999999999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46219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46219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34512-2023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45133</v>
      </c>
      <c r="E236" s="1" t="n">
        <v>46219</v>
      </c>
      <c r="F236" t="inlineStr">
        <is>
          <t>VÄRMLANDS LÄN</t>
        </is>
      </c>
      <c r="G236" t="inlineStr">
        <is>
          <t>FILIPSTAD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30540-2026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46219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56008-2025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46219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56083-2025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46219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23922-2026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46219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23931-2026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46219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24005-2026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46219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56032-2025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46219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56045-2025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46219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24026-2026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46219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23886-2026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46219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24022-2026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46167</v>
      </c>
      <c r="E247" s="1" t="n">
        <v>46219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24008-2026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46219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41075-2023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46219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23970-2026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46219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30799-2026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46212</v>
      </c>
      <c r="E251" s="1" t="n">
        <v>46219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6573-2023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46219</v>
      </c>
      <c r="F252" t="inlineStr">
        <is>
          <t>VÄRMLANDS LÄN</t>
        </is>
      </c>
      <c r="G252" t="inlineStr">
        <is>
          <t>FILIPSTAD</t>
        </is>
      </c>
      <c r="H252" t="inlineStr">
        <is>
          <t>Kommuner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56925-2025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46219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18.8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24288-2026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46169</v>
      </c>
      <c r="E254" s="1" t="n">
        <v>46219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4819-2023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44957</v>
      </c>
      <c r="E255" s="1" t="n">
        <v>46219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14275-2024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45393</v>
      </c>
      <c r="E256" s="1" t="n">
        <v>46219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9270-2023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44980</v>
      </c>
      <c r="E257" s="1" t="n">
        <v>46219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37945-2024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45544</v>
      </c>
      <c r="E258" s="1" t="n">
        <v>46219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24260-2026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46169</v>
      </c>
      <c r="E259" s="1" t="n">
        <v>46219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24291-2026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46219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24514-2026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46219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24519-2026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46219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24520-2026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46219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58019-2025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46219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46219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24537-2026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46219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57872-2025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46219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31358-2023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46219</v>
      </c>
      <c r="F268" t="inlineStr">
        <is>
          <t>VÄRMLANDS LÄN</t>
        </is>
      </c>
      <c r="G268" t="inlineStr">
        <is>
          <t>FILIPSTAD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58211-2025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46219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24452-2026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46219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24453-2026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46219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45524</v>
      </c>
      <c r="E272" s="1" t="n">
        <v>46219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58389-2025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46219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24745-2026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46171</v>
      </c>
      <c r="E274" s="1" t="n">
        <v>46219</v>
      </c>
      <c r="F274" t="inlineStr">
        <is>
          <t>VÄRMLANDS LÄN</t>
        </is>
      </c>
      <c r="G274" t="inlineStr">
        <is>
          <t>FILIPSTAD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46219</v>
      </c>
      <c r="F275" t="inlineStr">
        <is>
          <t>VÄRMLANDS LÄN</t>
        </is>
      </c>
      <c r="G275" t="inlineStr">
        <is>
          <t>FILIPSTAD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43059-2024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46219</v>
      </c>
      <c r="F276" t="inlineStr">
        <is>
          <t>VÄRMLANDS LÄN</t>
        </is>
      </c>
      <c r="G276" t="inlineStr">
        <is>
          <t>FILIPSTAD</t>
        </is>
      </c>
      <c r="H276" t="inlineStr">
        <is>
          <t>Kyrkan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54145-2024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46219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32183-2025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46219</v>
      </c>
      <c r="F278" t="inlineStr">
        <is>
          <t>VÄRMLANDS LÄN</t>
        </is>
      </c>
      <c r="G278" t="inlineStr">
        <is>
          <t>FILIPSTAD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16063-2025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46219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17795-2024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45418</v>
      </c>
      <c r="E280" s="1" t="n">
        <v>46219</v>
      </c>
      <c r="F280" t="inlineStr">
        <is>
          <t>VÄRMLANDS LÄN</t>
        </is>
      </c>
      <c r="G280" t="inlineStr">
        <is>
          <t>FILIPSTAD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59414-2025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45989</v>
      </c>
      <c r="E281" s="1" t="n">
        <v>46219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47890-2024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45588</v>
      </c>
      <c r="E282" s="1" t="n">
        <v>46219</v>
      </c>
      <c r="F282" t="inlineStr">
        <is>
          <t>VÄRMLANDS LÄN</t>
        </is>
      </c>
      <c r="G282" t="inlineStr">
        <is>
          <t>FILIPSTAD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59712-2025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46219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59707-2025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46219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59709-2025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46219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14582-2025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45742</v>
      </c>
      <c r="E286" s="1" t="n">
        <v>46219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12247-2022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44637</v>
      </c>
      <c r="E287" s="1" t="n">
        <v>46219</v>
      </c>
      <c r="F287" t="inlineStr">
        <is>
          <t>VÄRMLANDS LÄN</t>
        </is>
      </c>
      <c r="G287" t="inlineStr">
        <is>
          <t>FILIPSTAD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59423-2025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46219</v>
      </c>
      <c r="F288" t="inlineStr">
        <is>
          <t>VÄRMLANDS LÄN</t>
        </is>
      </c>
      <c r="G288" t="inlineStr">
        <is>
          <t>FILIPSTAD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59410-2025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45989</v>
      </c>
      <c r="E289" s="1" t="n">
        <v>46219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20966-2024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45439</v>
      </c>
      <c r="E290" s="1" t="n">
        <v>46219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59406-2025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46219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8.9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56840-2024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45628</v>
      </c>
      <c r="E292" s="1" t="n">
        <v>46219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8692-2025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45712</v>
      </c>
      <c r="E293" s="1" t="n">
        <v>46219</v>
      </c>
      <c r="F293" t="inlineStr">
        <is>
          <t>VÄRMLANDS LÄN</t>
        </is>
      </c>
      <c r="G293" t="inlineStr">
        <is>
          <t>FILIPSTAD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59966-2025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46219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37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59929-2025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46219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60653-2025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45996</v>
      </c>
      <c r="E296" s="1" t="n">
        <v>46219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46219</v>
      </c>
      <c r="F297" t="inlineStr">
        <is>
          <t>VÄRMLANDS LÄN</t>
        </is>
      </c>
      <c r="G297" t="inlineStr">
        <is>
          <t>FILIPSTAD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60550-2025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46219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60433-2025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46219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23618-2023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46219</v>
      </c>
      <c r="F300" t="inlineStr">
        <is>
          <t>VÄRMLANDS LÄN</t>
        </is>
      </c>
      <c r="G300" t="inlineStr">
        <is>
          <t>FILIPSTAD</t>
        </is>
      </c>
      <c r="I300" t="n">
        <v>15.8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60396-2025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46219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25205-2026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46219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31283-2026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46218</v>
      </c>
      <c r="E303" s="1" t="n">
        <v>46219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63411-2023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46219</v>
      </c>
      <c r="F304" t="inlineStr">
        <is>
          <t>VÄRMLANDS LÄN</t>
        </is>
      </c>
      <c r="G304" t="inlineStr">
        <is>
          <t>FILIPSTAD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46219</v>
      </c>
      <c r="F305" t="inlineStr">
        <is>
          <t>VÄRMLANDS LÄN</t>
        </is>
      </c>
      <c r="G305" t="inlineStr">
        <is>
          <t>FILIPSTAD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24886-2026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46219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61047-2025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46219</v>
      </c>
      <c r="F307" t="inlineStr">
        <is>
          <t>VÄRMLANDS LÄN</t>
        </is>
      </c>
      <c r="G307" t="inlineStr">
        <is>
          <t>FILIPSTAD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25203-2026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46175</v>
      </c>
      <c r="E308" s="1" t="n">
        <v>46219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8.9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61327-2025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46001</v>
      </c>
      <c r="E309" s="1" t="n">
        <v>46219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46219</v>
      </c>
      <c r="F310" t="inlineStr">
        <is>
          <t>VÄRMLANDS LÄN</t>
        </is>
      </c>
      <c r="G310" t="inlineStr">
        <is>
          <t>FILIPSTAD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24941-2026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46219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61482-2025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46219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46219</v>
      </c>
      <c r="F313" t="inlineStr">
        <is>
          <t>VÄRMLANDS LÄN</t>
        </is>
      </c>
      <c r="G313" t="inlineStr">
        <is>
          <t>FILIPSTAD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61417-2025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46001</v>
      </c>
      <c r="E314" s="1" t="n">
        <v>46219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61719-2025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46002</v>
      </c>
      <c r="E315" s="1" t="n">
        <v>46219</v>
      </c>
      <c r="F315" t="inlineStr">
        <is>
          <t>VÄRMLANDS LÄN</t>
        </is>
      </c>
      <c r="G315" t="inlineStr">
        <is>
          <t>FILIPSTAD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61566-2025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46219</v>
      </c>
      <c r="F316" t="inlineStr">
        <is>
          <t>VÄRMLANDS LÄN</t>
        </is>
      </c>
      <c r="G316" t="inlineStr">
        <is>
          <t>FILIPSTAD</t>
        </is>
      </c>
      <c r="I316" t="n">
        <v>7.7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61793-2025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46219</v>
      </c>
      <c r="F317" t="inlineStr">
        <is>
          <t>VÄRMLANDS LÄN</t>
        </is>
      </c>
      <c r="G317" t="inlineStr">
        <is>
          <t>FILIPSTAD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29474-2024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45484</v>
      </c>
      <c r="E318" s="1" t="n">
        <v>46219</v>
      </c>
      <c r="F318" t="inlineStr">
        <is>
          <t>VÄRMLANDS LÄN</t>
        </is>
      </c>
      <c r="G318" t="inlineStr">
        <is>
          <t>FILIPSTAD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61492-2025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46001</v>
      </c>
      <c r="E319" s="1" t="n">
        <v>46219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61391-2025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46219</v>
      </c>
      <c r="F320" t="inlineStr">
        <is>
          <t>VÄRMLANDS LÄN</t>
        </is>
      </c>
      <c r="G320" t="inlineStr">
        <is>
          <t>FILIPSTAD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60524-2024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45643</v>
      </c>
      <c r="E321" s="1" t="n">
        <v>46219</v>
      </c>
      <c r="F321" t="inlineStr">
        <is>
          <t>VÄRMLANDS LÄN</t>
        </is>
      </c>
      <c r="G321" t="inlineStr">
        <is>
          <t>FILIPSTAD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46004</v>
      </c>
      <c r="E322" s="1" t="n">
        <v>46219</v>
      </c>
      <c r="F322" t="inlineStr">
        <is>
          <t>VÄRMLANDS LÄN</t>
        </is>
      </c>
      <c r="G322" t="inlineStr">
        <is>
          <t>FILIPSTAD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62021-2025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46219</v>
      </c>
      <c r="F323" t="inlineStr">
        <is>
          <t>VÄRMLANDS LÄN</t>
        </is>
      </c>
      <c r="G323" t="inlineStr">
        <is>
          <t>FILIPSTAD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63482-2021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44508</v>
      </c>
      <c r="E324" s="1" t="n">
        <v>46219</v>
      </c>
      <c r="F324" t="inlineStr">
        <is>
          <t>VÄRMLANDS LÄN</t>
        </is>
      </c>
      <c r="G324" t="inlineStr">
        <is>
          <t>FILIPSTAD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14328-2025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46219</v>
      </c>
      <c r="F325" t="inlineStr">
        <is>
          <t>VÄRMLANDS LÄN</t>
        </is>
      </c>
      <c r="G325" t="inlineStr">
        <is>
          <t>FILIPSTAD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46004</v>
      </c>
      <c r="E326" s="1" t="n">
        <v>46219</v>
      </c>
      <c r="F326" t="inlineStr">
        <is>
          <t>VÄRMLANDS LÄN</t>
        </is>
      </c>
      <c r="G326" t="inlineStr">
        <is>
          <t>FILIPSTAD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61823-2025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46003</v>
      </c>
      <c r="E327" s="1" t="n">
        <v>46219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62252-2025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46219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62243-2025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46219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54127-2023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46219</v>
      </c>
      <c r="F330" t="inlineStr">
        <is>
          <t>VÄRMLANDS LÄN</t>
        </is>
      </c>
      <c r="G330" t="inlineStr">
        <is>
          <t>FILIPSTAD</t>
        </is>
      </c>
      <c r="I330" t="n">
        <v>15.5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45665</v>
      </c>
      <c r="E331" s="1" t="n">
        <v>46219</v>
      </c>
      <c r="F331" t="inlineStr">
        <is>
          <t>VÄRMLANDS LÄN</t>
        </is>
      </c>
      <c r="G331" t="inlineStr">
        <is>
          <t>FILIPSTAD</t>
        </is>
      </c>
      <c r="I331" t="n">
        <v>11.7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63186-2025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46219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15228-2025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46219</v>
      </c>
      <c r="F333" t="inlineStr">
        <is>
          <t>VÄRMLANDS LÄN</t>
        </is>
      </c>
      <c r="G333" t="inlineStr">
        <is>
          <t>FILIPSTAD</t>
        </is>
      </c>
      <c r="H333" t="inlineStr">
        <is>
          <t>Kommuner</t>
        </is>
      </c>
      <c r="I333" t="n">
        <v>17.7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70405-2021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46219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5754-2022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44596</v>
      </c>
      <c r="E335" s="1" t="n">
        <v>46219</v>
      </c>
      <c r="F335" t="inlineStr">
        <is>
          <t>VÄRMLANDS LÄN</t>
        </is>
      </c>
      <c r="G335" t="inlineStr">
        <is>
          <t>FILIPSTAD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63678-2025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46014</v>
      </c>
      <c r="E336" s="1" t="n">
        <v>46219</v>
      </c>
      <c r="F336" t="inlineStr">
        <is>
          <t>VÄRMLANDS LÄN</t>
        </is>
      </c>
      <c r="G336" t="inlineStr">
        <is>
          <t>FILIPSTAD</t>
        </is>
      </c>
      <c r="I336" t="n">
        <v>9.9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54735-2024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45618</v>
      </c>
      <c r="E337" s="1" t="n">
        <v>46219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40244-2023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45169</v>
      </c>
      <c r="E338" s="1" t="n">
        <v>46219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63629-2025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46014</v>
      </c>
      <c r="E339" s="1" t="n">
        <v>46219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17763-2025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46219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45951</v>
      </c>
      <c r="E341" s="1" t="n">
        <v>46219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20661-2024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45436</v>
      </c>
      <c r="E342" s="1" t="n">
        <v>46219</v>
      </c>
      <c r="F342" t="inlineStr">
        <is>
          <t>VÄRMLANDS LÄN</t>
        </is>
      </c>
      <c r="G342" t="inlineStr">
        <is>
          <t>FILIPSTAD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57531-2024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45630</v>
      </c>
      <c r="E343" s="1" t="n">
        <v>46219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34262-2024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45524</v>
      </c>
      <c r="E344" s="1" t="n">
        <v>46219</v>
      </c>
      <c r="F344" t="inlineStr">
        <is>
          <t>VÄRMLANDS LÄN</t>
        </is>
      </c>
      <c r="G344" t="inlineStr">
        <is>
          <t>FILIPSTAD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45658</v>
      </c>
      <c r="E345" s="1" t="n">
        <v>46219</v>
      </c>
      <c r="F345" t="inlineStr">
        <is>
          <t>VÄRMLANDS LÄN</t>
        </is>
      </c>
      <c r="G345" t="inlineStr">
        <is>
          <t>FILIPSTAD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46219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21608-2023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45063</v>
      </c>
      <c r="E347" s="1" t="n">
        <v>46219</v>
      </c>
      <c r="F347" t="inlineStr">
        <is>
          <t>VÄRMLANDS LÄN</t>
        </is>
      </c>
      <c r="G347" t="inlineStr">
        <is>
          <t>FILIPSTAD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59436-2024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46219</v>
      </c>
      <c r="F348" t="inlineStr">
        <is>
          <t>VÄRMLANDS LÄN</t>
        </is>
      </c>
      <c r="G348" t="inlineStr">
        <is>
          <t>FILIPSTAD</t>
        </is>
      </c>
      <c r="H348" t="inlineStr">
        <is>
          <t>Kyrkan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58611-2025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45986</v>
      </c>
      <c r="E349" s="1" t="n">
        <v>46219</v>
      </c>
      <c r="F349" t="inlineStr">
        <is>
          <t>VÄRMLANDS LÄN</t>
        </is>
      </c>
      <c r="G349" t="inlineStr">
        <is>
          <t>FILIPSTAD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54836-2023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46219</v>
      </c>
      <c r="F350" t="inlineStr">
        <is>
          <t>VÄRMLANDS LÄN</t>
        </is>
      </c>
      <c r="G350" t="inlineStr">
        <is>
          <t>FILIPSTAD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30646-2024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45495</v>
      </c>
      <c r="E351" s="1" t="n">
        <v>46219</v>
      </c>
      <c r="F351" t="inlineStr">
        <is>
          <t>VÄRMLANDS LÄN</t>
        </is>
      </c>
      <c r="G351" t="inlineStr">
        <is>
          <t>FILIPSTAD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27139-2024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45471</v>
      </c>
      <c r="E352" s="1" t="n">
        <v>46219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17244-2024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46219</v>
      </c>
      <c r="F353" t="inlineStr">
        <is>
          <t>VÄRMLANDS LÄN</t>
        </is>
      </c>
      <c r="G353" t="inlineStr">
        <is>
          <t>FILIPSTAD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46040</v>
      </c>
      <c r="E354" s="1" t="n">
        <v>46219</v>
      </c>
      <c r="F354" t="inlineStr">
        <is>
          <t>VÄRMLANDS LÄN</t>
        </is>
      </c>
      <c r="G354" t="inlineStr">
        <is>
          <t>FILIPSTAD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20875-2024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45439</v>
      </c>
      <c r="E355" s="1" t="n">
        <v>46219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45667</v>
      </c>
      <c r="E356" s="1" t="n">
        <v>46219</v>
      </c>
      <c r="F356" t="inlineStr">
        <is>
          <t>VÄRMLANDS LÄN</t>
        </is>
      </c>
      <c r="G356" t="inlineStr">
        <is>
          <t>FILIPSTAD</t>
        </is>
      </c>
      <c r="H356" t="inlineStr">
        <is>
          <t>Kommuner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47002-2024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46219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29825-2023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45107</v>
      </c>
      <c r="E358" s="1" t="n">
        <v>46219</v>
      </c>
      <c r="F358" t="inlineStr">
        <is>
          <t>VÄRMLANDS LÄN</t>
        </is>
      </c>
      <c r="G358" t="inlineStr">
        <is>
          <t>FILIPSTAD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6593-2026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46219</v>
      </c>
      <c r="F359" t="inlineStr">
        <is>
          <t>VÄRMLANDS LÄN</t>
        </is>
      </c>
      <c r="G359" t="inlineStr">
        <is>
          <t>FILIPSTAD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6600-2026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46219</v>
      </c>
      <c r="F360" t="inlineStr">
        <is>
          <t>VÄRMLANDS LÄN</t>
        </is>
      </c>
      <c r="G360" t="inlineStr">
        <is>
          <t>FILIPSTAD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4462-2025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46219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27789-2022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44743</v>
      </c>
      <c r="E362" s="1" t="n">
        <v>46219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43484-2023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45184</v>
      </c>
      <c r="E363" s="1" t="n">
        <v>46219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6674-2025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46219</v>
      </c>
      <c r="F364" t="inlineStr">
        <is>
          <t>VÄRMLANDS LÄN</t>
        </is>
      </c>
      <c r="G364" t="inlineStr">
        <is>
          <t>FILIPSTAD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28161-2023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45093</v>
      </c>
      <c r="E365" s="1" t="n">
        <v>46219</v>
      </c>
      <c r="F365" t="inlineStr">
        <is>
          <t>VÄRMLANDS LÄN</t>
        </is>
      </c>
      <c r="G365" t="inlineStr">
        <is>
          <t>FILIPSTAD</t>
        </is>
      </c>
      <c r="H365" t="inlineStr">
        <is>
          <t>Kommuner</t>
        </is>
      </c>
      <c r="I365" t="n">
        <v>15.4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20606-2025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46219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24054-2024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45456</v>
      </c>
      <c r="E367" s="1" t="n">
        <v>46219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7430-2026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46219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19030-2022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44691</v>
      </c>
      <c r="E369" s="1" t="n">
        <v>46219</v>
      </c>
      <c r="F369" t="inlineStr">
        <is>
          <t>VÄRMLANDS LÄN</t>
        </is>
      </c>
      <c r="G369" t="inlineStr">
        <is>
          <t>FILIPSTAD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8139-2026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46219</v>
      </c>
      <c r="F370" t="inlineStr">
        <is>
          <t>VÄRMLANDS LÄN</t>
        </is>
      </c>
      <c r="G370" t="inlineStr">
        <is>
          <t>FILIPSTAD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65167-2021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44515</v>
      </c>
      <c r="E371" s="1" t="n">
        <v>46219</v>
      </c>
      <c r="F371" t="inlineStr">
        <is>
          <t>VÄRMLANDS LÄN</t>
        </is>
      </c>
      <c r="G371" t="inlineStr">
        <is>
          <t>FILIPSTAD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22880-2025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45790</v>
      </c>
      <c r="E372" s="1" t="n">
        <v>46219</v>
      </c>
      <c r="F372" t="inlineStr">
        <is>
          <t>VÄRMLANDS LÄN</t>
        </is>
      </c>
      <c r="G372" t="inlineStr">
        <is>
          <t>FILIPSTAD</t>
        </is>
      </c>
      <c r="H372" t="inlineStr">
        <is>
          <t>Kyrkan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37577-2023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45159</v>
      </c>
      <c r="E373" s="1" t="n">
        <v>46219</v>
      </c>
      <c r="F373" t="inlineStr">
        <is>
          <t>VÄRMLANDS LÄN</t>
        </is>
      </c>
      <c r="G373" t="inlineStr">
        <is>
          <t>FILIPSTAD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43233-2023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45180</v>
      </c>
      <c r="E374" s="1" t="n">
        <v>46219</v>
      </c>
      <c r="F374" t="inlineStr">
        <is>
          <t>VÄRMLANDS LÄN</t>
        </is>
      </c>
      <c r="G374" t="inlineStr">
        <is>
          <t>FILIPSTAD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16371-2024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45407</v>
      </c>
      <c r="E375" s="1" t="n">
        <v>46219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23266-2025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46219</v>
      </c>
      <c r="F376" t="inlineStr">
        <is>
          <t>VÄRMLANDS LÄN</t>
        </is>
      </c>
      <c r="G376" t="inlineStr">
        <is>
          <t>FILIPSTAD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23475-2025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45792</v>
      </c>
      <c r="E377" s="1" t="n">
        <v>46219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28357-2024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45477</v>
      </c>
      <c r="E378" s="1" t="n">
        <v>46219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48702-2024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45593</v>
      </c>
      <c r="E379" s="1" t="n">
        <v>46219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35304-2024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45530</v>
      </c>
      <c r="E380" s="1" t="n">
        <v>46219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23399-2025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45792</v>
      </c>
      <c r="E381" s="1" t="n">
        <v>46219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10279-2026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46219</v>
      </c>
      <c r="F382" t="inlineStr">
        <is>
          <t>VÄRMLANDS LÄN</t>
        </is>
      </c>
      <c r="G382" t="inlineStr">
        <is>
          <t>FILIPSTAD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46219</v>
      </c>
      <c r="F383" t="inlineStr">
        <is>
          <t>VÄRMLANDS LÄN</t>
        </is>
      </c>
      <c r="G383" t="inlineStr">
        <is>
          <t>FILIPSTAD</t>
        </is>
      </c>
      <c r="H383" t="inlineStr">
        <is>
          <t>Kommuner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20844-2024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45439</v>
      </c>
      <c r="E384" s="1" t="n">
        <v>46219</v>
      </c>
      <c r="F384" t="inlineStr">
        <is>
          <t>VÄRMLANDS LÄN</t>
        </is>
      </c>
      <c r="G384" t="inlineStr">
        <is>
          <t>FILIPSTAD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45322</v>
      </c>
      <c r="E385" s="1" t="n">
        <v>46219</v>
      </c>
      <c r="F385" t="inlineStr">
        <is>
          <t>VÄRMLANDS LÄN</t>
        </is>
      </c>
      <c r="G385" t="inlineStr">
        <is>
          <t>FILIPSTAD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72118-2021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44543</v>
      </c>
      <c r="E386" s="1" t="n">
        <v>46219</v>
      </c>
      <c r="F386" t="inlineStr">
        <is>
          <t>VÄRMLANDS LÄN</t>
        </is>
      </c>
      <c r="G386" t="inlineStr">
        <is>
          <t>FILIPSTAD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53210-2023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45222</v>
      </c>
      <c r="E387" s="1" t="n">
        <v>46219</v>
      </c>
      <c r="F387" t="inlineStr">
        <is>
          <t>VÄRMLANDS LÄN</t>
        </is>
      </c>
      <c r="G387" t="inlineStr">
        <is>
          <t>FILIPSTAD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24143-2025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46219</v>
      </c>
      <c r="F388" t="inlineStr">
        <is>
          <t>VÄRMLANDS LÄN</t>
        </is>
      </c>
      <c r="G388" t="inlineStr">
        <is>
          <t>FILIPSTAD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39633-2023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46219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43635-2023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45186</v>
      </c>
      <c r="E390" s="1" t="n">
        <v>46219</v>
      </c>
      <c r="F390" t="inlineStr">
        <is>
          <t>VÄRMLANDS LÄN</t>
        </is>
      </c>
      <c r="G390" t="inlineStr">
        <is>
          <t>FILIPSTAD</t>
        </is>
      </c>
      <c r="I390" t="n">
        <v>15.3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16103-2025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45750</v>
      </c>
      <c r="E391" s="1" t="n">
        <v>46219</v>
      </c>
      <c r="F391" t="inlineStr">
        <is>
          <t>VÄRMLANDS LÄN</t>
        </is>
      </c>
      <c r="G391" t="inlineStr">
        <is>
          <t>FILIPSTAD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15396-2025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46219</v>
      </c>
      <c r="F392" t="inlineStr">
        <is>
          <t>VÄRMLANDS LÄN</t>
        </is>
      </c>
      <c r="G392" t="inlineStr">
        <is>
          <t>FILIPSTAD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45328</v>
      </c>
      <c r="E393" s="1" t="n">
        <v>46219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36251-2022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44803</v>
      </c>
      <c r="E394" s="1" t="n">
        <v>46219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23775-2025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45793</v>
      </c>
      <c r="E395" s="1" t="n">
        <v>46219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33671-2022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44789</v>
      </c>
      <c r="E396" s="1" t="n">
        <v>46219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46219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46257-2022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44847</v>
      </c>
      <c r="E398" s="1" t="n">
        <v>46219</v>
      </c>
      <c r="F398" t="inlineStr">
        <is>
          <t>VÄRMLANDS LÄN</t>
        </is>
      </c>
      <c r="G398" t="inlineStr">
        <is>
          <t>FILIPSTAD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36827-2022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44805</v>
      </c>
      <c r="E399" s="1" t="n">
        <v>46219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37611-2022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44809</v>
      </c>
      <c r="E400" s="1" t="n">
        <v>46219</v>
      </c>
      <c r="F400" t="inlineStr">
        <is>
          <t>VÄRMLANDS LÄN</t>
        </is>
      </c>
      <c r="G400" t="inlineStr">
        <is>
          <t>FILIPSTAD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8712-2024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45355</v>
      </c>
      <c r="E401" s="1" t="n">
        <v>46219</v>
      </c>
      <c r="F401" t="inlineStr">
        <is>
          <t>VÄRMLANDS LÄN</t>
        </is>
      </c>
      <c r="G401" t="inlineStr">
        <is>
          <t>FILIPSTAD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65174-2021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46219</v>
      </c>
      <c r="F402" t="inlineStr">
        <is>
          <t>VÄRMLANDS LÄN</t>
        </is>
      </c>
      <c r="G402" t="inlineStr">
        <is>
          <t>FILIPSTAD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12491-2026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46219</v>
      </c>
      <c r="F403" t="inlineStr">
        <is>
          <t>VÄRMLANDS LÄN</t>
        </is>
      </c>
      <c r="G403" t="inlineStr">
        <is>
          <t>FILIPSTAD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12509-2026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46219</v>
      </c>
      <c r="F404" t="inlineStr">
        <is>
          <t>VÄRMLANDS LÄN</t>
        </is>
      </c>
      <c r="G404" t="inlineStr">
        <is>
          <t>FILIPSTAD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12498-2026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46219</v>
      </c>
      <c r="F405" t="inlineStr">
        <is>
          <t>VÄRMLANDS LÄN</t>
        </is>
      </c>
      <c r="G405" t="inlineStr">
        <is>
          <t>FILIPSTAD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45747</v>
      </c>
      <c r="E406" s="1" t="n">
        <v>46219</v>
      </c>
      <c r="F406" t="inlineStr">
        <is>
          <t>VÄRMLANDS LÄN</t>
        </is>
      </c>
      <c r="G406" t="inlineStr">
        <is>
          <t>FILIPSTAD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57244-2023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46219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12943-2026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46219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12955-2026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46219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13555-2026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46219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13520-2026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46219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35799-2022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44801</v>
      </c>
      <c r="E412" s="1" t="n">
        <v>46219</v>
      </c>
      <c r="F412" t="inlineStr">
        <is>
          <t>VÄRMLANDS LÄN</t>
        </is>
      </c>
      <c r="G412" t="inlineStr">
        <is>
          <t>FILIPSTAD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13387-2026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46219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13553-2026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46219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8.9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13393-2026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46219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13863-2026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46219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13955-2026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46219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25338-2023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45087</v>
      </c>
      <c r="E418" s="1" t="n">
        <v>46219</v>
      </c>
      <c r="F418" t="inlineStr">
        <is>
          <t>VÄRMLANDS LÄN</t>
        </is>
      </c>
      <c r="G418" t="inlineStr">
        <is>
          <t>FILIPSTAD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14379-2026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46100</v>
      </c>
      <c r="E419" s="1" t="n">
        <v>46219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14315-2026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46219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15197-2026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46219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47261-2024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45586</v>
      </c>
      <c r="E422" s="1" t="n">
        <v>46219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15848-2026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46219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15619-2026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46219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41983-2023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45177</v>
      </c>
      <c r="E425" s="1" t="n">
        <v>46219</v>
      </c>
      <c r="F425" t="inlineStr">
        <is>
          <t>VÄRMLANDS LÄN</t>
        </is>
      </c>
      <c r="G425" t="inlineStr">
        <is>
          <t>FILIPSTAD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15920-2026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46107</v>
      </c>
      <c r="E426" s="1" t="n">
        <v>46219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15889-2026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46219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15644-2026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46219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15645-2026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46219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16009-2026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46108</v>
      </c>
      <c r="E430" s="1" t="n">
        <v>46219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16040-2026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46108</v>
      </c>
      <c r="E431" s="1" t="n">
        <v>46219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16050-2026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46219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45139-2021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44439</v>
      </c>
      <c r="E433" s="1" t="n">
        <v>46219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26123-2025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45805</v>
      </c>
      <c r="E434" s="1" t="n">
        <v>46219</v>
      </c>
      <c r="F434" t="inlineStr">
        <is>
          <t>VÄRMLANDS LÄN</t>
        </is>
      </c>
      <c r="G434" t="inlineStr">
        <is>
          <t>FILIPSTAD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53034-2022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46219</v>
      </c>
      <c r="F435" t="inlineStr">
        <is>
          <t>VÄRMLANDS LÄN</t>
        </is>
      </c>
      <c r="G435" t="inlineStr">
        <is>
          <t>FILIPSTAD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26116-2025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45805</v>
      </c>
      <c r="E436" s="1" t="n">
        <v>46219</v>
      </c>
      <c r="F436" t="inlineStr">
        <is>
          <t>VÄRMLANDS LÄN</t>
        </is>
      </c>
      <c r="G436" t="inlineStr">
        <is>
          <t>FILIPSTAD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26812-2025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46219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16975-2026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46219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46219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53348-2023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45229</v>
      </c>
      <c r="E440" s="1" t="n">
        <v>46219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26843-2024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45470</v>
      </c>
      <c r="E441" s="1" t="n">
        <v>46219</v>
      </c>
      <c r="F441" t="inlineStr">
        <is>
          <t>VÄRMLANDS LÄN</t>
        </is>
      </c>
      <c r="G441" t="inlineStr">
        <is>
          <t>FILIPSTAD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17278-2026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46119</v>
      </c>
      <c r="E442" s="1" t="n">
        <v>46219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17326-2026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46119</v>
      </c>
      <c r="E443" s="1" t="n">
        <v>46219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51985-2023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45223</v>
      </c>
      <c r="E444" s="1" t="n">
        <v>46219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50904-2023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46219</v>
      </c>
      <c r="F445" t="inlineStr">
        <is>
          <t>VÄRMLANDS LÄN</t>
        </is>
      </c>
      <c r="G445" t="inlineStr">
        <is>
          <t>FILIPSTAD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17531-2026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46219</v>
      </c>
      <c r="F446" t="inlineStr">
        <is>
          <t>VÄRMLANDS LÄN</t>
        </is>
      </c>
      <c r="G446" t="inlineStr">
        <is>
          <t>FILIPSTAD</t>
        </is>
      </c>
      <c r="I446" t="n">
        <v>9.699999999999999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17949-2026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46219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55397-2022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44887</v>
      </c>
      <c r="E448" s="1" t="n">
        <v>46219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17845-2026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46122</v>
      </c>
      <c r="E449" s="1" t="n">
        <v>46219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17931-2026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46219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18022-2026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46219</v>
      </c>
      <c r="F451" t="inlineStr">
        <is>
          <t>VÄRMLANDS LÄN</t>
        </is>
      </c>
      <c r="G451" t="inlineStr">
        <is>
          <t>FILIPSTAD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6520-2023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44960</v>
      </c>
      <c r="E452" s="1" t="n">
        <v>46219</v>
      </c>
      <c r="F452" t="inlineStr">
        <is>
          <t>VÄRMLANDS LÄN</t>
        </is>
      </c>
      <c r="G452" t="inlineStr">
        <is>
          <t>FILIPSTAD</t>
        </is>
      </c>
      <c r="H452" t="inlineStr">
        <is>
          <t>Kommuner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17900-2026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46219</v>
      </c>
      <c r="F453" t="inlineStr">
        <is>
          <t>VÄRMLANDS LÄN</t>
        </is>
      </c>
      <c r="G453" t="inlineStr">
        <is>
          <t>FILIPSTAD</t>
        </is>
      </c>
      <c r="H453" t="inlineStr">
        <is>
          <t>Kommuner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26599-2024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45469</v>
      </c>
      <c r="E454" s="1" t="n">
        <v>46219</v>
      </c>
      <c r="F454" t="inlineStr">
        <is>
          <t>VÄRMLANDS LÄN</t>
        </is>
      </c>
      <c r="G454" t="inlineStr">
        <is>
          <t>FILIPSTAD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17914-2026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46122</v>
      </c>
      <c r="E455" s="1" t="n">
        <v>46219</v>
      </c>
      <c r="F455" t="inlineStr">
        <is>
          <t>VÄRMLANDS LÄN</t>
        </is>
      </c>
      <c r="G455" t="inlineStr">
        <is>
          <t>FILIPSTAD</t>
        </is>
      </c>
      <c r="H455" t="inlineStr">
        <is>
          <t>Kommuner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55978-2022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44889</v>
      </c>
      <c r="E456" s="1" t="n">
        <v>46219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18507-2026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46219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18533-2026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46219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44951</v>
      </c>
      <c r="E459" s="1" t="n">
        <v>46219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18443-2026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46219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18530-2026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46219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18445-2026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46219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50856-2022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44867</v>
      </c>
      <c r="E463" s="1" t="n">
        <v>46219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18542-2026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46219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18376-2026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46126</v>
      </c>
      <c r="E465" s="1" t="n">
        <v>46219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61628-2022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44911</v>
      </c>
      <c r="E466" s="1" t="n">
        <v>46219</v>
      </c>
      <c r="F466" t="inlineStr">
        <is>
          <t>VÄRMLANDS LÄN</t>
        </is>
      </c>
      <c r="G466" t="inlineStr">
        <is>
          <t>FILIPSTAD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36377-2023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45152</v>
      </c>
      <c r="E467" s="1" t="n">
        <v>46219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43264-2024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46219</v>
      </c>
      <c r="F468" t="inlineStr">
        <is>
          <t>VÄRMLANDS LÄN</t>
        </is>
      </c>
      <c r="G468" t="inlineStr">
        <is>
          <t>FILIPSTAD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18969-2026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46219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18892-2026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46129</v>
      </c>
      <c r="E470" s="1" t="n">
        <v>46219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59296-2023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46219</v>
      </c>
      <c r="F471" t="inlineStr">
        <is>
          <t>VÄRMLANDS LÄN</t>
        </is>
      </c>
      <c r="G471" t="inlineStr">
        <is>
          <t>FILIPSTAD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18826-2026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46219</v>
      </c>
      <c r="F472" t="inlineStr">
        <is>
          <t>VÄRMLANDS LÄN</t>
        </is>
      </c>
      <c r="G472" t="inlineStr">
        <is>
          <t>FILIPSTAD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46219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19676-2026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46134</v>
      </c>
      <c r="E474" s="1" t="n">
        <v>46219</v>
      </c>
      <c r="F474" t="inlineStr">
        <is>
          <t>VÄRMLANDS LÄN</t>
        </is>
      </c>
      <c r="G474" t="inlineStr">
        <is>
          <t>FILIPSTAD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19361-2026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46219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19595-2026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46219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19669-2026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46219</v>
      </c>
      <c r="F477" t="inlineStr">
        <is>
          <t>VÄRMLANDS LÄN</t>
        </is>
      </c>
      <c r="G477" t="inlineStr">
        <is>
          <t>FILIPSTAD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11680-2023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44994</v>
      </c>
      <c r="E478" s="1" t="n">
        <v>46219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44384-2021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44435</v>
      </c>
      <c r="E479" s="1" t="n">
        <v>46219</v>
      </c>
      <c r="F479" t="inlineStr">
        <is>
          <t>VÄRMLANDS LÄN</t>
        </is>
      </c>
      <c r="G479" t="inlineStr">
        <is>
          <t>FILIPSTAD</t>
        </is>
      </c>
      <c r="I479" t="n">
        <v>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36680-2023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45153</v>
      </c>
      <c r="E480" s="1" t="n">
        <v>46219</v>
      </c>
      <c r="F480" t="inlineStr">
        <is>
          <t>VÄRMLANDS LÄN</t>
        </is>
      </c>
      <c r="G480" t="inlineStr">
        <is>
          <t>FILIPSTAD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5803-2023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44963</v>
      </c>
      <c r="E481" s="1" t="n">
        <v>46219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29885-2025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46219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20014-2026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46219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30049-2025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46219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29568-2025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45825</v>
      </c>
      <c r="E485" s="1" t="n">
        <v>46219</v>
      </c>
      <c r="F485" t="inlineStr">
        <is>
          <t>VÄRMLANDS LÄN</t>
        </is>
      </c>
      <c r="G485" t="inlineStr">
        <is>
          <t>FILIPSTAD</t>
        </is>
      </c>
      <c r="H485" t="inlineStr">
        <is>
          <t>Kyrkan</t>
        </is>
      </c>
      <c r="I485" t="n">
        <v>9.199999999999999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20040-2026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46136</v>
      </c>
      <c r="E486" s="1" t="n">
        <v>46219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38075-2025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46219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29660-2025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45825</v>
      </c>
      <c r="E488" s="1" t="n">
        <v>46219</v>
      </c>
      <c r="F488" t="inlineStr">
        <is>
          <t>VÄRMLANDS LÄN</t>
        </is>
      </c>
      <c r="G488" t="inlineStr">
        <is>
          <t>FILIPSTAD</t>
        </is>
      </c>
      <c r="I488" t="n">
        <v>23.3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29944-2025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46219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20045-2026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46136</v>
      </c>
      <c r="E490" s="1" t="n">
        <v>46219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50776-2024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46219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19833-2026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46135</v>
      </c>
      <c r="E492" s="1" t="n">
        <v>46219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43634-2021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44433</v>
      </c>
      <c r="E493" s="1" t="n">
        <v>46219</v>
      </c>
      <c r="F493" t="inlineStr">
        <is>
          <t>VÄRMLANDS LÄN</t>
        </is>
      </c>
      <c r="G493" t="inlineStr">
        <is>
          <t>FILIPSTAD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30169-2025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45827</v>
      </c>
      <c r="E494" s="1" t="n">
        <v>46219</v>
      </c>
      <c r="F494" t="inlineStr">
        <is>
          <t>VÄRMLANDS LÄN</t>
        </is>
      </c>
      <c r="G494" t="inlineStr">
        <is>
          <t>FILIPSTAD</t>
        </is>
      </c>
      <c r="H494" t="inlineStr">
        <is>
          <t>Kyrkan</t>
        </is>
      </c>
      <c r="I494" t="n">
        <v>6.5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25869-2026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46219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51618-2022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44872</v>
      </c>
      <c r="E496" s="1" t="n">
        <v>46219</v>
      </c>
      <c r="F496" t="inlineStr">
        <is>
          <t>VÄRMLANDS LÄN</t>
        </is>
      </c>
      <c r="G496" t="inlineStr">
        <is>
          <t>FILIPSTAD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31172-2025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45832</v>
      </c>
      <c r="E497" s="1" t="n">
        <v>46219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19760-2026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46135</v>
      </c>
      <c r="E498" s="1" t="n">
        <v>46219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20050-2026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46136</v>
      </c>
      <c r="E499" s="1" t="n">
        <v>46219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19882-2026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46135</v>
      </c>
      <c r="E500" s="1" t="n">
        <v>46219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18210-2024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45420</v>
      </c>
      <c r="E501" s="1" t="n">
        <v>46219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40646-2025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45896</v>
      </c>
      <c r="E502" s="1" t="n">
        <v>46219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71971-2021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44544</v>
      </c>
      <c r="E503" s="1" t="n">
        <v>46219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31883-2025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46219</v>
      </c>
      <c r="F504" t="inlineStr">
        <is>
          <t>VÄRMLANDS LÄN</t>
        </is>
      </c>
      <c r="G504" t="inlineStr">
        <is>
          <t>FILIPSTAD</t>
        </is>
      </c>
      <c r="I504" t="n">
        <v>18.7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41521-2025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45901</v>
      </c>
      <c r="E505" s="1" t="n">
        <v>46219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31306-2023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46219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57456-2022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44896</v>
      </c>
      <c r="E507" s="1" t="n">
        <v>46219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22843-2025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46219</v>
      </c>
      <c r="F508" t="inlineStr">
        <is>
          <t>VÄRMLANDS LÄN</t>
        </is>
      </c>
      <c r="G508" t="inlineStr">
        <is>
          <t>FILIPSTAD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32032-2025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45835</v>
      </c>
      <c r="E509" s="1" t="n">
        <v>46219</v>
      </c>
      <c r="F509" t="inlineStr">
        <is>
          <t>VÄRMLANDS LÄN</t>
        </is>
      </c>
      <c r="G509" t="inlineStr">
        <is>
          <t>FILIPSTAD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30165-2025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46219</v>
      </c>
      <c r="F510" t="inlineStr">
        <is>
          <t>VÄRMLANDS LÄN</t>
        </is>
      </c>
      <c r="G510" t="inlineStr">
        <is>
          <t>FILIPSTAD</t>
        </is>
      </c>
      <c r="H510" t="inlineStr">
        <is>
          <t>Kyrkan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20487-2026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46219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9370-2023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44981</v>
      </c>
      <c r="E512" s="1" t="n">
        <v>46219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26211-2026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46182</v>
      </c>
      <c r="E513" s="1" t="n">
        <v>46219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4743-2025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46219</v>
      </c>
      <c r="F514" t="inlineStr">
        <is>
          <t>VÄRMLANDS LÄN</t>
        </is>
      </c>
      <c r="G514" t="inlineStr">
        <is>
          <t>FILIPSTAD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28687-2025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45819</v>
      </c>
      <c r="E515" s="1" t="n">
        <v>46219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54008-2021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44470</v>
      </c>
      <c r="E516" s="1" t="n">
        <v>46219</v>
      </c>
      <c r="F516" t="inlineStr">
        <is>
          <t>VÄRMLANDS LÄN</t>
        </is>
      </c>
      <c r="G516" t="inlineStr">
        <is>
          <t>FILIPSTAD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22558-2025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45789</v>
      </c>
      <c r="E517" s="1" t="n">
        <v>46219</v>
      </c>
      <c r="F517" t="inlineStr">
        <is>
          <t>VÄRMLANDS LÄN</t>
        </is>
      </c>
      <c r="G517" t="inlineStr">
        <is>
          <t>FILIPSTAD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50786-2024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45602</v>
      </c>
      <c r="E518" s="1" t="n">
        <v>46219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5846-2023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44963</v>
      </c>
      <c r="E519" s="1" t="n">
        <v>46219</v>
      </c>
      <c r="F519" t="inlineStr">
        <is>
          <t>VÄRMLANDS LÄN</t>
        </is>
      </c>
      <c r="G519" t="inlineStr">
        <is>
          <t>FILIPSTAD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36809-2022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44805</v>
      </c>
      <c r="E520" s="1" t="n">
        <v>46219</v>
      </c>
      <c r="F520" t="inlineStr">
        <is>
          <t>VÄRMLANDS LÄN</t>
        </is>
      </c>
      <c r="G520" t="inlineStr">
        <is>
          <t>FILIPSTAD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33967-2023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45124</v>
      </c>
      <c r="E521" s="1" t="n">
        <v>46219</v>
      </c>
      <c r="F521" t="inlineStr">
        <is>
          <t>VÄRMLANDS LÄN</t>
        </is>
      </c>
      <c r="G521" t="inlineStr">
        <is>
          <t>FILIPSTAD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33973-2023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45124</v>
      </c>
      <c r="E522" s="1" t="n">
        <v>46219</v>
      </c>
      <c r="F522" t="inlineStr">
        <is>
          <t>VÄRMLANDS LÄN</t>
        </is>
      </c>
      <c r="G522" t="inlineStr">
        <is>
          <t>FILIPSTAD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61741-2022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44911</v>
      </c>
      <c r="E523" s="1" t="n">
        <v>46219</v>
      </c>
      <c r="F523" t="inlineStr">
        <is>
          <t>VÄRMLANDS LÄN</t>
        </is>
      </c>
      <c r="G523" t="inlineStr">
        <is>
          <t>FILIPSTAD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54080-2025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45964</v>
      </c>
      <c r="E524" s="1" t="n">
        <v>46219</v>
      </c>
      <c r="F524" t="inlineStr">
        <is>
          <t>VÄRMLANDS LÄN</t>
        </is>
      </c>
      <c r="G524" t="inlineStr">
        <is>
          <t>FILIPSTAD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33379-2025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45841</v>
      </c>
      <c r="E525" s="1" t="n">
        <v>46219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26323-2026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46219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33407-2025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45841</v>
      </c>
      <c r="E527" s="1" t="n">
        <v>46219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26107-2026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46219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26229-2026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46219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26298-2026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46182</v>
      </c>
      <c r="E530" s="1" t="n">
        <v>46219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25737-2023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45090</v>
      </c>
      <c r="E531" s="1" t="n">
        <v>46219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37733-2025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45880</v>
      </c>
      <c r="E532" s="1" t="n">
        <v>46219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33449-2025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45841</v>
      </c>
      <c r="E533" s="1" t="n">
        <v>46219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20489-2026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46219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26343-2026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46219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26227-2026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46219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30077-2025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45826</v>
      </c>
      <c r="E537" s="1" t="n">
        <v>46219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39896-2025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45891</v>
      </c>
      <c r="E538" s="1" t="n">
        <v>46219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32059-2025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46219</v>
      </c>
      <c r="F539" t="inlineStr">
        <is>
          <t>VÄRMLANDS LÄN</t>
        </is>
      </c>
      <c r="G539" t="inlineStr">
        <is>
          <t>FILIPSTAD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20661-2026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46141</v>
      </c>
      <c r="E540" s="1" t="n">
        <v>46219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20801-2026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46219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26549-2026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46219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25976-2026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46219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26501-2026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46183</v>
      </c>
      <c r="E544" s="1" t="n">
        <v>46219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25786-2026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46219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20554-2025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45775</v>
      </c>
      <c r="E546" s="1" t="n">
        <v>46219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36582-2025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45870</v>
      </c>
      <c r="E547" s="1" t="n">
        <v>46219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49602-2025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45939</v>
      </c>
      <c r="E548" s="1" t="n">
        <v>46219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20919-2026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46219</v>
      </c>
      <c r="F549" t="inlineStr">
        <is>
          <t>VÄRMLANDS LÄN</t>
        </is>
      </c>
      <c r="G549" t="inlineStr">
        <is>
          <t>FILIPSTAD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36272-2025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45867</v>
      </c>
      <c r="E550" s="1" t="n">
        <v>46219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31676-2025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45834</v>
      </c>
      <c r="E551" s="1" t="n">
        <v>46219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20874-2026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46219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46219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24139-2024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45456</v>
      </c>
      <c r="E554" s="1" t="n">
        <v>46219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16067-2026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46108</v>
      </c>
      <c r="E555" s="1" t="n">
        <v>46219</v>
      </c>
      <c r="F555" t="inlineStr">
        <is>
          <t>VÄRMLANDS LÄN</t>
        </is>
      </c>
      <c r="G555" t="inlineStr">
        <is>
          <t>FILIPSTAD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27300-2026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46219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27085-2026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46187</v>
      </c>
      <c r="E557" s="1" t="n">
        <v>46219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38175-2025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45882</v>
      </c>
      <c r="E558" s="1" t="n">
        <v>46219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27078-2026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46186</v>
      </c>
      <c r="E559" s="1" t="n">
        <v>46219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27595-2026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46219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27372-2026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46219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21542-2026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46219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27007-2026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46219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27426-2026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46189</v>
      </c>
      <c r="E564" s="1" t="n">
        <v>46219</v>
      </c>
      <c r="F564" t="inlineStr">
        <is>
          <t>VÄRMLANDS LÄN</t>
        </is>
      </c>
      <c r="G564" t="inlineStr">
        <is>
          <t>FILIPSTAD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27774-2026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46219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27867-2026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46219</v>
      </c>
      <c r="F566" t="inlineStr">
        <is>
          <t>VÄRMLANDS LÄN</t>
        </is>
      </c>
      <c r="G566" t="inlineStr">
        <is>
          <t>FILIPSTAD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27079-2026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46186</v>
      </c>
      <c r="E567" s="1" t="n">
        <v>46219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22045-2026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46219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22112-2026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46219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22136-2026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46219</v>
      </c>
      <c r="F570" t="inlineStr">
        <is>
          <t>VÄRMLANDS LÄN</t>
        </is>
      </c>
      <c r="G570" t="inlineStr">
        <is>
          <t>FILIPSTAD</t>
        </is>
      </c>
      <c r="I570" t="n">
        <v>10.8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22144-2026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46219</v>
      </c>
      <c r="F571" t="inlineStr">
        <is>
          <t>VÄRMLANDS LÄN</t>
        </is>
      </c>
      <c r="G571" t="inlineStr">
        <is>
          <t>FILIPSTAD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22201-2026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46219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28094-2026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46219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22176-2026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46219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22229-2026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46219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22032-2026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46219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22138-2026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46219</v>
      </c>
      <c r="F577" t="inlineStr">
        <is>
          <t>VÄRMLANDS LÄN</t>
        </is>
      </c>
      <c r="G577" t="inlineStr">
        <is>
          <t>FILIPSTAD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22021-2026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46219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22115-2026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46219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22051-2026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46219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22220-2026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46219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46219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27968-2026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46219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28419-2026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46219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28516-2026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46197</v>
      </c>
      <c r="E585" s="1" t="n">
        <v>46219</v>
      </c>
      <c r="F585" t="inlineStr">
        <is>
          <t>VÄRMLANDS LÄN</t>
        </is>
      </c>
      <c r="G585" t="inlineStr">
        <is>
          <t>FILIPSTAD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22533-2026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46155</v>
      </c>
      <c r="E586" s="1" t="n">
        <v>46219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29127-2026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46202</v>
      </c>
      <c r="E587" s="1" t="n">
        <v>46219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28977-2026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46219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29328-2026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46219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29010-2026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46219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5757-2021</t>
        </is>
      </c>
      <c r="B591" t="inlineStr">
        <is>
          <t>samrådsanmälan</t>
        </is>
      </c>
      <c r="C591" t="inlineStr">
        <is>
          <t>Basväg</t>
        </is>
      </c>
      <c r="D591" s="1" t="n">
        <v>44438</v>
      </c>
      <c r="E591" s="1" t="n">
        <v>46219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1191-2021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44328</v>
      </c>
      <c r="E592" s="1" t="n">
        <v>46219</v>
      </c>
      <c r="F592" t="inlineStr">
        <is>
          <t>VÄRMLANDS LÄN</t>
        </is>
      </c>
      <c r="G592" t="inlineStr">
        <is>
          <t>FILIPSTAD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4134-2023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46219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4115-2023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45246</v>
      </c>
      <c r="E594" s="1" t="n">
        <v>46219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4137-2023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46219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4132-2023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46219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4130-2023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46219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4127-2023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46219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837-2023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44991</v>
      </c>
      <c r="E599" s="1" t="n">
        <v>46219</v>
      </c>
      <c r="F599" t="inlineStr">
        <is>
          <t>VÄRMLANDS LÄN</t>
        </is>
      </c>
      <c r="G599" t="inlineStr">
        <is>
          <t>FILIPSTAD</t>
        </is>
      </c>
      <c r="I599" t="n">
        <v>19.3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4129-2023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46219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3919-2023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45233</v>
      </c>
      <c r="E601" s="1" t="n">
        <v>46219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4135-2023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46219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6078-2021</t>
        </is>
      </c>
      <c r="B603" t="inlineStr">
        <is>
          <t>samrådsanmälan</t>
        </is>
      </c>
      <c r="C603" t="inlineStr">
        <is>
          <t>Åtgärd i nyckelbiotop</t>
        </is>
      </c>
      <c r="D603" s="1" t="n">
        <v>44442</v>
      </c>
      <c r="E603" s="1" t="n">
        <v>46219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4126-2023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46219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294-2025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45687</v>
      </c>
      <c r="E605" s="1" t="n">
        <v>46219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186.4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4116-2023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45246</v>
      </c>
      <c r="E606" s="1" t="n">
        <v>46219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661-2025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45716</v>
      </c>
      <c r="E607" s="1" t="n">
        <v>46219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161.7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3429-2025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45995</v>
      </c>
      <c r="E608" s="1" t="n">
        <v>46219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3576-2025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46010</v>
      </c>
      <c r="E609" s="1" t="n">
        <v>46219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>
      <c r="A610" t="inlineStr">
        <is>
          <t>S 105-2026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46036</v>
      </c>
      <c r="E610" s="1" t="n">
        <v>46219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238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2026-07-16T01:24:13Z</dcterms:created>
  <dcterms:modified xmlns:dcterms="http://purl.org/dc/terms/" xmlns:xsi="http://www.w3.org/2001/XMLSchema-instance" xsi:type="dcterms:W3CDTF">2026-07-16T01:24:14Z</dcterms:modified>
</cp:coreProperties>
</file>