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46294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46294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46294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46294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46294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46294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46294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46294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A 38667-2026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46283</v>
      </c>
      <c r="E20" s="1" t="n">
        <v>46294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10.7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Brunklöver
Tvåblad
Fläcknycklar</t>
        </is>
      </c>
      <c r="W20">
        <f>HYPERLINK("https://klasma.github.io/Logging_1782/artfynd/A 38667-2026 artfynd.xlsx", "A 38667-2026")</f>
        <v/>
      </c>
      <c r="X20">
        <f>HYPERLINK("https://klasma.github.io/Logging_1782/kartor/A 38667-2026 karta.png", "A 38667-2026")</f>
        <v/>
      </c>
      <c r="Y20">
        <f>HYPERLINK("https://klasma.github.io/Logging_1782/kartor_geotiff/A 38667-2026 georefererad karta.tif", "A 38667-2026")</f>
        <v/>
      </c>
      <c r="AA20">
        <f>HYPERLINK("https://klasma.github.io/Logging_1782/klagomål/A 38667-2026 FSC-klagomål.docx", "A 38667-2026")</f>
        <v/>
      </c>
      <c r="AB20">
        <f>HYPERLINK("https://klasma.github.io/Logging_1782/klagomålsmail/A 38667-2026 FSC-klagomål mail.docx", "A 38667-2026")</f>
        <v/>
      </c>
      <c r="AC20">
        <f>HYPERLINK("https://klasma.github.io/Logging_1782/tillsyn/A 38667-2026 tillsynsbegäran.docx", "A 38667-2026")</f>
        <v/>
      </c>
      <c r="AD20">
        <f>HYPERLINK("https://klasma.github.io/Logging_1782/tillsynsmail/A 38667-2026 tillsynsbegäran mail.docx", "A 38667-2026")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46294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46294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46294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46294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46294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46294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46294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46294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46294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46294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46294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46294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11453-2025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45726</v>
      </c>
      <c r="E35" s="1" t="n">
        <v>46294</v>
      </c>
      <c r="F35" t="inlineStr">
        <is>
          <t>VÄRMLANDS LÄN</t>
        </is>
      </c>
      <c r="G35" t="inlineStr">
        <is>
          <t>FILIPSTAD</t>
        </is>
      </c>
      <c r="I35" t="n">
        <v>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Purpurknipprot</t>
        </is>
      </c>
      <c r="W35">
        <f>HYPERLINK("https://klasma.github.io/Logging_1782/artfynd/A 11453-2025 artfynd.xlsx", "A 11453-2025")</f>
        <v/>
      </c>
      <c r="X35">
        <f>HYPERLINK("https://klasma.github.io/Logging_1782/kartor/A 11453-2025 karta.png", "A 11453-2025")</f>
        <v/>
      </c>
      <c r="Y35">
        <f>HYPERLINK("https://klasma.github.io/Logging_1782/kartor_geotiff/A 11453-2025 georefererad karta.tif", "A 11453-2025")</f>
        <v/>
      </c>
      <c r="AA35">
        <f>HYPERLINK("https://klasma.github.io/Logging_1782/klagomål/A 11453-2025 FSC-klagomål.docx", "A 11453-2025")</f>
        <v/>
      </c>
      <c r="AB35">
        <f>HYPERLINK("https://klasma.github.io/Logging_1782/klagomålsmail/A 11453-2025 FSC-klagomål mail.docx", "A 11453-2025")</f>
        <v/>
      </c>
      <c r="AC35">
        <f>HYPERLINK("https://klasma.github.io/Logging_1782/tillsyn/A 11453-2025 tillsynsbegäran.docx", "A 11453-2025")</f>
        <v/>
      </c>
      <c r="AD35">
        <f>HYPERLINK("https://klasma.github.io/Logging_1782/tillsynsmail/A 11453-2025 tillsynsbegäran mail.docx", "A 11453-2025")</f>
        <v/>
      </c>
    </row>
    <row r="36" ht="15" customHeight="1">
      <c r="A36" t="inlineStr">
        <is>
          <t>A 25916-2025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46294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26.4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HYPERLINK("https://klasma.github.io/Logging_1782/artfynd/A 25916-2025 artfynd.xlsx", "A 25916-2025")</f>
        <v/>
      </c>
      <c r="X36">
        <f>HYPERLINK("https://klasma.github.io/Logging_1782/kartor/A 25916-2025 karta.png", "A 25916-2025")</f>
        <v/>
      </c>
      <c r="Y36">
        <f>HYPERLINK("https://klasma.github.io/Logging_1782/kartor_geotiff/A 25916-2025 georefererad karta.tif", "A 25916-2025")</f>
        <v/>
      </c>
      <c r="AA36">
        <f>HYPERLINK("https://klasma.github.io/Logging_1782/klagomål/A 25916-2025 FSC-klagomål.docx", "A 25916-2025")</f>
        <v/>
      </c>
      <c r="AB36">
        <f>HYPERLINK("https://klasma.github.io/Logging_1782/klagomålsmail/A 25916-2025 FSC-klagomål mail.docx", "A 25916-2025")</f>
        <v/>
      </c>
      <c r="AC36">
        <f>HYPERLINK("https://klasma.github.io/Logging_1782/tillsyn/A 25916-2025 tillsynsbegäran.docx", "A 25916-2025")</f>
        <v/>
      </c>
      <c r="AD36">
        <f>HYPERLINK("https://klasma.github.io/Logging_1782/tillsynsmail/A 25916-2025 tillsynsbegäran mail.docx", "A 25916-2025")</f>
        <v/>
      </c>
    </row>
    <row r="37" ht="15" customHeight="1">
      <c r="A37" t="inlineStr">
        <is>
          <t>A 18138-2022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44684</v>
      </c>
      <c r="E37" s="1" t="n">
        <v>46294</v>
      </c>
      <c r="F37" t="inlineStr">
        <is>
          <t>VÄRMLANDS LÄN</t>
        </is>
      </c>
      <c r="G37" t="inlineStr">
        <is>
          <t>FILIPSTAD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HYPERLINK("https://klasma.github.io/Logging_1782/artfynd/A 18138-2022 artfynd.xlsx", "A 18138-2022")</f>
        <v/>
      </c>
      <c r="X37">
        <f>HYPERLINK("https://klasma.github.io/Logging_1782/kartor/A 18138-2022 karta.png", "A 18138-2022")</f>
        <v/>
      </c>
      <c r="Y37">
        <f>HYPERLINK("https://klasma.github.io/Logging_1782/kartor_geotiff/A 18138-2022 georefererad karta.tif", "A 18138-2022")</f>
        <v/>
      </c>
      <c r="AA37">
        <f>HYPERLINK("https://klasma.github.io/Logging_1782/klagomål/A 18138-2022 FSC-klagomål.docx", "A 18138-2022")</f>
        <v/>
      </c>
      <c r="AB37">
        <f>HYPERLINK("https://klasma.github.io/Logging_1782/klagomålsmail/A 18138-2022 FSC-klagomål mail.docx", "A 18138-2022")</f>
        <v/>
      </c>
      <c r="AC37">
        <f>HYPERLINK("https://klasma.github.io/Logging_1782/tillsyn/A 18138-2022 tillsynsbegäran.docx", "A 18138-2022")</f>
        <v/>
      </c>
      <c r="AD37">
        <f>HYPERLINK("https://klasma.github.io/Logging_1782/tillsynsmail/A 18138-2022 tillsynsbegäran mail.docx", "A 18138-2022")</f>
        <v/>
      </c>
    </row>
    <row r="38" ht="15" customHeight="1">
      <c r="A38" t="inlineStr">
        <is>
          <t>A 50776-2024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46294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15.5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HYPERLINK("https://klasma.github.io/Logging_1782/artfynd/A 50776-2024 artfynd.xlsx", "A 50776-2024")</f>
        <v/>
      </c>
      <c r="X38">
        <f>HYPERLINK("https://klasma.github.io/Logging_1782/kartor/A 50776-2024 karta.png", "A 50776-2024")</f>
        <v/>
      </c>
      <c r="Y38">
        <f>HYPERLINK("https://klasma.github.io/Logging_1782/kartor_geotiff/A 50776-2024 georefererad karta.tif", "A 50776-2024")</f>
        <v/>
      </c>
      <c r="AA38">
        <f>HYPERLINK("https://klasma.github.io/Logging_1782/klagomål/A 50776-2024 FSC-klagomål.docx", "A 50776-2024")</f>
        <v/>
      </c>
      <c r="AB38">
        <f>HYPERLINK("https://klasma.github.io/Logging_1782/klagomålsmail/A 50776-2024 FSC-klagomål mail.docx", "A 50776-2024")</f>
        <v/>
      </c>
      <c r="AC38">
        <f>HYPERLINK("https://klasma.github.io/Logging_1782/tillsyn/A 50776-2024 tillsynsbegäran.docx", "A 50776-2024")</f>
        <v/>
      </c>
      <c r="AD38">
        <f>HYPERLINK("https://klasma.github.io/Logging_1782/tillsynsmail/A 50776-2024 tillsynsbegäran mail.docx", "A 50776-2024")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46294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30652-2025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45831</v>
      </c>
      <c r="E40" s="1" t="n">
        <v>46294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HYPERLINK("https://klasma.github.io/Logging_1782/artfynd/A 30652-2025 artfynd.xlsx", "A 30652-2025")</f>
        <v/>
      </c>
      <c r="X40">
        <f>HYPERLINK("https://klasma.github.io/Logging_1782/kartor/A 30652-2025 karta.png", "A 30652-2025")</f>
        <v/>
      </c>
      <c r="Y40">
        <f>HYPERLINK("https://klasma.github.io/Logging_1782/kartor_geotiff/A 30652-2025 georefererad karta.tif", "A 30652-2025")</f>
        <v/>
      </c>
      <c r="AA40">
        <f>HYPERLINK("https://klasma.github.io/Logging_1782/klagomål/A 30652-2025 FSC-klagomål.docx", "A 30652-2025")</f>
        <v/>
      </c>
      <c r="AB40">
        <f>HYPERLINK("https://klasma.github.io/Logging_1782/klagomålsmail/A 30652-2025 FSC-klagomål mail.docx", "A 30652-2025")</f>
        <v/>
      </c>
      <c r="AC40">
        <f>HYPERLINK("https://klasma.github.io/Logging_1782/tillsyn/A 30652-2025 tillsynsbegäran.docx", "A 30652-2025")</f>
        <v/>
      </c>
      <c r="AD40">
        <f>HYPERLINK("https://klasma.github.io/Logging_1782/tillsynsmail/A 30652-2025 tillsynsbegäran mail.docx", "A 30652-2025")</f>
        <v/>
      </c>
      <c r="AE40">
        <f>HYPERLINK("https://klasma.github.io/Logging_1782/fåglar/A 30652-2025 prioriterade fågelarter.docx", "A 30652-2025")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46294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874-2025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45665</v>
      </c>
      <c r="E42" s="1" t="n">
        <v>46294</v>
      </c>
      <c r="F42" t="inlineStr">
        <is>
          <t>VÄRMLANDS LÄN</t>
        </is>
      </c>
      <c r="G42" t="inlineStr">
        <is>
          <t>FILIPSTAD</t>
        </is>
      </c>
      <c r="H42" t="inlineStr">
        <is>
          <t>Kyrkan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Kamjordstjärna</t>
        </is>
      </c>
      <c r="W42">
        <f>HYPERLINK("https://klasma.github.io/Logging_1782/artfynd/A 874-2025 artfynd.xlsx", "A 874-2025")</f>
        <v/>
      </c>
      <c r="X42">
        <f>HYPERLINK("https://klasma.github.io/Logging_1782/kartor/A 874-2025 karta.png", "A 874-2025")</f>
        <v/>
      </c>
      <c r="Y42">
        <f>HYPERLINK("https://klasma.github.io/Logging_1782/kartor_geotiff/A 874-2025 georefererad karta.tif", "A 874-2025")</f>
        <v/>
      </c>
      <c r="AA42">
        <f>HYPERLINK("https://klasma.github.io/Logging_1782/klagomål/A 874-2025 FSC-klagomål.docx", "A 874-2025")</f>
        <v/>
      </c>
      <c r="AB42">
        <f>HYPERLINK("https://klasma.github.io/Logging_1782/klagomålsmail/A 874-2025 FSC-klagomål mail.docx", "A 874-2025")</f>
        <v/>
      </c>
      <c r="AC42">
        <f>HYPERLINK("https://klasma.github.io/Logging_1782/tillsyn/A 874-2025 tillsynsbegäran.docx", "A 874-2025")</f>
        <v/>
      </c>
      <c r="AD42">
        <f>HYPERLINK("https://klasma.github.io/Logging_1782/tillsynsmail/A 874-2025 tillsynsbegäran mail.docx", "A 874-2025")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46294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46294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46294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A 10138-2024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46294</v>
      </c>
      <c r="F46" t="inlineStr">
        <is>
          <t>VÄRMLANDS LÄN</t>
        </is>
      </c>
      <c r="G46" t="inlineStr">
        <is>
          <t>FILIPSTAD</t>
        </is>
      </c>
      <c r="H46" t="inlineStr">
        <is>
          <t>Kommuner</t>
        </is>
      </c>
      <c r="I46" t="n">
        <v>6.8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Purpurknipprot</t>
        </is>
      </c>
      <c r="W46">
        <f>HYPERLINK("https://klasma.github.io/Logging_1782/artfynd/A 10138-2024 artfynd.xlsx", "A 10138-2024")</f>
        <v/>
      </c>
      <c r="X46">
        <f>HYPERLINK("https://klasma.github.io/Logging_1782/kartor/A 10138-2024 karta.png", "A 10138-2024")</f>
        <v/>
      </c>
      <c r="Y46">
        <f>HYPERLINK("https://klasma.github.io/Logging_1782/kartor_geotiff/A 10138-2024 georefererad karta.tif", "A 10138-2024")</f>
        <v/>
      </c>
      <c r="AA46">
        <f>HYPERLINK("https://klasma.github.io/Logging_1782/klagomål/A 10138-2024 FSC-klagomål.docx", "A 10138-2024")</f>
        <v/>
      </c>
      <c r="AB46">
        <f>HYPERLINK("https://klasma.github.io/Logging_1782/klagomålsmail/A 10138-2024 FSC-klagomål mail.docx", "A 10138-2024")</f>
        <v/>
      </c>
      <c r="AC46">
        <f>HYPERLINK("https://klasma.github.io/Logging_1782/tillsyn/A 10138-2024 tillsynsbegäran.docx", "A 10138-2024")</f>
        <v/>
      </c>
      <c r="AD46">
        <f>HYPERLINK("https://klasma.github.io/Logging_1782/tillsynsmail/A 10138-2024 tillsynsbegäran mail.docx", "A 10138-2024")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46294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5992-2023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44959</v>
      </c>
      <c r="E49" s="1" t="n">
        <v>46294</v>
      </c>
      <c r="F49" t="inlineStr">
        <is>
          <t>VÄRMLANDS LÄN</t>
        </is>
      </c>
      <c r="G49" t="inlineStr">
        <is>
          <t>FILIPSTAD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HYPERLINK("https://klasma.github.io/Logging_1782/artfynd/A 5992-2023 artfynd.xlsx", "A 5992-2023")</f>
        <v/>
      </c>
      <c r="X49">
        <f>HYPERLINK("https://klasma.github.io/Logging_1782/kartor/A 5992-2023 karta.png", "A 5992-2023")</f>
        <v/>
      </c>
      <c r="Y49">
        <f>HYPERLINK("https://klasma.github.io/Logging_1782/kartor_geotiff/A 5992-2023 georefererad karta.tif", "A 5992-2023")</f>
        <v/>
      </c>
      <c r="AA49">
        <f>HYPERLINK("https://klasma.github.io/Logging_1782/klagomål/A 5992-2023 FSC-klagomål.docx", "A 5992-2023")</f>
        <v/>
      </c>
      <c r="AB49">
        <f>HYPERLINK("https://klasma.github.io/Logging_1782/klagomålsmail/A 5992-2023 FSC-klagomål mail.docx", "A 5992-2023")</f>
        <v/>
      </c>
      <c r="AC49">
        <f>HYPERLINK("https://klasma.github.io/Logging_1782/tillsyn/A 5992-2023 tillsynsbegäran.docx", "A 5992-2023")</f>
        <v/>
      </c>
      <c r="AD49">
        <f>HYPERLINK("https://klasma.github.io/Logging_1782/tillsynsmail/A 5992-2023 tillsynsbegäran mail.docx", "A 5992-2023")</f>
        <v/>
      </c>
    </row>
    <row r="50" ht="15" customHeight="1">
      <c r="A50" t="inlineStr">
        <is>
          <t>A 51522-2022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46294</v>
      </c>
      <c r="F50" t="inlineStr">
        <is>
          <t>VÄRMLANDS LÄN</t>
        </is>
      </c>
      <c r="G50" t="inlineStr">
        <is>
          <t>FILIPSTAD</t>
        </is>
      </c>
      <c r="I50" t="n">
        <v>4.1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HYPERLINK("https://klasma.github.io/Logging_1782/artfynd/A 51522-2022 artfynd.xlsx", "A 51522-2022")</f>
        <v/>
      </c>
      <c r="X50">
        <f>HYPERLINK("https://klasma.github.io/Logging_1782/kartor/A 51522-2022 karta.png", "A 51522-2022")</f>
        <v/>
      </c>
      <c r="Y50">
        <f>HYPERLINK("https://klasma.github.io/Logging_1782/kartor_geotiff/A 51522-2022 georefererad karta.tif", "A 51522-2022")</f>
        <v/>
      </c>
      <c r="AA50">
        <f>HYPERLINK("https://klasma.github.io/Logging_1782/klagomål/A 51522-2022 FSC-klagomål.docx", "A 51522-2022")</f>
        <v/>
      </c>
      <c r="AB50">
        <f>HYPERLINK("https://klasma.github.io/Logging_1782/klagomålsmail/A 51522-2022 FSC-klagomål mail.docx", "A 51522-2022")</f>
        <v/>
      </c>
      <c r="AC50">
        <f>HYPERLINK("https://klasma.github.io/Logging_1782/tillsyn/A 51522-2022 tillsynsbegäran.docx", "A 51522-2022")</f>
        <v/>
      </c>
      <c r="AD50">
        <f>HYPERLINK("https://klasma.github.io/Logging_1782/tillsynsmail/A 51522-2022 tillsynsbegäran mail.docx", "A 51522-2022")</f>
        <v/>
      </c>
    </row>
    <row r="51" ht="15" customHeight="1">
      <c r="A51" t="inlineStr">
        <is>
          <t>A 30988-2026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46213</v>
      </c>
      <c r="E51" s="1" t="n">
        <v>46294</v>
      </c>
      <c r="F51" t="inlineStr">
        <is>
          <t>VÄRMLANDS LÄN</t>
        </is>
      </c>
      <c r="G51" t="inlineStr">
        <is>
          <t>FILIPSTAD</t>
        </is>
      </c>
      <c r="I51" t="n">
        <v>2.4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Skuggblåslav</t>
        </is>
      </c>
      <c r="W51">
        <f>HYPERLINK("https://klasma.github.io/Logging_1782/artfynd/A 30988-2026 artfynd.xlsx", "A 30988-2026")</f>
        <v/>
      </c>
      <c r="X51">
        <f>HYPERLINK("https://klasma.github.io/Logging_1782/kartor/A 30988-2026 karta.png", "A 30988-2026")</f>
        <v/>
      </c>
      <c r="Y51">
        <f>HYPERLINK("https://klasma.github.io/Logging_1782/kartor_geotiff/A 30988-2026 georefererad karta.tif", "A 30988-2026")</f>
        <v/>
      </c>
      <c r="AA51">
        <f>HYPERLINK("https://klasma.github.io/Logging_1782/klagomål/A 30988-2026 FSC-klagomål.docx", "A 30988-2026")</f>
        <v/>
      </c>
      <c r="AB51">
        <f>HYPERLINK("https://klasma.github.io/Logging_1782/klagomålsmail/A 30988-2026 FSC-klagomål mail.docx", "A 30988-2026")</f>
        <v/>
      </c>
      <c r="AC51">
        <f>HYPERLINK("https://klasma.github.io/Logging_1782/tillsyn/A 30988-2026 tillsynsbegäran.docx", "A 30988-2026")</f>
        <v/>
      </c>
      <c r="AD51">
        <f>HYPERLINK("https://klasma.github.io/Logging_1782/tillsynsmail/A 30988-2026 tillsynsbegäran mail.docx", "A 30988-2026")</f>
        <v/>
      </c>
    </row>
    <row r="52" ht="15" customHeight="1">
      <c r="A52" t="inlineStr">
        <is>
          <t>A 31257-2026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46294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10.2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Gräsull</t>
        </is>
      </c>
      <c r="W52">
        <f>HYPERLINK("https://klasma.github.io/Logging_1782/artfynd/A 31257-2026 artfynd.xlsx", "A 31257-2026")</f>
        <v/>
      </c>
      <c r="X52">
        <f>HYPERLINK("https://klasma.github.io/Logging_1782/kartor/A 31257-2026 karta.png", "A 31257-2026")</f>
        <v/>
      </c>
      <c r="Y52">
        <f>HYPERLINK("https://klasma.github.io/Logging_1782/kartor_geotiff/A 31257-2026 georefererad karta.tif", "A 31257-2026")</f>
        <v/>
      </c>
      <c r="AA52">
        <f>HYPERLINK("https://klasma.github.io/Logging_1782/klagomål/A 31257-2026 FSC-klagomål.docx", "A 31257-2026")</f>
        <v/>
      </c>
      <c r="AB52">
        <f>HYPERLINK("https://klasma.github.io/Logging_1782/klagomålsmail/A 31257-2026 FSC-klagomål mail.docx", "A 31257-2026")</f>
        <v/>
      </c>
      <c r="AC52">
        <f>HYPERLINK("https://klasma.github.io/Logging_1782/tillsyn/A 31257-2026 tillsynsbegäran.docx", "A 31257-2026")</f>
        <v/>
      </c>
      <c r="AD52">
        <f>HYPERLINK("https://klasma.github.io/Logging_1782/tillsynsmail/A 31257-2026 tillsynsbegäran mail.docx", "A 31257-2026")</f>
        <v/>
      </c>
    </row>
    <row r="53" ht="15" customHeight="1">
      <c r="A53" t="inlineStr">
        <is>
          <t>A 23046-2023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46294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HYPERLINK("https://klasma.github.io/Logging_1782/artfynd/A 23046-2023 artfynd.xlsx", "A 23046-2023")</f>
        <v/>
      </c>
      <c r="X53">
        <f>HYPERLINK("https://klasma.github.io/Logging_1782/kartor/A 23046-2023 karta.png", "A 23046-2023")</f>
        <v/>
      </c>
      <c r="Y53">
        <f>HYPERLINK("https://klasma.github.io/Logging_1782/kartor_geotiff/A 23046-2023 georefererad karta.tif", "A 23046-2023")</f>
        <v/>
      </c>
      <c r="Z53">
        <f>HYPERLINK("https://klasma.github.io/Logging_1782/knärot/A 23046-2023 karta knärot.png", "A 23046-2023")</f>
        <v/>
      </c>
      <c r="AA53">
        <f>HYPERLINK("https://klasma.github.io/Logging_1782/klagomål/A 23046-2023 FSC-klagomål.docx", "A 23046-2023")</f>
        <v/>
      </c>
      <c r="AB53">
        <f>HYPERLINK("https://klasma.github.io/Logging_1782/klagomålsmail/A 23046-2023 FSC-klagomål mail.docx", "A 23046-2023")</f>
        <v/>
      </c>
      <c r="AC53">
        <f>HYPERLINK("https://klasma.github.io/Logging_1782/tillsyn/A 23046-2023 tillsynsbegäran.docx", "A 23046-2023")</f>
        <v/>
      </c>
      <c r="AD53">
        <f>HYPERLINK("https://klasma.github.io/Logging_1782/tillsynsmail/A 23046-2023 tillsynsbegäran mail.docx", "A 23046-2023")</f>
        <v/>
      </c>
    </row>
    <row r="54" ht="15" customHeight="1">
      <c r="A54" t="inlineStr">
        <is>
          <t>A 46978-2023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46294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HYPERLINK("https://klasma.github.io/Logging_1782/artfynd/A 46978-2023 artfynd.xlsx", "A 46978-2023")</f>
        <v/>
      </c>
      <c r="X54">
        <f>HYPERLINK("https://klasma.github.io/Logging_1782/kartor/A 46978-2023 karta.png", "A 46978-2023")</f>
        <v/>
      </c>
      <c r="Y54">
        <f>HYPERLINK("https://klasma.github.io/Logging_1782/kartor_geotiff/A 46978-2023 georefererad karta.tif", "A 46978-2023")</f>
        <v/>
      </c>
      <c r="AA54">
        <f>HYPERLINK("https://klasma.github.io/Logging_1782/klagomål/A 46978-2023 FSC-klagomål.docx", "A 46978-2023")</f>
        <v/>
      </c>
      <c r="AB54">
        <f>HYPERLINK("https://klasma.github.io/Logging_1782/klagomålsmail/A 46978-2023 FSC-klagomål mail.docx", "A 46978-2023")</f>
        <v/>
      </c>
      <c r="AC54">
        <f>HYPERLINK("https://klasma.github.io/Logging_1782/tillsyn/A 46978-2023 tillsynsbegäran.docx", "A 46978-2023")</f>
        <v/>
      </c>
      <c r="AD54">
        <f>HYPERLINK("https://klasma.github.io/Logging_1782/tillsynsmail/A 46978-2023 tillsynsbegäran mail.docx", "A 46978-2023")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46294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46294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46294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46294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46294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46294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46294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46294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46294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46294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46294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46294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46294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46294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46294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46294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45617</v>
      </c>
      <c r="E82" s="1" t="n">
        <v>46294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46294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46294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46294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46294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46294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46294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46294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46294</v>
      </c>
      <c r="F90" t="inlineStr">
        <is>
          <t>VÄRMLANDS LÄN</t>
        </is>
      </c>
      <c r="G90" t="inlineStr">
        <is>
          <t>FILIPSTAD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46294</v>
      </c>
      <c r="F91" t="inlineStr">
        <is>
          <t>VÄRMLANDS LÄN</t>
        </is>
      </c>
      <c r="G91" t="inlineStr">
        <is>
          <t>FILIPSTAD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46001</v>
      </c>
      <c r="E92" s="1" t="n">
        <v>46294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61823-2025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46003</v>
      </c>
      <c r="E93" s="1" t="n">
        <v>46294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46294</v>
      </c>
      <c r="F94" t="inlineStr">
        <is>
          <t>VÄRMLANDS LÄN</t>
        </is>
      </c>
      <c r="G94" t="inlineStr">
        <is>
          <t>FILIPSTAD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46294</v>
      </c>
      <c r="F95" t="inlineStr">
        <is>
          <t>VÄRMLANDS LÄN</t>
        </is>
      </c>
      <c r="G95" t="inlineStr">
        <is>
          <t>FILIPSTAD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46294</v>
      </c>
      <c r="F96" t="inlineStr">
        <is>
          <t>VÄRMLANDS LÄN</t>
        </is>
      </c>
      <c r="G96" t="inlineStr">
        <is>
          <t>FILIPSTAD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46294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46294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46294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46294</v>
      </c>
      <c r="F100" t="inlineStr">
        <is>
          <t>VÄRMLANDS LÄN</t>
        </is>
      </c>
      <c r="G100" t="inlineStr">
        <is>
          <t>FILIPSTAD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46294</v>
      </c>
      <c r="F101" t="inlineStr">
        <is>
          <t>VÄRMLANDS LÄN</t>
        </is>
      </c>
      <c r="G101" t="inlineStr">
        <is>
          <t>FILIPSTAD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45593</v>
      </c>
      <c r="E102" s="1" t="n">
        <v>46294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46294</v>
      </c>
      <c r="F103" t="inlineStr">
        <is>
          <t>VÄRMLANDS LÄN</t>
        </is>
      </c>
      <c r="G103" t="inlineStr">
        <is>
          <t>FILIPSTAD</t>
        </is>
      </c>
      <c r="H103" t="inlineStr">
        <is>
          <t>Kyrkan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46294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46294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45232</v>
      </c>
      <c r="E106" s="1" t="n">
        <v>46294</v>
      </c>
      <c r="F106" t="inlineStr">
        <is>
          <t>VÄRMLANDS LÄN</t>
        </is>
      </c>
      <c r="G106" t="inlineStr">
        <is>
          <t>FILIPSTAD</t>
        </is>
      </c>
      <c r="I106" t="n">
        <v>15.5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46004</v>
      </c>
      <c r="E107" s="1" t="n">
        <v>46294</v>
      </c>
      <c r="F107" t="inlineStr">
        <is>
          <t>VÄRMLANDS LÄN</t>
        </is>
      </c>
      <c r="G107" t="inlineStr">
        <is>
          <t>FILIPSTAD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45667</v>
      </c>
      <c r="E108" s="1" t="n">
        <v>46294</v>
      </c>
      <c r="F108" t="inlineStr">
        <is>
          <t>VÄRMLANDS LÄN</t>
        </is>
      </c>
      <c r="G108" t="inlineStr">
        <is>
          <t>FILIPSTAD</t>
        </is>
      </c>
      <c r="H108" t="inlineStr">
        <is>
          <t>Kommuner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46004</v>
      </c>
      <c r="E109" s="1" t="n">
        <v>46294</v>
      </c>
      <c r="F109" t="inlineStr">
        <is>
          <t>VÄRMLANDS LÄN</t>
        </is>
      </c>
      <c r="G109" t="inlineStr">
        <is>
          <t>FILIPSTAD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45742</v>
      </c>
      <c r="E110" s="1" t="n">
        <v>46294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46294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46294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23399-2025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45792</v>
      </c>
      <c r="E113" s="1" t="n">
        <v>46294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46294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46294</v>
      </c>
      <c r="F115" t="inlineStr">
        <is>
          <t>VÄRMLANDS LÄN</t>
        </is>
      </c>
      <c r="G115" t="inlineStr">
        <is>
          <t>FILIPSTAD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46294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46294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44543</v>
      </c>
      <c r="E118" s="1" t="n">
        <v>46294</v>
      </c>
      <c r="F118" t="inlineStr">
        <is>
          <t>VÄRMLANDS LÄN</t>
        </is>
      </c>
      <c r="G118" t="inlineStr">
        <is>
          <t>FILIPSTAD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46294</v>
      </c>
      <c r="F119" t="inlineStr">
        <is>
          <t>VÄRMLANDS LÄN</t>
        </is>
      </c>
      <c r="G119" t="inlineStr">
        <is>
          <t>FILIPSTAD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65174-2021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46294</v>
      </c>
      <c r="F120" t="inlineStr">
        <is>
          <t>VÄRMLANDS LÄN</t>
        </is>
      </c>
      <c r="G120" t="inlineStr">
        <is>
          <t>FILIPSTAD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46294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46294</v>
      </c>
      <c r="F122" t="inlineStr">
        <is>
          <t>VÄRMLANDS LÄN</t>
        </is>
      </c>
      <c r="G122" t="inlineStr">
        <is>
          <t>FILIPSTAD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46294</v>
      </c>
      <c r="F123" t="inlineStr">
        <is>
          <t>VÄRMLANDS LÄN</t>
        </is>
      </c>
      <c r="G123" t="inlineStr">
        <is>
          <t>FILIPSTAD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46294</v>
      </c>
      <c r="F124" t="inlineStr">
        <is>
          <t>VÄRMLANDS LÄN</t>
        </is>
      </c>
      <c r="G124" t="inlineStr">
        <is>
          <t>FILIPSTAD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46294</v>
      </c>
      <c r="F125" t="inlineStr">
        <is>
          <t>VÄRMLANDS LÄN</t>
        </is>
      </c>
      <c r="G125" t="inlineStr">
        <is>
          <t>FILIPSTAD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44801</v>
      </c>
      <c r="E126" s="1" t="n">
        <v>46294</v>
      </c>
      <c r="F126" t="inlineStr">
        <is>
          <t>VÄRMLANDS LÄN</t>
        </is>
      </c>
      <c r="G126" t="inlineStr">
        <is>
          <t>FILIPSTAD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47261-2024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46294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26116-2025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45805</v>
      </c>
      <c r="E129" s="1" t="n">
        <v>46294</v>
      </c>
      <c r="F129" t="inlineStr">
        <is>
          <t>VÄRMLANDS LÄN</t>
        </is>
      </c>
      <c r="G129" t="inlineStr">
        <is>
          <t>FILIPSTAD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26123-2025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45805</v>
      </c>
      <c r="E130" s="1" t="n">
        <v>46294</v>
      </c>
      <c r="F130" t="inlineStr">
        <is>
          <t>VÄRMLANDS LÄN</t>
        </is>
      </c>
      <c r="G130" t="inlineStr">
        <is>
          <t>FILIPSTAD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46294</v>
      </c>
      <c r="F131" t="inlineStr">
        <is>
          <t>VÄRMLANDS LÄN</t>
        </is>
      </c>
      <c r="G131" t="inlineStr">
        <is>
          <t>FILIPSTAD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55978-2022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44889</v>
      </c>
      <c r="E132" s="1" t="n">
        <v>46294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41718-2025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45902</v>
      </c>
      <c r="E133" s="1" t="n">
        <v>46294</v>
      </c>
      <c r="F133" t="inlineStr">
        <is>
          <t>VÄRMLANDS LÄN</t>
        </is>
      </c>
      <c r="G133" t="inlineStr">
        <is>
          <t>FILIPSTAD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46294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46294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46294</v>
      </c>
      <c r="F136" t="inlineStr">
        <is>
          <t>VÄRMLANDS LÄN</t>
        </is>
      </c>
      <c r="G136" t="inlineStr">
        <is>
          <t>FILIPSTAD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16103-2025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45750</v>
      </c>
      <c r="E137" s="1" t="n">
        <v>46294</v>
      </c>
      <c r="F137" t="inlineStr">
        <is>
          <t>VÄRMLANDS LÄN</t>
        </is>
      </c>
      <c r="G137" t="inlineStr">
        <is>
          <t>FILIPSTAD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46294</v>
      </c>
      <c r="F138" t="inlineStr">
        <is>
          <t>VÄRMLANDS LÄN</t>
        </is>
      </c>
      <c r="G138" t="inlineStr">
        <is>
          <t>FILIPSTAD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26599-2024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45469</v>
      </c>
      <c r="E139" s="1" t="n">
        <v>46294</v>
      </c>
      <c r="F139" t="inlineStr">
        <is>
          <t>VÄRMLANDS LÄN</t>
        </is>
      </c>
      <c r="G139" t="inlineStr">
        <is>
          <t>FILIPSTAD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46294</v>
      </c>
      <c r="F140" t="inlineStr">
        <is>
          <t>VÄRMLANDS LÄN</t>
        </is>
      </c>
      <c r="G140" t="inlineStr">
        <is>
          <t>FILIPSTAD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46294</v>
      </c>
      <c r="F141" t="inlineStr">
        <is>
          <t>VÄRMLANDS LÄN</t>
        </is>
      </c>
      <c r="G141" t="inlineStr">
        <is>
          <t>FILIPSTAD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46294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46294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46294</v>
      </c>
      <c r="F144" t="inlineStr">
        <is>
          <t>VÄRMLANDS LÄN</t>
        </is>
      </c>
      <c r="G144" t="inlineStr">
        <is>
          <t>FILIPSTAD</t>
        </is>
      </c>
      <c r="H144" t="inlineStr">
        <is>
          <t>Kyrkan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46294</v>
      </c>
      <c r="F145" t="inlineStr">
        <is>
          <t>VÄRMLANDS LÄN</t>
        </is>
      </c>
      <c r="G145" t="inlineStr">
        <is>
          <t>FILIPSTAD</t>
        </is>
      </c>
      <c r="I145" t="n">
        <v>23.3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46294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46294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46294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45826</v>
      </c>
      <c r="E149" s="1" t="n">
        <v>46294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46294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46294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46294</v>
      </c>
      <c r="F152" t="inlineStr">
        <is>
          <t>VÄRMLANDS LÄN</t>
        </is>
      </c>
      <c r="G152" t="inlineStr">
        <is>
          <t>FILIPSTAD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46294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46014</v>
      </c>
      <c r="E154" s="1" t="n">
        <v>46294</v>
      </c>
      <c r="F154" t="inlineStr">
        <is>
          <t>VÄRMLANDS LÄN</t>
        </is>
      </c>
      <c r="G154" t="inlineStr">
        <is>
          <t>FILIPSTAD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46294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45153</v>
      </c>
      <c r="E156" s="1" t="n">
        <v>46294</v>
      </c>
      <c r="F156" t="inlineStr">
        <is>
          <t>VÄRMLANDS LÄN</t>
        </is>
      </c>
      <c r="G156" t="inlineStr">
        <is>
          <t>FILIPSTAD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46294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46294</v>
      </c>
      <c r="F158" t="inlineStr">
        <is>
          <t>VÄRMLANDS LÄN</t>
        </is>
      </c>
      <c r="G158" t="inlineStr">
        <is>
          <t>FILIPSTAD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31172-2025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45832</v>
      </c>
      <c r="E159" s="1" t="n">
        <v>46294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45835</v>
      </c>
      <c r="E160" s="1" t="n">
        <v>46294</v>
      </c>
      <c r="F160" t="inlineStr">
        <is>
          <t>VÄRMLANDS LÄN</t>
        </is>
      </c>
      <c r="G160" t="inlineStr">
        <is>
          <t>FILIPSTAD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48103-2025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45933</v>
      </c>
      <c r="E161" s="1" t="n">
        <v>46294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31883-2025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46294</v>
      </c>
      <c r="F162" t="inlineStr">
        <is>
          <t>VÄRMLANDS LÄN</t>
        </is>
      </c>
      <c r="G162" t="inlineStr">
        <is>
          <t>FILIPSTAD</t>
        </is>
      </c>
      <c r="I162" t="n">
        <v>18.7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46294</v>
      </c>
      <c r="F163" t="inlineStr">
        <is>
          <t>VÄRMLANDS LÄN</t>
        </is>
      </c>
      <c r="G163" t="inlineStr">
        <is>
          <t>FILIPSTAD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46294</v>
      </c>
      <c r="F164" t="inlineStr">
        <is>
          <t>VÄRMLANDS LÄN</t>
        </is>
      </c>
      <c r="G164" t="inlineStr">
        <is>
          <t>FILIPSTAD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46294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46294</v>
      </c>
      <c r="F166" t="inlineStr">
        <is>
          <t>VÄRMLANDS LÄN</t>
        </is>
      </c>
      <c r="G166" t="inlineStr">
        <is>
          <t>FILIPSTAD</t>
        </is>
      </c>
      <c r="H166" t="inlineStr">
        <is>
          <t>Kyrkan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45688</v>
      </c>
      <c r="E167" s="1" t="n">
        <v>46294</v>
      </c>
      <c r="F167" t="inlineStr">
        <is>
          <t>VÄRMLANDS LÄN</t>
        </is>
      </c>
      <c r="G167" t="inlineStr">
        <is>
          <t>FILIPSTAD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33407-2025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45841</v>
      </c>
      <c r="E168" s="1" t="n">
        <v>46294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46294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46294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46294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50856-2022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44867</v>
      </c>
      <c r="E172" s="1" t="n">
        <v>46294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46294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46294</v>
      </c>
      <c r="F174" t="inlineStr">
        <is>
          <t>VÄRMLANDS LÄN</t>
        </is>
      </c>
      <c r="G174" t="inlineStr">
        <is>
          <t>FILIPSTAD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46294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46294</v>
      </c>
      <c r="F176" t="inlineStr">
        <is>
          <t>VÄRMLANDS LÄN</t>
        </is>
      </c>
      <c r="G176" t="inlineStr">
        <is>
          <t>FILIPSTAD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46294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71971-2021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44544</v>
      </c>
      <c r="E178" s="1" t="n">
        <v>46294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46294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46294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45870</v>
      </c>
      <c r="E181" s="1" t="n">
        <v>46294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46294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46294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58611-2025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45986</v>
      </c>
      <c r="E184" s="1" t="n">
        <v>46294</v>
      </c>
      <c r="F184" t="inlineStr">
        <is>
          <t>VÄRMLANDS LÄN</t>
        </is>
      </c>
      <c r="G184" t="inlineStr">
        <is>
          <t>FILIPSTAD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46294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46294</v>
      </c>
      <c r="F186" t="inlineStr">
        <is>
          <t>VÄRMLANDS LÄN</t>
        </is>
      </c>
      <c r="G186" t="inlineStr">
        <is>
          <t>FILIPSTAD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46294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46294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46294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46294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46294</v>
      </c>
      <c r="F192" t="inlineStr">
        <is>
          <t>VÄRMLANDS LÄN</t>
        </is>
      </c>
      <c r="G192" t="inlineStr">
        <is>
          <t>FILIPSTAD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46294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46294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46294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46294</v>
      </c>
      <c r="F196" t="inlineStr">
        <is>
          <t>VÄRMLANDS LÄN</t>
        </is>
      </c>
      <c r="G196" t="inlineStr">
        <is>
          <t>FILIPSTAD</t>
        </is>
      </c>
      <c r="H196" t="inlineStr">
        <is>
          <t>Kyrkan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46294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46294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46294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46040</v>
      </c>
      <c r="E200" s="1" t="n">
        <v>46294</v>
      </c>
      <c r="F200" t="inlineStr">
        <is>
          <t>VÄRMLANDS LÄN</t>
        </is>
      </c>
      <c r="G200" t="inlineStr">
        <is>
          <t>FILIPSTAD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46294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46294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46294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46294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46294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45982</v>
      </c>
      <c r="E206" s="1" t="n">
        <v>46294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46294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46294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46294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44788</v>
      </c>
      <c r="E210" s="1" t="n">
        <v>46294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46294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45638</v>
      </c>
      <c r="E212" s="1" t="n">
        <v>46294</v>
      </c>
      <c r="F212" t="inlineStr">
        <is>
          <t>VÄRMLANDS LÄN</t>
        </is>
      </c>
      <c r="G212" t="inlineStr">
        <is>
          <t>FILIPSTAD</t>
        </is>
      </c>
      <c r="H212" t="inlineStr">
        <is>
          <t>Kyrkan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29825-2023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45107</v>
      </c>
      <c r="E213" s="1" t="n">
        <v>46294</v>
      </c>
      <c r="F213" t="inlineStr">
        <is>
          <t>VÄRMLANDS LÄN</t>
        </is>
      </c>
      <c r="G213" t="inlineStr">
        <is>
          <t>FILIPSTAD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46294</v>
      </c>
      <c r="F214" t="inlineStr">
        <is>
          <t>VÄRMLANDS LÄN</t>
        </is>
      </c>
      <c r="G214" t="inlineStr">
        <is>
          <t>FILIPSTAD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46294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46294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45989</v>
      </c>
      <c r="E217" s="1" t="n">
        <v>46294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46294</v>
      </c>
      <c r="F218" t="inlineStr">
        <is>
          <t>VÄRMLANDS LÄN</t>
        </is>
      </c>
      <c r="G218" t="inlineStr">
        <is>
          <t>FILIPSTAD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46294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46294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46294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46294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46294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46294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46294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45712</v>
      </c>
      <c r="E227" s="1" t="n">
        <v>46294</v>
      </c>
      <c r="F227" t="inlineStr">
        <is>
          <t>VÄRMLANDS LÄN</t>
        </is>
      </c>
      <c r="G227" t="inlineStr">
        <is>
          <t>FILIPSTAD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46294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46294</v>
      </c>
      <c r="F229" t="inlineStr">
        <is>
          <t>VÄRMLANDS LÄN</t>
        </is>
      </c>
      <c r="G229" t="inlineStr">
        <is>
          <t>FILIPSTAD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46001</v>
      </c>
      <c r="E230" s="1" t="n">
        <v>46294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46294</v>
      </c>
      <c r="F231" t="inlineStr">
        <is>
          <t>VÄRMLANDS LÄN</t>
        </is>
      </c>
      <c r="G231" t="inlineStr">
        <is>
          <t>FILIPSTAD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46294</v>
      </c>
      <c r="F232" t="inlineStr">
        <is>
          <t>VÄRMLANDS LÄN</t>
        </is>
      </c>
      <c r="G232" t="inlineStr">
        <is>
          <t>FILIPSTAD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46294</v>
      </c>
      <c r="F233" t="inlineStr">
        <is>
          <t>VÄRMLANDS LÄN</t>
        </is>
      </c>
      <c r="G233" t="inlineStr">
        <is>
          <t>FILIPSTAD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46294</v>
      </c>
      <c r="F234" t="inlineStr">
        <is>
          <t>VÄRMLANDS LÄN</t>
        </is>
      </c>
      <c r="G234" t="inlineStr">
        <is>
          <t>FILIPSTAD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46294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46001</v>
      </c>
      <c r="E236" s="1" t="n">
        <v>46294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46294</v>
      </c>
      <c r="F237" t="inlineStr">
        <is>
          <t>VÄRMLANDS LÄN</t>
        </is>
      </c>
      <c r="G237" t="inlineStr">
        <is>
          <t>FILIPSTAD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46294</v>
      </c>
      <c r="F238" t="inlineStr">
        <is>
          <t>VÄRMLANDS LÄN</t>
        </is>
      </c>
      <c r="G238" t="inlineStr">
        <is>
          <t>FILIPSTAD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46294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46294</v>
      </c>
      <c r="F240" t="inlineStr">
        <is>
          <t>VÄRMLANDS LÄN</t>
        </is>
      </c>
      <c r="G240" t="inlineStr">
        <is>
          <t>FILIPSTAD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22830-2023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45072</v>
      </c>
      <c r="E241" s="1" t="n">
        <v>46294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22866-2023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45072</v>
      </c>
      <c r="E242" s="1" t="n">
        <v>46294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46294</v>
      </c>
      <c r="F243" t="inlineStr">
        <is>
          <t>VÄRMLANDS LÄN</t>
        </is>
      </c>
      <c r="G243" t="inlineStr">
        <is>
          <t>FILIPSTAD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46294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46294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46294</v>
      </c>
      <c r="F246" t="inlineStr">
        <is>
          <t>VÄRMLANDS LÄN</t>
        </is>
      </c>
      <c r="G246" t="inlineStr">
        <is>
          <t>FILIPSTAD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46294</v>
      </c>
      <c r="F247" t="inlineStr">
        <is>
          <t>VÄRMLANDS LÄN</t>
        </is>
      </c>
      <c r="G247" t="inlineStr">
        <is>
          <t>FILIPSTAD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19351-2025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45769</v>
      </c>
      <c r="E248" s="1" t="n">
        <v>46294</v>
      </c>
      <c r="F248" t="inlineStr">
        <is>
          <t>VÄRMLANDS LÄN</t>
        </is>
      </c>
      <c r="G248" t="inlineStr">
        <is>
          <t>FILIPSTAD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45246</v>
      </c>
      <c r="E249" s="1" t="n">
        <v>46294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46087</v>
      </c>
      <c r="E250" s="1" t="n">
        <v>46294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45671</v>
      </c>
      <c r="E251" s="1" t="n">
        <v>46294</v>
      </c>
      <c r="F251" t="inlineStr">
        <is>
          <t>VÄRMLANDS LÄN</t>
        </is>
      </c>
      <c r="G251" t="inlineStr">
        <is>
          <t>FILIPSTAD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46294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46294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46294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46294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8.9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46294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46294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46294</v>
      </c>
      <c r="F258" t="inlineStr">
        <is>
          <t>VÄRMLANDS LÄN</t>
        </is>
      </c>
      <c r="G258" t="inlineStr">
        <is>
          <t>FILIPSTAD</t>
        </is>
      </c>
      <c r="I258" t="n">
        <v>11.7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45124</v>
      </c>
      <c r="E259" s="1" t="n">
        <v>46294</v>
      </c>
      <c r="F259" t="inlineStr">
        <is>
          <t>VÄRMLANDS LÄN</t>
        </is>
      </c>
      <c r="G259" t="inlineStr">
        <is>
          <t>FILIPSTAD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46294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46294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46294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46098</v>
      </c>
      <c r="E263" s="1" t="n">
        <v>46294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46294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46294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46294</v>
      </c>
      <c r="F266" t="inlineStr">
        <is>
          <t>VÄRMLANDS LÄN</t>
        </is>
      </c>
      <c r="G266" t="inlineStr">
        <is>
          <t>FILIPSTAD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63482-2021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46294</v>
      </c>
      <c r="F267" t="inlineStr">
        <is>
          <t>VÄRMLANDS LÄN</t>
        </is>
      </c>
      <c r="G267" t="inlineStr">
        <is>
          <t>FILIPSTAD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46294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46294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46294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45744</v>
      </c>
      <c r="E271" s="1" t="n">
        <v>46294</v>
      </c>
      <c r="F271" t="inlineStr">
        <is>
          <t>VÄRMLANDS LÄN</t>
        </is>
      </c>
      <c r="G271" t="inlineStr">
        <is>
          <t>FILIPSTAD</t>
        </is>
      </c>
      <c r="H271" t="inlineStr">
        <is>
          <t>Kommuner</t>
        </is>
      </c>
      <c r="I271" t="n">
        <v>17.7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45253</v>
      </c>
      <c r="E272" s="1" t="n">
        <v>46294</v>
      </c>
      <c r="F272" t="inlineStr">
        <is>
          <t>VÄRMLANDS LÄN</t>
        </is>
      </c>
      <c r="G272" t="inlineStr">
        <is>
          <t>FILIPSTAD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46294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56840-2024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45628</v>
      </c>
      <c r="E274" s="1" t="n">
        <v>46294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16009-2026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46294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46294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46294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46294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46294</v>
      </c>
      <c r="F279" t="inlineStr">
        <is>
          <t>VÄRMLANDS LÄN</t>
        </is>
      </c>
      <c r="G279" t="inlineStr">
        <is>
          <t>FILIPSTAD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46294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16040-2026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46108</v>
      </c>
      <c r="E281" s="1" t="n">
        <v>46294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45087</v>
      </c>
      <c r="E282" s="1" t="n">
        <v>46294</v>
      </c>
      <c r="F282" t="inlineStr">
        <is>
          <t>VÄRMLANDS LÄN</t>
        </is>
      </c>
      <c r="G282" t="inlineStr">
        <is>
          <t>FILIPSTAD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45088</v>
      </c>
      <c r="E283" s="1" t="n">
        <v>46294</v>
      </c>
      <c r="F283" t="inlineStr">
        <is>
          <t>VÄRMLANDS LÄN</t>
        </is>
      </c>
      <c r="G283" t="inlineStr">
        <is>
          <t>FILIPSTAD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46114</v>
      </c>
      <c r="E284" s="1" t="n">
        <v>46294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46294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46294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46294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46294</v>
      </c>
      <c r="F288" t="inlineStr">
        <is>
          <t>VÄRMLANDS LÄN</t>
        </is>
      </c>
      <c r="G288" t="inlineStr">
        <is>
          <t>FILIPSTAD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45750</v>
      </c>
      <c r="E289" s="1" t="n">
        <v>46294</v>
      </c>
      <c r="F289" t="inlineStr">
        <is>
          <t>VÄRMLANDS LÄN</t>
        </is>
      </c>
      <c r="G289" t="inlineStr">
        <is>
          <t>FILIPSTAD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46294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46294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46294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46294</v>
      </c>
      <c r="F293" t="inlineStr">
        <is>
          <t>VÄRMLANDS LÄN</t>
        </is>
      </c>
      <c r="G293" t="inlineStr">
        <is>
          <t>FILIPSTAD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18022-2026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46294</v>
      </c>
      <c r="F294" t="inlineStr">
        <is>
          <t>VÄRMLANDS LÄN</t>
        </is>
      </c>
      <c r="G294" t="inlineStr">
        <is>
          <t>FILIPSTAD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46294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46294</v>
      </c>
      <c r="F296" t="inlineStr">
        <is>
          <t>VÄRMLANDS LÄN</t>
        </is>
      </c>
      <c r="G296" t="inlineStr">
        <is>
          <t>FILIPSTAD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46294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28161-2023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45093</v>
      </c>
      <c r="E298" s="1" t="n">
        <v>46294</v>
      </c>
      <c r="F298" t="inlineStr">
        <is>
          <t>VÄRMLANDS LÄN</t>
        </is>
      </c>
      <c r="G298" t="inlineStr">
        <is>
          <t>FILIPSTAD</t>
        </is>
      </c>
      <c r="H298" t="inlineStr">
        <is>
          <t>Kommuner</t>
        </is>
      </c>
      <c r="I298" t="n">
        <v>15.4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46294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46294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45152</v>
      </c>
      <c r="E301" s="1" t="n">
        <v>46294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44951</v>
      </c>
      <c r="E302" s="1" t="n">
        <v>46294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46294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46127</v>
      </c>
      <c r="E304" s="1" t="n">
        <v>46294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46294</v>
      </c>
      <c r="F305" t="inlineStr">
        <is>
          <t>VÄRMLANDS LÄN</t>
        </is>
      </c>
      <c r="G305" t="inlineStr">
        <is>
          <t>FILIPSTAD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46294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46294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46294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17795-2024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45418</v>
      </c>
      <c r="E309" s="1" t="n">
        <v>46294</v>
      </c>
      <c r="F309" t="inlineStr">
        <is>
          <t>VÄRMLANDS LÄN</t>
        </is>
      </c>
      <c r="G309" t="inlineStr">
        <is>
          <t>FILIPSTAD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46294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46294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46294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19676-2026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46134</v>
      </c>
      <c r="E313" s="1" t="n">
        <v>46294</v>
      </c>
      <c r="F313" t="inlineStr">
        <is>
          <t>VÄRMLANDS LÄN</t>
        </is>
      </c>
      <c r="G313" t="inlineStr">
        <is>
          <t>FILIPSTAD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46294</v>
      </c>
      <c r="F314" t="inlineStr">
        <is>
          <t>VÄRMLANDS LÄN</t>
        </is>
      </c>
      <c r="G314" t="inlineStr">
        <is>
          <t>FILIPSTAD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45229</v>
      </c>
      <c r="E315" s="1" t="n">
        <v>46294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46294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45012</v>
      </c>
      <c r="E317" s="1" t="n">
        <v>46294</v>
      </c>
      <c r="F317" t="inlineStr">
        <is>
          <t>VÄRMLANDS LÄN</t>
        </is>
      </c>
      <c r="G317" t="inlineStr">
        <is>
          <t>FILIPSTAD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46294</v>
      </c>
      <c r="F318" t="inlineStr">
        <is>
          <t>VÄRMLANDS LÄN</t>
        </is>
      </c>
      <c r="G318" t="inlineStr">
        <is>
          <t>FILIPSTAD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46294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45428</v>
      </c>
      <c r="E320" s="1" t="n">
        <v>46294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36251-2022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44803</v>
      </c>
      <c r="E321" s="1" t="n">
        <v>46294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45364</v>
      </c>
      <c r="E322" s="1" t="n">
        <v>46294</v>
      </c>
      <c r="F322" t="inlineStr">
        <is>
          <t>VÄRMLANDS LÄN</t>
        </is>
      </c>
      <c r="G322" t="inlineStr">
        <is>
          <t>FILIPSTAD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46294</v>
      </c>
      <c r="F323" t="inlineStr">
        <is>
          <t>VÄRMLANDS LÄN</t>
        </is>
      </c>
      <c r="G323" t="inlineStr">
        <is>
          <t>FILIPSTAD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46294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45420</v>
      </c>
      <c r="E325" s="1" t="n">
        <v>46294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45401</v>
      </c>
      <c r="E326" s="1" t="n">
        <v>46294</v>
      </c>
      <c r="F326" t="inlineStr">
        <is>
          <t>VÄRMLANDS LÄN</t>
        </is>
      </c>
      <c r="G326" t="inlineStr">
        <is>
          <t>FILIPSTAD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45618</v>
      </c>
      <c r="E327" s="1" t="n">
        <v>46294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46294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46294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45229</v>
      </c>
      <c r="E330" s="1" t="n">
        <v>46294</v>
      </c>
      <c r="F330" t="inlineStr">
        <is>
          <t>VÄRMLANDS LÄN</t>
        </is>
      </c>
      <c r="G330" t="inlineStr">
        <is>
          <t>FILIPSTAD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45484</v>
      </c>
      <c r="E331" s="1" t="n">
        <v>46294</v>
      </c>
      <c r="F331" t="inlineStr">
        <is>
          <t>VÄRMLANDS LÄN</t>
        </is>
      </c>
      <c r="G331" t="inlineStr">
        <is>
          <t>FILIPSTAD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45327</v>
      </c>
      <c r="E332" s="1" t="n">
        <v>46294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46294</v>
      </c>
      <c r="F333" t="inlineStr">
        <is>
          <t>VÄRMLANDS LÄN</t>
        </is>
      </c>
      <c r="G333" t="inlineStr">
        <is>
          <t>FILIPSTAD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45901</v>
      </c>
      <c r="E334" s="1" t="n">
        <v>46294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46294</v>
      </c>
      <c r="F335" t="inlineStr">
        <is>
          <t>VÄRMLANDS LÄN</t>
        </is>
      </c>
      <c r="G335" t="inlineStr">
        <is>
          <t>FILIPSTAD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20050-2026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46136</v>
      </c>
      <c r="E336" s="1" t="n">
        <v>46294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46136</v>
      </c>
      <c r="E337" s="1" t="n">
        <v>46294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45789</v>
      </c>
      <c r="E338" s="1" t="n">
        <v>46294</v>
      </c>
      <c r="F338" t="inlineStr">
        <is>
          <t>VÄRMLANDS LÄN</t>
        </is>
      </c>
      <c r="G338" t="inlineStr">
        <is>
          <t>FILIPSTAD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46294</v>
      </c>
      <c r="F339" t="inlineStr">
        <is>
          <t>VÄRMLANDS LÄN</t>
        </is>
      </c>
      <c r="G339" t="inlineStr">
        <is>
          <t>FILIPSTAD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46294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46294</v>
      </c>
      <c r="F341" t="inlineStr">
        <is>
          <t>VÄRMLANDS LÄN</t>
        </is>
      </c>
      <c r="G341" t="inlineStr">
        <is>
          <t>FILIPSTAD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46294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46294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46294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46294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31676-2025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45834</v>
      </c>
      <c r="E346" s="1" t="n">
        <v>46294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46294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46294</v>
      </c>
      <c r="F348" t="inlineStr">
        <is>
          <t>VÄRMLANDS LÄN</t>
        </is>
      </c>
      <c r="G348" t="inlineStr">
        <is>
          <t>FILIPSTAD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45602</v>
      </c>
      <c r="E349" s="1" t="n">
        <v>46294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45867</v>
      </c>
      <c r="E350" s="1" t="n">
        <v>46294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46294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45456</v>
      </c>
      <c r="E352" s="1" t="n">
        <v>46294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46294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45775</v>
      </c>
      <c r="E354" s="1" t="n">
        <v>46294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45588</v>
      </c>
      <c r="E355" s="1" t="n">
        <v>46294</v>
      </c>
      <c r="F355" t="inlineStr">
        <is>
          <t>VÄRMLANDS LÄN</t>
        </is>
      </c>
      <c r="G355" t="inlineStr">
        <is>
          <t>FILIPSTAD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45391</v>
      </c>
      <c r="E356" s="1" t="n">
        <v>46294</v>
      </c>
      <c r="F356" t="inlineStr">
        <is>
          <t>VÄRMLANDS LÄN</t>
        </is>
      </c>
      <c r="G356" t="inlineStr">
        <is>
          <t>FILIPSTAD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70405-2021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44536</v>
      </c>
      <c r="E357" s="1" t="n">
        <v>46294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44579</v>
      </c>
      <c r="E358" s="1" t="n">
        <v>46294</v>
      </c>
      <c r="F358" t="inlineStr">
        <is>
          <t>VÄRMLANDS LÄN</t>
        </is>
      </c>
      <c r="G358" t="inlineStr">
        <is>
          <t>FILIPSTAD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46294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46294</v>
      </c>
      <c r="F360" t="inlineStr">
        <is>
          <t>VÄRMLANDS LÄN</t>
        </is>
      </c>
      <c r="G360" t="inlineStr">
        <is>
          <t>FILIPSTAD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44911</v>
      </c>
      <c r="E361" s="1" t="n">
        <v>46294</v>
      </c>
      <c r="F361" t="inlineStr">
        <is>
          <t>VÄRMLANDS LÄN</t>
        </is>
      </c>
      <c r="G361" t="inlineStr">
        <is>
          <t>FILIPSTAD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46294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46294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45037</v>
      </c>
      <c r="E364" s="1" t="n">
        <v>46294</v>
      </c>
      <c r="F364" t="inlineStr">
        <is>
          <t>VÄRMLANDS LÄN</t>
        </is>
      </c>
      <c r="G364" t="inlineStr">
        <is>
          <t>FILIPSTAD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44789</v>
      </c>
      <c r="E365" s="1" t="n">
        <v>46294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46294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46294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44805</v>
      </c>
      <c r="E368" s="1" t="n">
        <v>46294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46294</v>
      </c>
      <c r="F369" t="inlineStr">
        <is>
          <t>VÄRMLANDS LÄN</t>
        </is>
      </c>
      <c r="G369" t="inlineStr">
        <is>
          <t>FILIPSTAD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45202</v>
      </c>
      <c r="E370" s="1" t="n">
        <v>46294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46294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46294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46294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45133</v>
      </c>
      <c r="E374" s="1" t="n">
        <v>46294</v>
      </c>
      <c r="F374" t="inlineStr">
        <is>
          <t>VÄRMLANDS LÄN</t>
        </is>
      </c>
      <c r="G374" t="inlineStr">
        <is>
          <t>FILIPSTAD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46294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46294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46294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46294</v>
      </c>
      <c r="F378" t="inlineStr">
        <is>
          <t>VÄRMLANDS LÄN</t>
        </is>
      </c>
      <c r="G378" t="inlineStr">
        <is>
          <t>FILIPSTAD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46294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46294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45456</v>
      </c>
      <c r="E381" s="1" t="n">
        <v>46294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46294</v>
      </c>
      <c r="F382" t="inlineStr">
        <is>
          <t>VÄRMLANDS LÄN</t>
        </is>
      </c>
      <c r="G382" t="inlineStr">
        <is>
          <t>FILIPSTAD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54008-2021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44470</v>
      </c>
      <c r="E383" s="1" t="n">
        <v>46294</v>
      </c>
      <c r="F383" t="inlineStr">
        <is>
          <t>VÄRMLANDS LÄN</t>
        </is>
      </c>
      <c r="G383" t="inlineStr">
        <is>
          <t>FILIPSTAD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22229-2026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46294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46294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46257-2022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44847</v>
      </c>
      <c r="E386" s="1" t="n">
        <v>46294</v>
      </c>
      <c r="F386" t="inlineStr">
        <is>
          <t>VÄRMLANDS LÄN</t>
        </is>
      </c>
      <c r="G386" t="inlineStr">
        <is>
          <t>FILIPSTAD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46294</v>
      </c>
      <c r="F387" t="inlineStr">
        <is>
          <t>VÄRMLANDS LÄN</t>
        </is>
      </c>
      <c r="G387" t="inlineStr">
        <is>
          <t>FILIPSTAD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46294</v>
      </c>
      <c r="F388" t="inlineStr">
        <is>
          <t>VÄRMLANDS LÄN</t>
        </is>
      </c>
      <c r="G388" t="inlineStr">
        <is>
          <t>FILIPSTAD</t>
        </is>
      </c>
      <c r="I388" t="n">
        <v>15.8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46294</v>
      </c>
      <c r="F389" t="inlineStr">
        <is>
          <t>VÄRMLANDS LÄN</t>
        </is>
      </c>
      <c r="G389" t="inlineStr">
        <is>
          <t>FILIPSTAD</t>
        </is>
      </c>
      <c r="H389" t="inlineStr">
        <is>
          <t>Kommuner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29473-2024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45484</v>
      </c>
      <c r="E390" s="1" t="n">
        <v>46294</v>
      </c>
      <c r="F390" t="inlineStr">
        <is>
          <t>VÄRMLANDS LÄN</t>
        </is>
      </c>
      <c r="G390" t="inlineStr">
        <is>
          <t>FILIPSTAD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46294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46294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44588</v>
      </c>
      <c r="E393" s="1" t="n">
        <v>46294</v>
      </c>
      <c r="F393" t="inlineStr">
        <is>
          <t>VÄRMLANDS LÄN</t>
        </is>
      </c>
      <c r="G393" t="inlineStr">
        <is>
          <t>FILIPSTAD</t>
        </is>
      </c>
      <c r="H393" t="inlineStr">
        <is>
          <t>Kommuner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46294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46294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46294</v>
      </c>
      <c r="F396" t="inlineStr">
        <is>
          <t>VÄRMLANDS LÄN</t>
        </is>
      </c>
      <c r="G396" t="inlineStr">
        <is>
          <t>FILIPSTAD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46294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46294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45063</v>
      </c>
      <c r="E399" s="1" t="n">
        <v>46294</v>
      </c>
      <c r="F399" t="inlineStr">
        <is>
          <t>VÄRMLANDS LÄN</t>
        </is>
      </c>
      <c r="G399" t="inlineStr">
        <is>
          <t>FILIPSTAD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46294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46294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46294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44981</v>
      </c>
      <c r="E403" s="1" t="n">
        <v>46294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46294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47536-2023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45203</v>
      </c>
      <c r="E405" s="1" t="n">
        <v>46294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46294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46294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25468-2024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46294</v>
      </c>
      <c r="F408" t="inlineStr">
        <is>
          <t>VÄRMLANDS LÄN</t>
        </is>
      </c>
      <c r="G408" t="inlineStr">
        <is>
          <t>FILIPSTAD</t>
        </is>
      </c>
      <c r="I408" t="n">
        <v>13.2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44579</v>
      </c>
      <c r="E409" s="1" t="n">
        <v>46294</v>
      </c>
      <c r="F409" t="inlineStr">
        <is>
          <t>VÄRMLANDS LÄN</t>
        </is>
      </c>
      <c r="G409" t="inlineStr">
        <is>
          <t>FILIPSTAD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23970-2026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46294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46294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46294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46294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46294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46294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46294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46294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46294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46294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49935-2025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45940</v>
      </c>
      <c r="E420" s="1" t="n">
        <v>46294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46294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46294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46294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46294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46294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46294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46294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45516-2024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45578</v>
      </c>
      <c r="E429" s="1" t="n">
        <v>46294</v>
      </c>
      <c r="F429" t="inlineStr">
        <is>
          <t>VÄRMLANDS LÄN</t>
        </is>
      </c>
      <c r="G429" t="inlineStr">
        <is>
          <t>FILIPSTAD</t>
        </is>
      </c>
      <c r="I429" t="n">
        <v>27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46294</v>
      </c>
      <c r="F430" t="inlineStr">
        <is>
          <t>VÄRMLANDS LÄN</t>
        </is>
      </c>
      <c r="G430" t="inlineStr">
        <is>
          <t>FILIPSTAD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46294</v>
      </c>
      <c r="F431" t="inlineStr">
        <is>
          <t>VÄRMLANDS LÄN</t>
        </is>
      </c>
      <c r="G431" t="inlineStr">
        <is>
          <t>FILIPSTAD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46294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45749</v>
      </c>
      <c r="E433" s="1" t="n">
        <v>46294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46171</v>
      </c>
      <c r="E434" s="1" t="n">
        <v>46294</v>
      </c>
      <c r="F434" t="inlineStr">
        <is>
          <t>VÄRMLANDS LÄN</t>
        </is>
      </c>
      <c r="G434" t="inlineStr">
        <is>
          <t>FILIPSTAD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46294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47344-2023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45202</v>
      </c>
      <c r="E436" s="1" t="n">
        <v>46294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25203-2026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46294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46294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45418</v>
      </c>
      <c r="E439" s="1" t="n">
        <v>46294</v>
      </c>
      <c r="F439" t="inlineStr">
        <is>
          <t>VÄRMLANDS LÄN</t>
        </is>
      </c>
      <c r="G439" t="inlineStr">
        <is>
          <t>FILIPSTAD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46294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46294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46294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54145-2024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45616</v>
      </c>
      <c r="E443" s="1" t="n">
        <v>46294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46294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55397-2022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46294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46294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46294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46294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46294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46294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46294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46294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46294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46294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45014</v>
      </c>
      <c r="E456" s="1" t="n">
        <v>46294</v>
      </c>
      <c r="F456" t="inlineStr">
        <is>
          <t>VÄRMLANDS LÄN</t>
        </is>
      </c>
      <c r="G456" t="inlineStr">
        <is>
          <t>FILIPSTAD</t>
        </is>
      </c>
      <c r="H456" t="inlineStr">
        <is>
          <t>Kyrkan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46294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4819-2023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44957</v>
      </c>
      <c r="E458" s="1" t="n">
        <v>46294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46294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46187</v>
      </c>
      <c r="E460" s="1" t="n">
        <v>46294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46294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46294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27400-2024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45474</v>
      </c>
      <c r="E463" s="1" t="n">
        <v>46294</v>
      </c>
      <c r="F463" t="inlineStr">
        <is>
          <t>VÄRMLANDS LÄN</t>
        </is>
      </c>
      <c r="G463" t="inlineStr">
        <is>
          <t>FILIPSTAD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46186</v>
      </c>
      <c r="E464" s="1" t="n">
        <v>46294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46294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45511</v>
      </c>
      <c r="E466" s="1" t="n">
        <v>46294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5754-2022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44596</v>
      </c>
      <c r="E467" s="1" t="n">
        <v>46294</v>
      </c>
      <c r="F467" t="inlineStr">
        <is>
          <t>VÄRMLANDS LÄN</t>
        </is>
      </c>
      <c r="G467" t="inlineStr">
        <is>
          <t>FILIPSTAD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45186</v>
      </c>
      <c r="E468" s="1" t="n">
        <v>46294</v>
      </c>
      <c r="F468" t="inlineStr">
        <is>
          <t>VÄRMLANDS LÄN</t>
        </is>
      </c>
      <c r="G468" t="inlineStr">
        <is>
          <t>FILIPSTAD</t>
        </is>
      </c>
      <c r="I468" t="n">
        <v>15.3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46294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46294</v>
      </c>
      <c r="F470" t="inlineStr">
        <is>
          <t>VÄRMLANDS LÄN</t>
        </is>
      </c>
      <c r="G470" t="inlineStr">
        <is>
          <t>FILIPSTAD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43633-2024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45569</v>
      </c>
      <c r="E471" s="1" t="n">
        <v>46294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46294</v>
      </c>
      <c r="F472" t="inlineStr">
        <is>
          <t>VÄRMLANDS LÄN</t>
        </is>
      </c>
      <c r="G472" t="inlineStr">
        <is>
          <t>FILIPSTAD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51031-2025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45947</v>
      </c>
      <c r="E473" s="1" t="n">
        <v>46294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57026-2023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46294</v>
      </c>
      <c r="F474" t="inlineStr">
        <is>
          <t>VÄRMLANDS LÄN</t>
        </is>
      </c>
      <c r="G474" t="inlineStr">
        <is>
          <t>FILIPSTAD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46680-2024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45583</v>
      </c>
      <c r="E475" s="1" t="n">
        <v>46294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46294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46294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44691</v>
      </c>
      <c r="E478" s="1" t="n">
        <v>46294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46294</v>
      </c>
      <c r="F479" t="inlineStr">
        <is>
          <t>VÄRMLANDS LÄN</t>
        </is>
      </c>
      <c r="G479" t="inlineStr">
        <is>
          <t>FILIPSTAD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48908-2023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45195</v>
      </c>
      <c r="E480" s="1" t="n">
        <v>46294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46197</v>
      </c>
      <c r="E481" s="1" t="n">
        <v>46294</v>
      </c>
      <c r="F481" t="inlineStr">
        <is>
          <t>VÄRMLANDS LÄN</t>
        </is>
      </c>
      <c r="G481" t="inlineStr">
        <is>
          <t>FILIPSTAD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46294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45655</v>
      </c>
      <c r="E483" s="1" t="n">
        <v>46294</v>
      </c>
      <c r="F483" t="inlineStr">
        <is>
          <t>VÄRMLANDS LÄN</t>
        </is>
      </c>
      <c r="G483" t="inlineStr">
        <is>
          <t>FILIPSTAD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45655</v>
      </c>
      <c r="E484" s="1" t="n">
        <v>46294</v>
      </c>
      <c r="F484" t="inlineStr">
        <is>
          <t>VÄRMLANDS LÄN</t>
        </is>
      </c>
      <c r="G484" t="inlineStr">
        <is>
          <t>FILIPSTAD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46294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44935</v>
      </c>
      <c r="E486" s="1" t="n">
        <v>46294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46294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46294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46294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46294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46294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46294</v>
      </c>
      <c r="F492" t="inlineStr">
        <is>
          <t>VÄRMLANDS LÄN</t>
        </is>
      </c>
      <c r="G492" t="inlineStr">
        <is>
          <t>FILIPSTAD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46294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46294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45230</v>
      </c>
      <c r="E495" s="1" t="n">
        <v>46294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9.9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29376-2026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46294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46294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46294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46294</v>
      </c>
      <c r="F499" t="inlineStr">
        <is>
          <t>VÄRMLANDS LÄN</t>
        </is>
      </c>
      <c r="G499" t="inlineStr">
        <is>
          <t>FILIPSTAD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46294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46294</v>
      </c>
      <c r="F501" t="inlineStr">
        <is>
          <t>VÄRMLANDS LÄN</t>
        </is>
      </c>
      <c r="G501" t="inlineStr">
        <is>
          <t>FILIPSTAD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46294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46294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46294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45124</v>
      </c>
      <c r="E505" s="1" t="n">
        <v>46294</v>
      </c>
      <c r="F505" t="inlineStr">
        <is>
          <t>VÄRMLANDS LÄN</t>
        </is>
      </c>
      <c r="G505" t="inlineStr">
        <is>
          <t>FILIPSTAD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34262-2024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45524</v>
      </c>
      <c r="E506" s="1" t="n">
        <v>46294</v>
      </c>
      <c r="F506" t="inlineStr">
        <is>
          <t>VÄRMLANDS LÄN</t>
        </is>
      </c>
      <c r="G506" t="inlineStr">
        <is>
          <t>FILIPSTAD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46294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46294</v>
      </c>
      <c r="F508" t="inlineStr">
        <is>
          <t>VÄRMLANDS LÄN</t>
        </is>
      </c>
      <c r="G508" t="inlineStr">
        <is>
          <t>FILIPSTAD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46294</v>
      </c>
      <c r="F509" t="inlineStr">
        <is>
          <t>VÄRMLANDS LÄN</t>
        </is>
      </c>
      <c r="G509" t="inlineStr">
        <is>
          <t>FILIPSTAD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46294</v>
      </c>
      <c r="F510" t="inlineStr">
        <is>
          <t>VÄRMLANDS LÄN</t>
        </is>
      </c>
      <c r="G510" t="inlineStr">
        <is>
          <t>FILIPSTAD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46294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19.2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46294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46294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46294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45342</v>
      </c>
      <c r="E515" s="1" t="n">
        <v>46294</v>
      </c>
      <c r="F515" t="inlineStr">
        <is>
          <t>VÄRMLANDS LÄN</t>
        </is>
      </c>
      <c r="G515" t="inlineStr">
        <is>
          <t>FILIPSTAD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46294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46294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46218</v>
      </c>
      <c r="E518" s="1" t="n">
        <v>46294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46294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46294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35290-2026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46294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35423-2026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46294</v>
      </c>
      <c r="F522" t="inlineStr">
        <is>
          <t>VÄRMLANDS LÄN</t>
        </is>
      </c>
      <c r="G522" t="inlineStr">
        <is>
          <t>FILIPSTAD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46294</v>
      </c>
      <c r="F523" t="inlineStr">
        <is>
          <t>VÄRMLANDS LÄN</t>
        </is>
      </c>
      <c r="G523" t="inlineStr">
        <is>
          <t>FILIPSTAD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46223</v>
      </c>
      <c r="E524" s="1" t="n">
        <v>46294</v>
      </c>
      <c r="F524" t="inlineStr">
        <is>
          <t>VÄRMLANDS LÄN</t>
        </is>
      </c>
      <c r="G524" t="inlineStr">
        <is>
          <t>FILIPSTAD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43045-2024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45567</v>
      </c>
      <c r="E525" s="1" t="n">
        <v>46294</v>
      </c>
      <c r="F525" t="inlineStr">
        <is>
          <t>VÄRMLANDS LÄN</t>
        </is>
      </c>
      <c r="G525" t="inlineStr">
        <is>
          <t>FILIPSTAD</t>
        </is>
      </c>
      <c r="H525" t="inlineStr">
        <is>
          <t>Kyrkan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46264</v>
      </c>
      <c r="E526" s="1" t="n">
        <v>46294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35641-2026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46294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46264</v>
      </c>
      <c r="E528" s="1" t="n">
        <v>46294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45700</v>
      </c>
      <c r="E529" s="1" t="n">
        <v>46294</v>
      </c>
      <c r="F529" t="inlineStr">
        <is>
          <t>VÄRMLANDS LÄN</t>
        </is>
      </c>
      <c r="G529" t="inlineStr">
        <is>
          <t>FILIPSTAD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31537-2026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46223</v>
      </c>
      <c r="E530" s="1" t="n">
        <v>46294</v>
      </c>
      <c r="F530" t="inlineStr">
        <is>
          <t>VÄRMLANDS LÄN</t>
        </is>
      </c>
      <c r="G530" t="inlineStr">
        <is>
          <t>FILIPSTAD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46294</v>
      </c>
      <c r="F531" t="inlineStr">
        <is>
          <t>VÄRMLANDS LÄN</t>
        </is>
      </c>
      <c r="G531" t="inlineStr">
        <is>
          <t>FILIPSTAD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46219</v>
      </c>
      <c r="E532" s="1" t="n">
        <v>46294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25376-2023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45088</v>
      </c>
      <c r="E533" s="1" t="n">
        <v>46294</v>
      </c>
      <c r="F533" t="inlineStr">
        <is>
          <t>VÄRMLANDS LÄN</t>
        </is>
      </c>
      <c r="G533" t="inlineStr">
        <is>
          <t>FILIPSTAD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46294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69015-2021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44530</v>
      </c>
      <c r="E535" s="1" t="n">
        <v>46294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46267</v>
      </c>
      <c r="E536" s="1" t="n">
        <v>46294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20966-2024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45439</v>
      </c>
      <c r="E537" s="1" t="n">
        <v>46294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46294</v>
      </c>
      <c r="F538" t="inlineStr">
        <is>
          <t>VÄRMLANDS LÄN</t>
        </is>
      </c>
      <c r="G538" t="inlineStr">
        <is>
          <t>FILIPSTAD</t>
        </is>
      </c>
      <c r="H538" t="inlineStr">
        <is>
          <t>Kommuner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46294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46294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46268</v>
      </c>
      <c r="E541" s="1" t="n">
        <v>46294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46294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18.6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20661-2024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45436</v>
      </c>
      <c r="E543" s="1" t="n">
        <v>46294</v>
      </c>
      <c r="F543" t="inlineStr">
        <is>
          <t>VÄRMLANDS LÄN</t>
        </is>
      </c>
      <c r="G543" t="inlineStr">
        <is>
          <t>FILIPSTAD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46269</v>
      </c>
      <c r="E544" s="1" t="n">
        <v>46294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36458-2026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46269</v>
      </c>
      <c r="E545" s="1" t="n">
        <v>46294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36456-2026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46269</v>
      </c>
      <c r="E546" s="1" t="n">
        <v>46294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46225</v>
      </c>
      <c r="E547" s="1" t="n">
        <v>46294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53690-2022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44880</v>
      </c>
      <c r="E548" s="1" t="n">
        <v>46294</v>
      </c>
      <c r="F548" t="inlineStr">
        <is>
          <t>VÄRMLANDS LÄN</t>
        </is>
      </c>
      <c r="G548" t="inlineStr">
        <is>
          <t>FILIPSTAD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46226</v>
      </c>
      <c r="E549" s="1" t="n">
        <v>46294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46226</v>
      </c>
      <c r="E550" s="1" t="n">
        <v>46294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46226</v>
      </c>
      <c r="E551" s="1" t="n">
        <v>46294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46294</v>
      </c>
      <c r="F552" t="inlineStr">
        <is>
          <t>VÄRMLANDS LÄN</t>
        </is>
      </c>
      <c r="G552" t="inlineStr">
        <is>
          <t>FILIPSTAD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46227</v>
      </c>
      <c r="E553" s="1" t="n">
        <v>46294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46294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46227</v>
      </c>
      <c r="E555" s="1" t="n">
        <v>46294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46294</v>
      </c>
      <c r="F556" t="inlineStr">
        <is>
          <t>VÄRMLANDS LÄN</t>
        </is>
      </c>
      <c r="G556" t="inlineStr">
        <is>
          <t>FILIPSTAD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36955-2026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46273</v>
      </c>
      <c r="E557" s="1" t="n">
        <v>46294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46294</v>
      </c>
      <c r="F558" t="inlineStr">
        <is>
          <t>VÄRMLANDS LÄN</t>
        </is>
      </c>
      <c r="G558" t="inlineStr">
        <is>
          <t>FILIPSTAD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46272</v>
      </c>
      <c r="E559" s="1" t="n">
        <v>46294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45720</v>
      </c>
      <c r="E560" s="1" t="n">
        <v>46294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46294</v>
      </c>
      <c r="F561" t="inlineStr">
        <is>
          <t>VÄRMLANDS LÄN</t>
        </is>
      </c>
      <c r="G561" t="inlineStr">
        <is>
          <t>FILIPSTAD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46294</v>
      </c>
      <c r="F562" t="inlineStr">
        <is>
          <t>VÄRMLANDS LÄN</t>
        </is>
      </c>
      <c r="G562" t="inlineStr">
        <is>
          <t>FILIPSTAD</t>
        </is>
      </c>
      <c r="I562" t="n">
        <v>11.6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46186</v>
      </c>
      <c r="E563" s="1" t="n">
        <v>46294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44872</v>
      </c>
      <c r="E564" s="1" t="n">
        <v>46294</v>
      </c>
      <c r="F564" t="inlineStr">
        <is>
          <t>VÄRMLANDS LÄN</t>
        </is>
      </c>
      <c r="G564" t="inlineStr">
        <is>
          <t>FILIPSTAD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45516</v>
      </c>
      <c r="E565" s="1" t="n">
        <v>46294</v>
      </c>
      <c r="F565" t="inlineStr">
        <is>
          <t>VÄRMLANDS LÄN</t>
        </is>
      </c>
      <c r="G565" t="inlineStr">
        <is>
          <t>FILIPSTAD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46294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37611-2022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44809</v>
      </c>
      <c r="E567" s="1" t="n">
        <v>46294</v>
      </c>
      <c r="F567" t="inlineStr">
        <is>
          <t>VÄRMLANDS LÄN</t>
        </is>
      </c>
      <c r="G567" t="inlineStr">
        <is>
          <t>FILIPSTAD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37249-2026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46294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16591-2022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44672</v>
      </c>
      <c r="E569" s="1" t="n">
        <v>46294</v>
      </c>
      <c r="F569" t="inlineStr">
        <is>
          <t>VÄRMLANDS LÄN</t>
        </is>
      </c>
      <c r="G569" t="inlineStr">
        <is>
          <t>FILIPSTAD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46231</v>
      </c>
      <c r="E570" s="1" t="n">
        <v>46294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12160-2023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46294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46232</v>
      </c>
      <c r="E572" s="1" t="n">
        <v>46294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31963-2026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46232</v>
      </c>
      <c r="E573" s="1" t="n">
        <v>46294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46294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37519-2026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46276</v>
      </c>
      <c r="E575" s="1" t="n">
        <v>46294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46279</v>
      </c>
      <c r="E576" s="1" t="n">
        <v>46294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46234</v>
      </c>
      <c r="E577" s="1" t="n">
        <v>46294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14432-2025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46294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46294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46294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32248-2026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46237</v>
      </c>
      <c r="E581" s="1" t="n">
        <v>46294</v>
      </c>
      <c r="F581" t="inlineStr">
        <is>
          <t>VÄRMLANDS LÄN</t>
        </is>
      </c>
      <c r="G581" t="inlineStr">
        <is>
          <t>FILIPSTAD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46294</v>
      </c>
      <c r="F582" t="inlineStr">
        <is>
          <t>VÄRMLANDS LÄN</t>
        </is>
      </c>
      <c r="G582" t="inlineStr">
        <is>
          <t>FILIPSTAD</t>
        </is>
      </c>
      <c r="H582" t="inlineStr">
        <is>
          <t>Kommuner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46294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46294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46294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46283</v>
      </c>
      <c r="E586" s="1" t="n">
        <v>46294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46282</v>
      </c>
      <c r="E587" s="1" t="n">
        <v>46294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45471</v>
      </c>
      <c r="E588" s="1" t="n">
        <v>46294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46239</v>
      </c>
      <c r="E589" s="1" t="n">
        <v>46294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45414</v>
      </c>
      <c r="E590" s="1" t="n">
        <v>46294</v>
      </c>
      <c r="F590" t="inlineStr">
        <is>
          <t>VÄRMLANDS LÄN</t>
        </is>
      </c>
      <c r="G590" t="inlineStr">
        <is>
          <t>FILIPSTAD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46239</v>
      </c>
      <c r="E591" s="1" t="n">
        <v>46294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32601-2026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46240</v>
      </c>
      <c r="E592" s="1" t="n">
        <v>46294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47002-2024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45586</v>
      </c>
      <c r="E593" s="1" t="n">
        <v>46294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30646-2024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45495</v>
      </c>
      <c r="E594" s="1" t="n">
        <v>46294</v>
      </c>
      <c r="F594" t="inlineStr">
        <is>
          <t>VÄRMLANDS LÄN</t>
        </is>
      </c>
      <c r="G594" t="inlineStr">
        <is>
          <t>FILIPSTAD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20875-2024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45439</v>
      </c>
      <c r="E595" s="1" t="n">
        <v>46294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46239</v>
      </c>
      <c r="E596" s="1" t="n">
        <v>46294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46294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65167-2021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44515</v>
      </c>
      <c r="E598" s="1" t="n">
        <v>46294</v>
      </c>
      <c r="F598" t="inlineStr">
        <is>
          <t>VÄRMLANDS LÄN</t>
        </is>
      </c>
      <c r="G598" t="inlineStr">
        <is>
          <t>FILIPSTAD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46240</v>
      </c>
      <c r="E599" s="1" t="n">
        <v>46294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46240</v>
      </c>
      <c r="E600" s="1" t="n">
        <v>46294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39080-2026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46287</v>
      </c>
      <c r="E601" s="1" t="n">
        <v>46294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46294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46129</v>
      </c>
      <c r="E603" s="1" t="n">
        <v>46294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46294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46294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33092-2026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46245</v>
      </c>
      <c r="E606" s="1" t="n">
        <v>46294</v>
      </c>
      <c r="F606" t="inlineStr">
        <is>
          <t>VÄRMLANDS LÄN</t>
        </is>
      </c>
      <c r="G606" t="inlineStr">
        <is>
          <t>FILIPSTAD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46244</v>
      </c>
      <c r="E607" s="1" t="n">
        <v>46294</v>
      </c>
      <c r="F607" t="inlineStr">
        <is>
          <t>VÄRMLANDS LÄN</t>
        </is>
      </c>
      <c r="G607" t="inlineStr">
        <is>
          <t>FILIPSTAD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46241</v>
      </c>
      <c r="E608" s="1" t="n">
        <v>46294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46244</v>
      </c>
      <c r="E609" s="1" t="n">
        <v>46294</v>
      </c>
      <c r="F609" t="inlineStr">
        <is>
          <t>VÄRMLANDS LÄN</t>
        </is>
      </c>
      <c r="G609" t="inlineStr">
        <is>
          <t>FILIPSTAD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46283</v>
      </c>
      <c r="E610" s="1" t="n">
        <v>46294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46289</v>
      </c>
      <c r="E611" s="1" t="n">
        <v>46294</v>
      </c>
      <c r="F611" t="inlineStr">
        <is>
          <t>VÄRMLANDS LÄN</t>
        </is>
      </c>
      <c r="G611" t="inlineStr">
        <is>
          <t>FILIPSTAD</t>
        </is>
      </c>
      <c r="H611" t="inlineStr">
        <is>
          <t>Kyrkan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46294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35945-2026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46266</v>
      </c>
      <c r="E613" s="1" t="n">
        <v>46294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39373-2026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46288</v>
      </c>
      <c r="E614" s="1" t="n">
        <v>46294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46246</v>
      </c>
      <c r="E615" s="1" t="n">
        <v>46294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39333-2026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46288</v>
      </c>
      <c r="E616" s="1" t="n">
        <v>46294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39893-2026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46290</v>
      </c>
      <c r="E617" s="1" t="n">
        <v>46294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46251</v>
      </c>
      <c r="E618" s="1" t="n">
        <v>46294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33859-2026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46251</v>
      </c>
      <c r="E619" s="1" t="n">
        <v>46294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46251</v>
      </c>
      <c r="E620" s="1" t="n">
        <v>46294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33468-2026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46294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46247</v>
      </c>
      <c r="E622" s="1" t="n">
        <v>46294</v>
      </c>
      <c r="F622" t="inlineStr">
        <is>
          <t>VÄRMLANDS LÄN</t>
        </is>
      </c>
      <c r="G622" t="inlineStr">
        <is>
          <t>FILIPSTAD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46293</v>
      </c>
      <c r="E623" s="1" t="n">
        <v>46294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46294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46251</v>
      </c>
      <c r="E625" s="1" t="n">
        <v>46294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46294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46293</v>
      </c>
      <c r="E627" s="1" t="n">
        <v>46294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5757-2021</t>
        </is>
      </c>
      <c r="B628" t="inlineStr">
        <is>
          <t>samrådsanmälan</t>
        </is>
      </c>
      <c r="C628" t="inlineStr">
        <is>
          <t>Basväg</t>
        </is>
      </c>
      <c r="D628" s="1" t="n">
        <v>44438</v>
      </c>
      <c r="E628" s="1" t="n">
        <v>46294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1191-2021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44328</v>
      </c>
      <c r="E629" s="1" t="n">
        <v>46294</v>
      </c>
      <c r="F629" t="inlineStr">
        <is>
          <t>VÄRMLANDS LÄN</t>
        </is>
      </c>
      <c r="G629" t="inlineStr">
        <is>
          <t>FILIPSTAD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4134-2023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46294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4115-2023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45246</v>
      </c>
      <c r="E631" s="1" t="n">
        <v>46294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4137-2023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4132-2023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4130-2023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4127-2023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46294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837-2023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44991</v>
      </c>
      <c r="E636" s="1" t="n">
        <v>46294</v>
      </c>
      <c r="F636" t="inlineStr">
        <is>
          <t>VÄRMLANDS LÄN</t>
        </is>
      </c>
      <c r="G636" t="inlineStr">
        <is>
          <t>FILIPSTAD</t>
        </is>
      </c>
      <c r="I636" t="n">
        <v>19.3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46294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3919-2023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45233</v>
      </c>
      <c r="E638" s="1" t="n">
        <v>46294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4135-2023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46294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20.4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294-2025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45687</v>
      </c>
      <c r="E641" s="1" t="n">
        <v>46294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4116-2023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45246</v>
      </c>
      <c r="E642" s="1" t="n">
        <v>46294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661-2025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45716</v>
      </c>
      <c r="E643" s="1" t="n">
        <v>46294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3429-2025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45995</v>
      </c>
      <c r="E644" s="1" t="n">
        <v>46294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3576-2025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46010</v>
      </c>
      <c r="E645" s="1" t="n">
        <v>46294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105-2026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46036</v>
      </c>
      <c r="E646" s="1" t="n">
        <v>46294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238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2026-09-29T01:59:37Z</dcterms:created>
  <dcterms:modified xmlns:dcterms="http://purl.org/dc/terms/" xmlns:xsi="http://www.w3.org/2001/XMLSchema-instance" xsi:type="dcterms:W3CDTF">2026-09-29T01:59:38Z</dcterms:modified>
</cp:coreProperties>
</file>