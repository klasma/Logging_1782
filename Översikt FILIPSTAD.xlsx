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46266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46266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46266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46266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46266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63625-2023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46266</v>
      </c>
      <c r="F12" t="inlineStr">
        <is>
          <t>VÄRMLANDS LÄN</t>
        </is>
      </c>
      <c r="G12" t="inlineStr">
        <is>
          <t>FILIPSTAD</t>
        </is>
      </c>
      <c r="I12" t="n">
        <v>1.9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Smalfotad taggsvamp
Vaddporing
Utter</t>
        </is>
      </c>
      <c r="W12">
        <f>HYPERLINK("https://klasma.github.io/Logging_1782/artfynd/A 63625-2023 artfynd.xlsx", "A 63625-2023")</f>
        <v/>
      </c>
      <c r="X12">
        <f>HYPERLINK("https://klasma.github.io/Logging_1782/kartor/A 63625-2023 karta.png", "A 63625-2023")</f>
        <v/>
      </c>
      <c r="Y12">
        <f>HYPERLINK("https://klasma.github.io/Logging_1782/kartor_geotiff/A 63625-2023 georefererad karta.tif", "A 63625-2023")</f>
        <v/>
      </c>
      <c r="AA12">
        <f>HYPERLINK("https://klasma.github.io/Logging_1782/klagomål/A 63625-2023 FSC-klagomål.docx", "A 63625-2023")</f>
        <v/>
      </c>
      <c r="AB12">
        <f>HYPERLINK("https://klasma.github.io/Logging_1782/klagomålsmail/A 63625-2023 FSC-klagomål mail.docx", "A 63625-2023")</f>
        <v/>
      </c>
      <c r="AC12">
        <f>HYPERLINK("https://klasma.github.io/Logging_1782/tillsyn/A 63625-2023 tillsynsbegäran.docx", "A 63625-2023")</f>
        <v/>
      </c>
      <c r="AD12">
        <f>HYPERLINK("https://klasma.github.io/Logging_1782/tillsynsmail/A 63625-2023 tillsynsbegäran mail.docx", "A 63625-2023")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46266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46266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46266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46266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46266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17274-2024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45414</v>
      </c>
      <c r="E18" s="1" t="n">
        <v>46266</v>
      </c>
      <c r="F18" t="inlineStr">
        <is>
          <t>VÄRMLANDS LÄN</t>
        </is>
      </c>
      <c r="G18" t="inlineStr">
        <is>
          <t>FILIPSTAD</t>
        </is>
      </c>
      <c r="H18" t="inlineStr">
        <is>
          <t>Kommuner</t>
        </is>
      </c>
      <c r="I18" t="n">
        <v>5.8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Dropptaggsvamp
Talltita</t>
        </is>
      </c>
      <c r="W18">
        <f>HYPERLINK("https://klasma.github.io/Logging_1782/artfynd/A 17274-2024 artfynd.xlsx", "A 17274-2024")</f>
        <v/>
      </c>
      <c r="X18">
        <f>HYPERLINK("https://klasma.github.io/Logging_1782/kartor/A 17274-2024 karta.png", "A 17274-2024")</f>
        <v/>
      </c>
      <c r="Y18">
        <f>HYPERLINK("https://klasma.github.io/Logging_1782/kartor_geotiff/A 17274-2024 georefererad karta.tif", "A 17274-2024")</f>
        <v/>
      </c>
      <c r="AA18">
        <f>HYPERLINK("https://klasma.github.io/Logging_1782/klagomål/A 17274-2024 FSC-klagomål.docx", "A 17274-2024")</f>
        <v/>
      </c>
      <c r="AB18">
        <f>HYPERLINK("https://klasma.github.io/Logging_1782/klagomålsmail/A 17274-2024 FSC-klagomål mail.docx", "A 17274-2024")</f>
        <v/>
      </c>
      <c r="AC18">
        <f>HYPERLINK("https://klasma.github.io/Logging_1782/tillsyn/A 17274-2024 tillsynsbegäran.docx", "A 17274-2024")</f>
        <v/>
      </c>
      <c r="AD18">
        <f>HYPERLINK("https://klasma.github.io/Logging_1782/tillsynsmail/A 17274-2024 tillsynsbegäran mail.docx", "A 17274-2024")</f>
        <v/>
      </c>
      <c r="AE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46266</v>
      </c>
      <c r="F19" t="inlineStr">
        <is>
          <t>VÄRMLANDS LÄN</t>
        </is>
      </c>
      <c r="G19" t="inlineStr">
        <is>
          <t>FILIPSTAD</t>
        </is>
      </c>
      <c r="I19" t="n">
        <v>3.3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Guckusko
Kransrams</t>
        </is>
      </c>
      <c r="W19">
        <f>HYPERLINK("https://klasma.github.io/Logging_1782/artfynd/A 19945-2023 artfynd.xlsx", "A 19945-2023")</f>
        <v/>
      </c>
      <c r="X19">
        <f>HYPERLINK("https://klasma.github.io/Logging_1782/kartor/A 19945-2023 karta.png", "A 19945-2023")</f>
        <v/>
      </c>
      <c r="Y19">
        <f>HYPERLINK("https://klasma.github.io/Logging_1782/kartor_geotiff/A 19945-2023 georefererad karta.tif", "A 19945-2023")</f>
        <v/>
      </c>
      <c r="AA19">
        <f>HYPERLINK("https://klasma.github.io/Logging_1782/klagomål/A 19945-2023 FSC-klagomål.docx", "A 19945-2023")</f>
        <v/>
      </c>
      <c r="AB19">
        <f>HYPERLINK("https://klasma.github.io/Logging_1782/klagomålsmail/A 19945-2023 FSC-klagomål mail.docx", "A 19945-2023")</f>
        <v/>
      </c>
      <c r="AC19">
        <f>HYPERLINK("https://klasma.github.io/Logging_1782/tillsyn/A 19945-2023 tillsynsbegäran.docx", "A 19945-2023")</f>
        <v/>
      </c>
      <c r="AD19">
        <f>HYPERLINK("https://klasma.github.io/Logging_1782/tillsynsmail/A 19945-2023 tillsynsbegäran mail.docx", "A 19945-2023")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46266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46266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46266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32438-2026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46266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Dubbelnycklar
Ängsnycklar</t>
        </is>
      </c>
      <c r="W23">
        <f>HYPERLINK("https://klasma.github.io/Logging_1782/artfynd/A 32438-2026 artfynd.xlsx", "A 32438-2026")</f>
        <v/>
      </c>
      <c r="X23">
        <f>HYPERLINK("https://klasma.github.io/Logging_1782/kartor/A 32438-2026 karta.png", "A 32438-2026")</f>
        <v/>
      </c>
      <c r="Y23">
        <f>HYPERLINK("https://klasma.github.io/Logging_1782/kartor_geotiff/A 32438-2026 georefererad karta.tif", "A 32438-2026")</f>
        <v/>
      </c>
      <c r="AA23">
        <f>HYPERLINK("https://klasma.github.io/Logging_1782/klagomål/A 32438-2026 FSC-klagomål.docx", "A 32438-2026")</f>
        <v/>
      </c>
      <c r="AB23">
        <f>HYPERLINK("https://klasma.github.io/Logging_1782/klagomålsmail/A 32438-2026 FSC-klagomål mail.docx", "A 32438-2026")</f>
        <v/>
      </c>
      <c r="AC23">
        <f>HYPERLINK("https://klasma.github.io/Logging_1782/tillsyn/A 32438-2026 tillsynsbegäran.docx", "A 32438-2026")</f>
        <v/>
      </c>
      <c r="AD23">
        <f>HYPERLINK("https://klasma.github.io/Logging_1782/tillsynsmail/A 32438-2026 tillsynsbegäran mail.docx", "A 32438-2026")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46266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33583-2026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46248</v>
      </c>
      <c r="E25" s="1" t="n">
        <v>46266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16.4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Bårdlav
Stuplav</t>
        </is>
      </c>
      <c r="W25">
        <f>HYPERLINK("https://klasma.github.io/Logging_1782/artfynd/A 33583-2026 artfynd.xlsx", "A 33583-2026")</f>
        <v/>
      </c>
      <c r="X25">
        <f>HYPERLINK("https://klasma.github.io/Logging_1782/kartor/A 33583-2026 karta.png", "A 33583-2026")</f>
        <v/>
      </c>
      <c r="Y25">
        <f>HYPERLINK("https://klasma.github.io/Logging_1782/kartor_geotiff/A 33583-2026 georefererad karta.tif", "A 33583-2026")</f>
        <v/>
      </c>
      <c r="AA25">
        <f>HYPERLINK("https://klasma.github.io/Logging_1782/klagomål/A 33583-2026 FSC-klagomål.docx", "A 33583-2026")</f>
        <v/>
      </c>
      <c r="AB25">
        <f>HYPERLINK("https://klasma.github.io/Logging_1782/klagomålsmail/A 33583-2026 FSC-klagomål mail.docx", "A 33583-2026")</f>
        <v/>
      </c>
      <c r="AC25">
        <f>HYPERLINK("https://klasma.github.io/Logging_1782/tillsyn/A 33583-2026 tillsynsbegäran.docx", "A 33583-2026")</f>
        <v/>
      </c>
      <c r="AD25">
        <f>HYPERLINK("https://klasma.github.io/Logging_1782/tillsynsmail/A 33583-2026 tillsynsbegäran mail.docx", "A 33583-2026")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46266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46266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46266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46266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11453-2025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46266</v>
      </c>
      <c r="F30" t="inlineStr">
        <is>
          <t>VÄRMLANDS LÄN</t>
        </is>
      </c>
      <c r="G30" t="inlineStr">
        <is>
          <t>FILIPSTAD</t>
        </is>
      </c>
      <c r="I30" t="n">
        <v>7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Purpurknipprot</t>
        </is>
      </c>
      <c r="W30">
        <f>HYPERLINK("https://klasma.github.io/Logging_1782/artfynd/A 11453-2025 artfynd.xlsx", "A 11453-2025")</f>
        <v/>
      </c>
      <c r="X30">
        <f>HYPERLINK("https://klasma.github.io/Logging_1782/kartor/A 11453-2025 karta.png", "A 11453-2025")</f>
        <v/>
      </c>
      <c r="Y30">
        <f>HYPERLINK("https://klasma.github.io/Logging_1782/kartor_geotiff/A 11453-2025 georefererad karta.tif", "A 11453-2025")</f>
        <v/>
      </c>
      <c r="AA30">
        <f>HYPERLINK("https://klasma.github.io/Logging_1782/klagomål/A 11453-2025 FSC-klagomål.docx", "A 11453-2025")</f>
        <v/>
      </c>
      <c r="AB30">
        <f>HYPERLINK("https://klasma.github.io/Logging_1782/klagomålsmail/A 11453-2025 FSC-klagomål mail.docx", "A 11453-2025")</f>
        <v/>
      </c>
      <c r="AC30">
        <f>HYPERLINK("https://klasma.github.io/Logging_1782/tillsyn/A 11453-2025 tillsynsbegäran.docx", "A 11453-2025")</f>
        <v/>
      </c>
      <c r="AD30">
        <f>HYPERLINK("https://klasma.github.io/Logging_1782/tillsynsmail/A 11453-2025 tillsynsbegäran mail.docx", "A 11453-2025")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46266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Lunglav</t>
        </is>
      </c>
      <c r="W31">
        <f>HYPERLINK("https://klasma.github.io/Logging_1782/artfynd/A 25916-2025 artfynd.xlsx", "A 25916-2025")</f>
        <v/>
      </c>
      <c r="X31">
        <f>HYPERLINK("https://klasma.github.io/Logging_1782/kartor/A 25916-2025 karta.png", "A 25916-2025")</f>
        <v/>
      </c>
      <c r="Y31">
        <f>HYPERLINK("https://klasma.github.io/Logging_1782/kartor_geotiff/A 25916-2025 georefererad karta.tif", "A 25916-2025")</f>
        <v/>
      </c>
      <c r="AA31">
        <f>HYPERLINK("https://klasma.github.io/Logging_1782/klagomål/A 25916-2025 FSC-klagomål.docx", "A 25916-2025")</f>
        <v/>
      </c>
      <c r="AB31">
        <f>HYPERLINK("https://klasma.github.io/Logging_1782/klagomålsmail/A 25916-2025 FSC-klagomål mail.docx", "A 25916-2025")</f>
        <v/>
      </c>
      <c r="AC31">
        <f>HYPERLINK("https://klasma.github.io/Logging_1782/tillsyn/A 25916-2025 tillsynsbegäran.docx", "A 25916-2025")</f>
        <v/>
      </c>
      <c r="AD31">
        <f>HYPERLINK("https://klasma.github.io/Logging_1782/tillsynsmail/A 25916-2025 tillsynsbegäran mail.docx", "A 25916-2025")</f>
        <v/>
      </c>
    </row>
    <row r="32" ht="15" customHeight="1">
      <c r="A32" t="inlineStr">
        <is>
          <t>A 45781-2025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45923</v>
      </c>
      <c r="E32" s="1" t="n">
        <v>46266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Brunklöver</t>
        </is>
      </c>
      <c r="W32">
        <f>HYPERLINK("https://klasma.github.io/Logging_1782/artfynd/A 45781-2025 artfynd.xlsx", "A 45781-2025")</f>
        <v/>
      </c>
      <c r="X32">
        <f>HYPERLINK("https://klasma.github.io/Logging_1782/kartor/A 45781-2025 karta.png", "A 45781-2025")</f>
        <v/>
      </c>
      <c r="Y32">
        <f>HYPERLINK("https://klasma.github.io/Logging_1782/kartor_geotiff/A 45781-2025 georefererad karta.tif", "A 45781-2025")</f>
        <v/>
      </c>
      <c r="AA32">
        <f>HYPERLINK("https://klasma.github.io/Logging_1782/klagomål/A 45781-2025 FSC-klagomål.docx", "A 45781-2025")</f>
        <v/>
      </c>
      <c r="AB32">
        <f>HYPERLINK("https://klasma.github.io/Logging_1782/klagomålsmail/A 45781-2025 FSC-klagomål mail.docx", "A 45781-2025")</f>
        <v/>
      </c>
      <c r="AC32">
        <f>HYPERLINK("https://klasma.github.io/Logging_1782/tillsyn/A 45781-2025 tillsynsbegäran.docx", "A 45781-2025")</f>
        <v/>
      </c>
      <c r="AD32">
        <f>HYPERLINK("https://klasma.github.io/Logging_1782/tillsynsmail/A 45781-2025 tillsynsbegäran mail.docx", "A 45781-2025")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46266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46266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Kamjordstjärna</t>
        </is>
      </c>
      <c r="W34">
        <f>HYPERLINK("https://klasma.github.io/Logging_1782/artfynd/A 874-2025 artfynd.xlsx", "A 874-2025")</f>
        <v/>
      </c>
      <c r="X34">
        <f>HYPERLINK("https://klasma.github.io/Logging_1782/kartor/A 874-2025 karta.png", "A 874-2025")</f>
        <v/>
      </c>
      <c r="Y34">
        <f>HYPERLINK("https://klasma.github.io/Logging_1782/kartor_geotiff/A 874-2025 georefererad karta.tif", "A 874-2025")</f>
        <v/>
      </c>
      <c r="AA34">
        <f>HYPERLINK("https://klasma.github.io/Logging_1782/klagomål/A 874-2025 FSC-klagomål.docx", "A 874-2025")</f>
        <v/>
      </c>
      <c r="AB34">
        <f>HYPERLINK("https://klasma.github.io/Logging_1782/klagomålsmail/A 874-2025 FSC-klagomål mail.docx", "A 874-2025")</f>
        <v/>
      </c>
      <c r="AC34">
        <f>HYPERLINK("https://klasma.github.io/Logging_1782/tillsyn/A 874-2025 tillsynsbegäran.docx", "A 874-2025")</f>
        <v/>
      </c>
      <c r="AD34">
        <f>HYPERLINK("https://klasma.github.io/Logging_1782/tillsynsmail/A 874-2025 tillsynsbegäran mail.docx", "A 874-2025")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46266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46266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46266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46266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46266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46266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HYPERLINK("https://klasma.github.io/Logging_1782/artfynd/A 51522-2022 artfynd.xlsx", "A 51522-2022")</f>
        <v/>
      </c>
      <c r="X40">
        <f>HYPERLINK("https://klasma.github.io/Logging_1782/kartor/A 51522-2022 karta.png", "A 51522-2022")</f>
        <v/>
      </c>
      <c r="Y40">
        <f>HYPERLINK("https://klasma.github.io/Logging_1782/kartor_geotiff/A 51522-2022 georefererad karta.tif", "A 51522-2022")</f>
        <v/>
      </c>
      <c r="AA40">
        <f>HYPERLINK("https://klasma.github.io/Logging_1782/klagomål/A 51522-2022 FSC-klagomål.docx", "A 51522-2022")</f>
        <v/>
      </c>
      <c r="AB40">
        <f>HYPERLINK("https://klasma.github.io/Logging_1782/klagomålsmail/A 51522-2022 FSC-klagomål mail.docx", "A 51522-2022")</f>
        <v/>
      </c>
      <c r="AC40">
        <f>HYPERLINK("https://klasma.github.io/Logging_1782/tillsyn/A 51522-2022 tillsynsbegäran.docx", "A 51522-2022")</f>
        <v/>
      </c>
      <c r="AD40">
        <f>HYPERLINK("https://klasma.github.io/Logging_1782/tillsynsmail/A 51522-2022 tillsynsbegäran mail.docx", "A 51522-2022")</f>
        <v/>
      </c>
    </row>
    <row r="41" ht="15" customHeight="1">
      <c r="A41" t="inlineStr">
        <is>
          <t>A 25862-2026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46266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Talltaggsvamp</t>
        </is>
      </c>
      <c r="W41">
        <f>HYPERLINK("https://klasma.github.io/Logging_1782/artfynd/A 25862-2026 artfynd.xlsx", "A 25862-2026")</f>
        <v/>
      </c>
      <c r="X41">
        <f>HYPERLINK("https://klasma.github.io/Logging_1782/kartor/A 25862-2026 karta.png", "A 25862-2026")</f>
        <v/>
      </c>
      <c r="Y41">
        <f>HYPERLINK("https://klasma.github.io/Logging_1782/kartor_geotiff/A 25862-2026 georefererad karta.tif", "A 25862-2026")</f>
        <v/>
      </c>
      <c r="AA41">
        <f>HYPERLINK("https://klasma.github.io/Logging_1782/klagomål/A 25862-2026 FSC-klagomål.docx", "A 25862-2026")</f>
        <v/>
      </c>
      <c r="AB41">
        <f>HYPERLINK("https://klasma.github.io/Logging_1782/klagomålsmail/A 25862-2026 FSC-klagomål mail.docx", "A 25862-2026")</f>
        <v/>
      </c>
      <c r="AC41">
        <f>HYPERLINK("https://klasma.github.io/Logging_1782/tillsyn/A 25862-2026 tillsynsbegäran.docx", "A 25862-2026")</f>
        <v/>
      </c>
      <c r="AD41">
        <f>HYPERLINK("https://klasma.github.io/Logging_1782/tillsynsmail/A 25862-2026 tillsynsbegäran mail.docx", "A 25862-2026")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46266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46266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46266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31257-2026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46266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10.2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Gräsull</t>
        </is>
      </c>
      <c r="W45">
        <f>HYPERLINK("https://klasma.github.io/Logging_1782/artfynd/A 31257-2026 artfynd.xlsx", "A 31257-2026")</f>
        <v/>
      </c>
      <c r="X45">
        <f>HYPERLINK("https://klasma.github.io/Logging_1782/kartor/A 31257-2026 karta.png", "A 31257-2026")</f>
        <v/>
      </c>
      <c r="Y45">
        <f>HYPERLINK("https://klasma.github.io/Logging_1782/kartor_geotiff/A 31257-2026 georefererad karta.tif", "A 31257-2026")</f>
        <v/>
      </c>
      <c r="AA45">
        <f>HYPERLINK("https://klasma.github.io/Logging_1782/klagomål/A 31257-2026 FSC-klagomål.docx", "A 31257-2026")</f>
        <v/>
      </c>
      <c r="AB45">
        <f>HYPERLINK("https://klasma.github.io/Logging_1782/klagomålsmail/A 31257-2026 FSC-klagomål mail.docx", "A 31257-2026")</f>
        <v/>
      </c>
      <c r="AC45">
        <f>HYPERLINK("https://klasma.github.io/Logging_1782/tillsyn/A 31257-2026 tillsynsbegäran.docx", "A 31257-2026")</f>
        <v/>
      </c>
      <c r="AD45">
        <f>HYPERLINK("https://klasma.github.io/Logging_1782/tillsynsmail/A 31257-2026 tillsynsbegäran mail.docx", "A 31257-2026")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46266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46266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46266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46266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46266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46266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46266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46266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46266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46266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46266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46266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46266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46266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46266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46266</v>
      </c>
      <c r="F62" t="inlineStr">
        <is>
          <t>VÄRMLANDS LÄN</t>
        </is>
      </c>
      <c r="G62" t="inlineStr">
        <is>
          <t>FILIPSTAD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46266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46266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46266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46266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46266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66376-2021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46266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46266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46266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46266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46266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46266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46266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46266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45674</v>
      </c>
      <c r="E76" s="1" t="n">
        <v>46266</v>
      </c>
      <c r="F76" t="inlineStr">
        <is>
          <t>VÄRMLANDS LÄN</t>
        </is>
      </c>
      <c r="G76" t="inlineStr">
        <is>
          <t>FILIPSTAD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46266</v>
      </c>
      <c r="F77" t="inlineStr">
        <is>
          <t>VÄRMLANDS LÄN</t>
        </is>
      </c>
      <c r="G77" t="inlineStr">
        <is>
          <t>FILIPSTAD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46266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45218</v>
      </c>
      <c r="E79" s="1" t="n">
        <v>46266</v>
      </c>
      <c r="F79" t="inlineStr">
        <is>
          <t>VÄRMLANDS LÄN</t>
        </is>
      </c>
      <c r="G79" t="inlineStr">
        <is>
          <t>FILIPSTAD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12247-2022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44637</v>
      </c>
      <c r="E80" s="1" t="n">
        <v>46266</v>
      </c>
      <c r="F80" t="inlineStr">
        <is>
          <t>VÄRMLANDS LÄN</t>
        </is>
      </c>
      <c r="G80" t="inlineStr">
        <is>
          <t>FILIPSTAD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25737-2023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45090</v>
      </c>
      <c r="E81" s="1" t="n">
        <v>46266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45932</v>
      </c>
      <c r="E82" s="1" t="n">
        <v>46266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46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48103-2025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45933</v>
      </c>
      <c r="E83" s="1" t="n">
        <v>46266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44963</v>
      </c>
      <c r="E84" s="1" t="n">
        <v>46266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45471</v>
      </c>
      <c r="E85" s="1" t="n">
        <v>46266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45414</v>
      </c>
      <c r="E86" s="1" t="n">
        <v>46266</v>
      </c>
      <c r="F86" t="inlineStr">
        <is>
          <t>VÄRMLANDS LÄN</t>
        </is>
      </c>
      <c r="G86" t="inlineStr">
        <is>
          <t>FILIPSTAD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47002-2024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46266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30646-2024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45495</v>
      </c>
      <c r="E88" s="1" t="n">
        <v>46266</v>
      </c>
      <c r="F88" t="inlineStr">
        <is>
          <t>VÄRMLANDS LÄN</t>
        </is>
      </c>
      <c r="G88" t="inlineStr">
        <is>
          <t>FILIPSTAD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46266</v>
      </c>
      <c r="F89" t="inlineStr">
        <is>
          <t>VÄRMLANDS LÄN</t>
        </is>
      </c>
      <c r="G89" t="inlineStr">
        <is>
          <t>FILIPSTAD</t>
        </is>
      </c>
      <c r="H89" t="inlineStr">
        <is>
          <t>Kommuner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45439</v>
      </c>
      <c r="E90" s="1" t="n">
        <v>46266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45418</v>
      </c>
      <c r="E91" s="1" t="n">
        <v>46266</v>
      </c>
      <c r="F91" t="inlineStr">
        <is>
          <t>VÄRMLANDS LÄN</t>
        </is>
      </c>
      <c r="G91" t="inlineStr">
        <is>
          <t>FILIPSTAD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37577-2023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46266</v>
      </c>
      <c r="F92" t="inlineStr">
        <is>
          <t>VÄRMLANDS LÄN</t>
        </is>
      </c>
      <c r="G92" t="inlineStr">
        <is>
          <t>FILIPSTAD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65167-2021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44515</v>
      </c>
      <c r="E93" s="1" t="n">
        <v>46266</v>
      </c>
      <c r="F93" t="inlineStr">
        <is>
          <t>VÄRMLANDS LÄN</t>
        </is>
      </c>
      <c r="G93" t="inlineStr">
        <is>
          <t>FILIPSTAD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45578</v>
      </c>
      <c r="E94" s="1" t="n">
        <v>46266</v>
      </c>
      <c r="F94" t="inlineStr">
        <is>
          <t>VÄRMLANDS LÄN</t>
        </is>
      </c>
      <c r="G94" t="inlineStr">
        <is>
          <t>FILIPSTAD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46266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45530</v>
      </c>
      <c r="E96" s="1" t="n">
        <v>46266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45791</v>
      </c>
      <c r="E97" s="1" t="n">
        <v>46266</v>
      </c>
      <c r="F97" t="inlineStr">
        <is>
          <t>VÄRMLANDS LÄN</t>
        </is>
      </c>
      <c r="G97" t="inlineStr">
        <is>
          <t>FILIPSTAD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45593</v>
      </c>
      <c r="E98" s="1" t="n">
        <v>46266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22880-2025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45790</v>
      </c>
      <c r="E99" s="1" t="n">
        <v>46266</v>
      </c>
      <c r="F99" t="inlineStr">
        <is>
          <t>VÄRMLANDS LÄN</t>
        </is>
      </c>
      <c r="G99" t="inlineStr">
        <is>
          <t>FILIPSTAD</t>
        </is>
      </c>
      <c r="H99" t="inlineStr">
        <is>
          <t>Kyrkan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45667</v>
      </c>
      <c r="E100" s="1" t="n">
        <v>46266</v>
      </c>
      <c r="F100" t="inlineStr">
        <is>
          <t>VÄRMLANDS LÄN</t>
        </is>
      </c>
      <c r="G100" t="inlineStr">
        <is>
          <t>FILIPSTAD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46266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23399-2025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45792</v>
      </c>
      <c r="E102" s="1" t="n">
        <v>46266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46266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46266</v>
      </c>
      <c r="F104" t="inlineStr">
        <is>
          <t>VÄRMLANDS LÄN</t>
        </is>
      </c>
      <c r="G104" t="inlineStr">
        <is>
          <t>FILIPSTAD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72118-2021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44543</v>
      </c>
      <c r="E105" s="1" t="n">
        <v>46266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46266</v>
      </c>
      <c r="F106" t="inlineStr">
        <is>
          <t>VÄRMLANDS LÄN</t>
        </is>
      </c>
      <c r="G106" t="inlineStr">
        <is>
          <t>FILIPSTAD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14582-2025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45742</v>
      </c>
      <c r="E107" s="1" t="n">
        <v>46266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46266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65174-2021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44515</v>
      </c>
      <c r="E109" s="1" t="n">
        <v>46266</v>
      </c>
      <c r="F109" t="inlineStr">
        <is>
          <t>VÄRMLANDS LÄN</t>
        </is>
      </c>
      <c r="G109" t="inlineStr">
        <is>
          <t>FILIPSTAD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45471</v>
      </c>
      <c r="E110" s="1" t="n">
        <v>46266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46266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46266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45393</v>
      </c>
      <c r="E113" s="1" t="n">
        <v>46266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46266</v>
      </c>
      <c r="F114" t="inlineStr">
        <is>
          <t>VÄRMLANDS LÄN</t>
        </is>
      </c>
      <c r="G114" t="inlineStr">
        <is>
          <t>FILIPSTAD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45439</v>
      </c>
      <c r="E115" s="1" t="n">
        <v>46266</v>
      </c>
      <c r="F115" t="inlineStr">
        <is>
          <t>VÄRMLANDS LÄN</t>
        </is>
      </c>
      <c r="G115" t="inlineStr">
        <is>
          <t>FILIPSTAD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46266</v>
      </c>
      <c r="F116" t="inlineStr">
        <is>
          <t>VÄRMLANDS LÄN</t>
        </is>
      </c>
      <c r="G116" t="inlineStr">
        <is>
          <t>FILIPSTAD</t>
        </is>
      </c>
      <c r="I116" t="n">
        <v>8.199999999999999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46266</v>
      </c>
      <c r="F117" t="inlineStr">
        <is>
          <t>VÄRMLANDS LÄN</t>
        </is>
      </c>
      <c r="G117" t="inlineStr">
        <is>
          <t>FILIPSTAD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41718-2025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45902</v>
      </c>
      <c r="E118" s="1" t="n">
        <v>46266</v>
      </c>
      <c r="F118" t="inlineStr">
        <is>
          <t>VÄRMLANDS LÄN</t>
        </is>
      </c>
      <c r="G118" t="inlineStr">
        <is>
          <t>FILIPSTAD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44801</v>
      </c>
      <c r="E119" s="1" t="n">
        <v>46266</v>
      </c>
      <c r="F119" t="inlineStr">
        <is>
          <t>VÄRMLANDS LÄN</t>
        </is>
      </c>
      <c r="G119" t="inlineStr">
        <is>
          <t>FILIPSTAD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46266</v>
      </c>
      <c r="F120" t="inlineStr">
        <is>
          <t>VÄRMLANDS LÄN</t>
        </is>
      </c>
      <c r="G120" t="inlineStr">
        <is>
          <t>FILIPSTAD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47261-2024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46266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46266</v>
      </c>
      <c r="F122" t="inlineStr">
        <is>
          <t>VÄRMLANDS LÄN</t>
        </is>
      </c>
      <c r="G122" t="inlineStr">
        <is>
          <t>FILIPSTAD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26116-2025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45805</v>
      </c>
      <c r="E123" s="1" t="n">
        <v>46266</v>
      </c>
      <c r="F123" t="inlineStr">
        <is>
          <t>VÄRMLANDS LÄN</t>
        </is>
      </c>
      <c r="G123" t="inlineStr">
        <is>
          <t>FILIPSTAD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26123-2025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45805</v>
      </c>
      <c r="E124" s="1" t="n">
        <v>46266</v>
      </c>
      <c r="F124" t="inlineStr">
        <is>
          <t>VÄRMLANDS LÄN</t>
        </is>
      </c>
      <c r="G124" t="inlineStr">
        <is>
          <t>FILIPSTAD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44876</v>
      </c>
      <c r="E125" s="1" t="n">
        <v>46266</v>
      </c>
      <c r="F125" t="inlineStr">
        <is>
          <t>VÄRMLANDS LÄN</t>
        </is>
      </c>
      <c r="G125" t="inlineStr">
        <is>
          <t>FILIPSTAD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55978-2022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44889</v>
      </c>
      <c r="E126" s="1" t="n">
        <v>46266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46266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45223</v>
      </c>
      <c r="E128" s="1" t="n">
        <v>46266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18138-2022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44684</v>
      </c>
      <c r="E129" s="1" t="n">
        <v>46266</v>
      </c>
      <c r="F129" t="inlineStr">
        <is>
          <t>VÄRMLANDS LÄN</t>
        </is>
      </c>
      <c r="G129" t="inlineStr">
        <is>
          <t>FILIPSTAD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45470</v>
      </c>
      <c r="E130" s="1" t="n">
        <v>46266</v>
      </c>
      <c r="F130" t="inlineStr">
        <is>
          <t>VÄRMLANDS LÄN</t>
        </is>
      </c>
      <c r="G130" t="inlineStr">
        <is>
          <t>FILIPSTAD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16103-2025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45750</v>
      </c>
      <c r="E131" s="1" t="n">
        <v>46266</v>
      </c>
      <c r="F131" t="inlineStr">
        <is>
          <t>VÄRMLANDS LÄN</t>
        </is>
      </c>
      <c r="G131" t="inlineStr">
        <is>
          <t>FILIPSTAD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26599-2024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45469</v>
      </c>
      <c r="E132" s="1" t="n">
        <v>46266</v>
      </c>
      <c r="F132" t="inlineStr">
        <is>
          <t>VÄRMLANDS LÄN</t>
        </is>
      </c>
      <c r="G132" t="inlineStr">
        <is>
          <t>FILIPSTAD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46282-2025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46266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46266</v>
      </c>
      <c r="F134" t="inlineStr">
        <is>
          <t>VÄRMLANDS LÄN</t>
        </is>
      </c>
      <c r="G134" t="inlineStr">
        <is>
          <t>FILIPSTAD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46266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5846-2023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44963</v>
      </c>
      <c r="E136" s="1" t="n">
        <v>46266</v>
      </c>
      <c r="F136" t="inlineStr">
        <is>
          <t>VÄRMLANDS LÄN</t>
        </is>
      </c>
      <c r="G136" t="inlineStr">
        <is>
          <t>FILIPSTAD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45567</v>
      </c>
      <c r="E137" s="1" t="n">
        <v>46266</v>
      </c>
      <c r="F137" t="inlineStr">
        <is>
          <t>VÄRMLANDS LÄN</t>
        </is>
      </c>
      <c r="G137" t="inlineStr">
        <is>
          <t>FILIPSTAD</t>
        </is>
      </c>
      <c r="H137" t="inlineStr">
        <is>
          <t>Kyrkan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46546-2021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44445</v>
      </c>
      <c r="E138" s="1" t="n">
        <v>46266</v>
      </c>
      <c r="F138" t="inlineStr">
        <is>
          <t>VÄRMLANDS LÄN</t>
        </is>
      </c>
      <c r="G138" t="inlineStr">
        <is>
          <t>FILIPSTAD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51945-2023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45223</v>
      </c>
      <c r="E139" s="1" t="n">
        <v>46266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46266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47633-2025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46266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45825</v>
      </c>
      <c r="E142" s="1" t="n">
        <v>46266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46266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15.5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46266</v>
      </c>
      <c r="F144" t="inlineStr">
        <is>
          <t>VÄRMLANDS LÄN</t>
        </is>
      </c>
      <c r="G144" t="inlineStr">
        <is>
          <t>FILIPSTAD</t>
        </is>
      </c>
      <c r="I144" t="n">
        <v>23.3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46266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46266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46266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46266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46266</v>
      </c>
      <c r="F149" t="inlineStr">
        <is>
          <t>VÄRMLANDS LÄN</t>
        </is>
      </c>
      <c r="G149" t="inlineStr">
        <is>
          <t>FILIPSTAD</t>
        </is>
      </c>
      <c r="H149" t="inlineStr">
        <is>
          <t>Kyrkan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45544</v>
      </c>
      <c r="E150" s="1" t="n">
        <v>46266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31172-2025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45832</v>
      </c>
      <c r="E151" s="1" t="n">
        <v>46266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46266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32032-2025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45835</v>
      </c>
      <c r="E153" s="1" t="n">
        <v>46266</v>
      </c>
      <c r="F153" t="inlineStr">
        <is>
          <t>VÄRMLANDS LÄN</t>
        </is>
      </c>
      <c r="G153" t="inlineStr">
        <is>
          <t>FILIPSTAD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36680-2023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45153</v>
      </c>
      <c r="E154" s="1" t="n">
        <v>46266</v>
      </c>
      <c r="F154" t="inlineStr">
        <is>
          <t>VÄRMLANDS LÄN</t>
        </is>
      </c>
      <c r="G154" t="inlineStr">
        <is>
          <t>FILIPSTAD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46266</v>
      </c>
      <c r="F155" t="inlineStr">
        <is>
          <t>VÄRMLANDS LÄN</t>
        </is>
      </c>
      <c r="G155" t="inlineStr">
        <is>
          <t>FILIPSTAD</t>
        </is>
      </c>
      <c r="I155" t="n">
        <v>18.7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46266</v>
      </c>
      <c r="F156" t="inlineStr">
        <is>
          <t>VÄRMLANDS LÄN</t>
        </is>
      </c>
      <c r="G156" t="inlineStr">
        <is>
          <t>FILIPSTAD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46266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46266</v>
      </c>
      <c r="F158" t="inlineStr">
        <is>
          <t>VÄRMLANDS LÄN</t>
        </is>
      </c>
      <c r="G158" t="inlineStr">
        <is>
          <t>FILIPSTAD</t>
        </is>
      </c>
      <c r="H158" t="inlineStr">
        <is>
          <t>Kyrkan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46266</v>
      </c>
      <c r="F159" t="inlineStr">
        <is>
          <t>VÄRMLANDS LÄN</t>
        </is>
      </c>
      <c r="G159" t="inlineStr">
        <is>
          <t>FILIPSTAD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45841</v>
      </c>
      <c r="E160" s="1" t="n">
        <v>46266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45177</v>
      </c>
      <c r="E161" s="1" t="n">
        <v>46266</v>
      </c>
      <c r="F161" t="inlineStr">
        <is>
          <t>VÄRMLANDS LÄN</t>
        </is>
      </c>
      <c r="G161" t="inlineStr">
        <is>
          <t>FILIPSTAD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46266</v>
      </c>
      <c r="F162" t="inlineStr">
        <is>
          <t>VÄRMLANDS LÄN</t>
        </is>
      </c>
      <c r="G162" t="inlineStr">
        <is>
          <t>FILIPSTAD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4462-2025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45686</v>
      </c>
      <c r="E163" s="1" t="n">
        <v>46266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46266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50856-2022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44867</v>
      </c>
      <c r="E165" s="1" t="n">
        <v>46266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46266</v>
      </c>
      <c r="F166" t="inlineStr">
        <is>
          <t>VÄRMLANDS LÄN</t>
        </is>
      </c>
      <c r="G166" t="inlineStr">
        <is>
          <t>FILIPSTAD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52518-2025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46266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45870</v>
      </c>
      <c r="E168" s="1" t="n">
        <v>46266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46266</v>
      </c>
      <c r="F169" t="inlineStr">
        <is>
          <t>VÄRMLANDS LÄN</t>
        </is>
      </c>
      <c r="G169" t="inlineStr">
        <is>
          <t>FILIPSTAD</t>
        </is>
      </c>
      <c r="H169" t="inlineStr">
        <is>
          <t>Kyrkan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45063</v>
      </c>
      <c r="E170" s="1" t="n">
        <v>46266</v>
      </c>
      <c r="F170" t="inlineStr">
        <is>
          <t>VÄRMLANDS LÄN</t>
        </is>
      </c>
      <c r="G170" t="inlineStr">
        <is>
          <t>FILIPSTAD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46266</v>
      </c>
      <c r="F171" t="inlineStr">
        <is>
          <t>VÄRMLANDS LÄN</t>
        </is>
      </c>
      <c r="G171" t="inlineStr">
        <is>
          <t>FILIPSTAD</t>
        </is>
      </c>
      <c r="H171" t="inlineStr">
        <is>
          <t>Kyrkan</t>
        </is>
      </c>
      <c r="I171" t="n">
        <v>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71971-2021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44544</v>
      </c>
      <c r="E172" s="1" t="n">
        <v>46266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45245</v>
      </c>
      <c r="E173" s="1" t="n">
        <v>46266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38175-2025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45882</v>
      </c>
      <c r="E174" s="1" t="n">
        <v>46266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46266</v>
      </c>
      <c r="F175" t="inlineStr">
        <is>
          <t>VÄRMLANDS LÄN</t>
        </is>
      </c>
      <c r="G175" t="inlineStr">
        <is>
          <t>FILIPSTAD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46266</v>
      </c>
      <c r="F176" t="inlineStr">
        <is>
          <t>VÄRMLANDS LÄN</t>
        </is>
      </c>
      <c r="G176" t="inlineStr">
        <is>
          <t>FILIPSTAD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45106</v>
      </c>
      <c r="E177" s="1" t="n">
        <v>46266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46266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46266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45968</v>
      </c>
      <c r="E180" s="1" t="n">
        <v>46266</v>
      </c>
      <c r="F180" t="inlineStr">
        <is>
          <t>VÄRMLANDS LÄN</t>
        </is>
      </c>
      <c r="G180" t="inlineStr">
        <is>
          <t>FILIPSTAD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45968</v>
      </c>
      <c r="E181" s="1" t="n">
        <v>46266</v>
      </c>
      <c r="F181" t="inlineStr">
        <is>
          <t>VÄRMLANDS LÄN</t>
        </is>
      </c>
      <c r="G181" t="inlineStr">
        <is>
          <t>FILIPSTAD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46266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46266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46266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9.199999999999999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46266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46266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46266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45720</v>
      </c>
      <c r="E188" s="1" t="n">
        <v>46266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46266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46266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44788</v>
      </c>
      <c r="E191" s="1" t="n">
        <v>46266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46266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45427</v>
      </c>
      <c r="E193" s="1" t="n">
        <v>46266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46266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46266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46266</v>
      </c>
      <c r="F196" t="inlineStr">
        <is>
          <t>VÄRMLANDS LÄN</t>
        </is>
      </c>
      <c r="G196" t="inlineStr">
        <is>
          <t>FILIPSTAD</t>
        </is>
      </c>
      <c r="H196" t="inlineStr">
        <is>
          <t>Kyrkan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29825-2023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45107</v>
      </c>
      <c r="E197" s="1" t="n">
        <v>46266</v>
      </c>
      <c r="F197" t="inlineStr">
        <is>
          <t>VÄRMLANDS LÄN</t>
        </is>
      </c>
      <c r="G197" t="inlineStr">
        <is>
          <t>FILIPSTAD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46266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46266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46266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46266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46266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46266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18.8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46266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45712</v>
      </c>
      <c r="E205" s="1" t="n">
        <v>46266</v>
      </c>
      <c r="F205" t="inlineStr">
        <is>
          <t>VÄRMLANDS LÄN</t>
        </is>
      </c>
      <c r="G205" t="inlineStr">
        <is>
          <t>FILIPSTAD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46266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45982</v>
      </c>
      <c r="E207" s="1" t="n">
        <v>46266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28.4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46266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46266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46266</v>
      </c>
      <c r="F210" t="inlineStr">
        <is>
          <t>VÄRMLANDS LÄN</t>
        </is>
      </c>
      <c r="G210" t="inlineStr">
        <is>
          <t>FILIPSTAD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45245</v>
      </c>
      <c r="E211" s="1" t="n">
        <v>46266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46266</v>
      </c>
      <c r="F212" t="inlineStr">
        <is>
          <t>VÄRMLANDS LÄN</t>
        </is>
      </c>
      <c r="G212" t="inlineStr">
        <is>
          <t>FILIPSTAD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46266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46266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46266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46266</v>
      </c>
      <c r="F216" t="inlineStr">
        <is>
          <t>VÄRMLANDS LÄN</t>
        </is>
      </c>
      <c r="G216" t="inlineStr">
        <is>
          <t>FILIPSTAD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46266</v>
      </c>
      <c r="F217" t="inlineStr">
        <is>
          <t>VÄRMLANDS LÄN</t>
        </is>
      </c>
      <c r="G217" t="inlineStr">
        <is>
          <t>FILIPSTAD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22830-2023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45072</v>
      </c>
      <c r="E218" s="1" t="n">
        <v>46266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22866-2023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45072</v>
      </c>
      <c r="E219" s="1" t="n">
        <v>46266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46266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46266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46266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46266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45271</v>
      </c>
      <c r="E224" s="1" t="n">
        <v>46266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46266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45995</v>
      </c>
      <c r="E226" s="1" t="n">
        <v>46266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46266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46266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45996</v>
      </c>
      <c r="E229" s="1" t="n">
        <v>46266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46266</v>
      </c>
      <c r="F230" t="inlineStr">
        <is>
          <t>VÄRMLANDS LÄN</t>
        </is>
      </c>
      <c r="G230" t="inlineStr">
        <is>
          <t>FILIPSTAD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61492-2025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46001</v>
      </c>
      <c r="E231" s="1" t="n">
        <v>46266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46000</v>
      </c>
      <c r="E232" s="1" t="n">
        <v>46266</v>
      </c>
      <c r="F232" t="inlineStr">
        <is>
          <t>VÄRMLANDS LÄN</t>
        </is>
      </c>
      <c r="G232" t="inlineStr">
        <is>
          <t>FILIPSTAD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46266</v>
      </c>
      <c r="F233" t="inlineStr">
        <is>
          <t>VÄRMLANDS LÄN</t>
        </is>
      </c>
      <c r="G233" t="inlineStr">
        <is>
          <t>FILIPSTAD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46266</v>
      </c>
      <c r="F234" t="inlineStr">
        <is>
          <t>VÄRMLANDS LÄN</t>
        </is>
      </c>
      <c r="G234" t="inlineStr">
        <is>
          <t>FILIPSTAD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61417-2025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46001</v>
      </c>
      <c r="E235" s="1" t="n">
        <v>46266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46266</v>
      </c>
      <c r="F236" t="inlineStr">
        <is>
          <t>VÄRMLANDS LÄN</t>
        </is>
      </c>
      <c r="G236" t="inlineStr">
        <is>
          <t>FILIPSTAD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61327-2025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46001</v>
      </c>
      <c r="E237" s="1" t="n">
        <v>46266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45664</v>
      </c>
      <c r="E238" s="1" t="n">
        <v>46266</v>
      </c>
      <c r="F238" t="inlineStr">
        <is>
          <t>VÄRMLANDS LÄN</t>
        </is>
      </c>
      <c r="G238" t="inlineStr">
        <is>
          <t>FILIPSTAD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61823-2025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46003</v>
      </c>
      <c r="E239" s="1" t="n">
        <v>46266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46266</v>
      </c>
      <c r="F240" t="inlineStr">
        <is>
          <t>VÄRMLANDS LÄN</t>
        </is>
      </c>
      <c r="G240" t="inlineStr">
        <is>
          <t>FILIPSTAD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46266</v>
      </c>
      <c r="F241" t="inlineStr">
        <is>
          <t>VÄRMLANDS LÄN</t>
        </is>
      </c>
      <c r="G241" t="inlineStr">
        <is>
          <t>FILIPSTAD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46002</v>
      </c>
      <c r="E242" s="1" t="n">
        <v>46266</v>
      </c>
      <c r="F242" t="inlineStr">
        <is>
          <t>VÄRMLANDS LÄN</t>
        </is>
      </c>
      <c r="G242" t="inlineStr">
        <is>
          <t>FILIPSTAD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46266</v>
      </c>
      <c r="F243" t="inlineStr">
        <is>
          <t>VÄRMLANDS LÄN</t>
        </is>
      </c>
      <c r="G243" t="inlineStr">
        <is>
          <t>FILIPSTAD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46266</v>
      </c>
      <c r="F244" t="inlineStr">
        <is>
          <t>VÄRMLANDS LÄN</t>
        </is>
      </c>
      <c r="G244" t="inlineStr">
        <is>
          <t>FILIPSTAD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46266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19351-2025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45769</v>
      </c>
      <c r="E246" s="1" t="n">
        <v>46266</v>
      </c>
      <c r="F246" t="inlineStr">
        <is>
          <t>VÄRMLANDS LÄN</t>
        </is>
      </c>
      <c r="G246" t="inlineStr">
        <is>
          <t>FILIPSTAD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46006</v>
      </c>
      <c r="E247" s="1" t="n">
        <v>46266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45232</v>
      </c>
      <c r="E248" s="1" t="n">
        <v>46266</v>
      </c>
      <c r="F248" t="inlineStr">
        <is>
          <t>VÄRMLANDS LÄN</t>
        </is>
      </c>
      <c r="G248" t="inlineStr">
        <is>
          <t>FILIPSTAD</t>
        </is>
      </c>
      <c r="I248" t="n">
        <v>15.5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46004</v>
      </c>
      <c r="E249" s="1" t="n">
        <v>46266</v>
      </c>
      <c r="F249" t="inlineStr">
        <is>
          <t>VÄRMLANDS LÄN</t>
        </is>
      </c>
      <c r="G249" t="inlineStr">
        <is>
          <t>FILIPSTAD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46266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46004</v>
      </c>
      <c r="E251" s="1" t="n">
        <v>46266</v>
      </c>
      <c r="F251" t="inlineStr">
        <is>
          <t>VÄRMLANDS LÄN</t>
        </is>
      </c>
      <c r="G251" t="inlineStr">
        <is>
          <t>FILIPSTAD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45671</v>
      </c>
      <c r="E252" s="1" t="n">
        <v>46266</v>
      </c>
      <c r="F252" t="inlineStr">
        <is>
          <t>VÄRMLANDS LÄN</t>
        </is>
      </c>
      <c r="G252" t="inlineStr">
        <is>
          <t>FILIPSTAD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45299</v>
      </c>
      <c r="E253" s="1" t="n">
        <v>46266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63186-2025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46266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46266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45665</v>
      </c>
      <c r="E256" s="1" t="n">
        <v>46266</v>
      </c>
      <c r="F256" t="inlineStr">
        <is>
          <t>VÄRMLANDS LÄN</t>
        </is>
      </c>
      <c r="G256" t="inlineStr">
        <is>
          <t>FILIPSTAD</t>
        </is>
      </c>
      <c r="I256" t="n">
        <v>11.7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45124</v>
      </c>
      <c r="E257" s="1" t="n">
        <v>46266</v>
      </c>
      <c r="F257" t="inlineStr">
        <is>
          <t>VÄRMLANDS LÄN</t>
        </is>
      </c>
      <c r="G257" t="inlineStr">
        <is>
          <t>FILIPSTAD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46266</v>
      </c>
      <c r="F258" t="inlineStr">
        <is>
          <t>VÄRMLANDS LÄN</t>
        </is>
      </c>
      <c r="G258" t="inlineStr">
        <is>
          <t>FILIPSTAD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46266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45267</v>
      </c>
      <c r="E260" s="1" t="n">
        <v>46266</v>
      </c>
      <c r="F260" t="inlineStr">
        <is>
          <t>VÄRMLANDS LÄN</t>
        </is>
      </c>
      <c r="G260" t="inlineStr">
        <is>
          <t>FILIPSTAD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63482-2021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46266</v>
      </c>
      <c r="F261" t="inlineStr">
        <is>
          <t>VÄRMLANDS LÄN</t>
        </is>
      </c>
      <c r="G261" t="inlineStr">
        <is>
          <t>FILIPSTAD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45744</v>
      </c>
      <c r="E262" s="1" t="n">
        <v>46266</v>
      </c>
      <c r="F262" t="inlineStr">
        <is>
          <t>VÄRMLANDS LÄN</t>
        </is>
      </c>
      <c r="G262" t="inlineStr">
        <is>
          <t>FILIPSTAD</t>
        </is>
      </c>
      <c r="H262" t="inlineStr">
        <is>
          <t>Kommuner</t>
        </is>
      </c>
      <c r="I262" t="n">
        <v>17.7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46266</v>
      </c>
      <c r="F263" t="inlineStr">
        <is>
          <t>VÄRMLANDS LÄN</t>
        </is>
      </c>
      <c r="G263" t="inlineStr">
        <is>
          <t>FILIPSTAD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56840-2024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45628</v>
      </c>
      <c r="E264" s="1" t="n">
        <v>46266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46266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58611-2025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45986</v>
      </c>
      <c r="E266" s="1" t="n">
        <v>46266</v>
      </c>
      <c r="F266" t="inlineStr">
        <is>
          <t>VÄRMLANDS LÄN</t>
        </is>
      </c>
      <c r="G266" t="inlineStr">
        <is>
          <t>FILIPSTAD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45087</v>
      </c>
      <c r="E267" s="1" t="n">
        <v>46266</v>
      </c>
      <c r="F267" t="inlineStr">
        <is>
          <t>VÄRMLANDS LÄN</t>
        </is>
      </c>
      <c r="G267" t="inlineStr">
        <is>
          <t>FILIPSTAD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45088</v>
      </c>
      <c r="E268" s="1" t="n">
        <v>46266</v>
      </c>
      <c r="F268" t="inlineStr">
        <is>
          <t>VÄRMLANDS LÄN</t>
        </is>
      </c>
      <c r="G268" t="inlineStr">
        <is>
          <t>FILIPSTAD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46040</v>
      </c>
      <c r="E269" s="1" t="n">
        <v>46266</v>
      </c>
      <c r="F269" t="inlineStr">
        <is>
          <t>VÄRMLANDS LÄN</t>
        </is>
      </c>
      <c r="G269" t="inlineStr">
        <is>
          <t>FILIPSTAD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45328</v>
      </c>
      <c r="E270" s="1" t="n">
        <v>46266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45750</v>
      </c>
      <c r="E271" s="1" t="n">
        <v>46266</v>
      </c>
      <c r="F271" t="inlineStr">
        <is>
          <t>VÄRMLANDS LÄN</t>
        </is>
      </c>
      <c r="G271" t="inlineStr">
        <is>
          <t>FILIPSTAD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45167</v>
      </c>
      <c r="E272" s="1" t="n">
        <v>46266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44911</v>
      </c>
      <c r="E273" s="1" t="n">
        <v>46266</v>
      </c>
      <c r="F273" t="inlineStr">
        <is>
          <t>VÄRMLANDS LÄN</t>
        </is>
      </c>
      <c r="G273" t="inlineStr">
        <is>
          <t>FILIPSTAD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45257</v>
      </c>
      <c r="E274" s="1" t="n">
        <v>46266</v>
      </c>
      <c r="F274" t="inlineStr">
        <is>
          <t>VÄRMLANDS LÄN</t>
        </is>
      </c>
      <c r="G274" t="inlineStr">
        <is>
          <t>FILIPSTAD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28161-2023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45093</v>
      </c>
      <c r="E275" s="1" t="n">
        <v>46266</v>
      </c>
      <c r="F275" t="inlineStr">
        <is>
          <t>VÄRMLANDS LÄN</t>
        </is>
      </c>
      <c r="G275" t="inlineStr">
        <is>
          <t>FILIPSTAD</t>
        </is>
      </c>
      <c r="H275" t="inlineStr">
        <is>
          <t>Kommuner</t>
        </is>
      </c>
      <c r="I275" t="n">
        <v>15.4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45436</v>
      </c>
      <c r="E276" s="1" t="n">
        <v>46266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45418</v>
      </c>
      <c r="E277" s="1" t="n">
        <v>46266</v>
      </c>
      <c r="F277" t="inlineStr">
        <is>
          <t>VÄRMLANDS LÄN</t>
        </is>
      </c>
      <c r="G277" t="inlineStr">
        <is>
          <t>FILIPSTAD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46266</v>
      </c>
      <c r="F278" t="inlineStr">
        <is>
          <t>VÄRMLANDS LÄN</t>
        </is>
      </c>
      <c r="G278" t="inlineStr">
        <is>
          <t>FILIPSTAD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46266</v>
      </c>
      <c r="F279" t="inlineStr">
        <is>
          <t>VÄRMLANDS LÄN</t>
        </is>
      </c>
      <c r="G279" t="inlineStr">
        <is>
          <t>FILIPSTAD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7430-2026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46266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53348-2023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45229</v>
      </c>
      <c r="E281" s="1" t="n">
        <v>46266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14275-2024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45393</v>
      </c>
      <c r="E282" s="1" t="n">
        <v>46266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14459-2023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45012</v>
      </c>
      <c r="E283" s="1" t="n">
        <v>46266</v>
      </c>
      <c r="F283" t="inlineStr">
        <is>
          <t>VÄRMLANDS LÄN</t>
        </is>
      </c>
      <c r="G283" t="inlineStr">
        <is>
          <t>FILIPSTAD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8139-2026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46064</v>
      </c>
      <c r="E284" s="1" t="n">
        <v>46266</v>
      </c>
      <c r="F284" t="inlineStr">
        <is>
          <t>VÄRMLANDS LÄN</t>
        </is>
      </c>
      <c r="G284" t="inlineStr">
        <is>
          <t>FILIPSTAD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46266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36251-2022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44803</v>
      </c>
      <c r="E286" s="1" t="n">
        <v>46266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45364</v>
      </c>
      <c r="E287" s="1" t="n">
        <v>46266</v>
      </c>
      <c r="F287" t="inlineStr">
        <is>
          <t>VÄRMLANDS LÄN</t>
        </is>
      </c>
      <c r="G287" t="inlineStr">
        <is>
          <t>FILIPSTAD</t>
        </is>
      </c>
      <c r="I287" t="n">
        <v>6.4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45658</v>
      </c>
      <c r="E288" s="1" t="n">
        <v>46266</v>
      </c>
      <c r="F288" t="inlineStr">
        <is>
          <t>VÄRMLANDS LÄN</t>
        </is>
      </c>
      <c r="G288" t="inlineStr">
        <is>
          <t>FILIPSTAD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46266</v>
      </c>
      <c r="F289" t="inlineStr">
        <is>
          <t>VÄRMLANDS LÄN</t>
        </is>
      </c>
      <c r="G289" t="inlineStr">
        <is>
          <t>FILIPSTAD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45401</v>
      </c>
      <c r="E290" s="1" t="n">
        <v>46266</v>
      </c>
      <c r="F290" t="inlineStr">
        <is>
          <t>VÄRMLANDS LÄN</t>
        </is>
      </c>
      <c r="G290" t="inlineStr">
        <is>
          <t>FILIPSTAD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54735-2024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45618</v>
      </c>
      <c r="E291" s="1" t="n">
        <v>46266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12837-2024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45384</v>
      </c>
      <c r="E292" s="1" t="n">
        <v>46266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45229</v>
      </c>
      <c r="E293" s="1" t="n">
        <v>46266</v>
      </c>
      <c r="F293" t="inlineStr">
        <is>
          <t>VÄRMLANDS LÄN</t>
        </is>
      </c>
      <c r="G293" t="inlineStr">
        <is>
          <t>FILIPSTAD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45484</v>
      </c>
      <c r="E294" s="1" t="n">
        <v>46266</v>
      </c>
      <c r="F294" t="inlineStr">
        <is>
          <t>VÄRMLANDS LÄN</t>
        </is>
      </c>
      <c r="G294" t="inlineStr">
        <is>
          <t>FILIPSTAD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45327</v>
      </c>
      <c r="E295" s="1" t="n">
        <v>46266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9.300000000000001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45740</v>
      </c>
      <c r="E296" s="1" t="n">
        <v>46266</v>
      </c>
      <c r="F296" t="inlineStr">
        <is>
          <t>VÄRMLANDS LÄN</t>
        </is>
      </c>
      <c r="G296" t="inlineStr">
        <is>
          <t>FILIPSTAD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46266</v>
      </c>
      <c r="F297" t="inlineStr">
        <is>
          <t>VÄRMLANDS LÄN</t>
        </is>
      </c>
      <c r="G297" t="inlineStr">
        <is>
          <t>FILIPSTAD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46087</v>
      </c>
      <c r="E298" s="1" t="n">
        <v>46266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46266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46266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46266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8.9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46266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46266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50786-2024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45602</v>
      </c>
      <c r="E304" s="1" t="n">
        <v>46266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46266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46266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46266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46266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46266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14379-2026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46100</v>
      </c>
      <c r="E310" s="1" t="n">
        <v>46266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45588</v>
      </c>
      <c r="E311" s="1" t="n">
        <v>46266</v>
      </c>
      <c r="F311" t="inlineStr">
        <is>
          <t>VÄRMLANDS LÄN</t>
        </is>
      </c>
      <c r="G311" t="inlineStr">
        <is>
          <t>FILIPSTAD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46266</v>
      </c>
      <c r="F312" t="inlineStr">
        <is>
          <t>VÄRMLANDS LÄN</t>
        </is>
      </c>
      <c r="G312" t="inlineStr">
        <is>
          <t>FILIPSTAD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70405-2021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46266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44579</v>
      </c>
      <c r="E314" s="1" t="n">
        <v>46266</v>
      </c>
      <c r="F314" t="inlineStr">
        <is>
          <t>VÄRMLANDS LÄN</t>
        </is>
      </c>
      <c r="G314" t="inlineStr">
        <is>
          <t>FILIPSTAD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46266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61628-2022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46266</v>
      </c>
      <c r="F316" t="inlineStr">
        <is>
          <t>VÄRMLANDS LÄN</t>
        </is>
      </c>
      <c r="G316" t="inlineStr">
        <is>
          <t>FILIPSTAD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15619-2026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46266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15645-2026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46106</v>
      </c>
      <c r="E318" s="1" t="n">
        <v>46266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46105</v>
      </c>
      <c r="E319" s="1" t="n">
        <v>46266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46266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46107</v>
      </c>
      <c r="E321" s="1" t="n">
        <v>46266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46107</v>
      </c>
      <c r="E322" s="1" t="n">
        <v>46266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46266</v>
      </c>
      <c r="F323" t="inlineStr">
        <is>
          <t>VÄRMLANDS LÄN</t>
        </is>
      </c>
      <c r="G323" t="inlineStr">
        <is>
          <t>FILIPSTAD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46266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16040-2026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46108</v>
      </c>
      <c r="E325" s="1" t="n">
        <v>46266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45037</v>
      </c>
      <c r="E326" s="1" t="n">
        <v>46266</v>
      </c>
      <c r="F326" t="inlineStr">
        <is>
          <t>VÄRMLANDS LÄN</t>
        </is>
      </c>
      <c r="G326" t="inlineStr">
        <is>
          <t>FILIPSTAD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33671-2022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44789</v>
      </c>
      <c r="E327" s="1" t="n">
        <v>46266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36827-2022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44805</v>
      </c>
      <c r="E328" s="1" t="n">
        <v>46266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46266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45202</v>
      </c>
      <c r="E330" s="1" t="n">
        <v>46266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45133</v>
      </c>
      <c r="E331" s="1" t="n">
        <v>46266</v>
      </c>
      <c r="F331" t="inlineStr">
        <is>
          <t>VÄRMLANDS LÄN</t>
        </is>
      </c>
      <c r="G331" t="inlineStr">
        <is>
          <t>FILIPSTAD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17278-2026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46119</v>
      </c>
      <c r="E332" s="1" t="n">
        <v>46266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46119</v>
      </c>
      <c r="E333" s="1" t="n">
        <v>46266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24054-2024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45456</v>
      </c>
      <c r="E334" s="1" t="n">
        <v>46266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17292-2026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46119</v>
      </c>
      <c r="E335" s="1" t="n">
        <v>46266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46120</v>
      </c>
      <c r="E336" s="1" t="n">
        <v>46266</v>
      </c>
      <c r="F336" t="inlineStr">
        <is>
          <t>VÄRMLANDS LÄN</t>
        </is>
      </c>
      <c r="G336" t="inlineStr">
        <is>
          <t>FILIPSTAD</t>
        </is>
      </c>
      <c r="I336" t="n">
        <v>9.699999999999999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54008-2021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44470</v>
      </c>
      <c r="E337" s="1" t="n">
        <v>46266</v>
      </c>
      <c r="F337" t="inlineStr">
        <is>
          <t>VÄRMLANDS LÄN</t>
        </is>
      </c>
      <c r="G337" t="inlineStr">
        <is>
          <t>FILIPSTAD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46266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17900-2026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46266</v>
      </c>
      <c r="F339" t="inlineStr">
        <is>
          <t>VÄRMLANDS LÄN</t>
        </is>
      </c>
      <c r="G339" t="inlineStr">
        <is>
          <t>FILIPSTAD</t>
        </is>
      </c>
      <c r="H339" t="inlineStr">
        <is>
          <t>Kommuner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46266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17914-2026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46266</v>
      </c>
      <c r="F341" t="inlineStr">
        <is>
          <t>VÄRMLANDS LÄN</t>
        </is>
      </c>
      <c r="G341" t="inlineStr">
        <is>
          <t>FILIPSTAD</t>
        </is>
      </c>
      <c r="H341" t="inlineStr">
        <is>
          <t>Kommuner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18022-2026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46266</v>
      </c>
      <c r="F342" t="inlineStr">
        <is>
          <t>VÄRMLANDS LÄN</t>
        </is>
      </c>
      <c r="G342" t="inlineStr">
        <is>
          <t>FILIPSTAD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46126</v>
      </c>
      <c r="E343" s="1" t="n">
        <v>46266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46257-2022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44847</v>
      </c>
      <c r="E344" s="1" t="n">
        <v>46266</v>
      </c>
      <c r="F344" t="inlineStr">
        <is>
          <t>VÄRMLANDS LÄN</t>
        </is>
      </c>
      <c r="G344" t="inlineStr">
        <is>
          <t>FILIPSTAD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46266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45229</v>
      </c>
      <c r="E346" s="1" t="n">
        <v>46266</v>
      </c>
      <c r="F346" t="inlineStr">
        <is>
          <t>VÄRMLANDS LÄN</t>
        </is>
      </c>
      <c r="G346" t="inlineStr">
        <is>
          <t>FILIPSTAD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46266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46266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46127</v>
      </c>
      <c r="E349" s="1" t="n">
        <v>46266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45152</v>
      </c>
      <c r="E350" s="1" t="n">
        <v>46266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44951</v>
      </c>
      <c r="E351" s="1" t="n">
        <v>46266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46127</v>
      </c>
      <c r="E352" s="1" t="n">
        <v>46266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46266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46266</v>
      </c>
      <c r="F354" t="inlineStr">
        <is>
          <t>VÄRMLANDS LÄN</t>
        </is>
      </c>
      <c r="G354" t="inlineStr">
        <is>
          <t>FILIPSTAD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46266</v>
      </c>
      <c r="F355" t="inlineStr">
        <is>
          <t>VÄRMLANDS LÄN</t>
        </is>
      </c>
      <c r="G355" t="inlineStr">
        <is>
          <t>FILIPSTAD</t>
        </is>
      </c>
      <c r="H355" t="inlineStr">
        <is>
          <t>Kommuner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46127</v>
      </c>
      <c r="E356" s="1" t="n">
        <v>46266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46266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46266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23618-2023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45077</v>
      </c>
      <c r="E359" s="1" t="n">
        <v>46266</v>
      </c>
      <c r="F359" t="inlineStr">
        <is>
          <t>VÄRMLANDS LÄN</t>
        </is>
      </c>
      <c r="G359" t="inlineStr">
        <is>
          <t>FILIPSTAD</t>
        </is>
      </c>
      <c r="I359" t="n">
        <v>15.8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44960</v>
      </c>
      <c r="E360" s="1" t="n">
        <v>46266</v>
      </c>
      <c r="F360" t="inlineStr">
        <is>
          <t>VÄRMLANDS LÄN</t>
        </is>
      </c>
      <c r="G360" t="inlineStr">
        <is>
          <t>FILIPSTAD</t>
        </is>
      </c>
      <c r="H360" t="inlineStr">
        <is>
          <t>Kommuner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29473-2024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45484</v>
      </c>
      <c r="E361" s="1" t="n">
        <v>46266</v>
      </c>
      <c r="F361" t="inlineStr">
        <is>
          <t>VÄRMLANDS LÄN</t>
        </is>
      </c>
      <c r="G361" t="inlineStr">
        <is>
          <t>FILIPSTAD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4191-2022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44588</v>
      </c>
      <c r="E362" s="1" t="n">
        <v>46266</v>
      </c>
      <c r="F362" t="inlineStr">
        <is>
          <t>VÄRMLANDS LÄN</t>
        </is>
      </c>
      <c r="G362" t="inlineStr">
        <is>
          <t>FILIPSTAD</t>
        </is>
      </c>
      <c r="H362" t="inlineStr">
        <is>
          <t>Kommuner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46135</v>
      </c>
      <c r="E363" s="1" t="n">
        <v>46266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8.800000000000001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19595-2026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46134</v>
      </c>
      <c r="E364" s="1" t="n">
        <v>46266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21593-2023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46266</v>
      </c>
      <c r="F365" t="inlineStr">
        <is>
          <t>VÄRMLANDS LÄN</t>
        </is>
      </c>
      <c r="G365" t="inlineStr">
        <is>
          <t>FILIPSTAD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46134</v>
      </c>
      <c r="E366" s="1" t="n">
        <v>46266</v>
      </c>
      <c r="F366" t="inlineStr">
        <is>
          <t>VÄRMLANDS LÄN</t>
        </is>
      </c>
      <c r="G366" t="inlineStr">
        <is>
          <t>FILIPSTAD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46266</v>
      </c>
      <c r="F367" t="inlineStr">
        <is>
          <t>VÄRMLANDS LÄN</t>
        </is>
      </c>
      <c r="G367" t="inlineStr">
        <is>
          <t>FILIPSTAD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44981</v>
      </c>
      <c r="E368" s="1" t="n">
        <v>46266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46266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46266</v>
      </c>
      <c r="F370" t="inlineStr">
        <is>
          <t>VÄRMLANDS LÄN</t>
        </is>
      </c>
      <c r="G370" t="inlineStr">
        <is>
          <t>FILIPSTAD</t>
        </is>
      </c>
      <c r="I370" t="n">
        <v>13.2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44579</v>
      </c>
      <c r="E371" s="1" t="n">
        <v>46266</v>
      </c>
      <c r="F371" t="inlineStr">
        <is>
          <t>VÄRMLANDS LÄN</t>
        </is>
      </c>
      <c r="G371" t="inlineStr">
        <is>
          <t>FILIPSTAD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54080-2025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46266</v>
      </c>
      <c r="F372" t="inlineStr">
        <is>
          <t>VÄRMLANDS LÄN</t>
        </is>
      </c>
      <c r="G372" t="inlineStr">
        <is>
          <t>FILIPSTAD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38075-2025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45882</v>
      </c>
      <c r="E373" s="1" t="n">
        <v>46266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57456-2022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44896</v>
      </c>
      <c r="E374" s="1" t="n">
        <v>46266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40646-2025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45896</v>
      </c>
      <c r="E375" s="1" t="n">
        <v>46266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45578</v>
      </c>
      <c r="E376" s="1" t="n">
        <v>46266</v>
      </c>
      <c r="F376" t="inlineStr">
        <is>
          <t>VÄRMLANDS LÄN</t>
        </is>
      </c>
      <c r="G376" t="inlineStr">
        <is>
          <t>FILIPSTAD</t>
        </is>
      </c>
      <c r="I376" t="n">
        <v>27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32262-2023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45120</v>
      </c>
      <c r="E377" s="1" t="n">
        <v>46266</v>
      </c>
      <c r="F377" t="inlineStr">
        <is>
          <t>VÄRMLANDS LÄN</t>
        </is>
      </c>
      <c r="G377" t="inlineStr">
        <is>
          <t>FILIPSTAD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46266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46266</v>
      </c>
      <c r="F379" t="inlineStr">
        <is>
          <t>VÄRMLANDS LÄN</t>
        </is>
      </c>
      <c r="G379" t="inlineStr">
        <is>
          <t>FILIPSTAD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18210-2024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45420</v>
      </c>
      <c r="E380" s="1" t="n">
        <v>46266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46266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47344-2023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45202</v>
      </c>
      <c r="E382" s="1" t="n">
        <v>46266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45790</v>
      </c>
      <c r="E383" s="1" t="n">
        <v>46266</v>
      </c>
      <c r="F383" t="inlineStr">
        <is>
          <t>VÄRMLANDS LÄN</t>
        </is>
      </c>
      <c r="G383" t="inlineStr">
        <is>
          <t>FILIPSTAD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41521-2025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45901</v>
      </c>
      <c r="E384" s="1" t="n">
        <v>46266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46266</v>
      </c>
      <c r="F385" t="inlineStr">
        <is>
          <t>VÄRMLANDS LÄN</t>
        </is>
      </c>
      <c r="G385" t="inlineStr">
        <is>
          <t>FILIPSTAD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46136</v>
      </c>
      <c r="E386" s="1" t="n">
        <v>46266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17794-2024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46266</v>
      </c>
      <c r="F387" t="inlineStr">
        <is>
          <t>VÄRMLANDS LÄN</t>
        </is>
      </c>
      <c r="G387" t="inlineStr">
        <is>
          <t>FILIPSTAD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46136</v>
      </c>
      <c r="E388" s="1" t="n">
        <v>46266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45789</v>
      </c>
      <c r="E389" s="1" t="n">
        <v>46266</v>
      </c>
      <c r="F389" t="inlineStr">
        <is>
          <t>VÄRMLANDS LÄN</t>
        </is>
      </c>
      <c r="G389" t="inlineStr">
        <is>
          <t>FILIPSTAD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44994</v>
      </c>
      <c r="E390" s="1" t="n">
        <v>46266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46266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54145-2024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45616</v>
      </c>
      <c r="E392" s="1" t="n">
        <v>46266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39896-2025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45891</v>
      </c>
      <c r="E393" s="1" t="n">
        <v>46266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45819</v>
      </c>
      <c r="E394" s="1" t="n">
        <v>46266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55397-2022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44887</v>
      </c>
      <c r="E395" s="1" t="n">
        <v>46266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45173</v>
      </c>
      <c r="E396" s="1" t="n">
        <v>46266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46266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49602-2025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45939</v>
      </c>
      <c r="E398" s="1" t="n">
        <v>46266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45834</v>
      </c>
      <c r="E399" s="1" t="n">
        <v>46266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46266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16067-2026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46108</v>
      </c>
      <c r="E401" s="1" t="n">
        <v>46266</v>
      </c>
      <c r="F401" t="inlineStr">
        <is>
          <t>VÄRMLANDS LÄN</t>
        </is>
      </c>
      <c r="G401" t="inlineStr">
        <is>
          <t>FILIPSTAD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14840-2023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45014</v>
      </c>
      <c r="E402" s="1" t="n">
        <v>46266</v>
      </c>
      <c r="F402" t="inlineStr">
        <is>
          <t>VÄRMLANDS LÄN</t>
        </is>
      </c>
      <c r="G402" t="inlineStr">
        <is>
          <t>FILIPSTAD</t>
        </is>
      </c>
      <c r="H402" t="inlineStr">
        <is>
          <t>Kyrkan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45867</v>
      </c>
      <c r="E403" s="1" t="n">
        <v>46266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46266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4819-2023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44957</v>
      </c>
      <c r="E405" s="1" t="n">
        <v>46266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45456</v>
      </c>
      <c r="E406" s="1" t="n">
        <v>46266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46266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7.6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20554-2025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45775</v>
      </c>
      <c r="E408" s="1" t="n">
        <v>46266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20801-2026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46266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27400-2024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46266</v>
      </c>
      <c r="F410" t="inlineStr">
        <is>
          <t>VÄRMLANDS LÄN</t>
        </is>
      </c>
      <c r="G410" t="inlineStr">
        <is>
          <t>FILIPSTAD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45511</v>
      </c>
      <c r="E411" s="1" t="n">
        <v>46266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44596</v>
      </c>
      <c r="E412" s="1" t="n">
        <v>46266</v>
      </c>
      <c r="F412" t="inlineStr">
        <is>
          <t>VÄRMLANDS LÄN</t>
        </is>
      </c>
      <c r="G412" t="inlineStr">
        <is>
          <t>FILIPSTAD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43635-2023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45186</v>
      </c>
      <c r="E413" s="1" t="n">
        <v>46266</v>
      </c>
      <c r="F413" t="inlineStr">
        <is>
          <t>VÄRMLANDS LÄN</t>
        </is>
      </c>
      <c r="G413" t="inlineStr">
        <is>
          <t>FILIPSTAD</t>
        </is>
      </c>
      <c r="I413" t="n">
        <v>15.3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20919-2026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46142</v>
      </c>
      <c r="E414" s="1" t="n">
        <v>46266</v>
      </c>
      <c r="F414" t="inlineStr">
        <is>
          <t>VÄRMLANDS LÄN</t>
        </is>
      </c>
      <c r="G414" t="inlineStr">
        <is>
          <t>FILIPSTAD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20874-2026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46266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7.9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43633-2024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45569</v>
      </c>
      <c r="E416" s="1" t="n">
        <v>46266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31358-2023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45114</v>
      </c>
      <c r="E417" s="1" t="n">
        <v>46266</v>
      </c>
      <c r="F417" t="inlineStr">
        <is>
          <t>VÄRMLANDS LÄN</t>
        </is>
      </c>
      <c r="G417" t="inlineStr">
        <is>
          <t>FILIPSTAD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45244</v>
      </c>
      <c r="E418" s="1" t="n">
        <v>46266</v>
      </c>
      <c r="F418" t="inlineStr">
        <is>
          <t>VÄRMLANDS LÄN</t>
        </is>
      </c>
      <c r="G418" t="inlineStr">
        <is>
          <t>FILIPSTAD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46680-2024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45583</v>
      </c>
      <c r="E419" s="1" t="n">
        <v>46266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44691</v>
      </c>
      <c r="E420" s="1" t="n">
        <v>46266</v>
      </c>
      <c r="F420" t="inlineStr">
        <is>
          <t>VÄRMLANDS LÄN</t>
        </is>
      </c>
      <c r="G420" t="inlineStr">
        <is>
          <t>FILIPSTAD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46266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27080-2023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46266</v>
      </c>
      <c r="F422" t="inlineStr">
        <is>
          <t>VÄRMLANDS LÄN</t>
        </is>
      </c>
      <c r="G422" t="inlineStr">
        <is>
          <t>FILIPSTAD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45195</v>
      </c>
      <c r="E423" s="1" t="n">
        <v>46266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46266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46266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22144-2026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46266</v>
      </c>
      <c r="F426" t="inlineStr">
        <is>
          <t>VÄRMLANDS LÄN</t>
        </is>
      </c>
      <c r="G426" t="inlineStr">
        <is>
          <t>FILIPSTAD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22032-2026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46153</v>
      </c>
      <c r="E427" s="1" t="n">
        <v>46266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22201-2026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46266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22220-2026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46266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46266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46266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46266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46266</v>
      </c>
      <c r="F433" t="inlineStr">
        <is>
          <t>VÄRMLANDS LÄN</t>
        </is>
      </c>
      <c r="G433" t="inlineStr">
        <is>
          <t>FILIPSTAD</t>
        </is>
      </c>
      <c r="I433" t="n">
        <v>10.8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46266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62013-2024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45655</v>
      </c>
      <c r="E435" s="1" t="n">
        <v>46266</v>
      </c>
      <c r="F435" t="inlineStr">
        <is>
          <t>VÄRMLANDS LÄN</t>
        </is>
      </c>
      <c r="G435" t="inlineStr">
        <is>
          <t>FILIPSTAD</t>
        </is>
      </c>
      <c r="I435" t="n">
        <v>26.5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62014-2024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45655</v>
      </c>
      <c r="E436" s="1" t="n">
        <v>46266</v>
      </c>
      <c r="F436" t="inlineStr">
        <is>
          <t>VÄRMLANDS LÄN</t>
        </is>
      </c>
      <c r="G436" t="inlineStr">
        <is>
          <t>FILIPSTAD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46266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46266</v>
      </c>
      <c r="F438" t="inlineStr">
        <is>
          <t>VÄRMLANDS LÄN</t>
        </is>
      </c>
      <c r="G438" t="inlineStr">
        <is>
          <t>FILIPSTAD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1170-2023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44935</v>
      </c>
      <c r="E439" s="1" t="n">
        <v>46266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22229-2026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46266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5992-2023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44959</v>
      </c>
      <c r="E441" s="1" t="n">
        <v>46266</v>
      </c>
      <c r="F441" t="inlineStr">
        <is>
          <t>VÄRMLANDS LÄN</t>
        </is>
      </c>
      <c r="G441" t="inlineStr">
        <is>
          <t>FILIPSTAD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46266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53562-2023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45230</v>
      </c>
      <c r="E443" s="1" t="n">
        <v>46266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9.9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63411-2023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46266</v>
      </c>
      <c r="F444" t="inlineStr">
        <is>
          <t>VÄRMLANDS LÄN</t>
        </is>
      </c>
      <c r="G444" t="inlineStr">
        <is>
          <t>FILIPSTAD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23440-2026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46163</v>
      </c>
      <c r="E445" s="1" t="n">
        <v>46266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23500-2026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46163</v>
      </c>
      <c r="E446" s="1" t="n">
        <v>46266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23514-2026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46163</v>
      </c>
      <c r="E447" s="1" t="n">
        <v>46266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45184</v>
      </c>
      <c r="E448" s="1" t="n">
        <v>46266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46266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46266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8.699999999999999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45077</v>
      </c>
      <c r="E451" s="1" t="n">
        <v>46266</v>
      </c>
      <c r="F451" t="inlineStr">
        <is>
          <t>VÄRMLANDS LÄN</t>
        </is>
      </c>
      <c r="G451" t="inlineStr">
        <is>
          <t>FILIPSTAD</t>
        </is>
      </c>
      <c r="I451" t="n">
        <v>7.5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46266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46266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33973-2023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45124</v>
      </c>
      <c r="E454" s="1" t="n">
        <v>46266</v>
      </c>
      <c r="F454" t="inlineStr">
        <is>
          <t>VÄRMLANDS LÄN</t>
        </is>
      </c>
      <c r="G454" t="inlineStr">
        <is>
          <t>FILIPSTAD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46266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23952-2026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46266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46266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9.1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46266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34262-2024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45524</v>
      </c>
      <c r="E459" s="1" t="n">
        <v>46266</v>
      </c>
      <c r="F459" t="inlineStr">
        <is>
          <t>VÄRMLANDS LÄN</t>
        </is>
      </c>
      <c r="G459" t="inlineStr">
        <is>
          <t>FILIPSTAD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46266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24022-2026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46266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46266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9.300000000000001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46266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23922-2026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46266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46266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46266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23934-2026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46266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46266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46266</v>
      </c>
      <c r="F469" t="inlineStr">
        <is>
          <t>VÄRMLANDS LÄN</t>
        </is>
      </c>
      <c r="G469" t="inlineStr">
        <is>
          <t>FILIPSTAD</t>
        </is>
      </c>
      <c r="H469" t="inlineStr">
        <is>
          <t>Kyrkan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43264-2024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45568</v>
      </c>
      <c r="E470" s="1" t="n">
        <v>46266</v>
      </c>
      <c r="F470" t="inlineStr">
        <is>
          <t>VÄRMLANDS LÄN</t>
        </is>
      </c>
      <c r="G470" t="inlineStr">
        <is>
          <t>FILIPSTAD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46266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24291-2026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46169</v>
      </c>
      <c r="E472" s="1" t="n">
        <v>46266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46266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49935-2025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45940</v>
      </c>
      <c r="E474" s="1" t="n">
        <v>46266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6860-2024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46266</v>
      </c>
      <c r="F475" t="inlineStr">
        <is>
          <t>VÄRMLANDS LÄN</t>
        </is>
      </c>
      <c r="G475" t="inlineStr">
        <is>
          <t>FILIPSTAD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46266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24519-2026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46266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46266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46266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46266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24452-2026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46266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24453-2026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46266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46266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8.5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46266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16063-2025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45749</v>
      </c>
      <c r="E485" s="1" t="n">
        <v>46266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46266</v>
      </c>
      <c r="F486" t="inlineStr">
        <is>
          <t>VÄRMLANDS LÄN</t>
        </is>
      </c>
      <c r="G486" t="inlineStr">
        <is>
          <t>FILIPSTAD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45835</v>
      </c>
      <c r="E487" s="1" t="n">
        <v>46266</v>
      </c>
      <c r="F487" t="inlineStr">
        <is>
          <t>VÄRMLANDS LÄN</t>
        </is>
      </c>
      <c r="G487" t="inlineStr">
        <is>
          <t>FILIPSTAD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46266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8.9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46266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46266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25869-2026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46266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43045-2024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45567</v>
      </c>
      <c r="E492" s="1" t="n">
        <v>46266</v>
      </c>
      <c r="F492" t="inlineStr">
        <is>
          <t>VÄRMLANDS LÄN</t>
        </is>
      </c>
      <c r="G492" t="inlineStr">
        <is>
          <t>FILIPSTAD</t>
        </is>
      </c>
      <c r="H492" t="inlineStr">
        <is>
          <t>Kyrkan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46266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31648-2026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46225</v>
      </c>
      <c r="E494" s="1" t="n">
        <v>46266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45700</v>
      </c>
      <c r="E495" s="1" t="n">
        <v>46266</v>
      </c>
      <c r="F495" t="inlineStr">
        <is>
          <t>VÄRMLANDS LÄN</t>
        </is>
      </c>
      <c r="G495" t="inlineStr">
        <is>
          <t>FILIPSTAD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46266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46266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46266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26323-2026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46266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46266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46266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45088</v>
      </c>
      <c r="E502" s="1" t="n">
        <v>46266</v>
      </c>
      <c r="F502" t="inlineStr">
        <is>
          <t>VÄRMLANDS LÄN</t>
        </is>
      </c>
      <c r="G502" t="inlineStr">
        <is>
          <t>FILIPSTAD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46266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31688-2026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46226</v>
      </c>
      <c r="E504" s="1" t="n">
        <v>46266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31699-2026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46226</v>
      </c>
      <c r="E505" s="1" t="n">
        <v>46266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26501-2026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46266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25786-2026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46266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69015-2021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44530</v>
      </c>
      <c r="E508" s="1" t="n">
        <v>46266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20966-2024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45439</v>
      </c>
      <c r="E509" s="1" t="n">
        <v>46266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44960</v>
      </c>
      <c r="E510" s="1" t="n">
        <v>46266</v>
      </c>
      <c r="F510" t="inlineStr">
        <is>
          <t>VÄRMLANDS LÄN</t>
        </is>
      </c>
      <c r="G510" t="inlineStr">
        <is>
          <t>FILIPSTAD</t>
        </is>
      </c>
      <c r="H510" t="inlineStr">
        <is>
          <t>Kommuner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26549-2026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46183</v>
      </c>
      <c r="E511" s="1" t="n">
        <v>46266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31746-2026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46227</v>
      </c>
      <c r="E512" s="1" t="n">
        <v>46266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46226</v>
      </c>
      <c r="E513" s="1" t="n">
        <v>46266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46227</v>
      </c>
      <c r="E514" s="1" t="n">
        <v>46266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45436</v>
      </c>
      <c r="E515" s="1" t="n">
        <v>46266</v>
      </c>
      <c r="F515" t="inlineStr">
        <is>
          <t>VÄRMLANDS LÄN</t>
        </is>
      </c>
      <c r="G515" t="inlineStr">
        <is>
          <t>FILIPSTAD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27300-2026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46266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27085-2026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46187</v>
      </c>
      <c r="E517" s="1" t="n">
        <v>46266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27007-2026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46266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53690-2022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44880</v>
      </c>
      <c r="E519" s="1" t="n">
        <v>46266</v>
      </c>
      <c r="F519" t="inlineStr">
        <is>
          <t>VÄRMLANDS LÄN</t>
        </is>
      </c>
      <c r="G519" t="inlineStr">
        <is>
          <t>FILIPSTAD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46231</v>
      </c>
      <c r="E520" s="1" t="n">
        <v>46266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6728-2025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45700</v>
      </c>
      <c r="E521" s="1" t="n">
        <v>46266</v>
      </c>
      <c r="F521" t="inlineStr">
        <is>
          <t>VÄRMLANDS LÄN</t>
        </is>
      </c>
      <c r="G521" t="inlineStr">
        <is>
          <t>FILIPSTAD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27372-2026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46266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48040-2023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45204</v>
      </c>
      <c r="E523" s="1" t="n">
        <v>46266</v>
      </c>
      <c r="F523" t="inlineStr">
        <is>
          <t>VÄRMLANDS LÄN</t>
        </is>
      </c>
      <c r="G523" t="inlineStr">
        <is>
          <t>FILIPSTAD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27078-2026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46186</v>
      </c>
      <c r="E524" s="1" t="n">
        <v>46266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27079-2026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46186</v>
      </c>
      <c r="E525" s="1" t="n">
        <v>46266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52981-2021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44467</v>
      </c>
      <c r="E526" s="1" t="n">
        <v>46266</v>
      </c>
      <c r="F526" t="inlineStr">
        <is>
          <t>VÄRMLANDS LÄN</t>
        </is>
      </c>
      <c r="G526" t="inlineStr">
        <is>
          <t>FILIPSTAD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27595-2026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46190</v>
      </c>
      <c r="E527" s="1" t="n">
        <v>46266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46233</v>
      </c>
      <c r="E528" s="1" t="n">
        <v>46266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46233</v>
      </c>
      <c r="E529" s="1" t="n">
        <v>46266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46232</v>
      </c>
      <c r="E530" s="1" t="n">
        <v>46266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10306-2025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45720</v>
      </c>
      <c r="E531" s="1" t="n">
        <v>46266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31963-2026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46232</v>
      </c>
      <c r="E532" s="1" t="n">
        <v>46266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46233</v>
      </c>
      <c r="E533" s="1" t="n">
        <v>46266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46232</v>
      </c>
      <c r="E534" s="1" t="n">
        <v>46266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27774-2026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46191</v>
      </c>
      <c r="E535" s="1" t="n">
        <v>46266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51266-2021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44461</v>
      </c>
      <c r="E536" s="1" t="n">
        <v>46266</v>
      </c>
      <c r="F536" t="inlineStr">
        <is>
          <t>VÄRMLANDS LÄN</t>
        </is>
      </c>
      <c r="G536" t="inlineStr">
        <is>
          <t>FILIPSTAD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46266</v>
      </c>
      <c r="F537" t="inlineStr">
        <is>
          <t>VÄRMLANDS LÄN</t>
        </is>
      </c>
      <c r="G537" t="inlineStr">
        <is>
          <t>FILIPSTAD</t>
        </is>
      </c>
      <c r="H537" t="inlineStr">
        <is>
          <t>Kommuner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51618-2022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44872</v>
      </c>
      <c r="E538" s="1" t="n">
        <v>46266</v>
      </c>
      <c r="F538" t="inlineStr">
        <is>
          <t>VÄRMLANDS LÄN</t>
        </is>
      </c>
      <c r="G538" t="inlineStr">
        <is>
          <t>FILIPSTAD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46266</v>
      </c>
      <c r="F539" t="inlineStr">
        <is>
          <t>VÄRMLANDS LÄN</t>
        </is>
      </c>
      <c r="G539" t="inlineStr">
        <is>
          <t>FILIPSTAD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45516</v>
      </c>
      <c r="E540" s="1" t="n">
        <v>46266</v>
      </c>
      <c r="F540" t="inlineStr">
        <is>
          <t>VÄRMLANDS LÄN</t>
        </is>
      </c>
      <c r="G540" t="inlineStr">
        <is>
          <t>FILIPSTAD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46234</v>
      </c>
      <c r="E541" s="1" t="n">
        <v>46266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51031-2025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45947</v>
      </c>
      <c r="E542" s="1" t="n">
        <v>46266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46266</v>
      </c>
      <c r="F543" t="inlineStr">
        <is>
          <t>VÄRMLANDS LÄN</t>
        </is>
      </c>
      <c r="G543" t="inlineStr">
        <is>
          <t>FILIPSTAD</t>
        </is>
      </c>
      <c r="I543" t="n">
        <v>13.4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37611-2022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44809</v>
      </c>
      <c r="E544" s="1" t="n">
        <v>46266</v>
      </c>
      <c r="F544" t="inlineStr">
        <is>
          <t>VÄRMLANDS LÄN</t>
        </is>
      </c>
      <c r="G544" t="inlineStr">
        <is>
          <t>FILIPSTAD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16591-2022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44672</v>
      </c>
      <c r="E545" s="1" t="n">
        <v>46266</v>
      </c>
      <c r="F545" t="inlineStr">
        <is>
          <t>VÄRMLANDS LÄN</t>
        </is>
      </c>
      <c r="G545" t="inlineStr">
        <is>
          <t>FILIPSTAD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46266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44998</v>
      </c>
      <c r="E547" s="1" t="n">
        <v>46266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46978-2023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45195</v>
      </c>
      <c r="E548" s="1" t="n">
        <v>46266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46266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46239</v>
      </c>
      <c r="E550" s="1" t="n">
        <v>46266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32563-2026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46239</v>
      </c>
      <c r="E551" s="1" t="n">
        <v>46266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46239</v>
      </c>
      <c r="E552" s="1" t="n">
        <v>46266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14432-2025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45741</v>
      </c>
      <c r="E553" s="1" t="n">
        <v>46266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46240</v>
      </c>
      <c r="E554" s="1" t="n">
        <v>46266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46240</v>
      </c>
      <c r="E555" s="1" t="n">
        <v>46266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32603-2026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46240</v>
      </c>
      <c r="E556" s="1" t="n">
        <v>46266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46197</v>
      </c>
      <c r="E557" s="1" t="n">
        <v>46266</v>
      </c>
      <c r="F557" t="inlineStr">
        <is>
          <t>VÄRMLANDS LÄN</t>
        </is>
      </c>
      <c r="G557" t="inlineStr">
        <is>
          <t>FILIPSTAD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46241</v>
      </c>
      <c r="E558" s="1" t="n">
        <v>46266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28419-2026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46266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46240</v>
      </c>
      <c r="E560" s="1" t="n">
        <v>46266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46202</v>
      </c>
      <c r="E561" s="1" t="n">
        <v>46266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32972-2026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46266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46266</v>
      </c>
      <c r="F563" t="inlineStr">
        <is>
          <t>VÄRMLANDS LÄN</t>
        </is>
      </c>
      <c r="G563" t="inlineStr">
        <is>
          <t>FILIPSTAD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46266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22.4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28977-2026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46199</v>
      </c>
      <c r="E565" s="1" t="n">
        <v>46266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46244</v>
      </c>
      <c r="E566" s="1" t="n">
        <v>46266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32980-2026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46266</v>
      </c>
      <c r="F567" t="inlineStr">
        <is>
          <t>VÄRMLANDS LÄN</t>
        </is>
      </c>
      <c r="G567" t="inlineStr">
        <is>
          <t>FILIPSTAD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29328-2026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46202</v>
      </c>
      <c r="E568" s="1" t="n">
        <v>46266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32978-2026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46244</v>
      </c>
      <c r="E569" s="1" t="n">
        <v>46266</v>
      </c>
      <c r="F569" t="inlineStr">
        <is>
          <t>VÄRMLANDS LÄN</t>
        </is>
      </c>
      <c r="G569" t="inlineStr">
        <is>
          <t>FILIPSTAD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46266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28989-2026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46266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29385-2026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46203</v>
      </c>
      <c r="E572" s="1" t="n">
        <v>46266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29417-2026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46203</v>
      </c>
      <c r="E573" s="1" t="n">
        <v>46266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46266</v>
      </c>
      <c r="F574" t="inlineStr">
        <is>
          <t>VÄRMLANDS LÄN</t>
        </is>
      </c>
      <c r="G574" t="inlineStr">
        <is>
          <t>FILIPSTAD</t>
        </is>
      </c>
      <c r="I574" t="n">
        <v>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33468-2026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46247</v>
      </c>
      <c r="E575" s="1" t="n">
        <v>46266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29389-2026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46203</v>
      </c>
      <c r="E576" s="1" t="n">
        <v>46266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46266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29376-2026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46203</v>
      </c>
      <c r="E578" s="1" t="n">
        <v>46266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33493-2026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46266</v>
      </c>
      <c r="F579" t="inlineStr">
        <is>
          <t>VÄRMLANDS LÄN</t>
        </is>
      </c>
      <c r="G579" t="inlineStr">
        <is>
          <t>FILIPSTAD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46246</v>
      </c>
      <c r="E580" s="1" t="n">
        <v>46266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46266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33855-2026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46251</v>
      </c>
      <c r="E582" s="1" t="n">
        <v>46266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29863-2026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46205</v>
      </c>
      <c r="E583" s="1" t="n">
        <v>46266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29821-2026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46266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33857-2026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46266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46266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29814-2026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46266</v>
      </c>
      <c r="F587" t="inlineStr">
        <is>
          <t>VÄRMLANDS LÄN</t>
        </is>
      </c>
      <c r="G587" t="inlineStr">
        <is>
          <t>FILIPSTAD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46266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46266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46266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30540-2026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46210</v>
      </c>
      <c r="E591" s="1" t="n">
        <v>46266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34054-2026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46252</v>
      </c>
      <c r="E592" s="1" t="n">
        <v>46266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46266</v>
      </c>
      <c r="F593" t="inlineStr">
        <is>
          <t>VÄRMLANDS LÄN</t>
        </is>
      </c>
      <c r="G593" t="inlineStr">
        <is>
          <t>FILIPSTAD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46255</v>
      </c>
      <c r="E594" s="1" t="n">
        <v>46266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19.2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46266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34442-2026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46254</v>
      </c>
      <c r="E596" s="1" t="n">
        <v>46266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46266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34982-2026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46259</v>
      </c>
      <c r="E598" s="1" t="n">
        <v>46266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16.1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34916-2026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46259</v>
      </c>
      <c r="E599" s="1" t="n">
        <v>46266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46218</v>
      </c>
      <c r="E600" s="1" t="n">
        <v>46266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46266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46261</v>
      </c>
      <c r="E602" s="1" t="n">
        <v>46266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8.4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46261</v>
      </c>
      <c r="E603" s="1" t="n">
        <v>46266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35423-2026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46266</v>
      </c>
      <c r="F604" t="inlineStr">
        <is>
          <t>VÄRMLANDS LÄN</t>
        </is>
      </c>
      <c r="G604" t="inlineStr">
        <is>
          <t>FILIPSTAD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27426-2026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46189</v>
      </c>
      <c r="E605" s="1" t="n">
        <v>46266</v>
      </c>
      <c r="F605" t="inlineStr">
        <is>
          <t>VÄRMLANDS LÄN</t>
        </is>
      </c>
      <c r="G605" t="inlineStr">
        <is>
          <t>FILIPSTAD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31548-2026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46223</v>
      </c>
      <c r="E606" s="1" t="n">
        <v>46266</v>
      </c>
      <c r="F606" t="inlineStr">
        <is>
          <t>VÄRMLANDS LÄN</t>
        </is>
      </c>
      <c r="G606" t="inlineStr">
        <is>
          <t>FILIPSTAD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35614-2026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46264</v>
      </c>
      <c r="E607" s="1" t="n">
        <v>46266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46265</v>
      </c>
      <c r="E608" s="1" t="n">
        <v>46266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35615-2026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46264</v>
      </c>
      <c r="E609" s="1" t="n">
        <v>46266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31537-2026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46223</v>
      </c>
      <c r="E610" s="1" t="n">
        <v>46266</v>
      </c>
      <c r="F610" t="inlineStr">
        <is>
          <t>VÄRMLANDS LÄN</t>
        </is>
      </c>
      <c r="G610" t="inlineStr">
        <is>
          <t>FILIPSTAD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35821-2026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46266</v>
      </c>
      <c r="F611" t="inlineStr">
        <is>
          <t>VÄRMLANDS LÄN</t>
        </is>
      </c>
      <c r="G611" t="inlineStr">
        <is>
          <t>FILIPSTAD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46219</v>
      </c>
      <c r="E612" s="1" t="n">
        <v>46266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5757-2021</t>
        </is>
      </c>
      <c r="B613" t="inlineStr">
        <is>
          <t>samrådsanmälan</t>
        </is>
      </c>
      <c r="C613" t="inlineStr">
        <is>
          <t>Basväg</t>
        </is>
      </c>
      <c r="D613" s="1" t="n">
        <v>44438</v>
      </c>
      <c r="E613" s="1" t="n">
        <v>46266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1191-2021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44328</v>
      </c>
      <c r="E614" s="1" t="n">
        <v>46266</v>
      </c>
      <c r="F614" t="inlineStr">
        <is>
          <t>VÄRMLANDS LÄN</t>
        </is>
      </c>
      <c r="G614" t="inlineStr">
        <is>
          <t>FILIPSTAD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4134-2023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46266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4115-2023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45246</v>
      </c>
      <c r="E616" s="1" t="n">
        <v>46266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4137-2023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46266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4132-2023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46266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4130-2023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46266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4127-2023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46266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56.4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837-2023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44991</v>
      </c>
      <c r="E621" s="1" t="n">
        <v>46266</v>
      </c>
      <c r="F621" t="inlineStr">
        <is>
          <t>VÄRMLANDS LÄN</t>
        </is>
      </c>
      <c r="G621" t="inlineStr">
        <is>
          <t>FILIPSTAD</t>
        </is>
      </c>
      <c r="I621" t="n">
        <v>19.3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4129-2023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46266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3919-2023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45233</v>
      </c>
      <c r="E623" s="1" t="n">
        <v>46266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4135-2023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46266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6078-2021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44442</v>
      </c>
      <c r="E625" s="1" t="n">
        <v>46266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4126-2023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46266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294-2025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45687</v>
      </c>
      <c r="E627" s="1" t="n">
        <v>46266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186.4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4116-2023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45246</v>
      </c>
      <c r="E628" s="1" t="n">
        <v>46266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661-2025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45716</v>
      </c>
      <c r="E629" s="1" t="n">
        <v>46266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3429-2025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45995</v>
      </c>
      <c r="E630" s="1" t="n">
        <v>46266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3576-2025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46010</v>
      </c>
      <c r="E631" s="1" t="n">
        <v>46266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105-2026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46036</v>
      </c>
      <c r="E632" s="1" t="n">
        <v>46266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238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2026-09-01T02:06:38Z</dcterms:created>
  <dcterms:modified xmlns:dcterms="http://purl.org/dc/terms/" xmlns:xsi="http://www.w3.org/2001/XMLSchema-instance" xsi:type="dcterms:W3CDTF">2026-09-01T02:06:38Z</dcterms:modified>
</cp:coreProperties>
</file>