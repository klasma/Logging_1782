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46278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46278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46278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46278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46278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46278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46278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46278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46278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46278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46278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46278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46278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46278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46278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46278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46278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46278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46278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46278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46278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46278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46278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46278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46278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46278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46278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46278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46978-2023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45195</v>
      </c>
      <c r="E39" s="1" t="n">
        <v>46278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HYPERLINK("https://klasma.github.io/Logging_1782/artfynd/A 46978-2023 artfynd.xlsx", "A 46978-2023")</f>
        <v/>
      </c>
      <c r="X39">
        <f>HYPERLINK("https://klasma.github.io/Logging_1782/kartor/A 46978-2023 karta.png", "A 46978-2023")</f>
        <v/>
      </c>
      <c r="Y39">
        <f>HYPERLINK("https://klasma.github.io/Logging_1782/kartor_geotiff/A 46978-2023 georefererad karta.tif", "A 46978-2023")</f>
        <v/>
      </c>
      <c r="AA39">
        <f>HYPERLINK("https://klasma.github.io/Logging_1782/klagomål/A 46978-2023 FSC-klagomål.docx", "A 46978-2023")</f>
        <v/>
      </c>
      <c r="AB39">
        <f>HYPERLINK("https://klasma.github.io/Logging_1782/klagomålsmail/A 46978-2023 FSC-klagomål mail.docx", "A 46978-2023")</f>
        <v/>
      </c>
      <c r="AC39">
        <f>HYPERLINK("https://klasma.github.io/Logging_1782/tillsyn/A 46978-2023 tillsynsbegäran.docx", "A 46978-2023")</f>
        <v/>
      </c>
      <c r="AD39">
        <f>HYPERLINK("https://klasma.github.io/Logging_1782/tillsynsmail/A 46978-2023 tillsynsbegäran mail.docx", "A 46978-2023")</f>
        <v/>
      </c>
    </row>
    <row r="40" ht="15" customHeight="1">
      <c r="A40" t="inlineStr">
        <is>
          <t>A 17529-2026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46278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Ädellav</t>
        </is>
      </c>
      <c r="W40">
        <f>HYPERLINK("https://klasma.github.io/Logging_1782/artfynd/A 17529-2026 artfynd.xlsx", "A 17529-2026")</f>
        <v/>
      </c>
      <c r="X40">
        <f>HYPERLINK("https://klasma.github.io/Logging_1782/kartor/A 17529-2026 karta.png", "A 17529-2026")</f>
        <v/>
      </c>
      <c r="Y40">
        <f>HYPERLINK("https://klasma.github.io/Logging_1782/kartor_geotiff/A 17529-2026 georefererad karta.tif", "A 17529-2026")</f>
        <v/>
      </c>
      <c r="AA40">
        <f>HYPERLINK("https://klasma.github.io/Logging_1782/klagomål/A 17529-2026 FSC-klagomål.docx", "A 17529-2026")</f>
        <v/>
      </c>
      <c r="AB40">
        <f>HYPERLINK("https://klasma.github.io/Logging_1782/klagomålsmail/A 17529-2026 FSC-klagomål mail.docx", "A 17529-2026")</f>
        <v/>
      </c>
      <c r="AC40">
        <f>HYPERLINK("https://klasma.github.io/Logging_1782/tillsyn/A 17529-2026 tillsynsbegäran.docx", "A 17529-2026")</f>
        <v/>
      </c>
      <c r="AD40">
        <f>HYPERLINK("https://klasma.github.io/Logging_1782/tillsynsmail/A 17529-2026 tillsynsbegäran mail.docx", "A 17529-2026")</f>
        <v/>
      </c>
    </row>
    <row r="41" ht="15" customHeight="1">
      <c r="A41" t="inlineStr">
        <is>
          <t>A 18138-2022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46278</v>
      </c>
      <c r="F41" t="inlineStr">
        <is>
          <t>VÄRMLANDS LÄN</t>
        </is>
      </c>
      <c r="G41" t="inlineStr">
        <is>
          <t>FILIPSTAD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HYPERLINK("https://klasma.github.io/Logging_1782/artfynd/A 18138-2022 artfynd.xlsx", "A 18138-2022")</f>
        <v/>
      </c>
      <c r="X41">
        <f>HYPERLINK("https://klasma.github.io/Logging_1782/kartor/A 18138-2022 karta.png", "A 18138-2022")</f>
        <v/>
      </c>
      <c r="Y41">
        <f>HYPERLINK("https://klasma.github.io/Logging_1782/kartor_geotiff/A 18138-2022 georefererad karta.tif", "A 18138-2022")</f>
        <v/>
      </c>
      <c r="AA41">
        <f>HYPERLINK("https://klasma.github.io/Logging_1782/klagomål/A 18138-2022 FSC-klagomål.docx", "A 18138-2022")</f>
        <v/>
      </c>
      <c r="AB41">
        <f>HYPERLINK("https://klasma.github.io/Logging_1782/klagomålsmail/A 18138-2022 FSC-klagomål mail.docx", "A 18138-2022")</f>
        <v/>
      </c>
      <c r="AC41">
        <f>HYPERLINK("https://klasma.github.io/Logging_1782/tillsyn/A 18138-2022 tillsynsbegäran.docx", "A 18138-2022")</f>
        <v/>
      </c>
      <c r="AD41">
        <f>HYPERLINK("https://klasma.github.io/Logging_1782/tillsynsmail/A 18138-2022 tillsynsbegäran mail.docx", "A 18138-2022")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46278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4560-2025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45687</v>
      </c>
      <c r="E43" s="1" t="n">
        <v>46278</v>
      </c>
      <c r="F43" t="inlineStr">
        <is>
          <t>VÄRMLANDS LÄN</t>
        </is>
      </c>
      <c r="G43" t="inlineStr">
        <is>
          <t>FILIPSTAD</t>
        </is>
      </c>
      <c r="I43" t="n">
        <v>13.6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HYPERLINK("https://klasma.github.io/Logging_1782/artfynd/A 4560-2025 artfynd.xlsx", "A 4560-2025")</f>
        <v/>
      </c>
      <c r="X43">
        <f>HYPERLINK("https://klasma.github.io/Logging_1782/kartor/A 4560-2025 karta.png", "A 4560-2025")</f>
        <v/>
      </c>
      <c r="Y43">
        <f>HYPERLINK("https://klasma.github.io/Logging_1782/kartor_geotiff/A 4560-2025 georefererad karta.tif", "A 4560-2025")</f>
        <v/>
      </c>
      <c r="AA43">
        <f>HYPERLINK("https://klasma.github.io/Logging_1782/klagomål/A 4560-2025 FSC-klagomål.docx", "A 4560-2025")</f>
        <v/>
      </c>
      <c r="AB43">
        <f>HYPERLINK("https://klasma.github.io/Logging_1782/klagomålsmail/A 4560-2025 FSC-klagomål mail.docx", "A 4560-2025")</f>
        <v/>
      </c>
      <c r="AC43">
        <f>HYPERLINK("https://klasma.github.io/Logging_1782/tillsyn/A 4560-2025 tillsynsbegäran.docx", "A 4560-2025")</f>
        <v/>
      </c>
      <c r="AD43">
        <f>HYPERLINK("https://klasma.github.io/Logging_1782/tillsynsmail/A 4560-2025 tillsynsbegäran mail.docx", "A 4560-2025")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46278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46278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46278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46278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50776-2024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46278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15.5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HYPERLINK("https://klasma.github.io/Logging_1782/artfynd/A 50776-2024 artfynd.xlsx", "A 50776-2024")</f>
        <v/>
      </c>
      <c r="X48">
        <f>HYPERLINK("https://klasma.github.io/Logging_1782/kartor/A 50776-2024 karta.png", "A 50776-2024")</f>
        <v/>
      </c>
      <c r="Y48">
        <f>HYPERLINK("https://klasma.github.io/Logging_1782/kartor_geotiff/A 50776-2024 georefererad karta.tif", "A 50776-2024")</f>
        <v/>
      </c>
      <c r="AA48">
        <f>HYPERLINK("https://klasma.github.io/Logging_1782/klagomål/A 50776-2024 FSC-klagomål.docx", "A 50776-2024")</f>
        <v/>
      </c>
      <c r="AB48">
        <f>HYPERLINK("https://klasma.github.io/Logging_1782/klagomålsmail/A 50776-2024 FSC-klagomål mail.docx", "A 50776-2024")</f>
        <v/>
      </c>
      <c r="AC48">
        <f>HYPERLINK("https://klasma.github.io/Logging_1782/tillsyn/A 50776-2024 tillsynsbegäran.docx", "A 50776-2024")</f>
        <v/>
      </c>
      <c r="AD48">
        <f>HYPERLINK("https://klasma.github.io/Logging_1782/tillsynsmail/A 50776-2024 tillsynsbegäran mail.docx", "A 50776-2024")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46278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46278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46278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46278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46278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46278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46278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46278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46278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46278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46278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46278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46278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46278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46278</v>
      </c>
      <c r="F63" t="inlineStr">
        <is>
          <t>VÄRMLANDS LÄN</t>
        </is>
      </c>
      <c r="G63" t="inlineStr">
        <is>
          <t>FILIPSTAD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46278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46278</v>
      </c>
      <c r="F65" t="inlineStr">
        <is>
          <t>VÄRMLANDS LÄN</t>
        </is>
      </c>
      <c r="G65" t="inlineStr">
        <is>
          <t>FILIPSTAD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46278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46278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46278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22356-2022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44713</v>
      </c>
      <c r="E70" s="1" t="n">
        <v>46278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46278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46278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30.5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46278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44799</v>
      </c>
      <c r="E74" s="1" t="n">
        <v>46278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19626-2022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44694</v>
      </c>
      <c r="E75" s="1" t="n">
        <v>46278</v>
      </c>
      <c r="F75" t="inlineStr">
        <is>
          <t>VÄRMLANDS LÄN</t>
        </is>
      </c>
      <c r="G75" t="inlineStr">
        <is>
          <t>FILIPSTAD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46278</v>
      </c>
      <c r="F76" t="inlineStr">
        <is>
          <t>VÄRMLANDS LÄN</t>
        </is>
      </c>
      <c r="G76" t="inlineStr">
        <is>
          <t>FILIPSTAD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46278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66376-2021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46278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46278</v>
      </c>
      <c r="F79" t="inlineStr">
        <is>
          <t>VÄRMLANDS LÄN</t>
        </is>
      </c>
      <c r="G79" t="inlineStr">
        <is>
          <t>FILIPSTAD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46278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46278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46278</v>
      </c>
      <c r="F82" t="inlineStr">
        <is>
          <t>VÄRMLANDS LÄN</t>
        </is>
      </c>
      <c r="G82" t="inlineStr">
        <is>
          <t>FILIPSTAD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46278</v>
      </c>
      <c r="F83" t="inlineStr">
        <is>
          <t>VÄRMLANDS LÄN</t>
        </is>
      </c>
      <c r="G83" t="inlineStr">
        <is>
          <t>FILIPSTAD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46278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46278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46278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44467</v>
      </c>
      <c r="E87" s="1" t="n">
        <v>46278</v>
      </c>
      <c r="F87" t="inlineStr">
        <is>
          <t>VÄRMLANDS LÄN</t>
        </is>
      </c>
      <c r="G87" t="inlineStr">
        <is>
          <t>FILIPSTAD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46278</v>
      </c>
      <c r="F88" t="inlineStr">
        <is>
          <t>VÄRMLANDS LÄN</t>
        </is>
      </c>
      <c r="G88" t="inlineStr">
        <is>
          <t>FILIPSTAD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46278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46278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46278</v>
      </c>
      <c r="F91" t="inlineStr">
        <is>
          <t>VÄRMLANDS LÄN</t>
        </is>
      </c>
      <c r="G91" t="inlineStr">
        <is>
          <t>FILIPSTAD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46278</v>
      </c>
      <c r="F92" t="inlineStr">
        <is>
          <t>VÄRMLANDS LÄN</t>
        </is>
      </c>
      <c r="G92" t="inlineStr">
        <is>
          <t>FILIPSTAD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46278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45223</v>
      </c>
      <c r="E94" s="1" t="n">
        <v>46278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46278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46278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46278</v>
      </c>
      <c r="F97" t="inlineStr">
        <is>
          <t>VÄRMLANDS LÄN</t>
        </is>
      </c>
      <c r="G97" t="inlineStr">
        <is>
          <t>FILIPSTAD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46278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46278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46278</v>
      </c>
      <c r="F100" t="inlineStr">
        <is>
          <t>VÄRMLANDS LÄN</t>
        </is>
      </c>
      <c r="G100" t="inlineStr">
        <is>
          <t>FILIPSTAD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46278</v>
      </c>
      <c r="F101" t="inlineStr">
        <is>
          <t>VÄRMLANDS LÄN</t>
        </is>
      </c>
      <c r="G101" t="inlineStr">
        <is>
          <t>FILIPSTAD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46278</v>
      </c>
      <c r="F102" t="inlineStr">
        <is>
          <t>VÄRMLANDS LÄN</t>
        </is>
      </c>
      <c r="G102" t="inlineStr">
        <is>
          <t>FILIPSTAD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46278</v>
      </c>
      <c r="F103" t="inlineStr">
        <is>
          <t>VÄRMLANDS LÄN</t>
        </is>
      </c>
      <c r="G103" t="inlineStr">
        <is>
          <t>FILIPSTAD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46278</v>
      </c>
      <c r="F104" t="inlineStr">
        <is>
          <t>VÄRMLANDS LÄN</t>
        </is>
      </c>
      <c r="G104" t="inlineStr">
        <is>
          <t>FILIPSTAD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46278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45474</v>
      </c>
      <c r="E106" s="1" t="n">
        <v>46278</v>
      </c>
      <c r="F106" t="inlineStr">
        <is>
          <t>VÄRMLANDS LÄN</t>
        </is>
      </c>
      <c r="G106" t="inlineStr">
        <is>
          <t>FILIPSTAD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46278</v>
      </c>
      <c r="F107" t="inlineStr">
        <is>
          <t>VÄRMLANDS LÄN</t>
        </is>
      </c>
      <c r="G107" t="inlineStr">
        <is>
          <t>FILIPSTAD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46278</v>
      </c>
      <c r="F108" t="inlineStr">
        <is>
          <t>VÄRMLANDS LÄN</t>
        </is>
      </c>
      <c r="G108" t="inlineStr">
        <is>
          <t>FILIPSTAD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46278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46278</v>
      </c>
      <c r="F110" t="inlineStr">
        <is>
          <t>VÄRMLANDS LÄN</t>
        </is>
      </c>
      <c r="G110" t="inlineStr">
        <is>
          <t>FILIPSTAD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45674</v>
      </c>
      <c r="E111" s="1" t="n">
        <v>46278</v>
      </c>
      <c r="F111" t="inlineStr">
        <is>
          <t>VÄRMLANDS LÄN</t>
        </is>
      </c>
      <c r="G111" t="inlineStr">
        <is>
          <t>FILIPSTAD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46278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46278</v>
      </c>
      <c r="F113" t="inlineStr">
        <is>
          <t>VÄRMLANDS LÄN</t>
        </is>
      </c>
      <c r="G113" t="inlineStr">
        <is>
          <t>FILIPSTAD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46278</v>
      </c>
      <c r="F114" t="inlineStr">
        <is>
          <t>VÄRMLANDS LÄN</t>
        </is>
      </c>
      <c r="G114" t="inlineStr">
        <is>
          <t>FILIPSTAD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46278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46278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69015-2021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44530</v>
      </c>
      <c r="E117" s="1" t="n">
        <v>46278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46278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46278</v>
      </c>
      <c r="F120" t="inlineStr">
        <is>
          <t>VÄRMLANDS LÄN</t>
        </is>
      </c>
      <c r="G120" t="inlineStr">
        <is>
          <t>FILIPSTAD</t>
        </is>
      </c>
      <c r="I120" t="n">
        <v>23.3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46278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46278</v>
      </c>
      <c r="F123" t="inlineStr">
        <is>
          <t>VÄRMLANDS LÄN</t>
        </is>
      </c>
      <c r="G123" t="inlineStr">
        <is>
          <t>FILIPSTAD</t>
        </is>
      </c>
      <c r="H123" t="inlineStr">
        <is>
          <t>Kyrkan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46278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45832</v>
      </c>
      <c r="E125" s="1" t="n">
        <v>46278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46278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46278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44935</v>
      </c>
      <c r="E128" s="1" t="n">
        <v>46278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32032-2025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45835</v>
      </c>
      <c r="E129" s="1" t="n">
        <v>46278</v>
      </c>
      <c r="F129" t="inlineStr">
        <is>
          <t>VÄRMLANDS LÄN</t>
        </is>
      </c>
      <c r="G129" t="inlineStr">
        <is>
          <t>FILIPSTAD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46278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46278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46278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46278</v>
      </c>
      <c r="F133" t="inlineStr">
        <is>
          <t>VÄRMLANDS LÄN</t>
        </is>
      </c>
      <c r="G133" t="inlineStr">
        <is>
          <t>FILIPSTAD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46278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46278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46278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46278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46278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46278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46278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46278</v>
      </c>
      <c r="F141" t="inlineStr">
        <is>
          <t>VÄRMLANDS LÄN</t>
        </is>
      </c>
      <c r="G141" t="inlineStr">
        <is>
          <t>FILIPSTAD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46278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46278</v>
      </c>
      <c r="F143" t="inlineStr">
        <is>
          <t>VÄRMLANDS LÄN</t>
        </is>
      </c>
      <c r="G143" t="inlineStr">
        <is>
          <t>FILIPSTAD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46278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46278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46278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46278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46278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46278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46278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45933</v>
      </c>
      <c r="E151" s="1" t="n">
        <v>46278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46278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45569</v>
      </c>
      <c r="E153" s="1" t="n">
        <v>46278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46278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46278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46278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46278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46278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46278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46278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46278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46278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46278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45072</v>
      </c>
      <c r="E165" s="1" t="n">
        <v>46278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46278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45484</v>
      </c>
      <c r="E167" s="1" t="n">
        <v>46278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46278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46278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46278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46278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46278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46278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46278</v>
      </c>
      <c r="F174" t="inlineStr">
        <is>
          <t>VÄRMLANDS LÄN</t>
        </is>
      </c>
      <c r="G174" t="inlineStr">
        <is>
          <t>FILIPSTAD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46278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46278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46278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46278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46278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46107</v>
      </c>
      <c r="E180" s="1" t="n">
        <v>46278</v>
      </c>
      <c r="F180" t="inlineStr">
        <is>
          <t>VÄRMLANDS LÄN</t>
        </is>
      </c>
      <c r="G180" t="inlineStr">
        <is>
          <t>FILIPSTAD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46278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46278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46278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16040-2026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46108</v>
      </c>
      <c r="E184" s="1" t="n">
        <v>46278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46108</v>
      </c>
      <c r="E185" s="1" t="n">
        <v>46278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46278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46278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46278</v>
      </c>
      <c r="F190" t="inlineStr">
        <is>
          <t>VÄRMLANDS LÄN</t>
        </is>
      </c>
      <c r="G190" t="inlineStr">
        <is>
          <t>FILIPSTAD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46278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46278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46278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46278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46278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46278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46278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46278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46278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46278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46278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46278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46278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46278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46278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46278</v>
      </c>
      <c r="F208" t="inlineStr">
        <is>
          <t>VÄRMLANDS LÄN</t>
        </is>
      </c>
      <c r="G208" t="inlineStr">
        <is>
          <t>FILIPSTAD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46278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46278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46278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46278</v>
      </c>
      <c r="F213" t="inlineStr">
        <is>
          <t>VÄRMLANDS LÄN</t>
        </is>
      </c>
      <c r="G213" t="inlineStr">
        <is>
          <t>FILIPSTAD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46278</v>
      </c>
      <c r="F214" t="inlineStr">
        <is>
          <t>VÄRMLANDS LÄN</t>
        </is>
      </c>
      <c r="G214" t="inlineStr">
        <is>
          <t>FILIPSTAD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46278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46278</v>
      </c>
      <c r="F216" t="inlineStr">
        <is>
          <t>VÄRMLANDS LÄN</t>
        </is>
      </c>
      <c r="G216" t="inlineStr">
        <is>
          <t>FILIPSTAD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46278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46278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46278</v>
      </c>
      <c r="F219" t="inlineStr">
        <is>
          <t>VÄRMLANDS LÄN</t>
        </is>
      </c>
      <c r="G219" t="inlineStr">
        <is>
          <t>FILIPSTAD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46278</v>
      </c>
      <c r="F220" t="inlineStr">
        <is>
          <t>VÄRMLANDS LÄN</t>
        </is>
      </c>
      <c r="G220" t="inlineStr">
        <is>
          <t>FILIPSTAD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46278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46278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46278</v>
      </c>
      <c r="F223" t="inlineStr">
        <is>
          <t>VÄRMLANDS LÄN</t>
        </is>
      </c>
      <c r="G223" t="inlineStr">
        <is>
          <t>FILIPSTAD</t>
        </is>
      </c>
      <c r="H223" t="inlineStr">
        <is>
          <t>Kommuner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46278</v>
      </c>
      <c r="F224" t="inlineStr">
        <is>
          <t>VÄRMLANDS LÄN</t>
        </is>
      </c>
      <c r="G224" t="inlineStr">
        <is>
          <t>FILIPSTAD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46278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46278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46278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46278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44951</v>
      </c>
      <c r="E229" s="1" t="n">
        <v>46278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46278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46278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46278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46278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46278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46278</v>
      </c>
      <c r="F235" t="inlineStr">
        <is>
          <t>VÄRMLANDS LÄN</t>
        </is>
      </c>
      <c r="G235" t="inlineStr">
        <is>
          <t>FILIPSTAD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46278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46278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46278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46278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46278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46278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46278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46128</v>
      </c>
      <c r="E244" s="1" t="n">
        <v>46278</v>
      </c>
      <c r="F244" t="inlineStr">
        <is>
          <t>VÄRMLANDS LÄN</t>
        </is>
      </c>
      <c r="G244" t="inlineStr">
        <is>
          <t>FILIPSTAD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46278</v>
      </c>
      <c r="F245" t="inlineStr">
        <is>
          <t>VÄRMLANDS LÄN</t>
        </is>
      </c>
      <c r="G245" t="inlineStr">
        <is>
          <t>FILIPSTAD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46278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46278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46278</v>
      </c>
      <c r="F248" t="inlineStr">
        <is>
          <t>VÄRMLANDS LÄN</t>
        </is>
      </c>
      <c r="G248" t="inlineStr">
        <is>
          <t>FILIPSTAD</t>
        </is>
      </c>
      <c r="H248" t="inlineStr">
        <is>
          <t>Kyrkan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45427</v>
      </c>
      <c r="E249" s="1" t="n">
        <v>46278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46278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46278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46278</v>
      </c>
      <c r="F252" t="inlineStr">
        <is>
          <t>VÄRMLANDS LÄN</t>
        </is>
      </c>
      <c r="G252" t="inlineStr">
        <is>
          <t>FILIPSTAD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46278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45996</v>
      </c>
      <c r="E254" s="1" t="n">
        <v>46278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45088</v>
      </c>
      <c r="E255" s="1" t="n">
        <v>46278</v>
      </c>
      <c r="F255" t="inlineStr">
        <is>
          <t>VÄRMLANDS LÄN</t>
        </is>
      </c>
      <c r="G255" t="inlineStr">
        <is>
          <t>FILIPSTAD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45995</v>
      </c>
      <c r="E256" s="1" t="n">
        <v>46278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46278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46278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46278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46278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45769</v>
      </c>
      <c r="E261" s="1" t="n">
        <v>46278</v>
      </c>
      <c r="F261" t="inlineStr">
        <is>
          <t>VÄRMLANDS LÄN</t>
        </is>
      </c>
      <c r="G261" t="inlineStr">
        <is>
          <t>FILIPSTAD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46278</v>
      </c>
      <c r="F262" t="inlineStr">
        <is>
          <t>VÄRMLANDS LÄN</t>
        </is>
      </c>
      <c r="G262" t="inlineStr">
        <is>
          <t>FILIPSTAD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19669-2026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46278</v>
      </c>
      <c r="F263" t="inlineStr">
        <is>
          <t>VÄRMLANDS LÄN</t>
        </is>
      </c>
      <c r="G263" t="inlineStr">
        <is>
          <t>FILIPSTAD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46278</v>
      </c>
      <c r="F264" t="inlineStr">
        <is>
          <t>VÄRMLANDS LÄN</t>
        </is>
      </c>
      <c r="G264" t="inlineStr">
        <is>
          <t>FILIPSTAD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46278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46278</v>
      </c>
      <c r="F266" t="inlineStr">
        <is>
          <t>VÄRMLANDS LÄN</t>
        </is>
      </c>
      <c r="G266" t="inlineStr">
        <is>
          <t>FILIPSTAD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46278</v>
      </c>
      <c r="F267" t="inlineStr">
        <is>
          <t>VÄRMLANDS LÄN</t>
        </is>
      </c>
      <c r="G267" t="inlineStr">
        <is>
          <t>FILIPSTAD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46278</v>
      </c>
      <c r="F268" t="inlineStr">
        <is>
          <t>VÄRMLANDS LÄN</t>
        </is>
      </c>
      <c r="G268" t="inlineStr">
        <is>
          <t>FILIPSTAD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46001</v>
      </c>
      <c r="E269" s="1" t="n">
        <v>46278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46278</v>
      </c>
      <c r="F270" t="inlineStr">
        <is>
          <t>VÄRMLANDS LÄN</t>
        </is>
      </c>
      <c r="G270" t="inlineStr">
        <is>
          <t>FILIPSTAD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46278</v>
      </c>
      <c r="F271" t="inlineStr">
        <is>
          <t>VÄRMLANDS LÄN</t>
        </is>
      </c>
      <c r="G271" t="inlineStr">
        <is>
          <t>FILIPSTAD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46278</v>
      </c>
      <c r="F272" t="inlineStr">
        <is>
          <t>VÄRMLANDS LÄN</t>
        </is>
      </c>
      <c r="G272" t="inlineStr">
        <is>
          <t>FILIPSTAD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45088</v>
      </c>
      <c r="E273" s="1" t="n">
        <v>46278</v>
      </c>
      <c r="F273" t="inlineStr">
        <is>
          <t>VÄRMLANDS LÄN</t>
        </is>
      </c>
      <c r="G273" t="inlineStr">
        <is>
          <t>FILIPSTAD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46001</v>
      </c>
      <c r="E274" s="1" t="n">
        <v>46278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46278</v>
      </c>
      <c r="F275" t="inlineStr">
        <is>
          <t>VÄRMLANDS LÄN</t>
        </is>
      </c>
      <c r="G275" t="inlineStr">
        <is>
          <t>FILIPSTAD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46004</v>
      </c>
      <c r="E276" s="1" t="n">
        <v>46278</v>
      </c>
      <c r="F276" t="inlineStr">
        <is>
          <t>VÄRMLANDS LÄN</t>
        </is>
      </c>
      <c r="G276" t="inlineStr">
        <is>
          <t>FILIPSTAD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46278</v>
      </c>
      <c r="F277" t="inlineStr">
        <is>
          <t>VÄRMLANDS LÄN</t>
        </is>
      </c>
      <c r="G277" t="inlineStr">
        <is>
          <t>FILIPSTAD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46004</v>
      </c>
      <c r="E278" s="1" t="n">
        <v>46278</v>
      </c>
      <c r="F278" t="inlineStr">
        <is>
          <t>VÄRMLANDS LÄN</t>
        </is>
      </c>
      <c r="G278" t="inlineStr">
        <is>
          <t>FILIPSTAD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46278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46278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46278</v>
      </c>
      <c r="F281" t="inlineStr">
        <is>
          <t>VÄRMLANDS LÄN</t>
        </is>
      </c>
      <c r="G281" t="inlineStr">
        <is>
          <t>FILIPSTAD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61823-2025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46003</v>
      </c>
      <c r="E282" s="1" t="n">
        <v>46278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46278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46278</v>
      </c>
      <c r="F285" t="inlineStr">
        <is>
          <t>VÄRMLANDS LÄN</t>
        </is>
      </c>
      <c r="G285" t="inlineStr">
        <is>
          <t>FILIPSTAD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46278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46278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46278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46278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45420</v>
      </c>
      <c r="E290" s="1" t="n">
        <v>46278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46278</v>
      </c>
      <c r="F291" t="inlineStr">
        <is>
          <t>VÄRMLANDS LÄN</t>
        </is>
      </c>
      <c r="G291" t="inlineStr">
        <is>
          <t>FILIPSTAD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46278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46278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22843-2025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46278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46278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46278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46278</v>
      </c>
      <c r="F299" t="inlineStr">
        <is>
          <t>VÄRMLANDS LÄN</t>
        </is>
      </c>
      <c r="G299" t="inlineStr">
        <is>
          <t>FILIPSTAD</t>
        </is>
      </c>
      <c r="H299" t="inlineStr">
        <is>
          <t>Kyrkan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46278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45789</v>
      </c>
      <c r="E301" s="1" t="n">
        <v>46278</v>
      </c>
      <c r="F301" t="inlineStr">
        <is>
          <t>VÄRMLANDS LÄN</t>
        </is>
      </c>
      <c r="G301" t="inlineStr">
        <is>
          <t>FILIPSTAD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58611-2025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45986</v>
      </c>
      <c r="E302" s="1" t="n">
        <v>46278</v>
      </c>
      <c r="F302" t="inlineStr">
        <is>
          <t>VÄRMLANDS LÄN</t>
        </is>
      </c>
      <c r="G302" t="inlineStr">
        <is>
          <t>FILIPSTAD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46278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46278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45133</v>
      </c>
      <c r="E305" s="1" t="n">
        <v>46278</v>
      </c>
      <c r="F305" t="inlineStr">
        <is>
          <t>VÄRMLANDS LÄN</t>
        </is>
      </c>
      <c r="G305" t="inlineStr">
        <is>
          <t>FILIPSTAD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46278</v>
      </c>
      <c r="F306" t="inlineStr">
        <is>
          <t>VÄRMLANDS LÄN</t>
        </is>
      </c>
      <c r="G306" t="inlineStr">
        <is>
          <t>FILIPSTAD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46278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46278</v>
      </c>
      <c r="F308" t="inlineStr">
        <is>
          <t>VÄRMLANDS LÄN</t>
        </is>
      </c>
      <c r="G308" t="inlineStr">
        <is>
          <t>FILIPSTAD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46278</v>
      </c>
      <c r="F309" t="inlineStr">
        <is>
          <t>VÄRMLANDS LÄN</t>
        </is>
      </c>
      <c r="G309" t="inlineStr">
        <is>
          <t>FILIPSTAD</t>
        </is>
      </c>
      <c r="H309" t="inlineStr">
        <is>
          <t>Kommuner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4819-2023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44957</v>
      </c>
      <c r="E310" s="1" t="n">
        <v>46278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45393</v>
      </c>
      <c r="E311" s="1" t="n">
        <v>46278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46278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44980</v>
      </c>
      <c r="E313" s="1" t="n">
        <v>46278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46278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46278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46278</v>
      </c>
      <c r="F316" t="inlineStr">
        <is>
          <t>VÄRMLANDS LÄN</t>
        </is>
      </c>
      <c r="G316" t="inlineStr">
        <is>
          <t>FILIPSTAD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46278</v>
      </c>
      <c r="F317" t="inlineStr">
        <is>
          <t>VÄRMLANDS LÄN</t>
        </is>
      </c>
      <c r="G317" t="inlineStr">
        <is>
          <t>FILIPSTAD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46278</v>
      </c>
      <c r="F318" t="inlineStr">
        <is>
          <t>VÄRMLANDS LÄN</t>
        </is>
      </c>
      <c r="G318" t="inlineStr">
        <is>
          <t>FILIPSTAD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46278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46278</v>
      </c>
      <c r="F320" t="inlineStr">
        <is>
          <t>VÄRMLANDS LÄN</t>
        </is>
      </c>
      <c r="G320" t="inlineStr">
        <is>
          <t>FILIPSTAD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46278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46278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46278</v>
      </c>
      <c r="F324" t="inlineStr">
        <is>
          <t>VÄRMLANDS LÄN</t>
        </is>
      </c>
      <c r="G324" t="inlineStr">
        <is>
          <t>FILIPSTAD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46278</v>
      </c>
      <c r="F325" t="inlineStr">
        <is>
          <t>VÄRMLANDS LÄN</t>
        </is>
      </c>
      <c r="G325" t="inlineStr">
        <is>
          <t>FILIPSTAD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46278</v>
      </c>
      <c r="F326" t="inlineStr">
        <is>
          <t>VÄRMLANDS LÄN</t>
        </is>
      </c>
      <c r="G326" t="inlineStr">
        <is>
          <t>FILIPSTAD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46278</v>
      </c>
      <c r="F327" t="inlineStr">
        <is>
          <t>VÄRMLANDS LÄN</t>
        </is>
      </c>
      <c r="G327" t="inlineStr">
        <is>
          <t>FILIPSTAD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46278</v>
      </c>
      <c r="F328" t="inlineStr">
        <is>
          <t>VÄRMLANDS LÄN</t>
        </is>
      </c>
      <c r="G328" t="inlineStr">
        <is>
          <t>FILIPSTAD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46278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46278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46278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20554-2025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45775</v>
      </c>
      <c r="E332" s="1" t="n">
        <v>46278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46278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46278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46278</v>
      </c>
      <c r="F335" t="inlineStr">
        <is>
          <t>VÄRMLANDS LÄN</t>
        </is>
      </c>
      <c r="G335" t="inlineStr">
        <is>
          <t>FILIPSTAD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46278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31676-2025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46278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46278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46278</v>
      </c>
      <c r="F339" t="inlineStr">
        <is>
          <t>VÄRMLANDS LÄN</t>
        </is>
      </c>
      <c r="G339" t="inlineStr">
        <is>
          <t>FILIPSTAD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46278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46278</v>
      </c>
      <c r="F341" t="inlineStr">
        <is>
          <t>VÄRMLANDS LÄN</t>
        </is>
      </c>
      <c r="G341" t="inlineStr">
        <is>
          <t>FILIPSTAD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45484</v>
      </c>
      <c r="E342" s="1" t="n">
        <v>46278</v>
      </c>
      <c r="F342" t="inlineStr">
        <is>
          <t>VÄRMLANDS LÄN</t>
        </is>
      </c>
      <c r="G342" t="inlineStr">
        <is>
          <t>FILIPSTAD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63482-2021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44508</v>
      </c>
      <c r="E343" s="1" t="n">
        <v>46278</v>
      </c>
      <c r="F343" t="inlineStr">
        <is>
          <t>VÄRMLANDS LÄN</t>
        </is>
      </c>
      <c r="G343" t="inlineStr">
        <is>
          <t>FILIPSTAD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45665</v>
      </c>
      <c r="E344" s="1" t="n">
        <v>46278</v>
      </c>
      <c r="F344" t="inlineStr">
        <is>
          <t>VÄRMLANDS LÄN</t>
        </is>
      </c>
      <c r="G344" t="inlineStr">
        <is>
          <t>FILIPSTAD</t>
        </is>
      </c>
      <c r="I344" t="n">
        <v>11.7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46278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70405-2021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46278</v>
      </c>
      <c r="F347" t="inlineStr">
        <is>
          <t>VÄRMLANDS LÄN</t>
        </is>
      </c>
      <c r="G347" t="inlineStr">
        <is>
          <t>FILIPSTAD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46278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46278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46278</v>
      </c>
      <c r="F350" t="inlineStr">
        <is>
          <t>VÄRMLANDS LÄN</t>
        </is>
      </c>
      <c r="G350" t="inlineStr">
        <is>
          <t>FILIPSTAD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46278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46278</v>
      </c>
      <c r="F352" t="inlineStr">
        <is>
          <t>VÄRMLANDS LÄN</t>
        </is>
      </c>
      <c r="G352" t="inlineStr">
        <is>
          <t>FILIPSTAD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46278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46278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46278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46278</v>
      </c>
      <c r="F358" t="inlineStr">
        <is>
          <t>VÄRMLANDS LÄN</t>
        </is>
      </c>
      <c r="G358" t="inlineStr">
        <is>
          <t>FILIPSTAD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46278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46278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46278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46278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45658</v>
      </c>
      <c r="E364" s="1" t="n">
        <v>46278</v>
      </c>
      <c r="F364" t="inlineStr">
        <is>
          <t>VÄRMLANDS LÄN</t>
        </is>
      </c>
      <c r="G364" t="inlineStr">
        <is>
          <t>FILIPSTAD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46278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45063</v>
      </c>
      <c r="E366" s="1" t="n">
        <v>46278</v>
      </c>
      <c r="F366" t="inlineStr">
        <is>
          <t>VÄRMLANDS LÄN</t>
        </is>
      </c>
      <c r="G366" t="inlineStr">
        <is>
          <t>FILIPSTAD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46278</v>
      </c>
      <c r="F367" t="inlineStr">
        <is>
          <t>VÄRMLANDS LÄN</t>
        </is>
      </c>
      <c r="G367" t="inlineStr">
        <is>
          <t>FILIPSTAD</t>
        </is>
      </c>
      <c r="H367" t="inlineStr">
        <is>
          <t>Kyrkan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46278</v>
      </c>
      <c r="F368" t="inlineStr">
        <is>
          <t>VÄRMLANDS LÄN</t>
        </is>
      </c>
      <c r="G368" t="inlineStr">
        <is>
          <t>FILIPSTAD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46278</v>
      </c>
      <c r="F369" t="inlineStr">
        <is>
          <t>VÄRMLANDS LÄN</t>
        </is>
      </c>
      <c r="G369" t="inlineStr">
        <is>
          <t>FILIPSTAD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46278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23576-2026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46278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46278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46278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46278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46278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46278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29825-2023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45107</v>
      </c>
      <c r="E377" s="1" t="n">
        <v>46278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46278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49935-2025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45940</v>
      </c>
      <c r="E379" s="1" t="n">
        <v>46278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46278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46278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46278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46278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46278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46278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46278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46278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46278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46278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45686</v>
      </c>
      <c r="E390" s="1" t="n">
        <v>46278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46278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46278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46278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45184</v>
      </c>
      <c r="E394" s="1" t="n">
        <v>46278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46278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46278</v>
      </c>
      <c r="F396" t="inlineStr">
        <is>
          <t>VÄRMLANDS LÄN</t>
        </is>
      </c>
      <c r="G396" t="inlineStr">
        <is>
          <t>FILIPSTAD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28161-2023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45093</v>
      </c>
      <c r="E397" s="1" t="n">
        <v>46278</v>
      </c>
      <c r="F397" t="inlineStr">
        <is>
          <t>VÄRMLANDS LÄN</t>
        </is>
      </c>
      <c r="G397" t="inlineStr">
        <is>
          <t>FILIPSTAD</t>
        </is>
      </c>
      <c r="H397" t="inlineStr">
        <is>
          <t>Kommuner</t>
        </is>
      </c>
      <c r="I397" t="n">
        <v>15.4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46278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46278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46278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46278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46278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46278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46278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45456</v>
      </c>
      <c r="E405" s="1" t="n">
        <v>46278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46278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46278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46278</v>
      </c>
      <c r="F408" t="inlineStr">
        <is>
          <t>VÄRMLANDS LÄN</t>
        </is>
      </c>
      <c r="G408" t="inlineStr">
        <is>
          <t>FILIPSTAD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46278</v>
      </c>
      <c r="F409" t="inlineStr">
        <is>
          <t>VÄRMLANDS LÄN</t>
        </is>
      </c>
      <c r="G409" t="inlineStr">
        <is>
          <t>FILIPSTAD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16063-2025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45749</v>
      </c>
      <c r="E410" s="1" t="n">
        <v>46278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44691</v>
      </c>
      <c r="E411" s="1" t="n">
        <v>46278</v>
      </c>
      <c r="F411" t="inlineStr">
        <is>
          <t>VÄRMLANDS LÄN</t>
        </is>
      </c>
      <c r="G411" t="inlineStr">
        <is>
          <t>FILIPSTAD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37577-2023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45159</v>
      </c>
      <c r="E413" s="1" t="n">
        <v>46278</v>
      </c>
      <c r="F413" t="inlineStr">
        <is>
          <t>VÄRMLANDS LÄN</t>
        </is>
      </c>
      <c r="G413" t="inlineStr">
        <is>
          <t>FILIPSTAD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46278</v>
      </c>
      <c r="F414" t="inlineStr">
        <is>
          <t>VÄRMLANDS LÄN</t>
        </is>
      </c>
      <c r="G414" t="inlineStr">
        <is>
          <t>FILIPSTAD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45407</v>
      </c>
      <c r="E415" s="1" t="n">
        <v>46278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46278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46278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46278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46278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46278</v>
      </c>
      <c r="F420" t="inlineStr">
        <is>
          <t>VÄRMLANDS LÄN</t>
        </is>
      </c>
      <c r="G420" t="inlineStr">
        <is>
          <t>FILIPSTAD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46278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45186</v>
      </c>
      <c r="E422" s="1" t="n">
        <v>46278</v>
      </c>
      <c r="F422" t="inlineStr">
        <is>
          <t>VÄRMLANDS LÄN</t>
        </is>
      </c>
      <c r="G422" t="inlineStr">
        <is>
          <t>FILIPSTAD</t>
        </is>
      </c>
      <c r="I422" t="n">
        <v>15.3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16103-2025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45750</v>
      </c>
      <c r="E423" s="1" t="n">
        <v>46278</v>
      </c>
      <c r="F423" t="inlineStr">
        <is>
          <t>VÄRMLANDS LÄN</t>
        </is>
      </c>
      <c r="G423" t="inlineStr">
        <is>
          <t>FILIPSTAD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46278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25769-2026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46278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46278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46278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36251-2022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44803</v>
      </c>
      <c r="E428" s="1" t="n">
        <v>46278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46278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46278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46278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46278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46278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46257-2022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44847</v>
      </c>
      <c r="E436" s="1" t="n">
        <v>46278</v>
      </c>
      <c r="F436" t="inlineStr">
        <is>
          <t>VÄRMLANDS LÄN</t>
        </is>
      </c>
      <c r="G436" t="inlineStr">
        <is>
          <t>FILIPSTAD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46278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37611-2022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46278</v>
      </c>
      <c r="F438" t="inlineStr">
        <is>
          <t>VÄRMLANDS LÄN</t>
        </is>
      </c>
      <c r="G438" t="inlineStr">
        <is>
          <t>FILIPSTAD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46182</v>
      </c>
      <c r="E439" s="1" t="n">
        <v>46278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46278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46278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46278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46186</v>
      </c>
      <c r="E444" s="1" t="n">
        <v>46278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45087</v>
      </c>
      <c r="E447" s="1" t="n">
        <v>46278</v>
      </c>
      <c r="F447" t="inlineStr">
        <is>
          <t>VÄRMLANDS LÄN</t>
        </is>
      </c>
      <c r="G447" t="inlineStr">
        <is>
          <t>FILIPSTAD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46278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46278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46278</v>
      </c>
      <c r="F450" t="inlineStr">
        <is>
          <t>VÄRMLANDS LÄN</t>
        </is>
      </c>
      <c r="G450" t="inlineStr">
        <is>
          <t>FILIPSTAD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46278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46278</v>
      </c>
      <c r="F452" t="inlineStr">
        <is>
          <t>VÄRMLANDS LÄN</t>
        </is>
      </c>
      <c r="G452" t="inlineStr">
        <is>
          <t>FILIPSTAD</t>
        </is>
      </c>
      <c r="I452" t="n">
        <v>13.4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45177</v>
      </c>
      <c r="E453" s="1" t="n">
        <v>46278</v>
      </c>
      <c r="F453" t="inlineStr">
        <is>
          <t>VÄRMLANDS LÄN</t>
        </is>
      </c>
      <c r="G453" t="inlineStr">
        <is>
          <t>FILIPSTAD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46278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46237</v>
      </c>
      <c r="E455" s="1" t="n">
        <v>46278</v>
      </c>
      <c r="F455" t="inlineStr">
        <is>
          <t>VÄRMLANDS LÄN</t>
        </is>
      </c>
      <c r="G455" t="inlineStr">
        <is>
          <t>FILIPSTAD</t>
        </is>
      </c>
      <c r="H455" t="inlineStr">
        <is>
          <t>Kommuner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46278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46278</v>
      </c>
      <c r="F457" t="inlineStr">
        <is>
          <t>VÄRMLANDS LÄN</t>
        </is>
      </c>
      <c r="G457" t="inlineStr">
        <is>
          <t>FILIPSTAD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46278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46278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46278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46278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46278</v>
      </c>
      <c r="F462" t="inlineStr">
        <is>
          <t>VÄRMLANDS LÄN</t>
        </is>
      </c>
      <c r="G462" t="inlineStr">
        <is>
          <t>FILIPSTAD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46278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46278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45229</v>
      </c>
      <c r="E465" s="1" t="n">
        <v>46278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46278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46278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46278</v>
      </c>
      <c r="F468" t="inlineStr">
        <is>
          <t>VÄRMLANDS LÄN</t>
        </is>
      </c>
      <c r="G468" t="inlineStr">
        <is>
          <t>FILIPSTAD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46239</v>
      </c>
      <c r="E469" s="1" t="n">
        <v>46278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46278</v>
      </c>
      <c r="F470" t="inlineStr">
        <is>
          <t>VÄRMLANDS LÄN</t>
        </is>
      </c>
      <c r="G470" t="inlineStr">
        <is>
          <t>FILIPSTAD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55397-2022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44887</v>
      </c>
      <c r="E471" s="1" t="n">
        <v>46278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46278</v>
      </c>
      <c r="F472" t="inlineStr">
        <is>
          <t>VÄRMLANDS LÄN</t>
        </is>
      </c>
      <c r="G472" t="inlineStr">
        <is>
          <t>FILIPSTAD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55978-2022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44889</v>
      </c>
      <c r="E473" s="1" t="n">
        <v>46278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46278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46241</v>
      </c>
      <c r="E475" s="1" t="n">
        <v>46278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46278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50856-2022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44867</v>
      </c>
      <c r="E477" s="1" t="n">
        <v>46278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46278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46278</v>
      </c>
      <c r="F479" t="inlineStr">
        <is>
          <t>VÄRMLANDS LÄN</t>
        </is>
      </c>
      <c r="G479" t="inlineStr">
        <is>
          <t>FILIPSTAD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46278</v>
      </c>
      <c r="F480" t="inlineStr">
        <is>
          <t>VÄRMLANDS LÄN</t>
        </is>
      </c>
      <c r="G480" t="inlineStr">
        <is>
          <t>FILIPSTAD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46278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46278</v>
      </c>
      <c r="F482" t="inlineStr">
        <is>
          <t>VÄRMLANDS LÄN</t>
        </is>
      </c>
      <c r="G482" t="inlineStr">
        <is>
          <t>FILIPSTAD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46278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46278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46246</v>
      </c>
      <c r="E485" s="1" t="n">
        <v>46278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46278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46278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44994</v>
      </c>
      <c r="E489" s="1" t="n">
        <v>46278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36680-2023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45153</v>
      </c>
      <c r="E490" s="1" t="n">
        <v>46278</v>
      </c>
      <c r="F490" t="inlineStr">
        <is>
          <t>VÄRMLANDS LÄN</t>
        </is>
      </c>
      <c r="G490" t="inlineStr">
        <is>
          <t>FILIPSTAD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46278</v>
      </c>
      <c r="F491" t="inlineStr">
        <is>
          <t>VÄRMLANDS LÄN</t>
        </is>
      </c>
      <c r="G491" t="inlineStr">
        <is>
          <t>FILIPSTAD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46278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46278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44963</v>
      </c>
      <c r="E494" s="1" t="n">
        <v>46278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46278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46278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46278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33468-2026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46247</v>
      </c>
      <c r="E499" s="1" t="n">
        <v>46278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46278</v>
      </c>
      <c r="F500" t="inlineStr">
        <is>
          <t>VÄRMLANDS LÄN</t>
        </is>
      </c>
      <c r="G500" t="inlineStr">
        <is>
          <t>FILIPSTAD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46278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46090</v>
      </c>
      <c r="E502" s="1" t="n">
        <v>46278</v>
      </c>
      <c r="F502" t="inlineStr">
        <is>
          <t>VÄRMLANDS LÄN</t>
        </is>
      </c>
      <c r="G502" t="inlineStr">
        <is>
          <t>FILIPSTAD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46278</v>
      </c>
      <c r="F503" t="inlineStr">
        <is>
          <t>VÄRMLANDS LÄN</t>
        </is>
      </c>
      <c r="G503" t="inlineStr">
        <is>
          <t>FILIPSTAD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46278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46278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71971-2021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46278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46278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46278</v>
      </c>
      <c r="F509" t="inlineStr">
        <is>
          <t>VÄRMLANDS LÄN</t>
        </is>
      </c>
      <c r="G509" t="inlineStr">
        <is>
          <t>FILIPSTAD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46278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46278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44981</v>
      </c>
      <c r="E513" s="1" t="n">
        <v>46278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46278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54008-2021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44470</v>
      </c>
      <c r="E516" s="1" t="n">
        <v>46278</v>
      </c>
      <c r="F516" t="inlineStr">
        <is>
          <t>VÄRMLANDS LÄN</t>
        </is>
      </c>
      <c r="G516" t="inlineStr">
        <is>
          <t>FILIPSTAD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50786-2024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45602</v>
      </c>
      <c r="E517" s="1" t="n">
        <v>46278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44963</v>
      </c>
      <c r="E518" s="1" t="n">
        <v>46278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46278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44805</v>
      </c>
      <c r="E520" s="1" t="n">
        <v>46278</v>
      </c>
      <c r="F520" t="inlineStr">
        <is>
          <t>VÄRMLANDS LÄN</t>
        </is>
      </c>
      <c r="G520" t="inlineStr">
        <is>
          <t>FILIPSTAD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46278</v>
      </c>
      <c r="F521" t="inlineStr">
        <is>
          <t>VÄRMLANDS LÄN</t>
        </is>
      </c>
      <c r="G521" t="inlineStr">
        <is>
          <t>FILIPSTAD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45124</v>
      </c>
      <c r="E522" s="1" t="n">
        <v>46278</v>
      </c>
      <c r="F522" t="inlineStr">
        <is>
          <t>VÄRMLANDS LÄN</t>
        </is>
      </c>
      <c r="G522" t="inlineStr">
        <is>
          <t>FILIPSTAD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46278</v>
      </c>
      <c r="F523" t="inlineStr">
        <is>
          <t>VÄRMLANDS LÄN</t>
        </is>
      </c>
      <c r="G523" t="inlineStr">
        <is>
          <t>FILIPSTAD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46278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19.2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46278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25737-2023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45090</v>
      </c>
      <c r="E527" s="1" t="n">
        <v>46278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44579</v>
      </c>
      <c r="E529" s="1" t="n">
        <v>46278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46278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45401</v>
      </c>
      <c r="E531" s="1" t="n">
        <v>46278</v>
      </c>
      <c r="F531" t="inlineStr">
        <is>
          <t>VÄRMLANDS LÄN</t>
        </is>
      </c>
      <c r="G531" t="inlineStr">
        <is>
          <t>FILIPSTAD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45516</v>
      </c>
      <c r="E532" s="1" t="n">
        <v>46278</v>
      </c>
      <c r="F532" t="inlineStr">
        <is>
          <t>VÄRMLANDS LÄN</t>
        </is>
      </c>
      <c r="G532" t="inlineStr">
        <is>
          <t>FILIPSTAD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46259</v>
      </c>
      <c r="E533" s="1" t="n">
        <v>46278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46278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45655</v>
      </c>
      <c r="E535" s="1" t="n">
        <v>46278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46261</v>
      </c>
      <c r="E536" s="1" t="n">
        <v>46278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46278</v>
      </c>
      <c r="F537" t="inlineStr">
        <is>
          <t>VÄRMLANDS LÄN</t>
        </is>
      </c>
      <c r="G537" t="inlineStr">
        <is>
          <t>FILIPSTAD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46278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46278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46218</v>
      </c>
      <c r="E540" s="1" t="n">
        <v>46278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46278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35314-2026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46278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46278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46264</v>
      </c>
      <c r="E544" s="1" t="n">
        <v>46278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45578</v>
      </c>
      <c r="E545" s="1" t="n">
        <v>46278</v>
      </c>
      <c r="F545" t="inlineStr">
        <is>
          <t>VÄRMLANDS LÄN</t>
        </is>
      </c>
      <c r="G545" t="inlineStr">
        <is>
          <t>FILIPSTAD</t>
        </is>
      </c>
      <c r="I545" t="n">
        <v>27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46278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46278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46189</v>
      </c>
      <c r="E548" s="1" t="n">
        <v>46278</v>
      </c>
      <c r="F548" t="inlineStr">
        <is>
          <t>VÄRMLANDS LÄN</t>
        </is>
      </c>
      <c r="G548" t="inlineStr">
        <is>
          <t>FILIPSTAD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22830-2023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45072</v>
      </c>
      <c r="E549" s="1" t="n">
        <v>46278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46278</v>
      </c>
      <c r="F550" t="inlineStr">
        <is>
          <t>VÄRMLANDS LÄN</t>
        </is>
      </c>
      <c r="G550" t="inlineStr">
        <is>
          <t>FILIPSTAD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46278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35948-2026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46266</v>
      </c>
      <c r="E552" s="1" t="n">
        <v>46278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46278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46264</v>
      </c>
      <c r="E554" s="1" t="n">
        <v>46278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46266</v>
      </c>
      <c r="E555" s="1" t="n">
        <v>46278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31537-2026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46223</v>
      </c>
      <c r="E556" s="1" t="n">
        <v>46278</v>
      </c>
      <c r="F556" t="inlineStr">
        <is>
          <t>VÄRMLANDS LÄN</t>
        </is>
      </c>
      <c r="G556" t="inlineStr">
        <is>
          <t>FILIPSTAD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46267</v>
      </c>
      <c r="E557" s="1" t="n">
        <v>46278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46225</v>
      </c>
      <c r="E558" s="1" t="n">
        <v>46278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45655</v>
      </c>
      <c r="E559" s="1" t="n">
        <v>46278</v>
      </c>
      <c r="F559" t="inlineStr">
        <is>
          <t>VÄRMLANDS LÄN</t>
        </is>
      </c>
      <c r="G559" t="inlineStr">
        <is>
          <t>FILIPSTAD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48040-2023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46278</v>
      </c>
      <c r="F560" t="inlineStr">
        <is>
          <t>VÄRMLANDS LÄN</t>
        </is>
      </c>
      <c r="G560" t="inlineStr">
        <is>
          <t>FILIPSTAD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46278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46278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44935</v>
      </c>
      <c r="E563" s="1" t="n">
        <v>46278</v>
      </c>
      <c r="F563" t="inlineStr">
        <is>
          <t>VÄRMLANDS LÄN</t>
        </is>
      </c>
      <c r="G563" t="inlineStr">
        <is>
          <t>FILIPSTAD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46226</v>
      </c>
      <c r="E564" s="1" t="n">
        <v>46278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46226</v>
      </c>
      <c r="E565" s="1" t="n">
        <v>46278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46278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46227</v>
      </c>
      <c r="E567" s="1" t="n">
        <v>46278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45720</v>
      </c>
      <c r="E569" s="1" t="n">
        <v>46278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46278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41075-2023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46278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46278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46269</v>
      </c>
      <c r="E573" s="1" t="n">
        <v>46278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46278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46278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46278</v>
      </c>
      <c r="F576" t="inlineStr">
        <is>
          <t>VÄRMLANDS LÄN</t>
        </is>
      </c>
      <c r="G576" t="inlineStr">
        <is>
          <t>FILIPSTAD</t>
        </is>
      </c>
      <c r="I576" t="n">
        <v>11.6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46278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46278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14582-2025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45742</v>
      </c>
      <c r="E579" s="1" t="n">
        <v>46278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46186</v>
      </c>
      <c r="E580" s="1" t="n">
        <v>46278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46231</v>
      </c>
      <c r="E581" s="1" t="n">
        <v>46278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45628</v>
      </c>
      <c r="E582" s="1" t="n">
        <v>46278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46278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46278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46278</v>
      </c>
      <c r="F585" t="inlineStr">
        <is>
          <t>VÄRMLANDS LÄN</t>
        </is>
      </c>
      <c r="G585" t="inlineStr">
        <is>
          <t>FILIPSTAD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45077</v>
      </c>
      <c r="E586" s="1" t="n">
        <v>46278</v>
      </c>
      <c r="F586" t="inlineStr">
        <is>
          <t>VÄRMLANDS LÄN</t>
        </is>
      </c>
      <c r="G586" t="inlineStr">
        <is>
          <t>FILIPSTAD</t>
        </is>
      </c>
      <c r="I586" t="n">
        <v>15.8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46278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46278</v>
      </c>
      <c r="F588" t="inlineStr">
        <is>
          <t>VÄRMLANDS LÄN</t>
        </is>
      </c>
      <c r="G588" t="inlineStr">
        <is>
          <t>FILIPSTAD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46278</v>
      </c>
      <c r="F589" t="inlineStr">
        <is>
          <t>VÄRMLANDS LÄN</t>
        </is>
      </c>
      <c r="G589" t="inlineStr">
        <is>
          <t>FILIPSTAD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46278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46233</v>
      </c>
      <c r="E591" s="1" t="n">
        <v>46278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46234</v>
      </c>
      <c r="E592" s="1" t="n">
        <v>46278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46278</v>
      </c>
      <c r="F593" t="inlineStr">
        <is>
          <t>VÄRMLANDS LÄN</t>
        </is>
      </c>
      <c r="G593" t="inlineStr">
        <is>
          <t>FILIPSTAD</t>
        </is>
      </c>
      <c r="H593" t="inlineStr">
        <is>
          <t>Kommuner</t>
        </is>
      </c>
      <c r="I593" t="n">
        <v>17.7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46278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46278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46278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46278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20661-2024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45436</v>
      </c>
      <c r="E598" s="1" t="n">
        <v>46278</v>
      </c>
      <c r="F598" t="inlineStr">
        <is>
          <t>VÄRMLANDS LÄN</t>
        </is>
      </c>
      <c r="G598" t="inlineStr">
        <is>
          <t>FILIPSTAD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46233</v>
      </c>
      <c r="E599" s="1" t="n">
        <v>46278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46278</v>
      </c>
      <c r="F600" t="inlineStr">
        <is>
          <t>VÄRMLANDS LÄN</t>
        </is>
      </c>
      <c r="G600" t="inlineStr">
        <is>
          <t>FILIPSTAD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46278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46278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45495</v>
      </c>
      <c r="E603" s="1" t="n">
        <v>46278</v>
      </c>
      <c r="F603" t="inlineStr">
        <is>
          <t>VÄRMLANDS LÄN</t>
        </is>
      </c>
      <c r="G603" t="inlineStr">
        <is>
          <t>FILIPSTAD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46278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46278</v>
      </c>
      <c r="F605" t="inlineStr">
        <is>
          <t>VÄRMLANDS LÄN</t>
        </is>
      </c>
      <c r="G605" t="inlineStr">
        <is>
          <t>FILIPSTAD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45439</v>
      </c>
      <c r="E606" s="1" t="n">
        <v>46278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46278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65167-2021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46278</v>
      </c>
      <c r="F608" t="inlineStr">
        <is>
          <t>VÄRMLANDS LÄN</t>
        </is>
      </c>
      <c r="G608" t="inlineStr">
        <is>
          <t>FILIPSTAD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46278</v>
      </c>
      <c r="F609" t="inlineStr">
        <is>
          <t>VÄRMLANDS LÄN</t>
        </is>
      </c>
      <c r="G609" t="inlineStr">
        <is>
          <t>FILIPSTAD</t>
        </is>
      </c>
      <c r="H609" t="inlineStr">
        <is>
          <t>Kyrkan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46278</v>
      </c>
      <c r="F610" t="inlineStr">
        <is>
          <t>VÄRMLANDS LÄN</t>
        </is>
      </c>
      <c r="G610" t="inlineStr">
        <is>
          <t>FILIPSTAD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46278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46278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48702-2024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45593</v>
      </c>
      <c r="E613" s="1" t="n">
        <v>46278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45530</v>
      </c>
      <c r="E614" s="1" t="n">
        <v>46278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23399-2025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45792</v>
      </c>
      <c r="E615" s="1" t="n">
        <v>46278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46278</v>
      </c>
      <c r="F616" t="inlineStr">
        <is>
          <t>VÄRMLANDS LÄN</t>
        </is>
      </c>
      <c r="G616" t="inlineStr">
        <is>
          <t>FILIPSTAD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46278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45322</v>
      </c>
      <c r="E618" s="1" t="n">
        <v>46278</v>
      </c>
      <c r="F618" t="inlineStr">
        <is>
          <t>VÄRMLANDS LÄN</t>
        </is>
      </c>
      <c r="G618" t="inlineStr">
        <is>
          <t>FILIPSTAD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72118-2021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44543</v>
      </c>
      <c r="E619" s="1" t="n">
        <v>46278</v>
      </c>
      <c r="F619" t="inlineStr">
        <is>
          <t>VÄRMLANDS LÄN</t>
        </is>
      </c>
      <c r="G619" t="inlineStr">
        <is>
          <t>FILIPSTAD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45796</v>
      </c>
      <c r="E620" s="1" t="n">
        <v>46278</v>
      </c>
      <c r="F620" t="inlineStr">
        <is>
          <t>VÄRMLANDS LÄN</t>
        </is>
      </c>
      <c r="G620" t="inlineStr">
        <is>
          <t>FILIPSTAD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45747</v>
      </c>
      <c r="E621" s="1" t="n">
        <v>46278</v>
      </c>
      <c r="F621" t="inlineStr">
        <is>
          <t>VÄRMLANDS LÄN</t>
        </is>
      </c>
      <c r="G621" t="inlineStr">
        <is>
          <t>FILIPSTAD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46278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45355</v>
      </c>
      <c r="E623" s="1" t="n">
        <v>46278</v>
      </c>
      <c r="F623" t="inlineStr">
        <is>
          <t>VÄRMLANDS LÄN</t>
        </is>
      </c>
      <c r="G623" t="inlineStr">
        <is>
          <t>FILIPSTAD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65174-2021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46278</v>
      </c>
      <c r="F624" t="inlineStr">
        <is>
          <t>VÄRMLANDS LÄN</t>
        </is>
      </c>
      <c r="G624" t="inlineStr">
        <is>
          <t>FILIPSTAD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15406-2025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45747</v>
      </c>
      <c r="E625" s="1" t="n">
        <v>46278</v>
      </c>
      <c r="F625" t="inlineStr">
        <is>
          <t>VÄRMLANDS LÄN</t>
        </is>
      </c>
      <c r="G625" t="inlineStr">
        <is>
          <t>FILIPSTAD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44801</v>
      </c>
      <c r="E626" s="1" t="n">
        <v>46278</v>
      </c>
      <c r="F626" t="inlineStr">
        <is>
          <t>VÄRMLANDS LÄN</t>
        </is>
      </c>
      <c r="G626" t="inlineStr">
        <is>
          <t>FILIPSTAD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47261-2024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45586</v>
      </c>
      <c r="E627" s="1" t="n">
        <v>46278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26123-2025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45805</v>
      </c>
      <c r="E628" s="1" t="n">
        <v>46278</v>
      </c>
      <c r="F628" t="inlineStr">
        <is>
          <t>VÄRMLANDS LÄN</t>
        </is>
      </c>
      <c r="G628" t="inlineStr">
        <is>
          <t>FILIPSTAD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26116-2025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46278</v>
      </c>
      <c r="F629" t="inlineStr">
        <is>
          <t>VÄRMLANDS LÄN</t>
        </is>
      </c>
      <c r="G629" t="inlineStr">
        <is>
          <t>FILIPSTAD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46278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46278</v>
      </c>
      <c r="F631" t="inlineStr">
        <is>
          <t>VÄRMLANDS LÄN</t>
        </is>
      </c>
      <c r="G631" t="inlineStr">
        <is>
          <t>FILIPSTAD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26599-2024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45469</v>
      </c>
      <c r="E632" s="1" t="n">
        <v>46278</v>
      </c>
      <c r="F632" t="inlineStr">
        <is>
          <t>VÄRMLANDS LÄN</t>
        </is>
      </c>
      <c r="G632" t="inlineStr">
        <is>
          <t>FILIPSTAD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46278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46278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46278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46278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46278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46278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46278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46278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46278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46278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46278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46278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46278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46278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46278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46278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46278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46278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2026-09-13T02:16:04Z</dcterms:created>
  <dcterms:modified xmlns:dcterms="http://purl.org/dc/terms/" xmlns:xsi="http://www.w3.org/2001/XMLSchema-instance" xsi:type="dcterms:W3CDTF">2026-09-13T02:16:04Z</dcterms:modified>
</cp:coreProperties>
</file>