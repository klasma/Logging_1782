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46242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46242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46242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46242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46242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46242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46242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46242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46242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46242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46242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46242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46242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46242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46242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46242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46242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38132-2024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46242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Fläcknycklar</t>
        </is>
      </c>
      <c r="W19">
        <f>HYPERLINK("https://klasma.github.io/Logging_1782/artfynd/A 38132-2024 artfynd.xlsx", "A 38132-2024")</f>
        <v/>
      </c>
      <c r="X19">
        <f>HYPERLINK("https://klasma.github.io/Logging_1782/kartor/A 38132-2024 karta.png", "A 38132-2024")</f>
        <v/>
      </c>
      <c r="Y19">
        <f>HYPERLINK("https://klasma.github.io/Logging_1782/kartor_geotiff/A 38132-2024 georefererad karta.tif", "A 38132-2024")</f>
        <v/>
      </c>
      <c r="AA19">
        <f>HYPERLINK("https://klasma.github.io/Logging_1782/klagomål/A 38132-2024 FSC-klagomål.docx", "A 38132-2024")</f>
        <v/>
      </c>
      <c r="AB19">
        <f>HYPERLINK("https://klasma.github.io/Logging_1782/klagomålsmail/A 38132-2024 FSC-klagomål mail.docx", "A 38132-2024")</f>
        <v/>
      </c>
      <c r="AC19">
        <f>HYPERLINK("https://klasma.github.io/Logging_1782/tillsyn/A 38132-2024 tillsynsbegäran.docx", "A 38132-2024")</f>
        <v/>
      </c>
      <c r="AD19">
        <f>HYPERLINK("https://klasma.github.io/Logging_1782/tillsynsmail/A 38132-2024 tillsynsbegäran mail.docx", "A 38132-2024")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46242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46242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46242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32438-2026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46242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Dubbelnycklar
Ängsnycklar</t>
        </is>
      </c>
      <c r="W23">
        <f>HYPERLINK("https://klasma.github.io/Logging_1782/artfynd/A 32438-2026 artfynd.xlsx", "A 32438-2026")</f>
        <v/>
      </c>
      <c r="X23">
        <f>HYPERLINK("https://klasma.github.io/Logging_1782/kartor/A 32438-2026 karta.png", "A 32438-2026")</f>
        <v/>
      </c>
      <c r="Y23">
        <f>HYPERLINK("https://klasma.github.io/Logging_1782/kartor_geotiff/A 32438-2026 georefererad karta.tif", "A 32438-2026")</f>
        <v/>
      </c>
      <c r="AA23">
        <f>HYPERLINK("https://klasma.github.io/Logging_1782/klagomål/A 32438-2026 FSC-klagomål.docx", "A 32438-2026")</f>
        <v/>
      </c>
      <c r="AB23">
        <f>HYPERLINK("https://klasma.github.io/Logging_1782/klagomålsmail/A 32438-2026 FSC-klagomål mail.docx", "A 32438-2026")</f>
        <v/>
      </c>
      <c r="AC23">
        <f>HYPERLINK("https://klasma.github.io/Logging_1782/tillsyn/A 32438-2026 tillsynsbegäran.docx", "A 32438-2026")</f>
        <v/>
      </c>
      <c r="AD23">
        <f>HYPERLINK("https://klasma.github.io/Logging_1782/tillsynsmail/A 32438-2026 tillsynsbegäran mail.docx", "A 32438-2026")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46242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46242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46242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46242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46242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46242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4560-2025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46242</v>
      </c>
      <c r="F30" t="inlineStr">
        <is>
          <t>VÄRMLANDS LÄN</t>
        </is>
      </c>
      <c r="G30" t="inlineStr">
        <is>
          <t>FILIPSTAD</t>
        </is>
      </c>
      <c r="I30" t="n">
        <v>13.6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Skrovlig taggsvamp</t>
        </is>
      </c>
      <c r="W30">
        <f>HYPERLINK("https://klasma.github.io/Logging_1782/artfynd/A 4560-2025 artfynd.xlsx", "A 4560-2025")</f>
        <v/>
      </c>
      <c r="X30">
        <f>HYPERLINK("https://klasma.github.io/Logging_1782/kartor/A 4560-2025 karta.png", "A 4560-2025")</f>
        <v/>
      </c>
      <c r="Y30">
        <f>HYPERLINK("https://klasma.github.io/Logging_1782/kartor_geotiff/A 4560-2025 georefererad karta.tif", "A 4560-2025")</f>
        <v/>
      </c>
      <c r="AA30">
        <f>HYPERLINK("https://klasma.github.io/Logging_1782/klagomål/A 4560-2025 FSC-klagomål.docx", "A 4560-2025")</f>
        <v/>
      </c>
      <c r="AB30">
        <f>HYPERLINK("https://klasma.github.io/Logging_1782/klagomålsmail/A 4560-2025 FSC-klagomål mail.docx", "A 4560-2025")</f>
        <v/>
      </c>
      <c r="AC30">
        <f>HYPERLINK("https://klasma.github.io/Logging_1782/tillsyn/A 4560-2025 tillsynsbegäran.docx", "A 4560-2025")</f>
        <v/>
      </c>
      <c r="AD30">
        <f>HYPERLINK("https://klasma.github.io/Logging_1782/tillsynsmail/A 4560-2025 tillsynsbegäran mail.docx", "A 4560-2025")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46242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HYPERLINK("https://klasma.github.io/Logging_1782/artfynd/A 25916-2025 artfynd.xlsx", "A 25916-2025")</f>
        <v/>
      </c>
      <c r="X31">
        <f>HYPERLINK("https://klasma.github.io/Logging_1782/kartor/A 25916-2025 karta.png", "A 25916-2025")</f>
        <v/>
      </c>
      <c r="Y31">
        <f>HYPERLINK("https://klasma.github.io/Logging_1782/kartor_geotiff/A 25916-2025 georefererad karta.tif", "A 25916-2025")</f>
        <v/>
      </c>
      <c r="AA31">
        <f>HYPERLINK("https://klasma.github.io/Logging_1782/klagomål/A 25916-2025 FSC-klagomål.docx", "A 25916-2025")</f>
        <v/>
      </c>
      <c r="AB31">
        <f>HYPERLINK("https://klasma.github.io/Logging_1782/klagomålsmail/A 25916-2025 FSC-klagomål mail.docx", "A 25916-2025")</f>
        <v/>
      </c>
      <c r="AC31">
        <f>HYPERLINK("https://klasma.github.io/Logging_1782/tillsyn/A 25916-2025 tillsynsbegäran.docx", "A 25916-2025")</f>
        <v/>
      </c>
      <c r="AD31">
        <f>HYPERLINK("https://klasma.github.io/Logging_1782/tillsynsmail/A 25916-2025 tillsynsbegäran mail.docx", "A 25916-2025")</f>
        <v/>
      </c>
    </row>
    <row r="32" ht="15" customHeight="1">
      <c r="A32" t="inlineStr">
        <is>
          <t>A 45781-2025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45923</v>
      </c>
      <c r="E32" s="1" t="n">
        <v>46242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Brunklöver</t>
        </is>
      </c>
      <c r="W32">
        <f>HYPERLINK("https://klasma.github.io/Logging_1782/artfynd/A 45781-2025 artfynd.xlsx", "A 45781-2025")</f>
        <v/>
      </c>
      <c r="X32">
        <f>HYPERLINK("https://klasma.github.io/Logging_1782/kartor/A 45781-2025 karta.png", "A 45781-2025")</f>
        <v/>
      </c>
      <c r="Y32">
        <f>HYPERLINK("https://klasma.github.io/Logging_1782/kartor_geotiff/A 45781-2025 georefererad karta.tif", "A 45781-2025")</f>
        <v/>
      </c>
      <c r="AA32">
        <f>HYPERLINK("https://klasma.github.io/Logging_1782/klagomål/A 45781-2025 FSC-klagomål.docx", "A 45781-2025")</f>
        <v/>
      </c>
      <c r="AB32">
        <f>HYPERLINK("https://klasma.github.io/Logging_1782/klagomålsmail/A 45781-2025 FSC-klagomål mail.docx", "A 45781-2025")</f>
        <v/>
      </c>
      <c r="AC32">
        <f>HYPERLINK("https://klasma.github.io/Logging_1782/tillsyn/A 45781-2025 tillsynsbegäran.docx", "A 45781-2025")</f>
        <v/>
      </c>
      <c r="AD32">
        <f>HYPERLINK("https://klasma.github.io/Logging_1782/tillsynsmail/A 45781-2025 tillsynsbegäran mail.docx", "A 45781-2025")</f>
        <v/>
      </c>
    </row>
    <row r="33" ht="15" customHeight="1">
      <c r="A33" t="inlineStr">
        <is>
          <t>A 874-2025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45665</v>
      </c>
      <c r="E33" s="1" t="n">
        <v>46242</v>
      </c>
      <c r="F33" t="inlineStr">
        <is>
          <t>VÄRMLANDS LÄN</t>
        </is>
      </c>
      <c r="G33" t="inlineStr">
        <is>
          <t>FILIPSTAD</t>
        </is>
      </c>
      <c r="H33" t="inlineStr">
        <is>
          <t>Kyrkan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Kamjordstjärna</t>
        </is>
      </c>
      <c r="W33">
        <f>HYPERLINK("https://klasma.github.io/Logging_1782/artfynd/A 874-2025 artfynd.xlsx", "A 874-2025")</f>
        <v/>
      </c>
      <c r="X33">
        <f>HYPERLINK("https://klasma.github.io/Logging_1782/kartor/A 874-2025 karta.png", "A 874-2025")</f>
        <v/>
      </c>
      <c r="Y33">
        <f>HYPERLINK("https://klasma.github.io/Logging_1782/kartor_geotiff/A 874-2025 georefererad karta.tif", "A 874-2025")</f>
        <v/>
      </c>
      <c r="AA33">
        <f>HYPERLINK("https://klasma.github.io/Logging_1782/klagomål/A 874-2025 FSC-klagomål.docx", "A 874-2025")</f>
        <v/>
      </c>
      <c r="AB33">
        <f>HYPERLINK("https://klasma.github.io/Logging_1782/klagomålsmail/A 874-2025 FSC-klagomål mail.docx", "A 874-2025")</f>
        <v/>
      </c>
      <c r="AC33">
        <f>HYPERLINK("https://klasma.github.io/Logging_1782/tillsyn/A 874-2025 tillsynsbegäran.docx", "A 874-2025")</f>
        <v/>
      </c>
      <c r="AD33">
        <f>HYPERLINK("https://klasma.github.io/Logging_1782/tillsynsmail/A 874-2025 tillsynsbegäran mail.docx", "A 874-2025")</f>
        <v/>
      </c>
    </row>
    <row r="34" ht="15" customHeight="1">
      <c r="A34" t="inlineStr">
        <is>
          <t>A 38140-2024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46242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HYPERLINK("https://klasma.github.io/Logging_1782/artfynd/A 38140-2024 artfynd.xlsx", "A 38140-2024")</f>
        <v/>
      </c>
      <c r="X34">
        <f>HYPERLINK("https://klasma.github.io/Logging_1782/kartor/A 38140-2024 karta.png", "A 38140-2024")</f>
        <v/>
      </c>
      <c r="Y34">
        <f>HYPERLINK("https://klasma.github.io/Logging_1782/kartor_geotiff/A 38140-2024 georefererad karta.tif", "A 38140-2024")</f>
        <v/>
      </c>
      <c r="AA34">
        <f>HYPERLINK("https://klasma.github.io/Logging_1782/klagomål/A 38140-2024 FSC-klagomål.docx", "A 38140-2024")</f>
        <v/>
      </c>
      <c r="AB34">
        <f>HYPERLINK("https://klasma.github.io/Logging_1782/klagomålsmail/A 38140-2024 FSC-klagomål mail.docx", "A 38140-2024")</f>
        <v/>
      </c>
      <c r="AC34">
        <f>HYPERLINK("https://klasma.github.io/Logging_1782/tillsyn/A 38140-2024 tillsynsbegäran.docx", "A 38140-2024")</f>
        <v/>
      </c>
      <c r="AD34">
        <f>HYPERLINK("https://klasma.github.io/Logging_1782/tillsynsmail/A 38140-2024 tillsynsbegäran mail.docx", "A 38140-2024")</f>
        <v/>
      </c>
    </row>
    <row r="35" ht="15" customHeight="1">
      <c r="A35" t="inlineStr">
        <is>
          <t>A 30652-2025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45831</v>
      </c>
      <c r="E35" s="1" t="n">
        <v>46242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HYPERLINK("https://klasma.github.io/Logging_1782/artfynd/A 30652-2025 artfynd.xlsx", "A 30652-2025")</f>
        <v/>
      </c>
      <c r="X35">
        <f>HYPERLINK("https://klasma.github.io/Logging_1782/kartor/A 30652-2025 karta.png", "A 30652-2025")</f>
        <v/>
      </c>
      <c r="Y35">
        <f>HYPERLINK("https://klasma.github.io/Logging_1782/kartor_geotiff/A 30652-2025 georefererad karta.tif", "A 30652-2025")</f>
        <v/>
      </c>
      <c r="AA35">
        <f>HYPERLINK("https://klasma.github.io/Logging_1782/klagomål/A 30652-2025 FSC-klagomål.docx", "A 30652-2025")</f>
        <v/>
      </c>
      <c r="AB35">
        <f>HYPERLINK("https://klasma.github.io/Logging_1782/klagomålsmail/A 30652-2025 FSC-klagomål mail.docx", "A 30652-2025")</f>
        <v/>
      </c>
      <c r="AC35">
        <f>HYPERLINK("https://klasma.github.io/Logging_1782/tillsyn/A 30652-2025 tillsynsbegäran.docx", "A 30652-2025")</f>
        <v/>
      </c>
      <c r="AD35">
        <f>HYPERLINK("https://klasma.github.io/Logging_1782/tillsynsmail/A 30652-2025 tillsynsbegäran mail.docx", "A 30652-2025")</f>
        <v/>
      </c>
      <c r="AE35">
        <f>HYPERLINK("https://klasma.github.io/Logging_1782/fåglar/A 30652-2025 prioriterade fågelarter.docx", "A 30652-2025")</f>
        <v/>
      </c>
    </row>
    <row r="36" ht="15" customHeight="1">
      <c r="A36" t="inlineStr">
        <is>
          <t>A 17529-2026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46242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Ädellav</t>
        </is>
      </c>
      <c r="W36">
        <f>HYPERLINK("https://klasma.github.io/Logging_1782/artfynd/A 17529-2026 artfynd.xlsx", "A 17529-2026")</f>
        <v/>
      </c>
      <c r="X36">
        <f>HYPERLINK("https://klasma.github.io/Logging_1782/kartor/A 17529-2026 karta.png", "A 17529-2026")</f>
        <v/>
      </c>
      <c r="Y36">
        <f>HYPERLINK("https://klasma.github.io/Logging_1782/kartor_geotiff/A 17529-2026 georefererad karta.tif", "A 17529-2026")</f>
        <v/>
      </c>
      <c r="AA36">
        <f>HYPERLINK("https://klasma.github.io/Logging_1782/klagomål/A 17529-2026 FSC-klagomål.docx", "A 17529-2026")</f>
        <v/>
      </c>
      <c r="AB36">
        <f>HYPERLINK("https://klasma.github.io/Logging_1782/klagomålsmail/A 17529-2026 FSC-klagomål mail.docx", "A 17529-2026")</f>
        <v/>
      </c>
      <c r="AC36">
        <f>HYPERLINK("https://klasma.github.io/Logging_1782/tillsyn/A 17529-2026 tillsynsbegäran.docx", "A 17529-2026")</f>
        <v/>
      </c>
      <c r="AD36">
        <f>HYPERLINK("https://klasma.github.io/Logging_1782/tillsynsmail/A 17529-2026 tillsynsbegäran mail.docx", "A 17529-2026")</f>
        <v/>
      </c>
    </row>
    <row r="37" ht="15" customHeight="1">
      <c r="A37" t="inlineStr">
        <is>
          <t>A 58734-2025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46242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18.2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Tretåig hackspett</t>
        </is>
      </c>
      <c r="W37">
        <f>HYPERLINK("https://klasma.github.io/Logging_1782/artfynd/A 58734-2025 artfynd.xlsx", "A 58734-2025")</f>
        <v/>
      </c>
      <c r="X37">
        <f>HYPERLINK("https://klasma.github.io/Logging_1782/kartor/A 58734-2025 karta.png", "A 58734-2025")</f>
        <v/>
      </c>
      <c r="Y37">
        <f>HYPERLINK("https://klasma.github.io/Logging_1782/kartor_geotiff/A 58734-2025 georefererad karta.tif", "A 58734-2025")</f>
        <v/>
      </c>
      <c r="AA37">
        <f>HYPERLINK("https://klasma.github.io/Logging_1782/klagomål/A 58734-2025 FSC-klagomål.docx", "A 58734-2025")</f>
        <v/>
      </c>
      <c r="AB37">
        <f>HYPERLINK("https://klasma.github.io/Logging_1782/klagomålsmail/A 58734-2025 FSC-klagomål mail.docx", "A 58734-2025")</f>
        <v/>
      </c>
      <c r="AC37">
        <f>HYPERLINK("https://klasma.github.io/Logging_1782/tillsyn/A 58734-2025 tillsynsbegäran.docx", "A 58734-2025")</f>
        <v/>
      </c>
      <c r="AD37">
        <f>HYPERLINK("https://klasma.github.io/Logging_1782/tillsynsmail/A 58734-2025 tillsynsbegäran mail.docx", "A 58734-2025")</f>
        <v/>
      </c>
      <c r="AE37">
        <f>HYPERLINK("https://klasma.github.io/Logging_1782/fåglar/A 58734-2025 prioriterade fågelarter.docx", "A 58734-2025")</f>
        <v/>
      </c>
    </row>
    <row r="38" ht="15" customHeight="1">
      <c r="A38" t="inlineStr">
        <is>
          <t>A 31257-2026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46242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10.2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Gräsull</t>
        </is>
      </c>
      <c r="W38">
        <f>HYPERLINK("https://klasma.github.io/Logging_1782/artfynd/A 31257-2026 artfynd.xlsx", "A 31257-2026")</f>
        <v/>
      </c>
      <c r="X38">
        <f>HYPERLINK("https://klasma.github.io/Logging_1782/kartor/A 31257-2026 karta.png", "A 31257-2026")</f>
        <v/>
      </c>
      <c r="Y38">
        <f>HYPERLINK("https://klasma.github.io/Logging_1782/kartor_geotiff/A 31257-2026 georefererad karta.tif", "A 31257-2026")</f>
        <v/>
      </c>
      <c r="AA38">
        <f>HYPERLINK("https://klasma.github.io/Logging_1782/klagomål/A 31257-2026 FSC-klagomål.docx", "A 31257-2026")</f>
        <v/>
      </c>
      <c r="AB38">
        <f>HYPERLINK("https://klasma.github.io/Logging_1782/klagomålsmail/A 31257-2026 FSC-klagomål mail.docx", "A 31257-2026")</f>
        <v/>
      </c>
      <c r="AC38">
        <f>HYPERLINK("https://klasma.github.io/Logging_1782/tillsyn/A 31257-2026 tillsynsbegäran.docx", "A 31257-2026")</f>
        <v/>
      </c>
      <c r="AD38">
        <f>HYPERLINK("https://klasma.github.io/Logging_1782/tillsynsmail/A 31257-2026 tillsynsbegäran mail.docx", "A 31257-2026")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46242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Purpurknipprot</t>
        </is>
      </c>
      <c r="W39">
        <f>HYPERLINK("https://klasma.github.io/Logging_1782/artfynd/A 10138-2024 artfynd.xlsx", "A 10138-2024")</f>
        <v/>
      </c>
      <c r="X39">
        <f>HYPERLINK("https://klasma.github.io/Logging_1782/kartor/A 10138-2024 karta.png", "A 10138-2024")</f>
        <v/>
      </c>
      <c r="Y39">
        <f>HYPERLINK("https://klasma.github.io/Logging_1782/kartor_geotiff/A 10138-2024 georefererad karta.tif", "A 10138-2024")</f>
        <v/>
      </c>
      <c r="AA39">
        <f>HYPERLINK("https://klasma.github.io/Logging_1782/klagomål/A 10138-2024 FSC-klagomål.docx", "A 10138-2024")</f>
        <v/>
      </c>
      <c r="AB39">
        <f>HYPERLINK("https://klasma.github.io/Logging_1782/klagomålsmail/A 10138-2024 FSC-klagomål mail.docx", "A 10138-2024")</f>
        <v/>
      </c>
      <c r="AC39">
        <f>HYPERLINK("https://klasma.github.io/Logging_1782/tillsyn/A 10138-2024 tillsynsbegäran.docx", "A 10138-2024")</f>
        <v/>
      </c>
      <c r="AD39">
        <f>HYPERLINK("https://klasma.github.io/Logging_1782/tillsynsmail/A 10138-2024 tillsynsbegäran mail.docx", "A 10138-2024")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46242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46242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51522-2022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46242</v>
      </c>
      <c r="F42" t="inlineStr">
        <is>
          <t>VÄRMLANDS LÄN</t>
        </is>
      </c>
      <c r="G42" t="inlineStr">
        <is>
          <t>FILIPSTAD</t>
        </is>
      </c>
      <c r="I42" t="n">
        <v>4.1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HYPERLINK("https://klasma.github.io/Logging_1782/artfynd/A 51522-2022 artfynd.xlsx", "A 51522-2022")</f>
        <v/>
      </c>
      <c r="X42">
        <f>HYPERLINK("https://klasma.github.io/Logging_1782/kartor/A 51522-2022 karta.png", "A 51522-2022")</f>
        <v/>
      </c>
      <c r="Y42">
        <f>HYPERLINK("https://klasma.github.io/Logging_1782/kartor_geotiff/A 51522-2022 georefererad karta.tif", "A 51522-2022")</f>
        <v/>
      </c>
      <c r="AA42">
        <f>HYPERLINK("https://klasma.github.io/Logging_1782/klagomål/A 51522-2022 FSC-klagomål.docx", "A 51522-2022")</f>
        <v/>
      </c>
      <c r="AB42">
        <f>HYPERLINK("https://klasma.github.io/Logging_1782/klagomålsmail/A 51522-2022 FSC-klagomål mail.docx", "A 51522-2022")</f>
        <v/>
      </c>
      <c r="AC42">
        <f>HYPERLINK("https://klasma.github.io/Logging_1782/tillsyn/A 51522-2022 tillsynsbegäran.docx", "A 51522-2022")</f>
        <v/>
      </c>
      <c r="AD42">
        <f>HYPERLINK("https://klasma.github.io/Logging_1782/tillsynsmail/A 51522-2022 tillsynsbegäran mail.docx", "A 51522-2022")</f>
        <v/>
      </c>
    </row>
    <row r="43" ht="15" customHeight="1">
      <c r="A43" t="inlineStr">
        <is>
          <t>A 23046-2023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46242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HYPERLINK("https://klasma.github.io/Logging_1782/artfynd/A 23046-2023 artfynd.xlsx", "A 23046-2023")</f>
        <v/>
      </c>
      <c r="X43">
        <f>HYPERLINK("https://klasma.github.io/Logging_1782/kartor/A 23046-2023 karta.png", "A 23046-2023")</f>
        <v/>
      </c>
      <c r="Y43">
        <f>HYPERLINK("https://klasma.github.io/Logging_1782/kartor_geotiff/A 23046-2023 georefererad karta.tif", "A 23046-2023")</f>
        <v/>
      </c>
      <c r="Z43">
        <f>HYPERLINK("https://klasma.github.io/Logging_1782/knärot/A 23046-2023 karta knärot.png", "A 23046-2023")</f>
        <v/>
      </c>
      <c r="AA43">
        <f>HYPERLINK("https://klasma.github.io/Logging_1782/klagomål/A 23046-2023 FSC-klagomål.docx", "A 23046-2023")</f>
        <v/>
      </c>
      <c r="AB43">
        <f>HYPERLINK("https://klasma.github.io/Logging_1782/klagomålsmail/A 23046-2023 FSC-klagomål mail.docx", "A 23046-2023")</f>
        <v/>
      </c>
      <c r="AC43">
        <f>HYPERLINK("https://klasma.github.io/Logging_1782/tillsyn/A 23046-2023 tillsynsbegäran.docx", "A 23046-2023")</f>
        <v/>
      </c>
      <c r="AD43">
        <f>HYPERLINK("https://klasma.github.io/Logging_1782/tillsynsmail/A 23046-2023 tillsynsbegäran mail.docx", "A 23046-2023")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46242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46242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46242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46242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46242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46242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46242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46242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46242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46242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46242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46242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46242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46242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46242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46242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46242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22356-2022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44713</v>
      </c>
      <c r="E61" s="1" t="n">
        <v>46242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46242</v>
      </c>
      <c r="F62" t="inlineStr">
        <is>
          <t>VÄRMLANDS LÄN</t>
        </is>
      </c>
      <c r="G62" t="inlineStr">
        <is>
          <t>FILIPSTAD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46242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46242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46242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46242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46242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46242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46242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46242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46242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46242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46242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46242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46242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45674</v>
      </c>
      <c r="E76" s="1" t="n">
        <v>46242</v>
      </c>
      <c r="F76" t="inlineStr">
        <is>
          <t>VÄRMLANDS LÄN</t>
        </is>
      </c>
      <c r="G76" t="inlineStr">
        <is>
          <t>FILIPSTAD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46242</v>
      </c>
      <c r="F77" t="inlineStr">
        <is>
          <t>VÄRMLANDS LÄN</t>
        </is>
      </c>
      <c r="G77" t="inlineStr">
        <is>
          <t>FILIPSTAD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46242</v>
      </c>
      <c r="F78" t="inlineStr">
        <is>
          <t>VÄRMLANDS LÄN</t>
        </is>
      </c>
      <c r="G78" t="inlineStr">
        <is>
          <t>FILIPSTAD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44637</v>
      </c>
      <c r="E79" s="1" t="n">
        <v>46242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25737-2023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46242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46242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44963</v>
      </c>
      <c r="E82" s="1" t="n">
        <v>46242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45418</v>
      </c>
      <c r="E83" s="1" t="n">
        <v>46242</v>
      </c>
      <c r="F83" t="inlineStr">
        <is>
          <t>VÄRMLANDS LÄN</t>
        </is>
      </c>
      <c r="G83" t="inlineStr">
        <is>
          <t>FILIPSTAD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45578</v>
      </c>
      <c r="E84" s="1" t="n">
        <v>46242</v>
      </c>
      <c r="F84" t="inlineStr">
        <is>
          <t>VÄRMLANDS LÄN</t>
        </is>
      </c>
      <c r="G84" t="inlineStr">
        <is>
          <t>FILIPSTAD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46242</v>
      </c>
      <c r="F85" t="inlineStr">
        <is>
          <t>VÄRMLANDS LÄN</t>
        </is>
      </c>
      <c r="G85" t="inlineStr">
        <is>
          <t>FILIPSTAD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46242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46242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14268-2024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45393</v>
      </c>
      <c r="E88" s="1" t="n">
        <v>46242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14582-2025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45742</v>
      </c>
      <c r="E89" s="1" t="n">
        <v>46242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46242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46242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45223</v>
      </c>
      <c r="E92" s="1" t="n">
        <v>46242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18138-2022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44684</v>
      </c>
      <c r="E93" s="1" t="n">
        <v>46242</v>
      </c>
      <c r="F93" t="inlineStr">
        <is>
          <t>VÄRMLANDS LÄN</t>
        </is>
      </c>
      <c r="G93" t="inlineStr">
        <is>
          <t>FILIPSTAD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45750</v>
      </c>
      <c r="E94" s="1" t="n">
        <v>46242</v>
      </c>
      <c r="F94" t="inlineStr">
        <is>
          <t>VÄRMLANDS LÄN</t>
        </is>
      </c>
      <c r="G94" t="inlineStr">
        <is>
          <t>FILIPSTAD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44876</v>
      </c>
      <c r="E95" s="1" t="n">
        <v>46242</v>
      </c>
      <c r="F95" t="inlineStr">
        <is>
          <t>VÄRMLANDS LÄN</t>
        </is>
      </c>
      <c r="G95" t="inlineStr">
        <is>
          <t>FILIPSTAD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44889</v>
      </c>
      <c r="E96" s="1" t="n">
        <v>46242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50776-2024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46242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15.5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45223</v>
      </c>
      <c r="E98" s="1" t="n">
        <v>46242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46242</v>
      </c>
      <c r="F99" t="inlineStr">
        <is>
          <t>VÄRMLANDS LÄN</t>
        </is>
      </c>
      <c r="G99" t="inlineStr">
        <is>
          <t>FILIPSTAD</t>
        </is>
      </c>
      <c r="H99" t="inlineStr">
        <is>
          <t>Kyrkan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46242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44445</v>
      </c>
      <c r="E101" s="1" t="n">
        <v>46242</v>
      </c>
      <c r="F101" t="inlineStr">
        <is>
          <t>VÄRMLANDS LÄN</t>
        </is>
      </c>
      <c r="G101" t="inlineStr">
        <is>
          <t>FILIPSTAD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46242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46242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44801</v>
      </c>
      <c r="E104" s="1" t="n">
        <v>46242</v>
      </c>
      <c r="F104" t="inlineStr">
        <is>
          <t>VÄRMLANDS LÄN</t>
        </is>
      </c>
      <c r="G104" t="inlineStr">
        <is>
          <t>FILIPSTAD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46242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45153</v>
      </c>
      <c r="E106" s="1" t="n">
        <v>46242</v>
      </c>
      <c r="F106" t="inlineStr">
        <is>
          <t>VÄRMLANDS LÄN</t>
        </is>
      </c>
      <c r="G106" t="inlineStr">
        <is>
          <t>FILIPSTAD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46242</v>
      </c>
      <c r="F107" t="inlineStr">
        <is>
          <t>VÄRMLANDS LÄN</t>
        </is>
      </c>
      <c r="G107" t="inlineStr">
        <is>
          <t>FILIPSTAD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46242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46242</v>
      </c>
      <c r="F109" t="inlineStr">
        <is>
          <t>VÄRMLANDS LÄN</t>
        </is>
      </c>
      <c r="G109" t="inlineStr">
        <is>
          <t>FILIPSTAD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46242</v>
      </c>
      <c r="F110" t="inlineStr">
        <is>
          <t>VÄRMLANDS LÄN</t>
        </is>
      </c>
      <c r="G110" t="inlineStr">
        <is>
          <t>FILIPSTAD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46242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26116-2025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46242</v>
      </c>
      <c r="F112" t="inlineStr">
        <is>
          <t>VÄRMLANDS LÄN</t>
        </is>
      </c>
      <c r="G112" t="inlineStr">
        <is>
          <t>FILIPSTAD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26123-2025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45805</v>
      </c>
      <c r="E113" s="1" t="n">
        <v>46242</v>
      </c>
      <c r="F113" t="inlineStr">
        <is>
          <t>VÄRMLANDS LÄN</t>
        </is>
      </c>
      <c r="G113" t="inlineStr">
        <is>
          <t>FILIPSTAD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58611-2025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45986</v>
      </c>
      <c r="E114" s="1" t="n">
        <v>46242</v>
      </c>
      <c r="F114" t="inlineStr">
        <is>
          <t>VÄRMLANDS LÄN</t>
        </is>
      </c>
      <c r="G114" t="inlineStr">
        <is>
          <t>FILIPSTAD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46040</v>
      </c>
      <c r="E115" s="1" t="n">
        <v>46242</v>
      </c>
      <c r="F115" t="inlineStr">
        <is>
          <t>VÄRMLANDS LÄN</t>
        </is>
      </c>
      <c r="G115" t="inlineStr">
        <is>
          <t>FILIPSTAD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26812-2025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45810</v>
      </c>
      <c r="E116" s="1" t="n">
        <v>46242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45470</v>
      </c>
      <c r="E117" s="1" t="n">
        <v>46242</v>
      </c>
      <c r="F117" t="inlineStr">
        <is>
          <t>VÄRMLANDS LÄN</t>
        </is>
      </c>
      <c r="G117" t="inlineStr">
        <is>
          <t>FILIPSTAD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50856-2022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44867</v>
      </c>
      <c r="E118" s="1" t="n">
        <v>46242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46242</v>
      </c>
      <c r="F119" t="inlineStr">
        <is>
          <t>VÄRMLANDS LÄN</t>
        </is>
      </c>
      <c r="G119" t="inlineStr">
        <is>
          <t>FILIPSTAD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71971-2021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46242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46242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41718-2025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45902</v>
      </c>
      <c r="E122" s="1" t="n">
        <v>46242</v>
      </c>
      <c r="F122" t="inlineStr">
        <is>
          <t>VÄRMLANDS LÄN</t>
        </is>
      </c>
      <c r="G122" t="inlineStr">
        <is>
          <t>FILIPSTAD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46242</v>
      </c>
      <c r="F123" t="inlineStr">
        <is>
          <t>VÄRMLANDS LÄN</t>
        </is>
      </c>
      <c r="G123" t="inlineStr">
        <is>
          <t>FILIPSTAD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46242</v>
      </c>
      <c r="F124" t="inlineStr">
        <is>
          <t>VÄRMLANDS LÄN</t>
        </is>
      </c>
      <c r="G124" t="inlineStr">
        <is>
          <t>FILIPSTAD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46242</v>
      </c>
      <c r="F125" t="inlineStr">
        <is>
          <t>VÄRMLANDS LÄN</t>
        </is>
      </c>
      <c r="G125" t="inlineStr">
        <is>
          <t>FILIPSTAD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46242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26599-2024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45469</v>
      </c>
      <c r="E127" s="1" t="n">
        <v>46242</v>
      </c>
      <c r="F127" t="inlineStr">
        <is>
          <t>VÄRMLANDS LÄN</t>
        </is>
      </c>
      <c r="G127" t="inlineStr">
        <is>
          <t>FILIPSTAD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46242</v>
      </c>
      <c r="F128" t="inlineStr">
        <is>
          <t>VÄRMLANDS LÄN</t>
        </is>
      </c>
      <c r="G128" t="inlineStr">
        <is>
          <t>FILIPSTAD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46242</v>
      </c>
      <c r="F129" t="inlineStr">
        <is>
          <t>VÄRMLANDS LÄN</t>
        </is>
      </c>
      <c r="G129" t="inlineStr">
        <is>
          <t>FILIPSTAD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45106</v>
      </c>
      <c r="E130" s="1" t="n">
        <v>46242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8139-2026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46064</v>
      </c>
      <c r="E131" s="1" t="n">
        <v>46242</v>
      </c>
      <c r="F131" t="inlineStr">
        <is>
          <t>VÄRMLANDS LÄN</t>
        </is>
      </c>
      <c r="G131" t="inlineStr">
        <is>
          <t>FILIPSTAD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46242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46242</v>
      </c>
      <c r="F133" t="inlineStr">
        <is>
          <t>VÄRMLANDS LÄN</t>
        </is>
      </c>
      <c r="G133" t="inlineStr">
        <is>
          <t>FILIPSTAD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46242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46242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44788</v>
      </c>
      <c r="E136" s="1" t="n">
        <v>46242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46076</v>
      </c>
      <c r="E137" s="1" t="n">
        <v>46242</v>
      </c>
      <c r="F137" t="inlineStr">
        <is>
          <t>VÄRMLANDS LÄN</t>
        </is>
      </c>
      <c r="G137" t="inlineStr">
        <is>
          <t>FILIPSTAD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45427</v>
      </c>
      <c r="E138" s="1" t="n">
        <v>46242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46242</v>
      </c>
      <c r="F139" t="inlineStr">
        <is>
          <t>VÄRMLANDS LÄN</t>
        </is>
      </c>
      <c r="G139" t="inlineStr">
        <is>
          <t>FILIPSTAD</t>
        </is>
      </c>
      <c r="H139" t="inlineStr">
        <is>
          <t>Kyrkan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29825-2023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45107</v>
      </c>
      <c r="E140" s="1" t="n">
        <v>46242</v>
      </c>
      <c r="F140" t="inlineStr">
        <is>
          <t>VÄRMLANDS LÄN</t>
        </is>
      </c>
      <c r="G140" t="inlineStr">
        <is>
          <t>FILIPSTAD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46242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46242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46242</v>
      </c>
      <c r="F143" t="inlineStr">
        <is>
          <t>VÄRMLANDS LÄN</t>
        </is>
      </c>
      <c r="G143" t="inlineStr">
        <is>
          <t>FILIPSTAD</t>
        </is>
      </c>
      <c r="H143" t="inlineStr">
        <is>
          <t>Kyrkan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46242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48103-2025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45933</v>
      </c>
      <c r="E145" s="1" t="n">
        <v>46242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46242</v>
      </c>
      <c r="F146" t="inlineStr">
        <is>
          <t>VÄRMLANDS LÄN</t>
        </is>
      </c>
      <c r="G146" t="inlineStr">
        <is>
          <t>FILIPSTAD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46090</v>
      </c>
      <c r="E147" s="1" t="n">
        <v>46242</v>
      </c>
      <c r="F147" t="inlineStr">
        <is>
          <t>VÄRMLANDS LÄN</t>
        </is>
      </c>
      <c r="G147" t="inlineStr">
        <is>
          <t>FILIPSTAD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46242</v>
      </c>
      <c r="F148" t="inlineStr">
        <is>
          <t>VÄRMLANDS LÄN</t>
        </is>
      </c>
      <c r="G148" t="inlineStr">
        <is>
          <t>FILIPSTAD</t>
        </is>
      </c>
      <c r="I148" t="n">
        <v>23.3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46242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46087</v>
      </c>
      <c r="E150" s="1" t="n">
        <v>46242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45712</v>
      </c>
      <c r="E151" s="1" t="n">
        <v>46242</v>
      </c>
      <c r="F151" t="inlineStr">
        <is>
          <t>VÄRMLANDS LÄN</t>
        </is>
      </c>
      <c r="G151" t="inlineStr">
        <is>
          <t>FILIPSTAD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12943-2026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46092</v>
      </c>
      <c r="E152" s="1" t="n">
        <v>46242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46092</v>
      </c>
      <c r="E153" s="1" t="n">
        <v>46242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46242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46242</v>
      </c>
      <c r="F155" t="inlineStr">
        <is>
          <t>VÄRMLANDS LÄN</t>
        </is>
      </c>
      <c r="G155" t="inlineStr">
        <is>
          <t>FILIPSTAD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46242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46242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46242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46242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46242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46242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46242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29885-2025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46242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46098</v>
      </c>
      <c r="E164" s="1" t="n">
        <v>46242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46242</v>
      </c>
      <c r="F165" t="inlineStr">
        <is>
          <t>VÄRMLANDS LÄN</t>
        </is>
      </c>
      <c r="G165" t="inlineStr">
        <is>
          <t>FILIPSTAD</t>
        </is>
      </c>
      <c r="H165" t="inlineStr">
        <is>
          <t>Kyrkan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46098</v>
      </c>
      <c r="E166" s="1" t="n">
        <v>46242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46242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46100</v>
      </c>
      <c r="E168" s="1" t="n">
        <v>46242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46242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46242</v>
      </c>
      <c r="F170" t="inlineStr">
        <is>
          <t>VÄRMLANDS LÄN</t>
        </is>
      </c>
      <c r="G170" t="inlineStr">
        <is>
          <t>FILIPSTAD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22830-2023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45072</v>
      </c>
      <c r="E171" s="1" t="n">
        <v>46242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22866-2023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45072</v>
      </c>
      <c r="E172" s="1" t="n">
        <v>46242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46242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46106</v>
      </c>
      <c r="E174" s="1" t="n">
        <v>46242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46242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46242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15645-2026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46242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46242</v>
      </c>
      <c r="F178" t="inlineStr">
        <is>
          <t>VÄRMLANDS LÄN</t>
        </is>
      </c>
      <c r="G178" t="inlineStr">
        <is>
          <t>FILIPSTAD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46242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46242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46242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46242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46107</v>
      </c>
      <c r="E183" s="1" t="n">
        <v>46242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15920-2026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46107</v>
      </c>
      <c r="E184" s="1" t="n">
        <v>46242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46242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46107</v>
      </c>
      <c r="E186" s="1" t="n">
        <v>46242</v>
      </c>
      <c r="F186" t="inlineStr">
        <is>
          <t>VÄRMLANDS LÄN</t>
        </is>
      </c>
      <c r="G186" t="inlineStr">
        <is>
          <t>FILIPSTAD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46242</v>
      </c>
      <c r="F187" t="inlineStr">
        <is>
          <t>VÄRMLANDS LÄN</t>
        </is>
      </c>
      <c r="G187" t="inlineStr">
        <is>
          <t>FILIPSTAD</t>
        </is>
      </c>
      <c r="H187" t="inlineStr">
        <is>
          <t>Kyrkan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46108</v>
      </c>
      <c r="E188" s="1" t="n">
        <v>46242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16040-2026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46108</v>
      </c>
      <c r="E189" s="1" t="n">
        <v>46242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46242</v>
      </c>
      <c r="F190" t="inlineStr">
        <is>
          <t>VÄRMLANDS LÄN</t>
        </is>
      </c>
      <c r="G190" t="inlineStr">
        <is>
          <t>FILIPSTAD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46242</v>
      </c>
      <c r="F191" t="inlineStr">
        <is>
          <t>VÄRMLANDS LÄN</t>
        </is>
      </c>
      <c r="G191" t="inlineStr">
        <is>
          <t>FILIPSTAD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46114</v>
      </c>
      <c r="E192" s="1" t="n">
        <v>46242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46242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45664</v>
      </c>
      <c r="E194" s="1" t="n">
        <v>46242</v>
      </c>
      <c r="F194" t="inlineStr">
        <is>
          <t>VÄRMLANDS LÄN</t>
        </is>
      </c>
      <c r="G194" t="inlineStr">
        <is>
          <t>FILIPSTAD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17278-2026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46119</v>
      </c>
      <c r="E195" s="1" t="n">
        <v>46242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17326-2026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46119</v>
      </c>
      <c r="E196" s="1" t="n">
        <v>46242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46242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46242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31172-2025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45832</v>
      </c>
      <c r="E199" s="1" t="n">
        <v>46242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46120</v>
      </c>
      <c r="E200" s="1" t="n">
        <v>46242</v>
      </c>
      <c r="F200" t="inlineStr">
        <is>
          <t>VÄRMLANDS LÄN</t>
        </is>
      </c>
      <c r="G200" t="inlineStr">
        <is>
          <t>FILIPSTAD</t>
        </is>
      </c>
      <c r="I200" t="n">
        <v>9.699999999999999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19351-2025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45769</v>
      </c>
      <c r="E201" s="1" t="n">
        <v>46242</v>
      </c>
      <c r="F201" t="inlineStr">
        <is>
          <t>VÄRMLANDS LÄN</t>
        </is>
      </c>
      <c r="G201" t="inlineStr">
        <is>
          <t>FILIPSTAD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46122</v>
      </c>
      <c r="E202" s="1" t="n">
        <v>46242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46122</v>
      </c>
      <c r="E203" s="1" t="n">
        <v>46242</v>
      </c>
      <c r="F203" t="inlineStr">
        <is>
          <t>VÄRMLANDS LÄN</t>
        </is>
      </c>
      <c r="G203" t="inlineStr">
        <is>
          <t>FILIPSTAD</t>
        </is>
      </c>
      <c r="H203" t="inlineStr">
        <is>
          <t>Kommuner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17931-2026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46122</v>
      </c>
      <c r="E204" s="1" t="n">
        <v>46242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46122</v>
      </c>
      <c r="E205" s="1" t="n">
        <v>46242</v>
      </c>
      <c r="F205" t="inlineStr">
        <is>
          <t>VÄRMLANDS LÄN</t>
        </is>
      </c>
      <c r="G205" t="inlineStr">
        <is>
          <t>FILIPSTAD</t>
        </is>
      </c>
      <c r="H205" t="inlineStr">
        <is>
          <t>Kommuner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46242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45968</v>
      </c>
      <c r="E207" s="1" t="n">
        <v>46242</v>
      </c>
      <c r="F207" t="inlineStr">
        <is>
          <t>VÄRMLANDS LÄN</t>
        </is>
      </c>
      <c r="G207" t="inlineStr">
        <is>
          <t>FILIPSTAD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55175-2025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45968</v>
      </c>
      <c r="E208" s="1" t="n">
        <v>46242</v>
      </c>
      <c r="F208" t="inlineStr">
        <is>
          <t>VÄRMLANDS LÄN</t>
        </is>
      </c>
      <c r="G208" t="inlineStr">
        <is>
          <t>FILIPSTAD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46242</v>
      </c>
      <c r="F209" t="inlineStr">
        <is>
          <t>VÄRMLANDS LÄN</t>
        </is>
      </c>
      <c r="G209" t="inlineStr">
        <is>
          <t>FILIPSTAD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18376-2026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46126</v>
      </c>
      <c r="E210" s="1" t="n">
        <v>46242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46242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46242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46242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9.199999999999999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46242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46242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46242</v>
      </c>
      <c r="F216" t="inlineStr">
        <is>
          <t>VÄRMLANDS LÄN</t>
        </is>
      </c>
      <c r="G216" t="inlineStr">
        <is>
          <t>FILIPSTAD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46242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46242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46242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56037-2025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46242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45299</v>
      </c>
      <c r="E221" s="1" t="n">
        <v>46242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46242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46242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45407</v>
      </c>
      <c r="E224" s="1" t="n">
        <v>46242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55668-2025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46242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46242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45974</v>
      </c>
      <c r="E227" s="1" t="n">
        <v>46242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46129</v>
      </c>
      <c r="E228" s="1" t="n">
        <v>46242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24.9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46127</v>
      </c>
      <c r="E229" s="1" t="n">
        <v>46242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46242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45152</v>
      </c>
      <c r="E231" s="1" t="n">
        <v>46242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44951</v>
      </c>
      <c r="E232" s="1" t="n">
        <v>46242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46242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46242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46242</v>
      </c>
      <c r="F235" t="inlineStr">
        <is>
          <t>VÄRMLANDS LÄN</t>
        </is>
      </c>
      <c r="G235" t="inlineStr">
        <is>
          <t>FILIPSTAD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46242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56184-2025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45974</v>
      </c>
      <c r="E237" s="1" t="n">
        <v>46242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18542-2026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46242</v>
      </c>
      <c r="F238" t="inlineStr">
        <is>
          <t>VÄRMLANDS LÄN</t>
        </is>
      </c>
      <c r="G238" t="inlineStr">
        <is>
          <t>FILIPSTAD</t>
        </is>
      </c>
      <c r="H238" t="inlineStr">
        <is>
          <t>Kommuner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45665</v>
      </c>
      <c r="E239" s="1" t="n">
        <v>46242</v>
      </c>
      <c r="F239" t="inlineStr">
        <is>
          <t>VÄRMLANDS LÄN</t>
        </is>
      </c>
      <c r="G239" t="inlineStr">
        <is>
          <t>FILIPSTAD</t>
        </is>
      </c>
      <c r="I239" t="n">
        <v>11.7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45124</v>
      </c>
      <c r="E240" s="1" t="n">
        <v>46242</v>
      </c>
      <c r="F240" t="inlineStr">
        <is>
          <t>VÄRMLANDS LÄN</t>
        </is>
      </c>
      <c r="G240" t="inlineStr">
        <is>
          <t>FILIPSTAD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46242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56167-2025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45974</v>
      </c>
      <c r="E242" s="1" t="n">
        <v>46242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46127</v>
      </c>
      <c r="E243" s="1" t="n">
        <v>46242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46242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46242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18.8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46242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32032-2025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45835</v>
      </c>
      <c r="E247" s="1" t="n">
        <v>46242</v>
      </c>
      <c r="F247" t="inlineStr">
        <is>
          <t>VÄRMLANDS LÄN</t>
        </is>
      </c>
      <c r="G247" t="inlineStr">
        <is>
          <t>FILIPSTAD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46242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46134</v>
      </c>
      <c r="E249" s="1" t="n">
        <v>46242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46242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46242</v>
      </c>
      <c r="F251" t="inlineStr">
        <is>
          <t>VÄRMLANDS LÄN</t>
        </is>
      </c>
      <c r="G251" t="inlineStr">
        <is>
          <t>FILIPSTAD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46242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19669-2026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46242</v>
      </c>
      <c r="F253" t="inlineStr">
        <is>
          <t>VÄRMLANDS LÄN</t>
        </is>
      </c>
      <c r="G253" t="inlineStr">
        <is>
          <t>FILIPSTAD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45982</v>
      </c>
      <c r="E254" s="1" t="n">
        <v>46242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28.4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46242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46242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46242</v>
      </c>
      <c r="F257" t="inlineStr">
        <is>
          <t>VÄRMLANDS LÄN</t>
        </is>
      </c>
      <c r="G257" t="inlineStr">
        <is>
          <t>FILIPSTAD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46242</v>
      </c>
      <c r="F258" t="inlineStr">
        <is>
          <t>VÄRMLANDS LÄN</t>
        </is>
      </c>
      <c r="G258" t="inlineStr">
        <is>
          <t>FILIPSTAD</t>
        </is>
      </c>
      <c r="I258" t="n">
        <v>18.7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63482-2021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44508</v>
      </c>
      <c r="E259" s="1" t="n">
        <v>46242</v>
      </c>
      <c r="F259" t="inlineStr">
        <is>
          <t>VÄRMLANDS LÄN</t>
        </is>
      </c>
      <c r="G259" t="inlineStr">
        <is>
          <t>FILIPSTAD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45744</v>
      </c>
      <c r="E260" s="1" t="n">
        <v>46242</v>
      </c>
      <c r="F260" t="inlineStr">
        <is>
          <t>VÄRMLANDS LÄN</t>
        </is>
      </c>
      <c r="G260" t="inlineStr">
        <is>
          <t>FILIPSTAD</t>
        </is>
      </c>
      <c r="H260" t="inlineStr">
        <is>
          <t>Kommuner</t>
        </is>
      </c>
      <c r="I260" t="n">
        <v>17.7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45253</v>
      </c>
      <c r="E261" s="1" t="n">
        <v>46242</v>
      </c>
      <c r="F261" t="inlineStr">
        <is>
          <t>VÄRMLANDS LÄN</t>
        </is>
      </c>
      <c r="G261" t="inlineStr">
        <is>
          <t>FILIPSTAD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56840-2024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45628</v>
      </c>
      <c r="E262" s="1" t="n">
        <v>46242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54080-2025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46242</v>
      </c>
      <c r="F263" t="inlineStr">
        <is>
          <t>VÄRMLANDS LÄN</t>
        </is>
      </c>
      <c r="G263" t="inlineStr">
        <is>
          <t>FILIPSTAD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45408</v>
      </c>
      <c r="E264" s="1" t="n">
        <v>46242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46242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45988</v>
      </c>
      <c r="E266" s="1" t="n">
        <v>46242</v>
      </c>
      <c r="F266" t="inlineStr">
        <is>
          <t>VÄRMLANDS LÄN</t>
        </is>
      </c>
      <c r="G266" t="inlineStr">
        <is>
          <t>FILIPSTAD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46242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46242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57456-2022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46242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45989</v>
      </c>
      <c r="E270" s="1" t="n">
        <v>46242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46242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46242</v>
      </c>
      <c r="F272" t="inlineStr">
        <is>
          <t>VÄRMLANDS LÄN</t>
        </is>
      </c>
      <c r="G272" t="inlineStr">
        <is>
          <t>FILIPSTAD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46242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45087</v>
      </c>
      <c r="E274" s="1" t="n">
        <v>46242</v>
      </c>
      <c r="F274" t="inlineStr">
        <is>
          <t>VÄRMLANDS LÄN</t>
        </is>
      </c>
      <c r="G274" t="inlineStr">
        <is>
          <t>FILIPSTAD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45088</v>
      </c>
      <c r="E275" s="1" t="n">
        <v>46242</v>
      </c>
      <c r="F275" t="inlineStr">
        <is>
          <t>VÄRMLANDS LÄN</t>
        </is>
      </c>
      <c r="G275" t="inlineStr">
        <is>
          <t>FILIPSTAD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46242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59709-2025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46242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46242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37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46242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46242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46242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45328</v>
      </c>
      <c r="E282" s="1" t="n">
        <v>46242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46242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46242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43634-2021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44433</v>
      </c>
      <c r="E285" s="1" t="n">
        <v>46242</v>
      </c>
      <c r="F285" t="inlineStr">
        <is>
          <t>VÄRMLANDS LÄN</t>
        </is>
      </c>
      <c r="G285" t="inlineStr">
        <is>
          <t>FILIPSTAD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45996</v>
      </c>
      <c r="E286" s="1" t="n">
        <v>46242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45420</v>
      </c>
      <c r="E287" s="1" t="n">
        <v>46242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46242</v>
      </c>
      <c r="F288" t="inlineStr">
        <is>
          <t>VÄRMLANDS LÄN</t>
        </is>
      </c>
      <c r="G288" t="inlineStr">
        <is>
          <t>FILIPSTAD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61492-2025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46001</v>
      </c>
      <c r="E289" s="1" t="n">
        <v>46242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46242</v>
      </c>
      <c r="F290" t="inlineStr">
        <is>
          <t>VÄRMLANDS LÄN</t>
        </is>
      </c>
      <c r="G290" t="inlineStr">
        <is>
          <t>FILIPSTAD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46242</v>
      </c>
      <c r="F291" t="inlineStr">
        <is>
          <t>VÄRMLANDS LÄN</t>
        </is>
      </c>
      <c r="G291" t="inlineStr">
        <is>
          <t>FILIPSTAD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46242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46242</v>
      </c>
      <c r="F293" t="inlineStr">
        <is>
          <t>VÄRMLANDS LÄN</t>
        </is>
      </c>
      <c r="G293" t="inlineStr">
        <is>
          <t>FILIPSTAD</t>
        </is>
      </c>
      <c r="H293" t="inlineStr">
        <is>
          <t>Kyrkan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46242</v>
      </c>
      <c r="F294" t="inlineStr">
        <is>
          <t>VÄRMLANDS LÄN</t>
        </is>
      </c>
      <c r="G294" t="inlineStr">
        <is>
          <t>FILIPSTAD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33449-2025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45841</v>
      </c>
      <c r="E295" s="1" t="n">
        <v>46242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46242</v>
      </c>
      <c r="F296" t="inlineStr">
        <is>
          <t>VÄRMLANDS LÄN</t>
        </is>
      </c>
      <c r="G296" t="inlineStr">
        <is>
          <t>FILIPSTAD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61741-2022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44911</v>
      </c>
      <c r="E297" s="1" t="n">
        <v>46242</v>
      </c>
      <c r="F297" t="inlineStr">
        <is>
          <t>VÄRMLANDS LÄN</t>
        </is>
      </c>
      <c r="G297" t="inlineStr">
        <is>
          <t>FILIPSTAD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61417-2025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46001</v>
      </c>
      <c r="E298" s="1" t="n">
        <v>46242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46242</v>
      </c>
      <c r="F299" t="inlineStr">
        <is>
          <t>VÄRMLANDS LÄN</t>
        </is>
      </c>
      <c r="G299" t="inlineStr">
        <is>
          <t>FILIPSTAD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61327-2025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46001</v>
      </c>
      <c r="E300" s="1" t="n">
        <v>46242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61823-2025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46003</v>
      </c>
      <c r="E301" s="1" t="n">
        <v>46242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46242</v>
      </c>
      <c r="F302" t="inlineStr">
        <is>
          <t>VÄRMLANDS LÄN</t>
        </is>
      </c>
      <c r="G302" t="inlineStr">
        <is>
          <t>FILIPSTAD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46242</v>
      </c>
      <c r="F303" t="inlineStr">
        <is>
          <t>VÄRMLANDS LÄN</t>
        </is>
      </c>
      <c r="G303" t="inlineStr">
        <is>
          <t>FILIPSTAD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45790</v>
      </c>
      <c r="E304" s="1" t="n">
        <v>46242</v>
      </c>
      <c r="F304" t="inlineStr">
        <is>
          <t>VÄRMLANDS LÄN</t>
        </is>
      </c>
      <c r="G304" t="inlineStr">
        <is>
          <t>FILIPSTAD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46242</v>
      </c>
      <c r="F305" t="inlineStr">
        <is>
          <t>VÄRMLANDS LÄN</t>
        </is>
      </c>
      <c r="G305" t="inlineStr">
        <is>
          <t>FILIPSTAD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46242</v>
      </c>
      <c r="F306" t="inlineStr">
        <is>
          <t>VÄRMLANDS LÄN</t>
        </is>
      </c>
      <c r="G306" t="inlineStr">
        <is>
          <t>FILIPSTAD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46242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46002</v>
      </c>
      <c r="E308" s="1" t="n">
        <v>46242</v>
      </c>
      <c r="F308" t="inlineStr">
        <is>
          <t>VÄRMLANDS LÄN</t>
        </is>
      </c>
      <c r="G308" t="inlineStr">
        <is>
          <t>FILIPSTAD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46242</v>
      </c>
      <c r="F309" t="inlineStr">
        <is>
          <t>VÄRMLANDS LÄN</t>
        </is>
      </c>
      <c r="G309" t="inlineStr">
        <is>
          <t>FILIPSTAD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20050-2026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46136</v>
      </c>
      <c r="E310" s="1" t="n">
        <v>46242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46242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46242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60296-2023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45257</v>
      </c>
      <c r="E313" s="1" t="n">
        <v>46242</v>
      </c>
      <c r="F313" t="inlineStr">
        <is>
          <t>VÄRMLANDS LÄN</t>
        </is>
      </c>
      <c r="G313" t="inlineStr">
        <is>
          <t>FILIPSTAD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45232</v>
      </c>
      <c r="E314" s="1" t="n">
        <v>46242</v>
      </c>
      <c r="F314" t="inlineStr">
        <is>
          <t>VÄRMLANDS LÄN</t>
        </is>
      </c>
      <c r="G314" t="inlineStr">
        <is>
          <t>FILIPSTAD</t>
        </is>
      </c>
      <c r="I314" t="n">
        <v>15.5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20040-2026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46136</v>
      </c>
      <c r="E315" s="1" t="n">
        <v>46242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45688</v>
      </c>
      <c r="E316" s="1" t="n">
        <v>46242</v>
      </c>
      <c r="F316" t="inlineStr">
        <is>
          <t>VÄRMLANDS LÄN</t>
        </is>
      </c>
      <c r="G316" t="inlineStr">
        <is>
          <t>FILIPSTAD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46004</v>
      </c>
      <c r="E317" s="1" t="n">
        <v>46242</v>
      </c>
      <c r="F317" t="inlineStr">
        <is>
          <t>VÄRMLANDS LÄN</t>
        </is>
      </c>
      <c r="G317" t="inlineStr">
        <is>
          <t>FILIPSTAD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28161-2023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45093</v>
      </c>
      <c r="E318" s="1" t="n">
        <v>46242</v>
      </c>
      <c r="F318" t="inlineStr">
        <is>
          <t>VÄRMLANDS LÄN</t>
        </is>
      </c>
      <c r="G318" t="inlineStr">
        <is>
          <t>FILIPSTAD</t>
        </is>
      </c>
      <c r="H318" t="inlineStr">
        <is>
          <t>Kommuner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46004</v>
      </c>
      <c r="E319" s="1" t="n">
        <v>46242</v>
      </c>
      <c r="F319" t="inlineStr">
        <is>
          <t>VÄRMLANDS LÄN</t>
        </is>
      </c>
      <c r="G319" t="inlineStr">
        <is>
          <t>FILIPSTAD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20014-2026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46136</v>
      </c>
      <c r="E320" s="1" t="n">
        <v>46242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45789</v>
      </c>
      <c r="E321" s="1" t="n">
        <v>46242</v>
      </c>
      <c r="F321" t="inlineStr">
        <is>
          <t>VÄRMLANDS LÄN</t>
        </is>
      </c>
      <c r="G321" t="inlineStr">
        <is>
          <t>FILIPSTAD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46242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20663-2024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45436</v>
      </c>
      <c r="E323" s="1" t="n">
        <v>46242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33407-2025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45841</v>
      </c>
      <c r="E324" s="1" t="n">
        <v>46242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45418</v>
      </c>
      <c r="E325" s="1" t="n">
        <v>46242</v>
      </c>
      <c r="F325" t="inlineStr">
        <is>
          <t>VÄRMLANDS LÄN</t>
        </is>
      </c>
      <c r="G325" t="inlineStr">
        <is>
          <t>FILIPSTAD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46010</v>
      </c>
      <c r="E326" s="1" t="n">
        <v>46242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46242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45819</v>
      </c>
      <c r="E328" s="1" t="n">
        <v>46242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44384-2021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44435</v>
      </c>
      <c r="E329" s="1" t="n">
        <v>46242</v>
      </c>
      <c r="F329" t="inlineStr">
        <is>
          <t>VÄRMLANDS LÄN</t>
        </is>
      </c>
      <c r="G329" t="inlineStr">
        <is>
          <t>FILIPSTAD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46242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10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49602-2025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46242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46242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46014</v>
      </c>
      <c r="E333" s="1" t="n">
        <v>46242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46014</v>
      </c>
      <c r="E334" s="1" t="n">
        <v>46242</v>
      </c>
      <c r="F334" t="inlineStr">
        <is>
          <t>VÄRMLANDS LÄN</t>
        </is>
      </c>
      <c r="G334" t="inlineStr">
        <is>
          <t>FILIPSTAD</t>
        </is>
      </c>
      <c r="I334" t="n">
        <v>9.9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46242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46108</v>
      </c>
      <c r="E336" s="1" t="n">
        <v>46242</v>
      </c>
      <c r="F336" t="inlineStr">
        <is>
          <t>VÄRMLANDS LÄN</t>
        </is>
      </c>
      <c r="G336" t="inlineStr">
        <is>
          <t>FILIPSTAD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45229</v>
      </c>
      <c r="E337" s="1" t="n">
        <v>46242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14275-2024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45393</v>
      </c>
      <c r="E338" s="1" t="n">
        <v>46242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45758</v>
      </c>
      <c r="E339" s="1" t="n">
        <v>46242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45012</v>
      </c>
      <c r="E340" s="1" t="n">
        <v>46242</v>
      </c>
      <c r="F340" t="inlineStr">
        <is>
          <t>VÄRMLANDS LÄN</t>
        </is>
      </c>
      <c r="G340" t="inlineStr">
        <is>
          <t>FILIPSTAD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45951</v>
      </c>
      <c r="E341" s="1" t="n">
        <v>46242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45867</v>
      </c>
      <c r="E342" s="1" t="n">
        <v>46242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46141</v>
      </c>
      <c r="E343" s="1" t="n">
        <v>46242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45456</v>
      </c>
      <c r="E344" s="1" t="n">
        <v>46242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46242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20554-2025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45775</v>
      </c>
      <c r="E346" s="1" t="n">
        <v>46242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19159-2024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45428</v>
      </c>
      <c r="E347" s="1" t="n">
        <v>46242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20801-2026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46141</v>
      </c>
      <c r="E348" s="1" t="n">
        <v>46242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36251-2022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44803</v>
      </c>
      <c r="E349" s="1" t="n">
        <v>46242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10136-2024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46242</v>
      </c>
      <c r="F350" t="inlineStr">
        <is>
          <t>VÄRMLANDS LÄN</t>
        </is>
      </c>
      <c r="G350" t="inlineStr">
        <is>
          <t>FILIPSTAD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45658</v>
      </c>
      <c r="E351" s="1" t="n">
        <v>46242</v>
      </c>
      <c r="F351" t="inlineStr">
        <is>
          <t>VÄRMLANDS LÄN</t>
        </is>
      </c>
      <c r="G351" t="inlineStr">
        <is>
          <t>FILIPSTAD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20919-2026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46242</v>
      </c>
      <c r="F352" t="inlineStr">
        <is>
          <t>VÄRMLANDS LÄN</t>
        </is>
      </c>
      <c r="G352" t="inlineStr">
        <is>
          <t>FILIPSTAD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46242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15471-2024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45401</v>
      </c>
      <c r="E354" s="1" t="n">
        <v>46242</v>
      </c>
      <c r="F354" t="inlineStr">
        <is>
          <t>VÄRMLANDS LÄN</t>
        </is>
      </c>
      <c r="G354" t="inlineStr">
        <is>
          <t>FILIPSTAD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45618</v>
      </c>
      <c r="E355" s="1" t="n">
        <v>46242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12837-2024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45384</v>
      </c>
      <c r="E356" s="1" t="n">
        <v>46242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54828-2023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46242</v>
      </c>
      <c r="F357" t="inlineStr">
        <is>
          <t>VÄRMLANDS LÄN</t>
        </is>
      </c>
      <c r="G357" t="inlineStr">
        <is>
          <t>FILIPSTAD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45826</v>
      </c>
      <c r="E358" s="1" t="n">
        <v>46242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45484</v>
      </c>
      <c r="E359" s="1" t="n">
        <v>46242</v>
      </c>
      <c r="F359" t="inlineStr">
        <is>
          <t>VÄRMLANDS LÄN</t>
        </is>
      </c>
      <c r="G359" t="inlineStr">
        <is>
          <t>FILIPSTAD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45327</v>
      </c>
      <c r="E360" s="1" t="n">
        <v>46242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9.300000000000001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46148</v>
      </c>
      <c r="E361" s="1" t="n">
        <v>46242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45740</v>
      </c>
      <c r="E362" s="1" t="n">
        <v>46242</v>
      </c>
      <c r="F362" t="inlineStr">
        <is>
          <t>VÄRMLANDS LÄN</t>
        </is>
      </c>
      <c r="G362" t="inlineStr">
        <is>
          <t>FILIPSTAD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46242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46242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46242</v>
      </c>
      <c r="F365" t="inlineStr">
        <is>
          <t>VÄRMLANDS LÄN</t>
        </is>
      </c>
      <c r="G365" t="inlineStr">
        <is>
          <t>FILIPSTAD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46242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46242</v>
      </c>
      <c r="F367" t="inlineStr">
        <is>
          <t>VÄRMLANDS LÄN</t>
        </is>
      </c>
      <c r="G367" t="inlineStr">
        <is>
          <t>FILIPSTAD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46242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46242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46242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46242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46242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22136-2026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46242</v>
      </c>
      <c r="F373" t="inlineStr">
        <is>
          <t>VÄRMLANDS LÄN</t>
        </is>
      </c>
      <c r="G373" t="inlineStr">
        <is>
          <t>FILIPSTAD</t>
        </is>
      </c>
      <c r="I373" t="n">
        <v>10.8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46242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46242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22138-2026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46242</v>
      </c>
      <c r="F376" t="inlineStr">
        <is>
          <t>VÄRMLANDS LÄN</t>
        </is>
      </c>
      <c r="G376" t="inlineStr">
        <is>
          <t>FILIPSTAD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22229-2026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46242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46155</v>
      </c>
      <c r="E378" s="1" t="n">
        <v>46242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50786-2024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45602</v>
      </c>
      <c r="E379" s="1" t="n">
        <v>46242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45588</v>
      </c>
      <c r="E380" s="1" t="n">
        <v>46242</v>
      </c>
      <c r="F380" t="inlineStr">
        <is>
          <t>VÄRMLANDS LÄN</t>
        </is>
      </c>
      <c r="G380" t="inlineStr">
        <is>
          <t>FILIPSTAD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46202</v>
      </c>
      <c r="E381" s="1" t="n">
        <v>46242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45391</v>
      </c>
      <c r="E382" s="1" t="n">
        <v>46242</v>
      </c>
      <c r="F382" t="inlineStr">
        <is>
          <t>VÄRMLANDS LÄN</t>
        </is>
      </c>
      <c r="G382" t="inlineStr">
        <is>
          <t>FILIPSTAD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70405-2021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44536</v>
      </c>
      <c r="E383" s="1" t="n">
        <v>46242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44579</v>
      </c>
      <c r="E384" s="1" t="n">
        <v>46242</v>
      </c>
      <c r="F384" t="inlineStr">
        <is>
          <t>VÄRMLANDS LÄN</t>
        </is>
      </c>
      <c r="G384" t="inlineStr">
        <is>
          <t>FILIPSTAD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45870</v>
      </c>
      <c r="E385" s="1" t="n">
        <v>46242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46242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29127-2026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46242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61628-2022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44911</v>
      </c>
      <c r="E388" s="1" t="n">
        <v>46242</v>
      </c>
      <c r="F388" t="inlineStr">
        <is>
          <t>VÄRMLANDS LÄN</t>
        </is>
      </c>
      <c r="G388" t="inlineStr">
        <is>
          <t>FILIPSTAD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46203</v>
      </c>
      <c r="E389" s="1" t="n">
        <v>46242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46163</v>
      </c>
      <c r="E390" s="1" t="n">
        <v>46242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46242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46242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46242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46242</v>
      </c>
      <c r="F394" t="inlineStr">
        <is>
          <t>VÄRMLANDS LÄN</t>
        </is>
      </c>
      <c r="G394" t="inlineStr">
        <is>
          <t>FILIPSTAD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46242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46242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8.699999999999999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46242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29821-2026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46242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46242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23620-2023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45077</v>
      </c>
      <c r="E400" s="1" t="n">
        <v>46242</v>
      </c>
      <c r="F400" t="inlineStr">
        <is>
          <t>VÄRMLANDS LÄN</t>
        </is>
      </c>
      <c r="G400" t="inlineStr">
        <is>
          <t>FILIPSTAD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46205</v>
      </c>
      <c r="E401" s="1" t="n">
        <v>46242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46242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46163</v>
      </c>
      <c r="E403" s="1" t="n">
        <v>46242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20.3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45139-2021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44439</v>
      </c>
      <c r="E404" s="1" t="n">
        <v>46242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17686-2023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45037</v>
      </c>
      <c r="E405" s="1" t="n">
        <v>46242</v>
      </c>
      <c r="F405" t="inlineStr">
        <is>
          <t>VÄRMLANDS LÄN</t>
        </is>
      </c>
      <c r="G405" t="inlineStr">
        <is>
          <t>FILIPSTAD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33671-2022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44789</v>
      </c>
      <c r="E406" s="1" t="n">
        <v>46242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23943-2026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46242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46242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46242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36827-2022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44805</v>
      </c>
      <c r="E410" s="1" t="n">
        <v>46242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46242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46242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46242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45133</v>
      </c>
      <c r="E414" s="1" t="n">
        <v>46242</v>
      </c>
      <c r="F414" t="inlineStr">
        <is>
          <t>VÄRMLANDS LÄN</t>
        </is>
      </c>
      <c r="G414" t="inlineStr">
        <is>
          <t>FILIPSTAD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46242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46242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46242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24005-2026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46242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45456</v>
      </c>
      <c r="E419" s="1" t="n">
        <v>46242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46242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24008-2026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46242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54008-2021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44470</v>
      </c>
      <c r="E422" s="1" t="n">
        <v>46242</v>
      </c>
      <c r="F422" t="inlineStr">
        <is>
          <t>VÄRMLANDS LÄN</t>
        </is>
      </c>
      <c r="G422" t="inlineStr">
        <is>
          <t>FILIPSTAD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46242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46242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23959-2026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46242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30540-2026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46210</v>
      </c>
      <c r="E426" s="1" t="n">
        <v>46242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15459-2026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46242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46169</v>
      </c>
      <c r="E428" s="1" t="n">
        <v>46242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46257-2022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44847</v>
      </c>
      <c r="E429" s="1" t="n">
        <v>46242</v>
      </c>
      <c r="F429" t="inlineStr">
        <is>
          <t>VÄRMLANDS LÄN</t>
        </is>
      </c>
      <c r="G429" t="inlineStr">
        <is>
          <t>FILIPSTAD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46169</v>
      </c>
      <c r="E430" s="1" t="n">
        <v>46242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46242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45229</v>
      </c>
      <c r="E432" s="1" t="n">
        <v>46242</v>
      </c>
      <c r="F432" t="inlineStr">
        <is>
          <t>VÄRMLANDS LÄN</t>
        </is>
      </c>
      <c r="G432" t="inlineStr">
        <is>
          <t>FILIPSTAD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49935-2025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45940</v>
      </c>
      <c r="E433" s="1" t="n">
        <v>46242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46242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46170</v>
      </c>
      <c r="E435" s="1" t="n">
        <v>46242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46170</v>
      </c>
      <c r="E436" s="1" t="n">
        <v>46242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24520-2026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46170</v>
      </c>
      <c r="E437" s="1" t="n">
        <v>46242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30799-2026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46212</v>
      </c>
      <c r="E438" s="1" t="n">
        <v>46242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24537-2026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46170</v>
      </c>
      <c r="E439" s="1" t="n">
        <v>46242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46242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46242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23618-2023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45077</v>
      </c>
      <c r="E442" s="1" t="n">
        <v>46242</v>
      </c>
      <c r="F442" t="inlineStr">
        <is>
          <t>VÄRMLANDS LÄN</t>
        </is>
      </c>
      <c r="G442" t="inlineStr">
        <is>
          <t>FILIPSTAD</t>
        </is>
      </c>
      <c r="I442" t="n">
        <v>15.8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44960</v>
      </c>
      <c r="E443" s="1" t="n">
        <v>46242</v>
      </c>
      <c r="F443" t="inlineStr">
        <is>
          <t>VÄRMLANDS LÄN</t>
        </is>
      </c>
      <c r="G443" t="inlineStr">
        <is>
          <t>FILIPSTAD</t>
        </is>
      </c>
      <c r="H443" t="inlineStr">
        <is>
          <t>Kommuner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29473-2024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45484</v>
      </c>
      <c r="E444" s="1" t="n">
        <v>46242</v>
      </c>
      <c r="F444" t="inlineStr">
        <is>
          <t>VÄRMLANDS LÄN</t>
        </is>
      </c>
      <c r="G444" t="inlineStr">
        <is>
          <t>FILIPSTAD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46242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8.5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44588</v>
      </c>
      <c r="E446" s="1" t="n">
        <v>46242</v>
      </c>
      <c r="F446" t="inlineStr">
        <is>
          <t>VÄRMLANDS LÄN</t>
        </is>
      </c>
      <c r="G446" t="inlineStr">
        <is>
          <t>FILIPSTAD</t>
        </is>
      </c>
      <c r="H446" t="inlineStr">
        <is>
          <t>Kommuner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45063</v>
      </c>
      <c r="E447" s="1" t="n">
        <v>46242</v>
      </c>
      <c r="F447" t="inlineStr">
        <is>
          <t>VÄRMLANDS LÄN</t>
        </is>
      </c>
      <c r="G447" t="inlineStr">
        <is>
          <t>FILIPSTAD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38175-2025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45882</v>
      </c>
      <c r="E448" s="1" t="n">
        <v>46242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24886-2026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46242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9370-2023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44981</v>
      </c>
      <c r="E450" s="1" t="n">
        <v>46242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16063-2025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45749</v>
      </c>
      <c r="E451" s="1" t="n">
        <v>46242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47536-2023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45203</v>
      </c>
      <c r="E452" s="1" t="n">
        <v>46242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25468-2024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45463</v>
      </c>
      <c r="E453" s="1" t="n">
        <v>46242</v>
      </c>
      <c r="F453" t="inlineStr">
        <is>
          <t>VÄRMLANDS LÄN</t>
        </is>
      </c>
      <c r="G453" t="inlineStr">
        <is>
          <t>FILIPSTAD</t>
        </is>
      </c>
      <c r="I453" t="n">
        <v>13.2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44579</v>
      </c>
      <c r="E454" s="1" t="n">
        <v>46242</v>
      </c>
      <c r="F454" t="inlineStr">
        <is>
          <t>VÄRMLANDS LÄN</t>
        </is>
      </c>
      <c r="G454" t="inlineStr">
        <is>
          <t>FILIPSTAD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46171</v>
      </c>
      <c r="E455" s="1" t="n">
        <v>46242</v>
      </c>
      <c r="F455" t="inlineStr">
        <is>
          <t>VÄRMLANDS LÄN</t>
        </is>
      </c>
      <c r="G455" t="inlineStr">
        <is>
          <t>FILIPSTAD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45835</v>
      </c>
      <c r="E456" s="1" t="n">
        <v>46242</v>
      </c>
      <c r="F456" t="inlineStr">
        <is>
          <t>VÄRMLANDS LÄN</t>
        </is>
      </c>
      <c r="G456" t="inlineStr">
        <is>
          <t>FILIPSTAD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25203-2026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46242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8.9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46219</v>
      </c>
      <c r="E458" s="1" t="n">
        <v>46242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46242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46218</v>
      </c>
      <c r="E460" s="1" t="n">
        <v>46242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25769-2026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46242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45516-2024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45578</v>
      </c>
      <c r="E462" s="1" t="n">
        <v>46242</v>
      </c>
      <c r="F462" t="inlineStr">
        <is>
          <t>VÄRMLANDS LÄN</t>
        </is>
      </c>
      <c r="G462" t="inlineStr">
        <is>
          <t>FILIPSTAD</t>
        </is>
      </c>
      <c r="I462" t="n">
        <v>27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46242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45120</v>
      </c>
      <c r="E464" s="1" t="n">
        <v>46242</v>
      </c>
      <c r="F464" t="inlineStr">
        <is>
          <t>VÄRMLANDS LÄN</t>
        </is>
      </c>
      <c r="G464" t="inlineStr">
        <is>
          <t>FILIPSTAD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45240</v>
      </c>
      <c r="E465" s="1" t="n">
        <v>46242</v>
      </c>
      <c r="F465" t="inlineStr">
        <is>
          <t>VÄRMLANDS LÄN</t>
        </is>
      </c>
      <c r="G465" t="inlineStr">
        <is>
          <t>FILIPSTAD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31537-2026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46223</v>
      </c>
      <c r="E466" s="1" t="n">
        <v>46242</v>
      </c>
      <c r="F466" t="inlineStr">
        <is>
          <t>VÄRMLANDS LÄN</t>
        </is>
      </c>
      <c r="G466" t="inlineStr">
        <is>
          <t>FILIPSTAD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46223</v>
      </c>
      <c r="E467" s="1" t="n">
        <v>46242</v>
      </c>
      <c r="F467" t="inlineStr">
        <is>
          <t>VÄRMLANDS LÄN</t>
        </is>
      </c>
      <c r="G467" t="inlineStr">
        <is>
          <t>FILIPSTAD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47344-2023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45202</v>
      </c>
      <c r="E468" s="1" t="n">
        <v>46242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46242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46242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46242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26211-2026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46242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46182</v>
      </c>
      <c r="E473" s="1" t="n">
        <v>46242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45547</v>
      </c>
      <c r="E474" s="1" t="n">
        <v>46242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46242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46182</v>
      </c>
      <c r="E476" s="1" t="n">
        <v>46242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45418</v>
      </c>
      <c r="E477" s="1" t="n">
        <v>46242</v>
      </c>
      <c r="F477" t="inlineStr">
        <is>
          <t>VÄRMLANDS LÄN</t>
        </is>
      </c>
      <c r="G477" t="inlineStr">
        <is>
          <t>FILIPSTAD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26107-2026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46242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11680-2023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44994</v>
      </c>
      <c r="E479" s="1" t="n">
        <v>46242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46242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31688-2026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46226</v>
      </c>
      <c r="E481" s="1" t="n">
        <v>46242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46226</v>
      </c>
      <c r="E482" s="1" t="n">
        <v>46242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46242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46178</v>
      </c>
      <c r="E484" s="1" t="n">
        <v>46242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54145-2024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46242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26549-2026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46183</v>
      </c>
      <c r="E486" s="1" t="n">
        <v>46242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46227</v>
      </c>
      <c r="E487" s="1" t="n">
        <v>46242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55397-2022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44887</v>
      </c>
      <c r="E488" s="1" t="n">
        <v>46242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46226</v>
      </c>
      <c r="E489" s="1" t="n">
        <v>46242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46227</v>
      </c>
      <c r="E490" s="1" t="n">
        <v>46242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41075-2023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45173</v>
      </c>
      <c r="E491" s="1" t="n">
        <v>46242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27300-2026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46242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46187</v>
      </c>
      <c r="E493" s="1" t="n">
        <v>46242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27007-2026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46242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45014</v>
      </c>
      <c r="E495" s="1" t="n">
        <v>46242</v>
      </c>
      <c r="F495" t="inlineStr">
        <is>
          <t>VÄRMLANDS LÄN</t>
        </is>
      </c>
      <c r="G495" t="inlineStr">
        <is>
          <t>FILIPSTAD</t>
        </is>
      </c>
      <c r="H495" t="inlineStr">
        <is>
          <t>Kyrkan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31914-2026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46231</v>
      </c>
      <c r="E496" s="1" t="n">
        <v>46242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4819-2023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44957</v>
      </c>
      <c r="E497" s="1" t="n">
        <v>46242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27372-2026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46188</v>
      </c>
      <c r="E498" s="1" t="n">
        <v>46242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46186</v>
      </c>
      <c r="E499" s="1" t="n">
        <v>46242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46186</v>
      </c>
      <c r="E500" s="1" t="n">
        <v>46242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27595-2026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46242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32008-2026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46233</v>
      </c>
      <c r="E502" s="1" t="n">
        <v>46242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46233</v>
      </c>
      <c r="E503" s="1" t="n">
        <v>46242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31950-2026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46232</v>
      </c>
      <c r="E504" s="1" t="n">
        <v>46242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46242</v>
      </c>
      <c r="F505" t="inlineStr">
        <is>
          <t>VÄRMLANDS LÄN</t>
        </is>
      </c>
      <c r="G505" t="inlineStr">
        <is>
          <t>FILIPSTAD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45474</v>
      </c>
      <c r="E506" s="1" t="n">
        <v>46242</v>
      </c>
      <c r="F506" t="inlineStr">
        <is>
          <t>VÄRMLANDS LÄN</t>
        </is>
      </c>
      <c r="G506" t="inlineStr">
        <is>
          <t>FILIPSTAD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46232</v>
      </c>
      <c r="E507" s="1" t="n">
        <v>46242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32035-2026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46233</v>
      </c>
      <c r="E508" s="1" t="n">
        <v>46242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46232</v>
      </c>
      <c r="E509" s="1" t="n">
        <v>46242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32185-2024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45511</v>
      </c>
      <c r="E510" s="1" t="n">
        <v>46242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5754-2022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46242</v>
      </c>
      <c r="F511" t="inlineStr">
        <is>
          <t>VÄRMLANDS LÄN</t>
        </is>
      </c>
      <c r="G511" t="inlineStr">
        <is>
          <t>FILIPSTAD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45186</v>
      </c>
      <c r="E512" s="1" t="n">
        <v>46242</v>
      </c>
      <c r="F512" t="inlineStr">
        <is>
          <t>VÄRMLANDS LÄN</t>
        </is>
      </c>
      <c r="G512" t="inlineStr">
        <is>
          <t>FILIPSTAD</t>
        </is>
      </c>
      <c r="I512" t="n">
        <v>15.3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46242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32249-2026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46237</v>
      </c>
      <c r="E514" s="1" t="n">
        <v>46242</v>
      </c>
      <c r="F514" t="inlineStr">
        <is>
          <t>VÄRMLANDS LÄN</t>
        </is>
      </c>
      <c r="G514" t="inlineStr">
        <is>
          <t>FILIPSTAD</t>
        </is>
      </c>
      <c r="H514" t="inlineStr">
        <is>
          <t>Kommuner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46242</v>
      </c>
      <c r="F515" t="inlineStr">
        <is>
          <t>VÄRMLANDS LÄN</t>
        </is>
      </c>
      <c r="G515" t="inlineStr">
        <is>
          <t>FILIPSTAD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32141-2026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46234</v>
      </c>
      <c r="E516" s="1" t="n">
        <v>46242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43633-2024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45569</v>
      </c>
      <c r="E517" s="1" t="n">
        <v>46242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45947</v>
      </c>
      <c r="E518" s="1" t="n">
        <v>46242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32248-2026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46237</v>
      </c>
      <c r="E519" s="1" t="n">
        <v>46242</v>
      </c>
      <c r="F519" t="inlineStr">
        <is>
          <t>VÄRMLANDS LÄN</t>
        </is>
      </c>
      <c r="G519" t="inlineStr">
        <is>
          <t>FILIPSTAD</t>
        </is>
      </c>
      <c r="I519" t="n">
        <v>13.4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31358-2023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45114</v>
      </c>
      <c r="E520" s="1" t="n">
        <v>46242</v>
      </c>
      <c r="F520" t="inlineStr">
        <is>
          <t>VÄRMLANDS LÄN</t>
        </is>
      </c>
      <c r="G520" t="inlineStr">
        <is>
          <t>FILIPSTAD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57026-2023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45244</v>
      </c>
      <c r="E521" s="1" t="n">
        <v>46242</v>
      </c>
      <c r="F521" t="inlineStr">
        <is>
          <t>VÄRMLANDS LÄN</t>
        </is>
      </c>
      <c r="G521" t="inlineStr">
        <is>
          <t>FILIPSTAD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46680-2024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45583</v>
      </c>
      <c r="E522" s="1" t="n">
        <v>46242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46242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19030-2022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44691</v>
      </c>
      <c r="E524" s="1" t="n">
        <v>46242</v>
      </c>
      <c r="F524" t="inlineStr">
        <is>
          <t>VÄRMLANDS LÄN</t>
        </is>
      </c>
      <c r="G524" t="inlineStr">
        <is>
          <t>FILIPSTAD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27968-2026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46242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46239</v>
      </c>
      <c r="E526" s="1" t="n">
        <v>46242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27080-2023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45096</v>
      </c>
      <c r="E527" s="1" t="n">
        <v>46242</v>
      </c>
      <c r="F527" t="inlineStr">
        <is>
          <t>VÄRMLANDS LÄN</t>
        </is>
      </c>
      <c r="G527" t="inlineStr">
        <is>
          <t>FILIPSTAD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46239</v>
      </c>
      <c r="E528" s="1" t="n">
        <v>46242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32572-2026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46239</v>
      </c>
      <c r="E529" s="1" t="n">
        <v>46242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48908-2023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46242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46242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46240</v>
      </c>
      <c r="E532" s="1" t="n">
        <v>46242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62013-2024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45655</v>
      </c>
      <c r="E533" s="1" t="n">
        <v>46242</v>
      </c>
      <c r="F533" t="inlineStr">
        <is>
          <t>VÄRMLANDS LÄN</t>
        </is>
      </c>
      <c r="G533" t="inlineStr">
        <is>
          <t>FILIPSTAD</t>
        </is>
      </c>
      <c r="I533" t="n">
        <v>26.5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62014-2024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45655</v>
      </c>
      <c r="E534" s="1" t="n">
        <v>46242</v>
      </c>
      <c r="F534" t="inlineStr">
        <is>
          <t>VÄRMLANDS LÄN</t>
        </is>
      </c>
      <c r="G534" t="inlineStr">
        <is>
          <t>FILIPSTAD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29010-2026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46242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32600-2026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46240</v>
      </c>
      <c r="E536" s="1" t="n">
        <v>46242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46242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46242</v>
      </c>
      <c r="F538" t="inlineStr">
        <is>
          <t>VÄRMLANDS LÄN</t>
        </is>
      </c>
      <c r="G538" t="inlineStr">
        <is>
          <t>FILIPSTAD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46241</v>
      </c>
      <c r="E539" s="1" t="n">
        <v>46242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46242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1170-2023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44935</v>
      </c>
      <c r="E541" s="1" t="n">
        <v>46242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32588-2026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46242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28977-2026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46199</v>
      </c>
      <c r="E543" s="1" t="n">
        <v>46242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5992-2023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44959</v>
      </c>
      <c r="E544" s="1" t="n">
        <v>46242</v>
      </c>
      <c r="F544" t="inlineStr">
        <is>
          <t>VÄRMLANDS LÄN</t>
        </is>
      </c>
      <c r="G544" t="inlineStr">
        <is>
          <t>FILIPSTAD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53562-2023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45230</v>
      </c>
      <c r="E545" s="1" t="n">
        <v>46242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9.9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63411-2023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45274</v>
      </c>
      <c r="E546" s="1" t="n">
        <v>46242</v>
      </c>
      <c r="F546" t="inlineStr">
        <is>
          <t>VÄRMLANDS LÄN</t>
        </is>
      </c>
      <c r="G546" t="inlineStr">
        <is>
          <t>FILIPSTAD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43484-2023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45184</v>
      </c>
      <c r="E547" s="1" t="n">
        <v>46242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45124</v>
      </c>
      <c r="E548" s="1" t="n">
        <v>46242</v>
      </c>
      <c r="F548" t="inlineStr">
        <is>
          <t>VÄRMLANDS LÄN</t>
        </is>
      </c>
      <c r="G548" t="inlineStr">
        <is>
          <t>FILIPSTAD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34262-2024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45524</v>
      </c>
      <c r="E549" s="1" t="n">
        <v>46242</v>
      </c>
      <c r="F549" t="inlineStr">
        <is>
          <t>VÄRMLANDS LÄN</t>
        </is>
      </c>
      <c r="G549" t="inlineStr">
        <is>
          <t>FILIPSTAD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46242</v>
      </c>
      <c r="F550" t="inlineStr">
        <is>
          <t>VÄRMLANDS LÄN</t>
        </is>
      </c>
      <c r="G550" t="inlineStr">
        <is>
          <t>FILIPSTAD</t>
        </is>
      </c>
      <c r="H550" t="inlineStr">
        <is>
          <t>Kyrkan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43264-2024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45568</v>
      </c>
      <c r="E551" s="1" t="n">
        <v>46242</v>
      </c>
      <c r="F551" t="inlineStr">
        <is>
          <t>VÄRMLANDS LÄN</t>
        </is>
      </c>
      <c r="G551" t="inlineStr">
        <is>
          <t>FILIPSTAD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6860-2024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45342</v>
      </c>
      <c r="E552" s="1" t="n">
        <v>46242</v>
      </c>
      <c r="F552" t="inlineStr">
        <is>
          <t>VÄRMLANDS LÄN</t>
        </is>
      </c>
      <c r="G552" t="inlineStr">
        <is>
          <t>FILIPSTAD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43045-2024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45567</v>
      </c>
      <c r="E553" s="1" t="n">
        <v>46242</v>
      </c>
      <c r="F553" t="inlineStr">
        <is>
          <t>VÄRMLANDS LÄN</t>
        </is>
      </c>
      <c r="G553" t="inlineStr">
        <is>
          <t>FILIPSTAD</t>
        </is>
      </c>
      <c r="H553" t="inlineStr">
        <is>
          <t>Kyrkan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6683-2025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45700</v>
      </c>
      <c r="E554" s="1" t="n">
        <v>46242</v>
      </c>
      <c r="F554" t="inlineStr">
        <is>
          <t>VÄRMLANDS LÄN</t>
        </is>
      </c>
      <c r="G554" t="inlineStr">
        <is>
          <t>FILIPSTAD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25376-2023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45088</v>
      </c>
      <c r="E555" s="1" t="n">
        <v>46242</v>
      </c>
      <c r="F555" t="inlineStr">
        <is>
          <t>VÄRMLANDS LÄN</t>
        </is>
      </c>
      <c r="G555" t="inlineStr">
        <is>
          <t>FILIPSTAD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69015-2021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44530</v>
      </c>
      <c r="E556" s="1" t="n">
        <v>46242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45439</v>
      </c>
      <c r="E557" s="1" t="n">
        <v>46242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6520-2023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46242</v>
      </c>
      <c r="F558" t="inlineStr">
        <is>
          <t>VÄRMLANDS LÄN</t>
        </is>
      </c>
      <c r="G558" t="inlineStr">
        <is>
          <t>FILIPSTAD</t>
        </is>
      </c>
      <c r="H558" t="inlineStr">
        <is>
          <t>Kommuner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20661-2024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45436</v>
      </c>
      <c r="E559" s="1" t="n">
        <v>46242</v>
      </c>
      <c r="F559" t="inlineStr">
        <is>
          <t>VÄRMLANDS LÄN</t>
        </is>
      </c>
      <c r="G559" t="inlineStr">
        <is>
          <t>FILIPSTAD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53690-2022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44880</v>
      </c>
      <c r="E560" s="1" t="n">
        <v>46242</v>
      </c>
      <c r="F560" t="inlineStr">
        <is>
          <t>VÄRMLANDS LÄN</t>
        </is>
      </c>
      <c r="G560" t="inlineStr">
        <is>
          <t>FILIPSTAD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45700</v>
      </c>
      <c r="E561" s="1" t="n">
        <v>46242</v>
      </c>
      <c r="F561" t="inlineStr">
        <is>
          <t>VÄRMLANDS LÄN</t>
        </is>
      </c>
      <c r="G561" t="inlineStr">
        <is>
          <t>FILIPSTAD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48040-2023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45204</v>
      </c>
      <c r="E562" s="1" t="n">
        <v>46242</v>
      </c>
      <c r="F562" t="inlineStr">
        <is>
          <t>VÄRMLANDS LÄN</t>
        </is>
      </c>
      <c r="G562" t="inlineStr">
        <is>
          <t>FILIPSTAD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52981-2021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44467</v>
      </c>
      <c r="E563" s="1" t="n">
        <v>46242</v>
      </c>
      <c r="F563" t="inlineStr">
        <is>
          <t>VÄRMLANDS LÄN</t>
        </is>
      </c>
      <c r="G563" t="inlineStr">
        <is>
          <t>FILIPSTAD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10306-2025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45720</v>
      </c>
      <c r="E564" s="1" t="n">
        <v>46242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51266-2021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44461</v>
      </c>
      <c r="E565" s="1" t="n">
        <v>46242</v>
      </c>
      <c r="F565" t="inlineStr">
        <is>
          <t>VÄRMLANDS LÄN</t>
        </is>
      </c>
      <c r="G565" t="inlineStr">
        <is>
          <t>FILIPSTAD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51618-2022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44872</v>
      </c>
      <c r="E566" s="1" t="n">
        <v>46242</v>
      </c>
      <c r="F566" t="inlineStr">
        <is>
          <t>VÄRMLANDS LÄN</t>
        </is>
      </c>
      <c r="G566" t="inlineStr">
        <is>
          <t>FILIPSTAD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45516</v>
      </c>
      <c r="E567" s="1" t="n">
        <v>46242</v>
      </c>
      <c r="F567" t="inlineStr">
        <is>
          <t>VÄRMLANDS LÄN</t>
        </is>
      </c>
      <c r="G567" t="inlineStr">
        <is>
          <t>FILIPSTAD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37611-2022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44809</v>
      </c>
      <c r="E568" s="1" t="n">
        <v>46242</v>
      </c>
      <c r="F568" t="inlineStr">
        <is>
          <t>VÄRMLANDS LÄN</t>
        </is>
      </c>
      <c r="G568" t="inlineStr">
        <is>
          <t>FILIPSTAD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16591-2022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44672</v>
      </c>
      <c r="E569" s="1" t="n">
        <v>46242</v>
      </c>
      <c r="F569" t="inlineStr">
        <is>
          <t>VÄRMLANDS LÄN</t>
        </is>
      </c>
      <c r="G569" t="inlineStr">
        <is>
          <t>FILIPSTAD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12160-2023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44998</v>
      </c>
      <c r="E570" s="1" t="n">
        <v>46242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46978-2023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45195</v>
      </c>
      <c r="E571" s="1" t="n">
        <v>46242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46242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27139-2024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45471</v>
      </c>
      <c r="E573" s="1" t="n">
        <v>46242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45414</v>
      </c>
      <c r="E574" s="1" t="n">
        <v>46242</v>
      </c>
      <c r="F574" t="inlineStr">
        <is>
          <t>VÄRMLANDS LÄN</t>
        </is>
      </c>
      <c r="G574" t="inlineStr">
        <is>
          <t>FILIPSTAD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47002-2024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45586</v>
      </c>
      <c r="E575" s="1" t="n">
        <v>46242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45495</v>
      </c>
      <c r="E576" s="1" t="n">
        <v>46242</v>
      </c>
      <c r="F576" t="inlineStr">
        <is>
          <t>VÄRMLANDS LÄN</t>
        </is>
      </c>
      <c r="G576" t="inlineStr">
        <is>
          <t>FILIPSTAD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45667</v>
      </c>
      <c r="E577" s="1" t="n">
        <v>46242</v>
      </c>
      <c r="F577" t="inlineStr">
        <is>
          <t>VÄRMLANDS LÄN</t>
        </is>
      </c>
      <c r="G577" t="inlineStr">
        <is>
          <t>FILIPSTAD</t>
        </is>
      </c>
      <c r="H577" t="inlineStr">
        <is>
          <t>Kommuner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46242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65167-2021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44515</v>
      </c>
      <c r="E579" s="1" t="n">
        <v>46242</v>
      </c>
      <c r="F579" t="inlineStr">
        <is>
          <t>VÄRMLANDS LÄN</t>
        </is>
      </c>
      <c r="G579" t="inlineStr">
        <is>
          <t>FILIPSTAD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46242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35304-2024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45530</v>
      </c>
      <c r="E581" s="1" t="n">
        <v>46242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23266-2025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46242</v>
      </c>
      <c r="F582" t="inlineStr">
        <is>
          <t>VÄRMLANDS LÄN</t>
        </is>
      </c>
      <c r="G582" t="inlineStr">
        <is>
          <t>FILIPSTAD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48702-2024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45593</v>
      </c>
      <c r="E583" s="1" t="n">
        <v>46242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45790</v>
      </c>
      <c r="E584" s="1" t="n">
        <v>46242</v>
      </c>
      <c r="F584" t="inlineStr">
        <is>
          <t>VÄRMLANDS LÄN</t>
        </is>
      </c>
      <c r="G584" t="inlineStr">
        <is>
          <t>FILIPSTAD</t>
        </is>
      </c>
      <c r="H584" t="inlineStr">
        <is>
          <t>Kyrkan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45667</v>
      </c>
      <c r="E585" s="1" t="n">
        <v>46242</v>
      </c>
      <c r="F585" t="inlineStr">
        <is>
          <t>VÄRMLANDS LÄN</t>
        </is>
      </c>
      <c r="G585" t="inlineStr">
        <is>
          <t>FILIPSTAD</t>
        </is>
      </c>
      <c r="H585" t="inlineStr">
        <is>
          <t>Kommuner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23775-2025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45793</v>
      </c>
      <c r="E586" s="1" t="n">
        <v>46242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23399-2025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45792</v>
      </c>
      <c r="E587" s="1" t="n">
        <v>46242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23475-2025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45792</v>
      </c>
      <c r="E588" s="1" t="n">
        <v>46242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8712-2024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45355</v>
      </c>
      <c r="E589" s="1" t="n">
        <v>46242</v>
      </c>
      <c r="F589" t="inlineStr">
        <is>
          <t>VÄRMLANDS LÄN</t>
        </is>
      </c>
      <c r="G589" t="inlineStr">
        <is>
          <t>FILIPSTAD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72118-2021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44543</v>
      </c>
      <c r="E590" s="1" t="n">
        <v>46242</v>
      </c>
      <c r="F590" t="inlineStr">
        <is>
          <t>VÄRMLANDS LÄN</t>
        </is>
      </c>
      <c r="G590" t="inlineStr">
        <is>
          <t>FILIPSTAD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15396-2025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45747</v>
      </c>
      <c r="E591" s="1" t="n">
        <v>46242</v>
      </c>
      <c r="F591" t="inlineStr">
        <is>
          <t>VÄRMLANDS LÄN</t>
        </is>
      </c>
      <c r="G591" t="inlineStr">
        <is>
          <t>FILIPSTAD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65174-2021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44515</v>
      </c>
      <c r="E592" s="1" t="n">
        <v>46242</v>
      </c>
      <c r="F592" t="inlineStr">
        <is>
          <t>VÄRMLANDS LÄN</t>
        </is>
      </c>
      <c r="G592" t="inlineStr">
        <is>
          <t>FILIPSTAD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24143-2025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45796</v>
      </c>
      <c r="E593" s="1" t="n">
        <v>46242</v>
      </c>
      <c r="F593" t="inlineStr">
        <is>
          <t>VÄRMLANDS LÄN</t>
        </is>
      </c>
      <c r="G593" t="inlineStr">
        <is>
          <t>FILIPSTAD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45439</v>
      </c>
      <c r="E594" s="1" t="n">
        <v>46242</v>
      </c>
      <c r="F594" t="inlineStr">
        <is>
          <t>VÄRMLANDS LÄN</t>
        </is>
      </c>
      <c r="G594" t="inlineStr">
        <is>
          <t>FILIPSTAD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3979-2024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45322</v>
      </c>
      <c r="E595" s="1" t="n">
        <v>46242</v>
      </c>
      <c r="F595" t="inlineStr">
        <is>
          <t>VÄRMLANDS LÄN</t>
        </is>
      </c>
      <c r="G595" t="inlineStr">
        <is>
          <t>FILIPSTAD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15406-2025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45747</v>
      </c>
      <c r="E596" s="1" t="n">
        <v>46242</v>
      </c>
      <c r="F596" t="inlineStr">
        <is>
          <t>VÄRMLANDS LÄN</t>
        </is>
      </c>
      <c r="G596" t="inlineStr">
        <is>
          <t>FILIPSTAD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5757-2021</t>
        </is>
      </c>
      <c r="B597" t="inlineStr">
        <is>
          <t>samrådsanmälan</t>
        </is>
      </c>
      <c r="C597" t="inlineStr">
        <is>
          <t>Basväg</t>
        </is>
      </c>
      <c r="D597" s="1" t="n">
        <v>44438</v>
      </c>
      <c r="E597" s="1" t="n">
        <v>46242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1191-2021</t>
        </is>
      </c>
      <c r="B598" t="inlineStr">
        <is>
          <t>samrådsanmälan</t>
        </is>
      </c>
      <c r="C598" t="inlineStr">
        <is>
          <t>Åtgärd i nyckelbiotop</t>
        </is>
      </c>
      <c r="D598" s="1" t="n">
        <v>44328</v>
      </c>
      <c r="E598" s="1" t="n">
        <v>46242</v>
      </c>
      <c r="F598" t="inlineStr">
        <is>
          <t>VÄRMLANDS LÄN</t>
        </is>
      </c>
      <c r="G598" t="inlineStr">
        <is>
          <t>FILIPSTAD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4134-2023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46242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4115-2023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45246</v>
      </c>
      <c r="E600" s="1" t="n">
        <v>46242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4137-2023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46242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4132-2023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46242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8.300000000000001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4130-2023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46242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4127-2023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46242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837-2023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44991</v>
      </c>
      <c r="E605" s="1" t="n">
        <v>46242</v>
      </c>
      <c r="F605" t="inlineStr">
        <is>
          <t>VÄRMLANDS LÄN</t>
        </is>
      </c>
      <c r="G605" t="inlineStr">
        <is>
          <t>FILIPSTAD</t>
        </is>
      </c>
      <c r="I605" t="n">
        <v>19.3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4129-2023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45247</v>
      </c>
      <c r="E606" s="1" t="n">
        <v>46242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3919-2023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45233</v>
      </c>
      <c r="E607" s="1" t="n">
        <v>46242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4135-2023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45247</v>
      </c>
      <c r="E608" s="1" t="n">
        <v>46242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18.9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6078-2021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44442</v>
      </c>
      <c r="E609" s="1" t="n">
        <v>46242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4126-2023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45247</v>
      </c>
      <c r="E610" s="1" t="n">
        <v>46242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294-2025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45687</v>
      </c>
      <c r="E611" s="1" t="n">
        <v>46242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186.4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4116-2023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45246</v>
      </c>
      <c r="E612" s="1" t="n">
        <v>46242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661-2025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45716</v>
      </c>
      <c r="E613" s="1" t="n">
        <v>46242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161.7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3429-2025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45995</v>
      </c>
      <c r="E614" s="1" t="n">
        <v>46242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3576-2025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46010</v>
      </c>
      <c r="E615" s="1" t="n">
        <v>46242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105-2026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46036</v>
      </c>
      <c r="E616" s="1" t="n">
        <v>46242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238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2026-08-08T01:56:04Z</dcterms:created>
  <dcterms:modified xmlns:dcterms="http://purl.org/dc/terms/" xmlns:xsi="http://www.w3.org/2001/XMLSchema-instance" xsi:type="dcterms:W3CDTF">2026-08-08T01:56:05Z</dcterms:modified>
</cp:coreProperties>
</file>