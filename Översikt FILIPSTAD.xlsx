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46265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46265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45602-2025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45922</v>
      </c>
      <c r="E7" s="1" t="n">
        <v>46265</v>
      </c>
      <c r="F7" t="inlineStr">
        <is>
          <t>VÄRMLANDS LÄN</t>
        </is>
      </c>
      <c r="G7" t="inlineStr">
        <is>
          <t>FILIPSTAD</t>
        </is>
      </c>
      <c r="I7" t="n">
        <v>6.2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9</v>
      </c>
      <c r="U7" t="n">
        <v>0</v>
      </c>
      <c r="V7" s="2" t="inlineStr">
        <is>
          <t>Veckticka
Vårärt
Blåsfliksmossa
Mörk husmossa
Tibast</t>
        </is>
      </c>
      <c r="W7">
        <f>HYPERLINK("https://klasma.github.io/Logging_1782/artfynd/A 45602-2025 artfynd.xlsx", "A 45602-2025")</f>
        <v/>
      </c>
      <c r="X7">
        <f>HYPERLINK("https://klasma.github.io/Logging_1782/kartor/A 45602-2025 karta.png", "A 45602-2025")</f>
        <v/>
      </c>
      <c r="Y7">
        <f>HYPERLINK("https://klasma.github.io/Logging_1782/kartor_geotiff/A 45602-2025 georefererad karta.tif", "A 45602-2025")</f>
        <v/>
      </c>
      <c r="AA7">
        <f>HYPERLINK("https://klasma.github.io/Logging_1782/klagomål/A 45602-2025 FSC-klagomål.docx", "A 45602-2025")</f>
        <v/>
      </c>
      <c r="AB7">
        <f>HYPERLINK("https://klasma.github.io/Logging_1782/klagomålsmail/A 45602-2025 FSC-klagomål mail.docx", "A 45602-2025")</f>
        <v/>
      </c>
      <c r="AC7">
        <f>HYPERLINK("https://klasma.github.io/Logging_1782/tillsyn/A 45602-2025 tillsynsbegäran.docx", "A 45602-2025")</f>
        <v/>
      </c>
      <c r="AD7">
        <f>HYPERLINK("https://klasma.github.io/Logging_1782/tillsynsmail/A 45602-2025 tillsynsbegäran mail.docx", "A 45602-2025")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46265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46265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46265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46265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46265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19945-2023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46265</v>
      </c>
      <c r="F18" t="inlineStr">
        <is>
          <t>VÄRMLANDS LÄN</t>
        </is>
      </c>
      <c r="G18" t="inlineStr">
        <is>
          <t>FILIPSTAD</t>
        </is>
      </c>
      <c r="I18" t="n">
        <v>3.3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Guckusko
Kransrams</t>
        </is>
      </c>
      <c r="W18">
        <f>HYPERLINK("https://klasma.github.io/Logging_1782/artfynd/A 19945-2023 artfynd.xlsx", "A 19945-2023")</f>
        <v/>
      </c>
      <c r="X18">
        <f>HYPERLINK("https://klasma.github.io/Logging_1782/kartor/A 19945-2023 karta.png", "A 19945-2023")</f>
        <v/>
      </c>
      <c r="Y18">
        <f>HYPERLINK("https://klasma.github.io/Logging_1782/kartor_geotiff/A 19945-2023 georefererad karta.tif", "A 19945-2023")</f>
        <v/>
      </c>
      <c r="AA18">
        <f>HYPERLINK("https://klasma.github.io/Logging_1782/klagomål/A 19945-2023 FSC-klagomål.docx", "A 19945-2023")</f>
        <v/>
      </c>
      <c r="AB18">
        <f>HYPERLINK("https://klasma.github.io/Logging_1782/klagomålsmail/A 19945-2023 FSC-klagomål mail.docx", "A 19945-2023")</f>
        <v/>
      </c>
      <c r="AC18">
        <f>HYPERLINK("https://klasma.github.io/Logging_1782/tillsyn/A 19945-2023 tillsynsbegäran.docx", "A 19945-2023")</f>
        <v/>
      </c>
      <c r="AD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45414</v>
      </c>
      <c r="E19" s="1" t="n">
        <v>46265</v>
      </c>
      <c r="F19" t="inlineStr">
        <is>
          <t>VÄRMLANDS LÄN</t>
        </is>
      </c>
      <c r="G19" t="inlineStr">
        <is>
          <t>FILIPSTAD</t>
        </is>
      </c>
      <c r="H19" t="inlineStr">
        <is>
          <t>Kommuner</t>
        </is>
      </c>
      <c r="I19" t="n">
        <v>5.8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Dropptaggsvamp
Talltita</t>
        </is>
      </c>
      <c r="W19">
        <f>HYPERLINK("https://klasma.github.io/Logging_1782/artfynd/A 17274-2024 artfynd.xlsx", "A 17274-2024")</f>
        <v/>
      </c>
      <c r="X19">
        <f>HYPERLINK("https://klasma.github.io/Logging_1782/kartor/A 17274-2024 karta.png", "A 17274-2024")</f>
        <v/>
      </c>
      <c r="Y19">
        <f>HYPERLINK("https://klasma.github.io/Logging_1782/kartor_geotiff/A 17274-2024 georefererad karta.tif", "A 17274-2024")</f>
        <v/>
      </c>
      <c r="AA19">
        <f>HYPERLINK("https://klasma.github.io/Logging_1782/klagomål/A 17274-2024 FSC-klagomål.docx", "A 17274-2024")</f>
        <v/>
      </c>
      <c r="AB19">
        <f>HYPERLINK("https://klasma.github.io/Logging_1782/klagomålsmail/A 17274-2024 FSC-klagomål mail.docx", "A 17274-2024")</f>
        <v/>
      </c>
      <c r="AC19">
        <f>HYPERLINK("https://klasma.github.io/Logging_1782/tillsyn/A 17274-2024 tillsynsbegäran.docx", "A 17274-2024")</f>
        <v/>
      </c>
      <c r="AD19">
        <f>HYPERLINK("https://klasma.github.io/Logging_1782/tillsynsmail/A 17274-2024 tillsynsbegäran mail.docx", "A 17274-2024")</f>
        <v/>
      </c>
      <c r="AE19">
        <f>HYPERLINK("https://klasma.github.io/Logging_1782/fåglar/A 17274-2024 prioriterade fågelarter.docx", "A 17274-2024")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46265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46265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46265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32438-2026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46265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Dubbelnycklar
Ängsnycklar</t>
        </is>
      </c>
      <c r="W23">
        <f>HYPERLINK("https://klasma.github.io/Logging_1782/artfynd/A 32438-2026 artfynd.xlsx", "A 32438-2026")</f>
        <v/>
      </c>
      <c r="X23">
        <f>HYPERLINK("https://klasma.github.io/Logging_1782/kartor/A 32438-2026 karta.png", "A 32438-2026")</f>
        <v/>
      </c>
      <c r="Y23">
        <f>HYPERLINK("https://klasma.github.io/Logging_1782/kartor_geotiff/A 32438-2026 georefererad karta.tif", "A 32438-2026")</f>
        <v/>
      </c>
      <c r="AA23">
        <f>HYPERLINK("https://klasma.github.io/Logging_1782/klagomål/A 32438-2026 FSC-klagomål.docx", "A 32438-2026")</f>
        <v/>
      </c>
      <c r="AB23">
        <f>HYPERLINK("https://klasma.github.io/Logging_1782/klagomålsmail/A 32438-2026 FSC-klagomål mail.docx", "A 32438-2026")</f>
        <v/>
      </c>
      <c r="AC23">
        <f>HYPERLINK("https://klasma.github.io/Logging_1782/tillsyn/A 32438-2026 tillsynsbegäran.docx", "A 32438-2026")</f>
        <v/>
      </c>
      <c r="AD23">
        <f>HYPERLINK("https://klasma.github.io/Logging_1782/tillsynsmail/A 32438-2026 tillsynsbegäran mail.docx", "A 32438-2026")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46265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46265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46265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46265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46265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46265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46265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11453-2025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45726</v>
      </c>
      <c r="E32" s="1" t="n">
        <v>46265</v>
      </c>
      <c r="F32" t="inlineStr">
        <is>
          <t>VÄRMLANDS LÄN</t>
        </is>
      </c>
      <c r="G32" t="inlineStr">
        <is>
          <t>FILIPSTAD</t>
        </is>
      </c>
      <c r="I32" t="n">
        <v>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Purpurknipprot</t>
        </is>
      </c>
      <c r="W32">
        <f>HYPERLINK("https://klasma.github.io/Logging_1782/artfynd/A 11453-2025 artfynd.xlsx", "A 11453-2025")</f>
        <v/>
      </c>
      <c r="X32">
        <f>HYPERLINK("https://klasma.github.io/Logging_1782/kartor/A 11453-2025 karta.png", "A 11453-2025")</f>
        <v/>
      </c>
      <c r="Y32">
        <f>HYPERLINK("https://klasma.github.io/Logging_1782/kartor_geotiff/A 11453-2025 georefererad karta.tif", "A 11453-2025")</f>
        <v/>
      </c>
      <c r="AA32">
        <f>HYPERLINK("https://klasma.github.io/Logging_1782/klagomål/A 11453-2025 FSC-klagomål.docx", "A 11453-2025")</f>
        <v/>
      </c>
      <c r="AB32">
        <f>HYPERLINK("https://klasma.github.io/Logging_1782/klagomålsmail/A 11453-2025 FSC-klagomål mail.docx", "A 11453-2025")</f>
        <v/>
      </c>
      <c r="AC32">
        <f>HYPERLINK("https://klasma.github.io/Logging_1782/tillsyn/A 11453-2025 tillsynsbegäran.docx", "A 11453-2025")</f>
        <v/>
      </c>
      <c r="AD32">
        <f>HYPERLINK("https://klasma.github.io/Logging_1782/tillsynsmail/A 11453-2025 tillsynsbegäran mail.docx", "A 11453-2025")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46265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46265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46265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46265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46265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46265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17529-2026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46265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Ädellav</t>
        </is>
      </c>
      <c r="W39">
        <f>HYPERLINK("https://klasma.github.io/Logging_1782/artfynd/A 17529-2026 artfynd.xlsx", "A 17529-2026")</f>
        <v/>
      </c>
      <c r="X39">
        <f>HYPERLINK("https://klasma.github.io/Logging_1782/kartor/A 17529-2026 karta.png", "A 17529-2026")</f>
        <v/>
      </c>
      <c r="Y39">
        <f>HYPERLINK("https://klasma.github.io/Logging_1782/kartor_geotiff/A 17529-2026 georefererad karta.tif", "A 17529-2026")</f>
        <v/>
      </c>
      <c r="AA39">
        <f>HYPERLINK("https://klasma.github.io/Logging_1782/klagomål/A 17529-2026 FSC-klagomål.docx", "A 17529-2026")</f>
        <v/>
      </c>
      <c r="AB39">
        <f>HYPERLINK("https://klasma.github.io/Logging_1782/klagomålsmail/A 17529-2026 FSC-klagomål mail.docx", "A 17529-2026")</f>
        <v/>
      </c>
      <c r="AC39">
        <f>HYPERLINK("https://klasma.github.io/Logging_1782/tillsyn/A 17529-2026 tillsynsbegäran.docx", "A 17529-2026")</f>
        <v/>
      </c>
      <c r="AD39">
        <f>HYPERLINK("https://klasma.github.io/Logging_1782/tillsynsmail/A 17529-2026 tillsynsbegäran mail.docx", "A 17529-2026")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46265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46265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46265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46265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46265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46265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46265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46265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46265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46265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46265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46265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46265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46265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46265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46265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46265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46265</v>
      </c>
      <c r="F62" t="inlineStr">
        <is>
          <t>VÄRMLANDS LÄN</t>
        </is>
      </c>
      <c r="G62" t="inlineStr">
        <is>
          <t>FILIPSTAD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46265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46265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46265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46265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46265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46265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46265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46265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46265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46265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46265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46265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47536-2023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46265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46265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46265</v>
      </c>
      <c r="F78" t="inlineStr">
        <is>
          <t>VÄRMLANDS LÄN</t>
        </is>
      </c>
      <c r="G78" t="inlineStr">
        <is>
          <t>FILIPSTAD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46265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46265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46265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46265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46265</v>
      </c>
      <c r="F83" t="inlineStr">
        <is>
          <t>VÄRMLANDS LÄN</t>
        </is>
      </c>
      <c r="G83" t="inlineStr">
        <is>
          <t>FILIPSTAD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46265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45953</v>
      </c>
      <c r="E85" s="1" t="n">
        <v>46265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46265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45495</v>
      </c>
      <c r="E87" s="1" t="n">
        <v>46265</v>
      </c>
      <c r="F87" t="inlineStr">
        <is>
          <t>VÄRMLANDS LÄN</t>
        </is>
      </c>
      <c r="G87" t="inlineStr">
        <is>
          <t>FILIPSTAD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46265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46265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46265</v>
      </c>
      <c r="F90" t="inlineStr">
        <is>
          <t>VÄRMLANDS LÄN</t>
        </is>
      </c>
      <c r="G90" t="inlineStr">
        <is>
          <t>FILIPSTAD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46265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46265</v>
      </c>
      <c r="F92" t="inlineStr">
        <is>
          <t>VÄRMLANDS LÄN</t>
        </is>
      </c>
      <c r="G92" t="inlineStr">
        <is>
          <t>FILIPSTAD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46265</v>
      </c>
      <c r="F93" t="inlineStr">
        <is>
          <t>VÄRMLANDS LÄN</t>
        </is>
      </c>
      <c r="G93" t="inlineStr">
        <is>
          <t>FILIPSTAD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45223</v>
      </c>
      <c r="E94" s="1" t="n">
        <v>46265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46265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45439</v>
      </c>
      <c r="E96" s="1" t="n">
        <v>46265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45959</v>
      </c>
      <c r="E97" s="1" t="n">
        <v>46265</v>
      </c>
      <c r="F97" t="inlineStr">
        <is>
          <t>VÄRMLANDS LÄN</t>
        </is>
      </c>
      <c r="G97" t="inlineStr">
        <is>
          <t>FILIPSTAD</t>
        </is>
      </c>
      <c r="H97" t="inlineStr">
        <is>
          <t>Kyrkan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45959</v>
      </c>
      <c r="E98" s="1" t="n">
        <v>46265</v>
      </c>
      <c r="F98" t="inlineStr">
        <is>
          <t>VÄRMLANDS LÄN</t>
        </is>
      </c>
      <c r="G98" t="inlineStr">
        <is>
          <t>FILIPSTAD</t>
        </is>
      </c>
      <c r="H98" t="inlineStr">
        <is>
          <t>Kyrkan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46265</v>
      </c>
      <c r="F99" t="inlineStr">
        <is>
          <t>VÄRMLANDS LÄN</t>
        </is>
      </c>
      <c r="G99" t="inlineStr">
        <is>
          <t>FILIPSTAD</t>
        </is>
      </c>
      <c r="H99" t="inlineStr">
        <is>
          <t>Kommuner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47002-2024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46265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45408</v>
      </c>
      <c r="E101" s="1" t="n">
        <v>46265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45384</v>
      </c>
      <c r="E102" s="1" t="n">
        <v>46265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46265</v>
      </c>
      <c r="F103" t="inlineStr">
        <is>
          <t>VÄRMLANDS LÄN</t>
        </is>
      </c>
      <c r="G103" t="inlineStr">
        <is>
          <t>FILIPSTAD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46265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46265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46265</v>
      </c>
      <c r="F106" t="inlineStr">
        <is>
          <t>VÄRMLANDS LÄN</t>
        </is>
      </c>
      <c r="G106" t="inlineStr">
        <is>
          <t>FILIPSTAD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46265</v>
      </c>
      <c r="F107" t="inlineStr">
        <is>
          <t>VÄRMLANDS LÄN</t>
        </is>
      </c>
      <c r="G107" t="inlineStr">
        <is>
          <t>FILIPSTAD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65167-2021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46265</v>
      </c>
      <c r="F108" t="inlineStr">
        <is>
          <t>VÄRMLANDS LÄN</t>
        </is>
      </c>
      <c r="G108" t="inlineStr">
        <is>
          <t>FILIPSTAD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46265</v>
      </c>
      <c r="F109" t="inlineStr">
        <is>
          <t>VÄRMLANDS LÄN</t>
        </is>
      </c>
      <c r="G109" t="inlineStr">
        <is>
          <t>FILIPSTAD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46265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46265</v>
      </c>
      <c r="F111" t="inlineStr">
        <is>
          <t>VÄRMLANDS LÄN</t>
        </is>
      </c>
      <c r="G111" t="inlineStr">
        <is>
          <t>FILIPSTAD</t>
        </is>
      </c>
      <c r="H111" t="inlineStr">
        <is>
          <t>Kyrkan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45791</v>
      </c>
      <c r="E112" s="1" t="n">
        <v>46265</v>
      </c>
      <c r="F112" t="inlineStr">
        <is>
          <t>VÄRMLANDS LÄN</t>
        </is>
      </c>
      <c r="G112" t="inlineStr">
        <is>
          <t>FILIPSTAD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46265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46265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46265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46265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45968</v>
      </c>
      <c r="E117" s="1" t="n">
        <v>46265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45968</v>
      </c>
      <c r="E118" s="1" t="n">
        <v>46265</v>
      </c>
      <c r="F118" t="inlineStr">
        <is>
          <t>VÄRMLANDS LÄN</t>
        </is>
      </c>
      <c r="G118" t="inlineStr">
        <is>
          <t>FILIPSTAD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46265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45792</v>
      </c>
      <c r="E120" s="1" t="n">
        <v>46265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46265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46265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46265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46265</v>
      </c>
      <c r="F124" t="inlineStr">
        <is>
          <t>VÄRMLANDS LÄN</t>
        </is>
      </c>
      <c r="G124" t="inlineStr">
        <is>
          <t>FILIPSTAD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46265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46265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46265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46265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46265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46265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46265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46265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46265</v>
      </c>
      <c r="F133" t="inlineStr">
        <is>
          <t>VÄRMLANDS LÄN</t>
        </is>
      </c>
      <c r="G133" t="inlineStr">
        <is>
          <t>FILIPSTAD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46265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46265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46265</v>
      </c>
      <c r="F136" t="inlineStr">
        <is>
          <t>VÄRMLANDS LÄN</t>
        </is>
      </c>
      <c r="G136" t="inlineStr">
        <is>
          <t>FILIPSTAD</t>
        </is>
      </c>
      <c r="H136" t="inlineStr">
        <is>
          <t>Kommuner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41718-2025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45902</v>
      </c>
      <c r="E137" s="1" t="n">
        <v>46265</v>
      </c>
      <c r="F137" t="inlineStr">
        <is>
          <t>VÄRMLANDS LÄN</t>
        </is>
      </c>
      <c r="G137" t="inlineStr">
        <is>
          <t>FILIPSTAD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46265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46265</v>
      </c>
      <c r="F139" t="inlineStr">
        <is>
          <t>VÄRMLANDS LÄN</t>
        </is>
      </c>
      <c r="G139" t="inlineStr">
        <is>
          <t>FILIPSTAD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72118-2021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46265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46265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46265</v>
      </c>
      <c r="F142" t="inlineStr">
        <is>
          <t>VÄRMLANDS LÄN</t>
        </is>
      </c>
      <c r="G142" t="inlineStr">
        <is>
          <t>FILIPSTAD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46265</v>
      </c>
      <c r="F143" t="inlineStr">
        <is>
          <t>VÄRMLANDS LÄN</t>
        </is>
      </c>
      <c r="G143" t="inlineStr">
        <is>
          <t>FILIPSTAD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46265</v>
      </c>
      <c r="F144" t="inlineStr">
        <is>
          <t>VÄRMLANDS LÄN</t>
        </is>
      </c>
      <c r="G144" t="inlineStr">
        <is>
          <t>FILIPSTAD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46265</v>
      </c>
      <c r="F145" t="inlineStr">
        <is>
          <t>VÄRMLANDS LÄN</t>
        </is>
      </c>
      <c r="G145" t="inlineStr">
        <is>
          <t>FILIPSTAD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45793</v>
      </c>
      <c r="E146" s="1" t="n">
        <v>46265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46265</v>
      </c>
      <c r="F147" t="inlineStr">
        <is>
          <t>VÄRMLANDS LÄN</t>
        </is>
      </c>
      <c r="G147" t="inlineStr">
        <is>
          <t>FILIPSTAD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46265</v>
      </c>
      <c r="F148" t="inlineStr">
        <is>
          <t>VÄRMLANDS LÄN</t>
        </is>
      </c>
      <c r="G148" t="inlineStr">
        <is>
          <t>FILIPSTAD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65174-2021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46265</v>
      </c>
      <c r="F149" t="inlineStr">
        <is>
          <t>VÄRMLANDS LÄN</t>
        </is>
      </c>
      <c r="G149" t="inlineStr">
        <is>
          <t>FILIPSTAD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46265</v>
      </c>
      <c r="F150" t="inlineStr">
        <is>
          <t>VÄRMLANDS LÄN</t>
        </is>
      </c>
      <c r="G150" t="inlineStr">
        <is>
          <t>FILIPSTAD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46265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46265</v>
      </c>
      <c r="F153" t="inlineStr">
        <is>
          <t>VÄRMLANDS LÄN</t>
        </is>
      </c>
      <c r="G153" t="inlineStr">
        <is>
          <t>FILIPSTAD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45978</v>
      </c>
      <c r="E154" s="1" t="n">
        <v>46265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18.8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45393</v>
      </c>
      <c r="E155" s="1" t="n">
        <v>46265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44801</v>
      </c>
      <c r="E156" s="1" t="n">
        <v>46265</v>
      </c>
      <c r="F156" t="inlineStr">
        <is>
          <t>VÄRMLANDS LÄN</t>
        </is>
      </c>
      <c r="G156" t="inlineStr">
        <is>
          <t>FILIPSTAD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46265</v>
      </c>
      <c r="F157" t="inlineStr">
        <is>
          <t>VÄRMLANDS LÄN</t>
        </is>
      </c>
      <c r="G157" t="inlineStr">
        <is>
          <t>FILIPSTAD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46265</v>
      </c>
      <c r="F158" t="inlineStr">
        <is>
          <t>VÄRMLANDS LÄN</t>
        </is>
      </c>
      <c r="G158" t="inlineStr">
        <is>
          <t>FILIPSTAD</t>
        </is>
      </c>
      <c r="H158" t="inlineStr">
        <is>
          <t>Kommuner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46265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26123-2025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45805</v>
      </c>
      <c r="E160" s="1" t="n">
        <v>46265</v>
      </c>
      <c r="F160" t="inlineStr">
        <is>
          <t>VÄRMLANDS LÄN</t>
        </is>
      </c>
      <c r="G160" t="inlineStr">
        <is>
          <t>FILIPSTAD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45805</v>
      </c>
      <c r="E161" s="1" t="n">
        <v>46265</v>
      </c>
      <c r="F161" t="inlineStr">
        <is>
          <t>VÄRMLANDS LÄN</t>
        </is>
      </c>
      <c r="G161" t="inlineStr">
        <is>
          <t>FILIPSTAD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46265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45470</v>
      </c>
      <c r="E163" s="1" t="n">
        <v>46265</v>
      </c>
      <c r="F163" t="inlineStr">
        <is>
          <t>VÄRMLANDS LÄN</t>
        </is>
      </c>
      <c r="G163" t="inlineStr">
        <is>
          <t>FILIPSTAD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46265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46265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46265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45674</v>
      </c>
      <c r="E167" s="1" t="n">
        <v>46265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46265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46265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46265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46265</v>
      </c>
      <c r="F171" t="inlineStr">
        <is>
          <t>VÄRMLANDS LÄN</t>
        </is>
      </c>
      <c r="G171" t="inlineStr">
        <is>
          <t>FILIPSTAD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46265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46265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46265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48103-2025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45933</v>
      </c>
      <c r="E175" s="1" t="n">
        <v>46265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26599-2024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45469</v>
      </c>
      <c r="E176" s="1" t="n">
        <v>46265</v>
      </c>
      <c r="F176" t="inlineStr">
        <is>
          <t>VÄRMLANDS LÄN</t>
        </is>
      </c>
      <c r="G176" t="inlineStr">
        <is>
          <t>FILIPSTAD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46265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46265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46265</v>
      </c>
      <c r="F179" t="inlineStr">
        <is>
          <t>VÄRMLANDS LÄN</t>
        </is>
      </c>
      <c r="G179" t="inlineStr">
        <is>
          <t>FILIPSTAD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46265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46265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45418</v>
      </c>
      <c r="E182" s="1" t="n">
        <v>46265</v>
      </c>
      <c r="F182" t="inlineStr">
        <is>
          <t>VÄRMLANDS LÄN</t>
        </is>
      </c>
      <c r="G182" t="inlineStr">
        <is>
          <t>FILIPSTAD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46265</v>
      </c>
      <c r="F183" t="inlineStr">
        <is>
          <t>VÄRMLANDS LÄN</t>
        </is>
      </c>
      <c r="G183" t="inlineStr">
        <is>
          <t>FILIPSTAD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46265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46265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44672</v>
      </c>
      <c r="E186" s="1" t="n">
        <v>46265</v>
      </c>
      <c r="F186" t="inlineStr">
        <is>
          <t>VÄRMLANDS LÄN</t>
        </is>
      </c>
      <c r="G186" t="inlineStr">
        <is>
          <t>FILIPSTAD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46265</v>
      </c>
      <c r="F187" t="inlineStr">
        <is>
          <t>VÄRMLANDS LÄN</t>
        </is>
      </c>
      <c r="G187" t="inlineStr">
        <is>
          <t>FILIPSTAD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45993</v>
      </c>
      <c r="E188" s="1" t="n">
        <v>46265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60653-2025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45996</v>
      </c>
      <c r="E189" s="1" t="n">
        <v>46265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46265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45995</v>
      </c>
      <c r="E191" s="1" t="n">
        <v>46265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45995</v>
      </c>
      <c r="E192" s="1" t="n">
        <v>46265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45995</v>
      </c>
      <c r="E193" s="1" t="n">
        <v>46265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46265</v>
      </c>
      <c r="F194" t="inlineStr">
        <is>
          <t>VÄRMLANDS LÄN</t>
        </is>
      </c>
      <c r="G194" t="inlineStr">
        <is>
          <t>FILIPSTAD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46265</v>
      </c>
      <c r="F195" t="inlineStr">
        <is>
          <t>VÄRMLANDS LÄN</t>
        </is>
      </c>
      <c r="G195" t="inlineStr">
        <is>
          <t>FILIPSTAD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46001</v>
      </c>
      <c r="E196" s="1" t="n">
        <v>46265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46265</v>
      </c>
      <c r="F197" t="inlineStr">
        <is>
          <t>VÄRMLANDS LÄN</t>
        </is>
      </c>
      <c r="G197" t="inlineStr">
        <is>
          <t>FILIPSTAD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46265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46265</v>
      </c>
      <c r="F199" t="inlineStr">
        <is>
          <t>VÄRMLANDS LÄN</t>
        </is>
      </c>
      <c r="G199" t="inlineStr">
        <is>
          <t>FILIPSTAD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46265</v>
      </c>
      <c r="F200" t="inlineStr">
        <is>
          <t>VÄRMLANDS LÄN</t>
        </is>
      </c>
      <c r="G200" t="inlineStr">
        <is>
          <t>FILIPSTAD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69015-2021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46265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61417-2025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46001</v>
      </c>
      <c r="E202" s="1" t="n">
        <v>46265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46265</v>
      </c>
      <c r="F203" t="inlineStr">
        <is>
          <t>VÄRMLANDS LÄN</t>
        </is>
      </c>
      <c r="G203" t="inlineStr">
        <is>
          <t>FILIPSTAD</t>
        </is>
      </c>
      <c r="H203" t="inlineStr">
        <is>
          <t>Kyrkan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46265</v>
      </c>
      <c r="F204" t="inlineStr">
        <is>
          <t>VÄRMLANDS LÄN</t>
        </is>
      </c>
      <c r="G204" t="inlineStr">
        <is>
          <t>FILIPSTAD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46265</v>
      </c>
      <c r="F205" t="inlineStr">
        <is>
          <t>VÄRMLANDS LÄN</t>
        </is>
      </c>
      <c r="G205" t="inlineStr">
        <is>
          <t>FILIPSTAD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46265</v>
      </c>
      <c r="F206" t="inlineStr">
        <is>
          <t>VÄRMLANDS LÄN</t>
        </is>
      </c>
      <c r="G206" t="inlineStr">
        <is>
          <t>FILIPSTAD</t>
        </is>
      </c>
      <c r="I206" t="n">
        <v>23.3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46265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46002</v>
      </c>
      <c r="E208" s="1" t="n">
        <v>46265</v>
      </c>
      <c r="F208" t="inlineStr">
        <is>
          <t>VÄRMLANDS LÄN</t>
        </is>
      </c>
      <c r="G208" t="inlineStr">
        <is>
          <t>FILIPSTAD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61492-2025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46001</v>
      </c>
      <c r="E209" s="1" t="n">
        <v>46265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46265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46265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46265</v>
      </c>
      <c r="F212" t="inlineStr">
        <is>
          <t>VÄRMLANDS LÄN</t>
        </is>
      </c>
      <c r="G212" t="inlineStr">
        <is>
          <t>FILIPSTAD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46265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46265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31172-2025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45832</v>
      </c>
      <c r="E215" s="1" t="n">
        <v>46265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45579</v>
      </c>
      <c r="E216" s="1" t="n">
        <v>46265</v>
      </c>
      <c r="F216" t="inlineStr">
        <is>
          <t>VÄRMLANDS LÄN</t>
        </is>
      </c>
      <c r="G216" t="inlineStr">
        <is>
          <t>FILIPSTAD</t>
        </is>
      </c>
      <c r="H216" t="inlineStr">
        <is>
          <t>Kyrkan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46004</v>
      </c>
      <c r="E217" s="1" t="n">
        <v>46265</v>
      </c>
      <c r="F217" t="inlineStr">
        <is>
          <t>VÄRMLANDS LÄN</t>
        </is>
      </c>
      <c r="G217" t="inlineStr">
        <is>
          <t>FILIPSTAD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46265</v>
      </c>
      <c r="F218" t="inlineStr">
        <is>
          <t>VÄRMLANDS LÄN</t>
        </is>
      </c>
      <c r="G218" t="inlineStr">
        <is>
          <t>FILIPSTAD</t>
        </is>
      </c>
      <c r="I218" t="n">
        <v>18.7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46265</v>
      </c>
      <c r="F219" t="inlineStr">
        <is>
          <t>VÄRMLANDS LÄN</t>
        </is>
      </c>
      <c r="G219" t="inlineStr">
        <is>
          <t>FILIPSTAD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46004</v>
      </c>
      <c r="E220" s="1" t="n">
        <v>46265</v>
      </c>
      <c r="F220" t="inlineStr">
        <is>
          <t>VÄRMLANDS LÄN</t>
        </is>
      </c>
      <c r="G220" t="inlineStr">
        <is>
          <t>FILIPSTAD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44935</v>
      </c>
      <c r="E221" s="1" t="n">
        <v>46265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61823-2025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46003</v>
      </c>
      <c r="E222" s="1" t="n">
        <v>46265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32032-2025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45835</v>
      </c>
      <c r="E223" s="1" t="n">
        <v>46265</v>
      </c>
      <c r="F223" t="inlineStr">
        <is>
          <t>VÄRMLANDS LÄN</t>
        </is>
      </c>
      <c r="G223" t="inlineStr">
        <is>
          <t>FILIPSTAD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46265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45688</v>
      </c>
      <c r="E225" s="1" t="n">
        <v>46265</v>
      </c>
      <c r="F225" t="inlineStr">
        <is>
          <t>VÄRMLANDS LÄN</t>
        </is>
      </c>
      <c r="G225" t="inlineStr">
        <is>
          <t>FILIPSTAD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33407-2025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46265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46265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46265</v>
      </c>
      <c r="F228" t="inlineStr">
        <is>
          <t>VÄRMLANDS LÄN</t>
        </is>
      </c>
      <c r="G228" t="inlineStr">
        <is>
          <t>FILIPSTAD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46265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33368-2022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44788</v>
      </c>
      <c r="E230" s="1" t="n">
        <v>46265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46265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46265</v>
      </c>
      <c r="F232" t="inlineStr">
        <is>
          <t>VÄRMLANDS LÄN</t>
        </is>
      </c>
      <c r="G232" t="inlineStr">
        <is>
          <t>FILIPSTAD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46265</v>
      </c>
      <c r="F233" t="inlineStr">
        <is>
          <t>VÄRMLANDS LÄN</t>
        </is>
      </c>
      <c r="G233" t="inlineStr">
        <is>
          <t>FILIPSTAD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45870</v>
      </c>
      <c r="E234" s="1" t="n">
        <v>46265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46265</v>
      </c>
      <c r="F235" t="inlineStr">
        <is>
          <t>VÄRMLANDS LÄN</t>
        </is>
      </c>
      <c r="G235" t="inlineStr">
        <is>
          <t>FILIPSTAD</t>
        </is>
      </c>
      <c r="I235" t="n">
        <v>15.5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46265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46265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45436</v>
      </c>
      <c r="E238" s="1" t="n">
        <v>46265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46265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22866-2023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45072</v>
      </c>
      <c r="E240" s="1" t="n">
        <v>46265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63186-2025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46265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29473-2024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45484</v>
      </c>
      <c r="E242" s="1" t="n">
        <v>46265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46265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45195</v>
      </c>
      <c r="E244" s="1" t="n">
        <v>46265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46265</v>
      </c>
      <c r="F245" t="inlineStr">
        <is>
          <t>VÄRMLANDS LÄN</t>
        </is>
      </c>
      <c r="G245" t="inlineStr">
        <is>
          <t>FILIPSTAD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46265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46265</v>
      </c>
      <c r="F247" t="inlineStr">
        <is>
          <t>VÄRMLANDS LÄN</t>
        </is>
      </c>
      <c r="G247" t="inlineStr">
        <is>
          <t>FILIPSTAD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45771</v>
      </c>
      <c r="E248" s="1" t="n">
        <v>46265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46265</v>
      </c>
      <c r="F249" t="inlineStr">
        <is>
          <t>VÄRMLANDS LÄN</t>
        </is>
      </c>
      <c r="G249" t="inlineStr">
        <is>
          <t>FILIPSTAD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46265</v>
      </c>
      <c r="F250" t="inlineStr">
        <is>
          <t>VÄRMLANDS LÄN</t>
        </is>
      </c>
      <c r="G250" t="inlineStr">
        <is>
          <t>FILIPSTAD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46265</v>
      </c>
      <c r="F251" t="inlineStr">
        <is>
          <t>VÄRMLANDS LÄN</t>
        </is>
      </c>
      <c r="G251" t="inlineStr">
        <is>
          <t>FILIPSTAD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44684</v>
      </c>
      <c r="E252" s="1" t="n">
        <v>46265</v>
      </c>
      <c r="F252" t="inlineStr">
        <is>
          <t>VÄRMLANDS LÄN</t>
        </is>
      </c>
      <c r="G252" t="inlineStr">
        <is>
          <t>FILIPSTAD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45012</v>
      </c>
      <c r="E253" s="1" t="n">
        <v>46265</v>
      </c>
      <c r="F253" t="inlineStr">
        <is>
          <t>VÄRMLANDS LÄN</t>
        </is>
      </c>
      <c r="G253" t="inlineStr">
        <is>
          <t>FILIPSTAD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46265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46546-2021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44445</v>
      </c>
      <c r="E255" s="1" t="n">
        <v>46265</v>
      </c>
      <c r="F255" t="inlineStr">
        <is>
          <t>VÄRMLANDS LÄN</t>
        </is>
      </c>
      <c r="G255" t="inlineStr">
        <is>
          <t>FILIPSTAD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58611-2025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45986</v>
      </c>
      <c r="E256" s="1" t="n">
        <v>46265</v>
      </c>
      <c r="F256" t="inlineStr">
        <is>
          <t>VÄRMLANDS LÄN</t>
        </is>
      </c>
      <c r="G256" t="inlineStr">
        <is>
          <t>FILIPSTAD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46265</v>
      </c>
      <c r="F257" t="inlineStr">
        <is>
          <t>VÄRMLANDS LÄN</t>
        </is>
      </c>
      <c r="G257" t="inlineStr">
        <is>
          <t>FILIPSTAD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46265</v>
      </c>
      <c r="F258" t="inlineStr">
        <is>
          <t>VÄRMLANDS LÄN</t>
        </is>
      </c>
      <c r="G258" t="inlineStr">
        <is>
          <t>FILIPSTAD</t>
        </is>
      </c>
      <c r="H258" t="inlineStr">
        <is>
          <t>Kyrkan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45427</v>
      </c>
      <c r="E259" s="1" t="n">
        <v>46265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45088</v>
      </c>
      <c r="E260" s="1" t="n">
        <v>46265</v>
      </c>
      <c r="F260" t="inlineStr">
        <is>
          <t>VÄRMLANDS LÄN</t>
        </is>
      </c>
      <c r="G260" t="inlineStr">
        <is>
          <t>FILIPSTAD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46265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19351-2025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45769</v>
      </c>
      <c r="E262" s="1" t="n">
        <v>46265</v>
      </c>
      <c r="F262" t="inlineStr">
        <is>
          <t>VÄRMLANDS LÄN</t>
        </is>
      </c>
      <c r="G262" t="inlineStr">
        <is>
          <t>FILIPSTAD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45088</v>
      </c>
      <c r="E263" s="1" t="n">
        <v>46265</v>
      </c>
      <c r="F263" t="inlineStr">
        <is>
          <t>VÄRMLANDS LÄN</t>
        </is>
      </c>
      <c r="G263" t="inlineStr">
        <is>
          <t>FILIPSTAD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46265</v>
      </c>
      <c r="F264" t="inlineStr">
        <is>
          <t>VÄRMLANDS LÄN</t>
        </is>
      </c>
      <c r="G264" t="inlineStr">
        <is>
          <t>FILIPSTAD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46265</v>
      </c>
      <c r="F265" t="inlineStr">
        <is>
          <t>VÄRMLANDS LÄN</t>
        </is>
      </c>
      <c r="G265" t="inlineStr">
        <is>
          <t>FILIPSTAD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46056</v>
      </c>
      <c r="E266" s="1" t="n">
        <v>46265</v>
      </c>
      <c r="F266" t="inlineStr">
        <is>
          <t>VÄRMLANDS LÄN</t>
        </is>
      </c>
      <c r="G266" t="inlineStr">
        <is>
          <t>FILIPSTAD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46265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46265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45106</v>
      </c>
      <c r="E269" s="1" t="n">
        <v>46265</v>
      </c>
      <c r="F269" t="inlineStr">
        <is>
          <t>VÄRMLANDS LÄN</t>
        </is>
      </c>
      <c r="G269" t="inlineStr">
        <is>
          <t>FILIPSTAD</t>
        </is>
      </c>
      <c r="H269" t="inlineStr">
        <is>
          <t>Kyrkan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46265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46265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45133</v>
      </c>
      <c r="E272" s="1" t="n">
        <v>46265</v>
      </c>
      <c r="F272" t="inlineStr">
        <is>
          <t>VÄRMLANDS LÄN</t>
        </is>
      </c>
      <c r="G272" t="inlineStr">
        <is>
          <t>FILIPSTAD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46265</v>
      </c>
      <c r="F273" t="inlineStr">
        <is>
          <t>VÄRMLANDS LÄN</t>
        </is>
      </c>
      <c r="G273" t="inlineStr">
        <is>
          <t>FILIPSTAD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46265</v>
      </c>
      <c r="F274" t="inlineStr">
        <is>
          <t>VÄRMLANDS LÄN</t>
        </is>
      </c>
      <c r="G274" t="inlineStr">
        <is>
          <t>FILIPSTAD</t>
        </is>
      </c>
      <c r="H274" t="inlineStr">
        <is>
          <t>Kommuner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44957</v>
      </c>
      <c r="E275" s="1" t="n">
        <v>46265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46265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9270-2023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44980</v>
      </c>
      <c r="E277" s="1" t="n">
        <v>46265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46265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46265</v>
      </c>
      <c r="F279" t="inlineStr">
        <is>
          <t>VÄRMLANDS LÄN</t>
        </is>
      </c>
      <c r="G279" t="inlineStr">
        <is>
          <t>FILIPSTAD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46265</v>
      </c>
      <c r="F280" t="inlineStr">
        <is>
          <t>VÄRMLANDS LÄN</t>
        </is>
      </c>
      <c r="G280" t="inlineStr">
        <is>
          <t>FILIPSTAD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45616</v>
      </c>
      <c r="E281" s="1" t="n">
        <v>46265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45418</v>
      </c>
      <c r="E282" s="1" t="n">
        <v>46265</v>
      </c>
      <c r="F282" t="inlineStr">
        <is>
          <t>VÄRMLANDS LÄN</t>
        </is>
      </c>
      <c r="G282" t="inlineStr">
        <is>
          <t>FILIPSTAD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46265</v>
      </c>
      <c r="F283" t="inlineStr">
        <is>
          <t>VÄRMLANDS LÄN</t>
        </is>
      </c>
      <c r="G283" t="inlineStr">
        <is>
          <t>FILIPSTAD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44637</v>
      </c>
      <c r="E284" s="1" t="n">
        <v>46265</v>
      </c>
      <c r="F284" t="inlineStr">
        <is>
          <t>VÄRMLANDS LÄN</t>
        </is>
      </c>
      <c r="G284" t="inlineStr">
        <is>
          <t>FILIPSTAD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46265</v>
      </c>
      <c r="F285" t="inlineStr">
        <is>
          <t>VÄRMLANDS LÄN</t>
        </is>
      </c>
      <c r="G285" t="inlineStr">
        <is>
          <t>FILIPSTAD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45439</v>
      </c>
      <c r="E286" s="1" t="n">
        <v>46265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46265</v>
      </c>
      <c r="F287" t="inlineStr">
        <is>
          <t>VÄRMLANDS LÄN</t>
        </is>
      </c>
      <c r="G287" t="inlineStr">
        <is>
          <t>FILIPSTAD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46265</v>
      </c>
      <c r="F288" t="inlineStr">
        <is>
          <t>VÄRMLANDS LÄN</t>
        </is>
      </c>
      <c r="G288" t="inlineStr">
        <is>
          <t>FILIPSTAD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45484</v>
      </c>
      <c r="E289" s="1" t="n">
        <v>46265</v>
      </c>
      <c r="F289" t="inlineStr">
        <is>
          <t>VÄRMLANDS LÄN</t>
        </is>
      </c>
      <c r="G289" t="inlineStr">
        <is>
          <t>FILIPSTAD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44508</v>
      </c>
      <c r="E290" s="1" t="n">
        <v>46265</v>
      </c>
      <c r="F290" t="inlineStr">
        <is>
          <t>VÄRMLANDS LÄN</t>
        </is>
      </c>
      <c r="G290" t="inlineStr">
        <is>
          <t>FILIPSTAD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46265</v>
      </c>
      <c r="F291" t="inlineStr">
        <is>
          <t>VÄRMLANDS LÄN</t>
        </is>
      </c>
      <c r="G291" t="inlineStr">
        <is>
          <t>FILIPSTAD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70405-2021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44536</v>
      </c>
      <c r="E292" s="1" t="n">
        <v>46265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44596</v>
      </c>
      <c r="E293" s="1" t="n">
        <v>46265</v>
      </c>
      <c r="F293" t="inlineStr">
        <is>
          <t>VÄRMLANDS LÄN</t>
        </is>
      </c>
      <c r="G293" t="inlineStr">
        <is>
          <t>FILIPSTAD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46265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45618</v>
      </c>
      <c r="E295" s="1" t="n">
        <v>46265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46265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46265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46265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46265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46265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46265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46265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46265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45658</v>
      </c>
      <c r="E304" s="1" t="n">
        <v>46265</v>
      </c>
      <c r="F304" t="inlineStr">
        <is>
          <t>VÄRMLANDS LÄN</t>
        </is>
      </c>
      <c r="G304" t="inlineStr">
        <is>
          <t>FILIPSTAD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46265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46265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46265</v>
      </c>
      <c r="F307" t="inlineStr">
        <is>
          <t>VÄRMLANDS LÄN</t>
        </is>
      </c>
      <c r="G307" t="inlineStr">
        <is>
          <t>FILIPSTAD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46265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46265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46265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46265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46265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46265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46265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46265</v>
      </c>
      <c r="F315" t="inlineStr">
        <is>
          <t>VÄRMLANDS LÄN</t>
        </is>
      </c>
      <c r="G315" t="inlineStr">
        <is>
          <t>FILIPSTAD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46265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46265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46265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16040-2026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46108</v>
      </c>
      <c r="E319" s="1" t="n">
        <v>46265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46265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46265</v>
      </c>
      <c r="F321" t="inlineStr">
        <is>
          <t>VÄRMLANDS LÄN</t>
        </is>
      </c>
      <c r="G321" t="inlineStr">
        <is>
          <t>FILIPSTAD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46265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46265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46265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46265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46265</v>
      </c>
      <c r="F326" t="inlineStr">
        <is>
          <t>VÄRMLANDS LÄN</t>
        </is>
      </c>
      <c r="G326" t="inlineStr">
        <is>
          <t>FILIPSTAD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46265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46265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46265</v>
      </c>
      <c r="F329" t="inlineStr">
        <is>
          <t>VÄRMLANDS LÄN</t>
        </is>
      </c>
      <c r="G329" t="inlineStr">
        <is>
          <t>FILIPSTAD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46265</v>
      </c>
      <c r="F330" t="inlineStr">
        <is>
          <t>VÄRMLANDS LÄN</t>
        </is>
      </c>
      <c r="G330" t="inlineStr">
        <is>
          <t>FILIPSTAD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46265</v>
      </c>
      <c r="F331" t="inlineStr">
        <is>
          <t>VÄRMLANDS LÄN</t>
        </is>
      </c>
      <c r="G331" t="inlineStr">
        <is>
          <t>FILIPSTAD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29825-2023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45107</v>
      </c>
      <c r="E332" s="1" t="n">
        <v>46265</v>
      </c>
      <c r="F332" t="inlineStr">
        <is>
          <t>VÄRMLANDS LÄN</t>
        </is>
      </c>
      <c r="G332" t="inlineStr">
        <is>
          <t>FILIPSTAD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46265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46265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46265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46265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46265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46265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46265</v>
      </c>
      <c r="F339" t="inlineStr">
        <is>
          <t>VÄRMLANDS LÄN</t>
        </is>
      </c>
      <c r="G339" t="inlineStr">
        <is>
          <t>FILIPSTAD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46265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46265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46265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27789-2022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46265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46265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46265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45184</v>
      </c>
      <c r="E346" s="1" t="n">
        <v>46265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46265</v>
      </c>
      <c r="F347" t="inlineStr">
        <is>
          <t>VÄRMLANDS LÄN</t>
        </is>
      </c>
      <c r="G347" t="inlineStr">
        <is>
          <t>FILIPSTAD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46265</v>
      </c>
      <c r="F348" t="inlineStr">
        <is>
          <t>VÄRMLANDS LÄN</t>
        </is>
      </c>
      <c r="G348" t="inlineStr">
        <is>
          <t>FILIPSTAD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45093</v>
      </c>
      <c r="E349" s="1" t="n">
        <v>46265</v>
      </c>
      <c r="F349" t="inlineStr">
        <is>
          <t>VÄRMLANDS LÄN</t>
        </is>
      </c>
      <c r="G349" t="inlineStr">
        <is>
          <t>FILIPSTAD</t>
        </is>
      </c>
      <c r="H349" t="inlineStr">
        <is>
          <t>Kommuner</t>
        </is>
      </c>
      <c r="I349" t="n">
        <v>15.4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46265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46134</v>
      </c>
      <c r="E351" s="1" t="n">
        <v>46265</v>
      </c>
      <c r="F351" t="inlineStr">
        <is>
          <t>VÄRMLANDS LÄN</t>
        </is>
      </c>
      <c r="G351" t="inlineStr">
        <is>
          <t>FILIPSTAD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46265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46134</v>
      </c>
      <c r="E353" s="1" t="n">
        <v>46265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45456</v>
      </c>
      <c r="E354" s="1" t="n">
        <v>46265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46265</v>
      </c>
      <c r="F355" t="inlineStr">
        <is>
          <t>VÄRMLANDS LÄN</t>
        </is>
      </c>
      <c r="G355" t="inlineStr">
        <is>
          <t>FILIPSTAD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44691</v>
      </c>
      <c r="E356" s="1" t="n">
        <v>46265</v>
      </c>
      <c r="F356" t="inlineStr">
        <is>
          <t>VÄRMLANDS LÄN</t>
        </is>
      </c>
      <c r="G356" t="inlineStr">
        <is>
          <t>FILIPSTAD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46265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45882</v>
      </c>
      <c r="E358" s="1" t="n">
        <v>46265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46265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45159</v>
      </c>
      <c r="E360" s="1" t="n">
        <v>46265</v>
      </c>
      <c r="F360" t="inlineStr">
        <is>
          <t>VÄRMLANDS LÄN</t>
        </is>
      </c>
      <c r="G360" t="inlineStr">
        <is>
          <t>FILIPSTAD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46265</v>
      </c>
      <c r="F361" t="inlineStr">
        <is>
          <t>VÄRMLANDS LÄN</t>
        </is>
      </c>
      <c r="G361" t="inlineStr">
        <is>
          <t>FILIPSTAD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46265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46265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46265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8.800000000000001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46265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45896</v>
      </c>
      <c r="E366" s="1" t="n">
        <v>46265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46265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46265</v>
      </c>
      <c r="F368" t="inlineStr">
        <is>
          <t>VÄRMLANDS LÄN</t>
        </is>
      </c>
      <c r="G368" t="inlineStr">
        <is>
          <t>FILIPSTAD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46265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45186</v>
      </c>
      <c r="E370" s="1" t="n">
        <v>46265</v>
      </c>
      <c r="F370" t="inlineStr">
        <is>
          <t>VÄRMLANDS LÄN</t>
        </is>
      </c>
      <c r="G370" t="inlineStr">
        <is>
          <t>FILIPSTAD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16103-2025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45750</v>
      </c>
      <c r="E371" s="1" t="n">
        <v>46265</v>
      </c>
      <c r="F371" t="inlineStr">
        <is>
          <t>VÄRMLANDS LÄN</t>
        </is>
      </c>
      <c r="G371" t="inlineStr">
        <is>
          <t>FILIPSTAD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46265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46265</v>
      </c>
      <c r="F373" t="inlineStr">
        <is>
          <t>VÄRMLANDS LÄN</t>
        </is>
      </c>
      <c r="G373" t="inlineStr">
        <is>
          <t>FILIPSTAD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46265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36251-2022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44803</v>
      </c>
      <c r="E375" s="1" t="n">
        <v>46265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44789</v>
      </c>
      <c r="E376" s="1" t="n">
        <v>46265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46257-2022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44847</v>
      </c>
      <c r="E377" s="1" t="n">
        <v>46265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44805</v>
      </c>
      <c r="E378" s="1" t="n">
        <v>46265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37611-2022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44809</v>
      </c>
      <c r="E379" s="1" t="n">
        <v>46265</v>
      </c>
      <c r="F379" t="inlineStr">
        <is>
          <t>VÄRMLANDS LÄN</t>
        </is>
      </c>
      <c r="G379" t="inlineStr">
        <is>
          <t>FILIPSTAD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45245</v>
      </c>
      <c r="E380" s="1" t="n">
        <v>46265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46265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45087</v>
      </c>
      <c r="E382" s="1" t="n">
        <v>46265</v>
      </c>
      <c r="F382" t="inlineStr">
        <is>
          <t>VÄRMLANDS LÄN</t>
        </is>
      </c>
      <c r="G382" t="inlineStr">
        <is>
          <t>FILIPSTAD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46265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45789</v>
      </c>
      <c r="E384" s="1" t="n">
        <v>46265</v>
      </c>
      <c r="F384" t="inlineStr">
        <is>
          <t>VÄRMLANDS LÄN</t>
        </is>
      </c>
      <c r="G384" t="inlineStr">
        <is>
          <t>FILIPSTAD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45964</v>
      </c>
      <c r="E385" s="1" t="n">
        <v>46265</v>
      </c>
      <c r="F385" t="inlineStr">
        <is>
          <t>VÄRMLANDS LÄN</t>
        </is>
      </c>
      <c r="G385" t="inlineStr">
        <is>
          <t>FILIPSTAD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33379-2025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46265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45177</v>
      </c>
      <c r="E387" s="1" t="n">
        <v>46265</v>
      </c>
      <c r="F387" t="inlineStr">
        <is>
          <t>VÄRMLANDS LÄN</t>
        </is>
      </c>
      <c r="G387" t="inlineStr">
        <is>
          <t>FILIPSTAD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45139-2021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44439</v>
      </c>
      <c r="E388" s="1" t="n">
        <v>46265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46265</v>
      </c>
      <c r="F389" t="inlineStr">
        <is>
          <t>VÄRMLANDS LÄN</t>
        </is>
      </c>
      <c r="G389" t="inlineStr">
        <is>
          <t>FILIPSTAD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45229</v>
      </c>
      <c r="E390" s="1" t="n">
        <v>46265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46265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46265</v>
      </c>
      <c r="F392" t="inlineStr">
        <is>
          <t>VÄRMLANDS LÄN</t>
        </is>
      </c>
      <c r="G392" t="inlineStr">
        <is>
          <t>FILIPSTAD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55397-2022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46265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46265</v>
      </c>
      <c r="F394" t="inlineStr">
        <is>
          <t>VÄRMLANDS LÄN</t>
        </is>
      </c>
      <c r="G394" t="inlineStr">
        <is>
          <t>FILIPSTAD</t>
        </is>
      </c>
      <c r="H394" t="inlineStr">
        <is>
          <t>Kommuner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55978-2022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44889</v>
      </c>
      <c r="E395" s="1" t="n">
        <v>46265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50856-2022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44867</v>
      </c>
      <c r="E396" s="1" t="n">
        <v>46265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61628-2022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44911</v>
      </c>
      <c r="E397" s="1" t="n">
        <v>46265</v>
      </c>
      <c r="F397" t="inlineStr">
        <is>
          <t>VÄRMLANDS LÄN</t>
        </is>
      </c>
      <c r="G397" t="inlineStr">
        <is>
          <t>FILIPSTAD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46265</v>
      </c>
      <c r="F398" t="inlineStr">
        <is>
          <t>VÄRMLANDS LÄN</t>
        </is>
      </c>
      <c r="G398" t="inlineStr">
        <is>
          <t>FILIPSTAD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46265</v>
      </c>
      <c r="F399" t="inlineStr">
        <is>
          <t>VÄRMLANDS LÄN</t>
        </is>
      </c>
      <c r="G399" t="inlineStr">
        <is>
          <t>FILIPSTAD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46265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46265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46265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45153</v>
      </c>
      <c r="E403" s="1" t="n">
        <v>46265</v>
      </c>
      <c r="F403" t="inlineStr">
        <is>
          <t>VÄRMLANDS LÄN</t>
        </is>
      </c>
      <c r="G403" t="inlineStr">
        <is>
          <t>FILIPSTAD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5803-2023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44963</v>
      </c>
      <c r="E404" s="1" t="n">
        <v>46265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46265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51618-2022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46265</v>
      </c>
      <c r="F406" t="inlineStr">
        <is>
          <t>VÄRMLANDS LÄN</t>
        </is>
      </c>
      <c r="G406" t="inlineStr">
        <is>
          <t>FILIPSTAD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71971-2021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44544</v>
      </c>
      <c r="E407" s="1" t="n">
        <v>46265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46265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44981</v>
      </c>
      <c r="E409" s="1" t="n">
        <v>46265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54008-2021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46265</v>
      </c>
      <c r="F410" t="inlineStr">
        <is>
          <t>VÄRMLANDS LÄN</t>
        </is>
      </c>
      <c r="G410" t="inlineStr">
        <is>
          <t>FILIPSTAD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45602</v>
      </c>
      <c r="E411" s="1" t="n">
        <v>46265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46265</v>
      </c>
      <c r="F412" t="inlineStr">
        <is>
          <t>VÄRMLANDS LÄN</t>
        </is>
      </c>
      <c r="G412" t="inlineStr">
        <is>
          <t>FILIPSTAD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46265</v>
      </c>
      <c r="F413" t="inlineStr">
        <is>
          <t>VÄRMLANDS LÄN</t>
        </is>
      </c>
      <c r="G413" t="inlineStr">
        <is>
          <t>FILIPSTAD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45124</v>
      </c>
      <c r="E414" s="1" t="n">
        <v>46265</v>
      </c>
      <c r="F414" t="inlineStr">
        <is>
          <t>VÄRMLANDS LÄN</t>
        </is>
      </c>
      <c r="G414" t="inlineStr">
        <is>
          <t>FILIPSTAD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45124</v>
      </c>
      <c r="E415" s="1" t="n">
        <v>46265</v>
      </c>
      <c r="F415" t="inlineStr">
        <is>
          <t>VÄRMLANDS LÄN</t>
        </is>
      </c>
      <c r="G415" t="inlineStr">
        <is>
          <t>FILIPSTAD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44911</v>
      </c>
      <c r="E416" s="1" t="n">
        <v>46265</v>
      </c>
      <c r="F416" t="inlineStr">
        <is>
          <t>VÄRMLANDS LÄN</t>
        </is>
      </c>
      <c r="G416" t="inlineStr">
        <is>
          <t>FILIPSTAD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46265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25737-2023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45090</v>
      </c>
      <c r="E418" s="1" t="n">
        <v>46265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44579</v>
      </c>
      <c r="E419" s="1" t="n">
        <v>46265</v>
      </c>
      <c r="F419" t="inlineStr">
        <is>
          <t>VÄRMLANDS LÄN</t>
        </is>
      </c>
      <c r="G419" t="inlineStr">
        <is>
          <t>FILIPSTAD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39896-2025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45891</v>
      </c>
      <c r="E420" s="1" t="n">
        <v>46265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45401</v>
      </c>
      <c r="E421" s="1" t="n">
        <v>46265</v>
      </c>
      <c r="F421" t="inlineStr">
        <is>
          <t>VÄRMLANDS LÄN</t>
        </is>
      </c>
      <c r="G421" t="inlineStr">
        <is>
          <t>FILIPSTAD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46265</v>
      </c>
      <c r="F422" t="inlineStr">
        <is>
          <t>VÄRMLANDS LÄN</t>
        </is>
      </c>
      <c r="G422" t="inlineStr">
        <is>
          <t>FILIPSTAD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46265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46265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45516</v>
      </c>
      <c r="E425" s="1" t="n">
        <v>46265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44959</v>
      </c>
      <c r="E426" s="1" t="n">
        <v>46265</v>
      </c>
      <c r="F426" t="inlineStr">
        <is>
          <t>VÄRMLANDS LÄN</t>
        </is>
      </c>
      <c r="G426" t="inlineStr">
        <is>
          <t>FILIPSTAD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45655</v>
      </c>
      <c r="E427" s="1" t="n">
        <v>46265</v>
      </c>
      <c r="F427" t="inlineStr">
        <is>
          <t>VÄRMLANDS LÄN</t>
        </is>
      </c>
      <c r="G427" t="inlineStr">
        <is>
          <t>FILIPSTAD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20554-2025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45775</v>
      </c>
      <c r="E428" s="1" t="n">
        <v>46265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46265</v>
      </c>
      <c r="F429" t="inlineStr">
        <is>
          <t>VÄRMLANDS LÄN</t>
        </is>
      </c>
      <c r="G429" t="inlineStr">
        <is>
          <t>FILIPSTAD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45327</v>
      </c>
      <c r="E430" s="1" t="n">
        <v>46265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9.300000000000001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45939</v>
      </c>
      <c r="E431" s="1" t="n">
        <v>46265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20919-2026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46265</v>
      </c>
      <c r="F432" t="inlineStr">
        <is>
          <t>VÄRMLANDS LÄN</t>
        </is>
      </c>
      <c r="G432" t="inlineStr">
        <is>
          <t>FILIPSTAD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45578</v>
      </c>
      <c r="E433" s="1" t="n">
        <v>46265</v>
      </c>
      <c r="F433" t="inlineStr">
        <is>
          <t>VÄRMLANDS LÄN</t>
        </is>
      </c>
      <c r="G433" t="inlineStr">
        <is>
          <t>FILIPSTAD</t>
        </is>
      </c>
      <c r="I433" t="n">
        <v>27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45583</v>
      </c>
      <c r="E434" s="1" t="n">
        <v>46265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22830-2023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45072</v>
      </c>
      <c r="E435" s="1" t="n">
        <v>46265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45867</v>
      </c>
      <c r="E436" s="1" t="n">
        <v>46265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46265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46265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62013-2024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45655</v>
      </c>
      <c r="E439" s="1" t="n">
        <v>46265</v>
      </c>
      <c r="F439" t="inlineStr">
        <is>
          <t>VÄRMLANDS LÄN</t>
        </is>
      </c>
      <c r="G439" t="inlineStr">
        <is>
          <t>FILIPSTAD</t>
        </is>
      </c>
      <c r="I439" t="n">
        <v>26.5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46265</v>
      </c>
      <c r="F440" t="inlineStr">
        <is>
          <t>VÄRMLANDS LÄN</t>
        </is>
      </c>
      <c r="G440" t="inlineStr">
        <is>
          <t>FILIPSTAD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48908-2023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45195</v>
      </c>
      <c r="E441" s="1" t="n">
        <v>46265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46265</v>
      </c>
      <c r="F442" t="inlineStr">
        <is>
          <t>VÄRMLANDS LÄN</t>
        </is>
      </c>
      <c r="G442" t="inlineStr">
        <is>
          <t>FILIPSTAD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45456</v>
      </c>
      <c r="E443" s="1" t="n">
        <v>46265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16067-2026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46265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46265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46265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46265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45742</v>
      </c>
      <c r="E448" s="1" t="n">
        <v>46265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56840-2024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45628</v>
      </c>
      <c r="E449" s="1" t="n">
        <v>46265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46265</v>
      </c>
      <c r="F450" t="inlineStr">
        <is>
          <t>VÄRMLANDS LÄN</t>
        </is>
      </c>
      <c r="G450" t="inlineStr">
        <is>
          <t>FILIPSTAD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46265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46265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46265</v>
      </c>
      <c r="F453" t="inlineStr">
        <is>
          <t>VÄRMLANDS LÄN</t>
        </is>
      </c>
      <c r="G453" t="inlineStr">
        <is>
          <t>FILIPSTAD</t>
        </is>
      </c>
      <c r="I453" t="n">
        <v>10.8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45077</v>
      </c>
      <c r="E454" s="1" t="n">
        <v>46265</v>
      </c>
      <c r="F454" t="inlineStr">
        <is>
          <t>VÄRMLANDS LÄN</t>
        </is>
      </c>
      <c r="G454" t="inlineStr">
        <is>
          <t>FILIPSTAD</t>
        </is>
      </c>
      <c r="I454" t="n">
        <v>15.8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46265</v>
      </c>
      <c r="F455" t="inlineStr">
        <is>
          <t>VÄRMLANDS LÄN</t>
        </is>
      </c>
      <c r="G455" t="inlineStr">
        <is>
          <t>FILIPSTAD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46265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46265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46265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46265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46265</v>
      </c>
      <c r="F460" t="inlineStr">
        <is>
          <t>VÄRMLANDS LÄN</t>
        </is>
      </c>
      <c r="G460" t="inlineStr">
        <is>
          <t>FILIPSTAD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45643</v>
      </c>
      <c r="E461" s="1" t="n">
        <v>46265</v>
      </c>
      <c r="F461" t="inlineStr">
        <is>
          <t>VÄRMLANDS LÄN</t>
        </is>
      </c>
      <c r="G461" t="inlineStr">
        <is>
          <t>FILIPSTAD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46265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22051-2026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46265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45740</v>
      </c>
      <c r="E465" s="1" t="n">
        <v>46265</v>
      </c>
      <c r="F465" t="inlineStr">
        <is>
          <t>VÄRMLANDS LÄN</t>
        </is>
      </c>
      <c r="G465" t="inlineStr">
        <is>
          <t>FILIPSTAD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22220-2026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46265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46265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45744</v>
      </c>
      <c r="E468" s="1" t="n">
        <v>46265</v>
      </c>
      <c r="F468" t="inlineStr">
        <is>
          <t>VÄRMLANDS LÄN</t>
        </is>
      </c>
      <c r="G468" t="inlineStr">
        <is>
          <t>FILIPSTAD</t>
        </is>
      </c>
      <c r="H468" t="inlineStr">
        <is>
          <t>Kommuner</t>
        </is>
      </c>
      <c r="I468" t="n">
        <v>17.7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46265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46265</v>
      </c>
      <c r="F470" t="inlineStr">
        <is>
          <t>VÄRMLANDS LÄN</t>
        </is>
      </c>
      <c r="G470" t="inlineStr">
        <is>
          <t>FILIPSTAD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45524</v>
      </c>
      <c r="E471" s="1" t="n">
        <v>46265</v>
      </c>
      <c r="F471" t="inlineStr">
        <is>
          <t>VÄRMLANDS LÄN</t>
        </is>
      </c>
      <c r="G471" t="inlineStr">
        <is>
          <t>FILIPSTAD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45299</v>
      </c>
      <c r="E472" s="1" t="n">
        <v>46265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46265</v>
      </c>
      <c r="F473" t="inlineStr">
        <is>
          <t>VÄRMLANDS LÄN</t>
        </is>
      </c>
      <c r="G473" t="inlineStr">
        <is>
          <t>FILIPSTAD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46265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46265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46265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46265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23555-2026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46265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46265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46265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46265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49935-2025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45940</v>
      </c>
      <c r="E482" s="1" t="n">
        <v>46265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46265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46265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46265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46265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46265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46265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46265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46265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46265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46265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46265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23970-2026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46167</v>
      </c>
      <c r="E494" s="1" t="n">
        <v>46265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9.300000000000001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46265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46265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46265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46265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46265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46265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46265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46265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24452-2026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46265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46265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46265</v>
      </c>
      <c r="F505" t="inlineStr">
        <is>
          <t>VÄRMLANDS LÄN</t>
        </is>
      </c>
      <c r="G505" t="inlineStr">
        <is>
          <t>FILIPSTAD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45835</v>
      </c>
      <c r="E506" s="1" t="n">
        <v>46265</v>
      </c>
      <c r="F506" t="inlineStr">
        <is>
          <t>VÄRMLANDS LÄN</t>
        </is>
      </c>
      <c r="G506" t="inlineStr">
        <is>
          <t>FILIPSTAD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45749</v>
      </c>
      <c r="E507" s="1" t="n">
        <v>46265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46265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24886-2026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46265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46265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46265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46265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46265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46265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31537-2026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46223</v>
      </c>
      <c r="E515" s="1" t="n">
        <v>46265</v>
      </c>
      <c r="F515" t="inlineStr">
        <is>
          <t>VÄRMLANDS LÄN</t>
        </is>
      </c>
      <c r="G515" t="inlineStr">
        <is>
          <t>FILIPSTAD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46223</v>
      </c>
      <c r="E516" s="1" t="n">
        <v>46265</v>
      </c>
      <c r="F516" t="inlineStr">
        <is>
          <t>VÄRMLANDS LÄN</t>
        </is>
      </c>
      <c r="G516" t="inlineStr">
        <is>
          <t>FILIPSTAD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46265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46265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46265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46265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46265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46265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46265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46265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46265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46265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46265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46225</v>
      </c>
      <c r="E528" s="1" t="n">
        <v>46265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46265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46265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46265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46265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46187</v>
      </c>
      <c r="E533" s="1" t="n">
        <v>46265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46265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46186</v>
      </c>
      <c r="E535" s="1" t="n">
        <v>46265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46186</v>
      </c>
      <c r="E536" s="1" t="n">
        <v>46265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46265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46265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46265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46265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46265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46265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46265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46265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46265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46265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46265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46234</v>
      </c>
      <c r="E548" s="1" t="n">
        <v>46265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46191</v>
      </c>
      <c r="E549" s="1" t="n">
        <v>46265</v>
      </c>
      <c r="F549" t="inlineStr">
        <is>
          <t>VÄRMLANDS LÄN</t>
        </is>
      </c>
      <c r="G549" t="inlineStr">
        <is>
          <t>FILIPSTAD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46265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46265</v>
      </c>
      <c r="F551" t="inlineStr">
        <is>
          <t>VÄRMLANDS LÄN</t>
        </is>
      </c>
      <c r="G551" t="inlineStr">
        <is>
          <t>FILIPSTAD</t>
        </is>
      </c>
      <c r="I551" t="n">
        <v>13.4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46265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46265</v>
      </c>
      <c r="F553" t="inlineStr">
        <is>
          <t>VÄRMLANDS LÄN</t>
        </is>
      </c>
      <c r="G553" t="inlineStr">
        <is>
          <t>FILIPSTAD</t>
        </is>
      </c>
      <c r="H553" t="inlineStr">
        <is>
          <t>Kommuner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51031-2025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45947</v>
      </c>
      <c r="E554" s="1" t="n">
        <v>46265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46239</v>
      </c>
      <c r="E555" s="1" t="n">
        <v>46265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46239</v>
      </c>
      <c r="E556" s="1" t="n">
        <v>46265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46240</v>
      </c>
      <c r="E557" s="1" t="n">
        <v>46265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46240</v>
      </c>
      <c r="E558" s="1" t="n">
        <v>46265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46265</v>
      </c>
      <c r="F559" t="inlineStr">
        <is>
          <t>VÄRMLANDS LÄN</t>
        </is>
      </c>
      <c r="G559" t="inlineStr">
        <is>
          <t>FILIPSTAD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32601-2026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46240</v>
      </c>
      <c r="E560" s="1" t="n">
        <v>46265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46197</v>
      </c>
      <c r="E561" s="1" t="n">
        <v>46265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46240</v>
      </c>
      <c r="E562" s="1" t="n">
        <v>46265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46239</v>
      </c>
      <c r="E563" s="1" t="n">
        <v>46265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46265</v>
      </c>
      <c r="F564" t="inlineStr">
        <is>
          <t>VÄRMLANDS LÄN</t>
        </is>
      </c>
      <c r="G564" t="inlineStr">
        <is>
          <t>FILIPSTAD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46265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46241</v>
      </c>
      <c r="E566" s="1" t="n">
        <v>46265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46265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46265</v>
      </c>
      <c r="F568" t="inlineStr">
        <is>
          <t>VÄRMLANDS LÄN</t>
        </is>
      </c>
      <c r="G568" t="inlineStr">
        <is>
          <t>FILIPSTAD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46265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46265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46203</v>
      </c>
      <c r="E571" s="1" t="n">
        <v>46265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46265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46203</v>
      </c>
      <c r="E573" s="1" t="n">
        <v>46265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46202</v>
      </c>
      <c r="E574" s="1" t="n">
        <v>46265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46265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46265</v>
      </c>
      <c r="F576" t="inlineStr">
        <is>
          <t>VÄRMLANDS LÄN</t>
        </is>
      </c>
      <c r="G576" t="inlineStr">
        <is>
          <t>FILIPSTAD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46265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46265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46265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46265</v>
      </c>
      <c r="F580" t="inlineStr">
        <is>
          <t>VÄRMLANDS LÄN</t>
        </is>
      </c>
      <c r="G580" t="inlineStr">
        <is>
          <t>FILIPSTAD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46265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46265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29389-2026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46265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46265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29863-2026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46265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46265</v>
      </c>
      <c r="F586" t="inlineStr">
        <is>
          <t>VÄRMLANDS LÄN</t>
        </is>
      </c>
      <c r="G586" t="inlineStr">
        <is>
          <t>FILIPSTAD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29814-2026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46265</v>
      </c>
      <c r="F587" t="inlineStr">
        <is>
          <t>VÄRMLANDS LÄN</t>
        </is>
      </c>
      <c r="G587" t="inlineStr">
        <is>
          <t>FILIPSTAD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46265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46265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46265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27426-2026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46265</v>
      </c>
      <c r="F591" t="inlineStr">
        <is>
          <t>VÄRMLANDS LÄN</t>
        </is>
      </c>
      <c r="G591" t="inlineStr">
        <is>
          <t>FILIPSTAD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46213</v>
      </c>
      <c r="E592" s="1" t="n">
        <v>46265</v>
      </c>
      <c r="F592" t="inlineStr">
        <is>
          <t>VÄRMLANDS LÄN</t>
        </is>
      </c>
      <c r="G592" t="inlineStr">
        <is>
          <t>FILIPSTAD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46265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46265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46265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46265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30074-2026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46265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30540-2026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46210</v>
      </c>
      <c r="E598" s="1" t="n">
        <v>46265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34493-2026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46265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19.2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46265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34442-2026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46254</v>
      </c>
      <c r="E601" s="1" t="n">
        <v>46265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46265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46259</v>
      </c>
      <c r="E603" s="1" t="n">
        <v>46265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46265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46265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46265</v>
      </c>
      <c r="F606" t="inlineStr">
        <is>
          <t>VÄRMLANDS LÄN</t>
        </is>
      </c>
      <c r="G606" t="inlineStr">
        <is>
          <t>FILIPSTAD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46265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46265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46265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46265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51639-2025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45951</v>
      </c>
      <c r="E612" s="1" t="n">
        <v>46265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5757-2021</t>
        </is>
      </c>
      <c r="B613" t="inlineStr">
        <is>
          <t>samrådsanmälan</t>
        </is>
      </c>
      <c r="C613" t="inlineStr">
        <is>
          <t>Basväg</t>
        </is>
      </c>
      <c r="D613" s="1" t="n">
        <v>44438</v>
      </c>
      <c r="E613" s="1" t="n">
        <v>46265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1191-2021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44328</v>
      </c>
      <c r="E614" s="1" t="n">
        <v>46265</v>
      </c>
      <c r="F614" t="inlineStr">
        <is>
          <t>VÄRMLANDS LÄN</t>
        </is>
      </c>
      <c r="G614" t="inlineStr">
        <is>
          <t>FILIPSTAD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4134-2023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46265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4115-2023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45246</v>
      </c>
      <c r="E616" s="1" t="n">
        <v>46265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46265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4132-2023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46265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4130-2023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46265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4127-2023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46265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837-2023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46265</v>
      </c>
      <c r="F621" t="inlineStr">
        <is>
          <t>VÄRMLANDS LÄN</t>
        </is>
      </c>
      <c r="G621" t="inlineStr">
        <is>
          <t>FILIPSTAD</t>
        </is>
      </c>
      <c r="I621" t="n">
        <v>19.3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46265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3919-2023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45233</v>
      </c>
      <c r="E623" s="1" t="n">
        <v>46265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46265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6078-2021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44442</v>
      </c>
      <c r="E625" s="1" t="n">
        <v>46265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4126-2023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46265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294-2025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45687</v>
      </c>
      <c r="E627" s="1" t="n">
        <v>46265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4116-2023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45246</v>
      </c>
      <c r="E628" s="1" t="n">
        <v>46265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661-2025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45716</v>
      </c>
      <c r="E629" s="1" t="n">
        <v>46265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3429-2025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45995</v>
      </c>
      <c r="E630" s="1" t="n">
        <v>46265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3576-2025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46010</v>
      </c>
      <c r="E631" s="1" t="n">
        <v>46265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105-2026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46036</v>
      </c>
      <c r="E632" s="1" t="n">
        <v>46265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238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2026-08-31T09:58:19Z</dcterms:created>
  <dcterms:modified xmlns:dcterms="http://purl.org/dc/terms/" xmlns:xsi="http://www.w3.org/2001/XMLSchema-instance" xsi:type="dcterms:W3CDTF">2026-08-31T09:58:20Z</dcterms:modified>
</cp:coreProperties>
</file>