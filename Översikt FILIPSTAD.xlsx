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46310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46310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46310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46310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46310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46310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46310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46310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46310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46310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36234-2026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46268</v>
      </c>
      <c r="E15" s="1" t="n">
        <v>46310</v>
      </c>
      <c r="F15" t="inlineStr">
        <is>
          <t>VÄRMLANDS LÄN</t>
        </is>
      </c>
      <c r="G15" t="inlineStr">
        <is>
          <t>FILIPSTAD</t>
        </is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5</v>
      </c>
      <c r="V15" s="2" t="inlineStr">
        <is>
          <t>Kattfot
Fläcknycklar
Nattviol</t>
        </is>
      </c>
      <c r="W15">
        <f>HYPERLINK("https://klasma.github.io/Logging_1782/artfynd/A 36234-2026 artfynd.xlsx", "A 36234-2026")</f>
        <v/>
      </c>
      <c r="X15">
        <f>HYPERLINK("https://klasma.github.io/Logging_1782/kartor/A 36234-2026 karta.png", "A 36234-2026")</f>
        <v/>
      </c>
      <c r="Y15">
        <f>HYPERLINK("https://klasma.github.io/Logging_1782/kartor_geotiff/A 36234-2026 georefererad karta.tif", "A 36234-2026")</f>
        <v/>
      </c>
      <c r="AA15">
        <f>HYPERLINK("https://klasma.github.io/Logging_1782/klagomål/A 36234-2026 FSC-klagomål.docx", "A 36234-2026")</f>
        <v/>
      </c>
      <c r="AB15">
        <f>HYPERLINK("https://klasma.github.io/Logging_1782/klagomålsmail/A 36234-2026 FSC-klagomål mail.docx", "A 36234-2026")</f>
        <v/>
      </c>
      <c r="AC15">
        <f>HYPERLINK("https://klasma.github.io/Logging_1782/tillsyn/A 36234-2026 tillsynsbegäran.docx", "A 36234-2026")</f>
        <v/>
      </c>
      <c r="AD15">
        <f>HYPERLINK("https://klasma.github.io/Logging_1782/tillsynsmail/A 36234-2026 tillsynsbegäran mail.docx", "A 36234-2026")</f>
        <v/>
      </c>
    </row>
    <row r="16" ht="15" customHeight="1">
      <c r="A16" t="inlineStr">
        <is>
          <t>A 37620-2026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46276</v>
      </c>
      <c r="E16" s="1" t="n">
        <v>46310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4.1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Kandelabersvamp
Tretåig hackspett</t>
        </is>
      </c>
      <c r="W16">
        <f>HYPERLINK("https://klasma.github.io/Logging_1782/artfynd/A 37620-2026 artfynd.xlsx", "A 37620-2026")</f>
        <v/>
      </c>
      <c r="X16">
        <f>HYPERLINK("https://klasma.github.io/Logging_1782/kartor/A 37620-2026 karta.png", "A 37620-2026")</f>
        <v/>
      </c>
      <c r="Y16">
        <f>HYPERLINK("https://klasma.github.io/Logging_1782/kartor_geotiff/A 37620-2026 georefererad karta.tif", "A 37620-2026")</f>
        <v/>
      </c>
      <c r="AA16">
        <f>HYPERLINK("https://klasma.github.io/Logging_1782/klagomål/A 37620-2026 FSC-klagomål.docx", "A 37620-2026")</f>
        <v/>
      </c>
      <c r="AB16">
        <f>HYPERLINK("https://klasma.github.io/Logging_1782/klagomålsmail/A 37620-2026 FSC-klagomål mail.docx", "A 37620-2026")</f>
        <v/>
      </c>
      <c r="AC16">
        <f>HYPERLINK("https://klasma.github.io/Logging_1782/tillsyn/A 37620-2026 tillsynsbegäran.docx", "A 37620-2026")</f>
        <v/>
      </c>
      <c r="AD16">
        <f>HYPERLINK("https://klasma.github.io/Logging_1782/tillsynsmail/A 37620-2026 tillsynsbegäran mail.docx", "A 37620-2026")</f>
        <v/>
      </c>
      <c r="AE16">
        <f>HYPERLINK("https://klasma.github.io/Logging_1782/fåglar/A 37620-2026 prioriterade fågelarter.docx", "A 37620-2026")</f>
        <v/>
      </c>
    </row>
    <row r="17" ht="15" customHeight="1">
      <c r="A17" t="inlineStr">
        <is>
          <t>A 38667-2026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46283</v>
      </c>
      <c r="E17" s="1" t="n">
        <v>46310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10.7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5</v>
      </c>
      <c r="U17" t="n">
        <v>0</v>
      </c>
      <c r="V17" s="2" t="inlineStr">
        <is>
          <t>Brunklöver
Tvåblad
Fläcknycklar</t>
        </is>
      </c>
      <c r="W17">
        <f>HYPERLINK("https://klasma.github.io/Logging_1782/artfynd/A 38667-2026 artfynd.xlsx", "A 38667-2026")</f>
        <v/>
      </c>
      <c r="X17">
        <f>HYPERLINK("https://klasma.github.io/Logging_1782/kartor/A 38667-2026 karta.png", "A 38667-2026")</f>
        <v/>
      </c>
      <c r="Y17">
        <f>HYPERLINK("https://klasma.github.io/Logging_1782/kartor_geotiff/A 38667-2026 georefererad karta.tif", "A 38667-2026")</f>
        <v/>
      </c>
      <c r="AA17">
        <f>HYPERLINK("https://klasma.github.io/Logging_1782/klagomål/A 38667-2026 FSC-klagomål.docx", "A 38667-2026")</f>
        <v/>
      </c>
      <c r="AB17">
        <f>HYPERLINK("https://klasma.github.io/Logging_1782/klagomålsmail/A 38667-2026 FSC-klagomål mail.docx", "A 38667-2026")</f>
        <v/>
      </c>
      <c r="AC17">
        <f>HYPERLINK("https://klasma.github.io/Logging_1782/tillsyn/A 38667-2026 tillsynsbegäran.docx", "A 38667-2026")</f>
        <v/>
      </c>
      <c r="AD17">
        <f>HYPERLINK("https://klasma.github.io/Logging_1782/tillsynsmail/A 38667-2026 tillsynsbegäran mail.docx", "A 38667-2026")</f>
        <v/>
      </c>
    </row>
    <row r="18" ht="15" customHeight="1">
      <c r="A18" t="inlineStr">
        <is>
          <t>A 34684-2026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7.2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Bårdlav
Stuplav
Fläcknycklar</t>
        </is>
      </c>
      <c r="W18">
        <f>HYPERLINK("https://klasma.github.io/Logging_1782/artfynd/A 34684-2026 artfynd.xlsx", "A 34684-2026")</f>
        <v/>
      </c>
      <c r="X18">
        <f>HYPERLINK("https://klasma.github.io/Logging_1782/kartor/A 34684-2026 karta.png", "A 34684-2026")</f>
        <v/>
      </c>
      <c r="Y18">
        <f>HYPERLINK("https://klasma.github.io/Logging_1782/kartor_geotiff/A 34684-2026 georefererad karta.tif", "A 34684-2026")</f>
        <v/>
      </c>
      <c r="AA18">
        <f>HYPERLINK("https://klasma.github.io/Logging_1782/klagomål/A 34684-2026 FSC-klagomål.docx", "A 34684-2026")</f>
        <v/>
      </c>
      <c r="AB18">
        <f>HYPERLINK("https://klasma.github.io/Logging_1782/klagomålsmail/A 34684-2026 FSC-klagomål mail.docx", "A 34684-2026")</f>
        <v/>
      </c>
      <c r="AC18">
        <f>HYPERLINK("https://klasma.github.io/Logging_1782/tillsyn/A 34684-2026 tillsynsbegäran.docx", "A 34684-2026")</f>
        <v/>
      </c>
      <c r="AD18">
        <f>HYPERLINK("https://klasma.github.io/Logging_1782/tillsynsmail/A 34684-2026 tillsynsbegäran mail.docx", "A 34684-2026")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46310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46310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4620-2024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45328</v>
      </c>
      <c r="E21" s="1" t="n">
        <v>46310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2.9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Tvåblad
Brudsporre</t>
        </is>
      </c>
      <c r="W21">
        <f>HYPERLINK("https://klasma.github.io/Logging_1782/artfynd/A 4620-2024 artfynd.xlsx", "A 4620-2024")</f>
        <v/>
      </c>
      <c r="X21">
        <f>HYPERLINK("https://klasma.github.io/Logging_1782/kartor/A 4620-2024 karta.png", "A 4620-2024")</f>
        <v/>
      </c>
      <c r="Y21">
        <f>HYPERLINK("https://klasma.github.io/Logging_1782/kartor_geotiff/A 4620-2024 georefererad karta.tif", "A 4620-2024")</f>
        <v/>
      </c>
      <c r="AA21">
        <f>HYPERLINK("https://klasma.github.io/Logging_1782/klagomål/A 4620-2024 FSC-klagomål.docx", "A 4620-2024")</f>
        <v/>
      </c>
      <c r="AB21">
        <f>HYPERLINK("https://klasma.github.io/Logging_1782/klagomålsmail/A 4620-2024 FSC-klagomål mail.docx", "A 4620-2024")</f>
        <v/>
      </c>
      <c r="AC21">
        <f>HYPERLINK("https://klasma.github.io/Logging_1782/tillsyn/A 4620-2024 tillsynsbegäran.docx", "A 4620-2024")</f>
        <v/>
      </c>
      <c r="AD21">
        <f>HYPERLINK("https://klasma.github.io/Logging_1782/tillsynsmail/A 4620-2024 tillsynsbegäran mail.docx", "A 4620-2024")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46310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45523-2022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46310</v>
      </c>
      <c r="F23" t="inlineStr">
        <is>
          <t>VÄRMLANDS LÄN</t>
        </is>
      </c>
      <c r="G23" t="inlineStr">
        <is>
          <t>FILIPSTAD</t>
        </is>
      </c>
      <c r="I23" t="n">
        <v>7.7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Bronshjon
Korallblylav</t>
        </is>
      </c>
      <c r="W23">
        <f>HYPERLINK("https://klasma.github.io/Logging_1782/artfynd/A 45523-2022 artfynd.xlsx", "A 45523-2022")</f>
        <v/>
      </c>
      <c r="X23">
        <f>HYPERLINK("https://klasma.github.io/Logging_1782/kartor/A 45523-2022 karta.png", "A 45523-2022")</f>
        <v/>
      </c>
      <c r="Y23">
        <f>HYPERLINK("https://klasma.github.io/Logging_1782/kartor_geotiff/A 45523-2022 georefererad karta.tif", "A 45523-2022")</f>
        <v/>
      </c>
      <c r="AA23">
        <f>HYPERLINK("https://klasma.github.io/Logging_1782/klagomål/A 45523-2022 FSC-klagomål.docx", "A 45523-2022")</f>
        <v/>
      </c>
      <c r="AB23">
        <f>HYPERLINK("https://klasma.github.io/Logging_1782/klagomålsmail/A 45523-2022 FSC-klagomål mail.docx", "A 45523-2022")</f>
        <v/>
      </c>
      <c r="AC23">
        <f>HYPERLINK("https://klasma.github.io/Logging_1782/tillsyn/A 45523-2022 tillsynsbegäran.docx", "A 45523-2022")</f>
        <v/>
      </c>
      <c r="AD23">
        <f>HYPERLINK("https://klasma.github.io/Logging_1782/tillsynsmail/A 45523-2022 tillsynsbegäran mail.docx", "A 45523-2022")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46310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46310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46310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46310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46310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46310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42542-2026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46308</v>
      </c>
      <c r="E30" s="1" t="n">
        <v>46310</v>
      </c>
      <c r="F30" t="inlineStr">
        <is>
          <t>VÄRMLANDS LÄN</t>
        </is>
      </c>
      <c r="G30" t="inlineStr">
        <is>
          <t>FILIPSTAD</t>
        </is>
      </c>
      <c r="I30" t="n">
        <v>3.2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Nattviol</t>
        </is>
      </c>
      <c r="W30">
        <f>HYPERLINK("https://klasma.github.io/Logging_1782/artfynd/A 42542-2026 artfynd.xlsx", "A 42542-2026")</f>
        <v/>
      </c>
      <c r="X30">
        <f>HYPERLINK("https://klasma.github.io/Logging_1782/kartor/A 42542-2026 karta.png", "A 42542-2026")</f>
        <v/>
      </c>
      <c r="Y30">
        <f>HYPERLINK("https://klasma.github.io/Logging_1782/kartor_geotiff/A 42542-2026 georefererad karta.tif", "A 42542-2026")</f>
        <v/>
      </c>
      <c r="AA30">
        <f>HYPERLINK("https://klasma.github.io/Logging_1782/klagomål/A 42542-2026 FSC-klagomål.docx", "A 42542-2026")</f>
        <v/>
      </c>
      <c r="AB30">
        <f>HYPERLINK("https://klasma.github.io/Logging_1782/klagomålsmail/A 42542-2026 FSC-klagomål mail.docx", "A 42542-2026")</f>
        <v/>
      </c>
      <c r="AC30">
        <f>HYPERLINK("https://klasma.github.io/Logging_1782/tillsyn/A 42542-2026 tillsynsbegäran.docx", "A 42542-2026")</f>
        <v/>
      </c>
      <c r="AD30">
        <f>HYPERLINK("https://klasma.github.io/Logging_1782/tillsynsmail/A 42542-2026 tillsynsbegäran mail.docx", "A 42542-2026")</f>
        <v/>
      </c>
    </row>
    <row r="31" ht="15" customHeight="1">
      <c r="A31" t="inlineStr">
        <is>
          <t>A 19945-2023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45054</v>
      </c>
      <c r="E31" s="1" t="n">
        <v>46310</v>
      </c>
      <c r="F31" t="inlineStr">
        <is>
          <t>VÄRMLANDS LÄN</t>
        </is>
      </c>
      <c r="G31" t="inlineStr">
        <is>
          <t>FILIPSTAD</t>
        </is>
      </c>
      <c r="I31" t="n">
        <v>3.3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3</v>
      </c>
      <c r="V31" s="2" t="inlineStr">
        <is>
          <t>Guckusko
Kransrams</t>
        </is>
      </c>
      <c r="W31">
        <f>HYPERLINK("https://klasma.github.io/Logging_1782/artfynd/A 19945-2023 artfynd.xlsx", "A 19945-2023")</f>
        <v/>
      </c>
      <c r="X31">
        <f>HYPERLINK("https://klasma.github.io/Logging_1782/kartor/A 19945-2023 karta.png", "A 19945-2023")</f>
        <v/>
      </c>
      <c r="Y31">
        <f>HYPERLINK("https://klasma.github.io/Logging_1782/kartor_geotiff/A 19945-2023 georefererad karta.tif", "A 19945-2023")</f>
        <v/>
      </c>
      <c r="AA31">
        <f>HYPERLINK("https://klasma.github.io/Logging_1782/klagomål/A 19945-2023 FSC-klagomål.docx", "A 19945-2023")</f>
        <v/>
      </c>
      <c r="AB31">
        <f>HYPERLINK("https://klasma.github.io/Logging_1782/klagomålsmail/A 19945-2023 FSC-klagomål mail.docx", "A 19945-2023")</f>
        <v/>
      </c>
      <c r="AC31">
        <f>HYPERLINK("https://klasma.github.io/Logging_1782/tillsyn/A 19945-2023 tillsynsbegäran.docx", "A 19945-2023")</f>
        <v/>
      </c>
      <c r="AD31">
        <f>HYPERLINK("https://klasma.github.io/Logging_1782/tillsynsmail/A 19945-2023 tillsynsbegäran mail.docx", "A 19945-2023")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46310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46310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46310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11453-2025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45726</v>
      </c>
      <c r="E35" s="1" t="n">
        <v>46310</v>
      </c>
      <c r="F35" t="inlineStr">
        <is>
          <t>VÄRMLANDS LÄN</t>
        </is>
      </c>
      <c r="G35" t="inlineStr">
        <is>
          <t>FILIPSTAD</t>
        </is>
      </c>
      <c r="I35" t="n">
        <v>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Purpurknipprot</t>
        </is>
      </c>
      <c r="W35">
        <f>HYPERLINK("https://klasma.github.io/Logging_1782/artfynd/A 11453-2025 artfynd.xlsx", "A 11453-2025")</f>
        <v/>
      </c>
      <c r="X35">
        <f>HYPERLINK("https://klasma.github.io/Logging_1782/kartor/A 11453-2025 karta.png", "A 11453-2025")</f>
        <v/>
      </c>
      <c r="Y35">
        <f>HYPERLINK("https://klasma.github.io/Logging_1782/kartor_geotiff/A 11453-2025 georefererad karta.tif", "A 11453-2025")</f>
        <v/>
      </c>
      <c r="AA35">
        <f>HYPERLINK("https://klasma.github.io/Logging_1782/klagomål/A 11453-2025 FSC-klagomål.docx", "A 11453-2025")</f>
        <v/>
      </c>
      <c r="AB35">
        <f>HYPERLINK("https://klasma.github.io/Logging_1782/klagomålsmail/A 11453-2025 FSC-klagomål mail.docx", "A 11453-2025")</f>
        <v/>
      </c>
      <c r="AC35">
        <f>HYPERLINK("https://klasma.github.io/Logging_1782/tillsyn/A 11453-2025 tillsynsbegäran.docx", "A 11453-2025")</f>
        <v/>
      </c>
      <c r="AD35">
        <f>HYPERLINK("https://klasma.github.io/Logging_1782/tillsynsmail/A 11453-2025 tillsynsbegäran mail.docx", "A 11453-2025")</f>
        <v/>
      </c>
    </row>
    <row r="36" ht="15" customHeight="1">
      <c r="A36" t="inlineStr">
        <is>
          <t>A 25916-2025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46310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26.4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HYPERLINK("https://klasma.github.io/Logging_1782/artfynd/A 25916-2025 artfynd.xlsx", "A 25916-2025")</f>
        <v/>
      </c>
      <c r="X36">
        <f>HYPERLINK("https://klasma.github.io/Logging_1782/kartor/A 25916-2025 karta.png", "A 25916-2025")</f>
        <v/>
      </c>
      <c r="Y36">
        <f>HYPERLINK("https://klasma.github.io/Logging_1782/kartor_geotiff/A 25916-2025 georefererad karta.tif", "A 25916-2025")</f>
        <v/>
      </c>
      <c r="AA36">
        <f>HYPERLINK("https://klasma.github.io/Logging_1782/klagomål/A 25916-2025 FSC-klagomål.docx", "A 25916-2025")</f>
        <v/>
      </c>
      <c r="AB36">
        <f>HYPERLINK("https://klasma.github.io/Logging_1782/klagomålsmail/A 25916-2025 FSC-klagomål mail.docx", "A 25916-2025")</f>
        <v/>
      </c>
      <c r="AC36">
        <f>HYPERLINK("https://klasma.github.io/Logging_1782/tillsyn/A 25916-2025 tillsynsbegäran.docx", "A 25916-2025")</f>
        <v/>
      </c>
      <c r="AD36">
        <f>HYPERLINK("https://klasma.github.io/Logging_1782/tillsynsmail/A 25916-2025 tillsynsbegäran mail.docx", "A 25916-2025")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46310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46310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18138-2022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46310</v>
      </c>
      <c r="F39" t="inlineStr">
        <is>
          <t>VÄRMLANDS LÄN</t>
        </is>
      </c>
      <c r="G39" t="inlineStr">
        <is>
          <t>FILIPSTAD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HYPERLINK("https://klasma.github.io/Logging_1782/artfynd/A 18138-2022 artfynd.xlsx", "A 18138-2022")</f>
        <v/>
      </c>
      <c r="X39">
        <f>HYPERLINK("https://klasma.github.io/Logging_1782/kartor/A 18138-2022 karta.png", "A 18138-2022")</f>
        <v/>
      </c>
      <c r="Y39">
        <f>HYPERLINK("https://klasma.github.io/Logging_1782/kartor_geotiff/A 18138-2022 georefererad karta.tif", "A 18138-2022")</f>
        <v/>
      </c>
      <c r="AA39">
        <f>HYPERLINK("https://klasma.github.io/Logging_1782/klagomål/A 18138-2022 FSC-klagomål.docx", "A 18138-2022")</f>
        <v/>
      </c>
      <c r="AB39">
        <f>HYPERLINK("https://klasma.github.io/Logging_1782/klagomålsmail/A 18138-2022 FSC-klagomål mail.docx", "A 18138-2022")</f>
        <v/>
      </c>
      <c r="AC39">
        <f>HYPERLINK("https://klasma.github.io/Logging_1782/tillsyn/A 18138-2022 tillsynsbegäran.docx", "A 18138-2022")</f>
        <v/>
      </c>
      <c r="AD39">
        <f>HYPERLINK("https://klasma.github.io/Logging_1782/tillsynsmail/A 18138-2022 tillsynsbegäran mail.docx", "A 18138-2022")</f>
        <v/>
      </c>
    </row>
    <row r="40" ht="15" customHeight="1">
      <c r="A40" t="inlineStr">
        <is>
          <t>A 50776-2024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46310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15.5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HYPERLINK("https://klasma.github.io/Logging_1782/artfynd/A 50776-2024 artfynd.xlsx", "A 50776-2024")</f>
        <v/>
      </c>
      <c r="X40">
        <f>HYPERLINK("https://klasma.github.io/Logging_1782/kartor/A 50776-2024 karta.png", "A 50776-2024")</f>
        <v/>
      </c>
      <c r="Y40">
        <f>HYPERLINK("https://klasma.github.io/Logging_1782/kartor_geotiff/A 50776-2024 georefererad karta.tif", "A 50776-2024")</f>
        <v/>
      </c>
      <c r="AA40">
        <f>HYPERLINK("https://klasma.github.io/Logging_1782/klagomål/A 50776-2024 FSC-klagomål.docx", "A 50776-2024")</f>
        <v/>
      </c>
      <c r="AB40">
        <f>HYPERLINK("https://klasma.github.io/Logging_1782/klagomålsmail/A 50776-2024 FSC-klagomål mail.docx", "A 50776-2024")</f>
        <v/>
      </c>
      <c r="AC40">
        <f>HYPERLINK("https://klasma.github.io/Logging_1782/tillsyn/A 50776-2024 tillsynsbegäran.docx", "A 50776-2024")</f>
        <v/>
      </c>
      <c r="AD40">
        <f>HYPERLINK("https://klasma.github.io/Logging_1782/tillsynsmail/A 50776-2024 tillsynsbegäran mail.docx", "A 50776-2024")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46310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46310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874-2025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45665</v>
      </c>
      <c r="E43" s="1" t="n">
        <v>46310</v>
      </c>
      <c r="F43" t="inlineStr">
        <is>
          <t>VÄRMLANDS LÄN</t>
        </is>
      </c>
      <c r="G43" t="inlineStr">
        <is>
          <t>FILIPSTAD</t>
        </is>
      </c>
      <c r="H43" t="inlineStr">
        <is>
          <t>Kyrkan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Kamjordstjärna</t>
        </is>
      </c>
      <c r="W43">
        <f>HYPERLINK("https://klasma.github.io/Logging_1782/artfynd/A 874-2025 artfynd.xlsx", "A 874-2025")</f>
        <v/>
      </c>
      <c r="X43">
        <f>HYPERLINK("https://klasma.github.io/Logging_1782/kartor/A 874-2025 karta.png", "A 874-2025")</f>
        <v/>
      </c>
      <c r="Y43">
        <f>HYPERLINK("https://klasma.github.io/Logging_1782/kartor_geotiff/A 874-2025 georefererad karta.tif", "A 874-2025")</f>
        <v/>
      </c>
      <c r="AA43">
        <f>HYPERLINK("https://klasma.github.io/Logging_1782/klagomål/A 874-2025 FSC-klagomål.docx", "A 874-2025")</f>
        <v/>
      </c>
      <c r="AB43">
        <f>HYPERLINK("https://klasma.github.io/Logging_1782/klagomålsmail/A 874-2025 FSC-klagomål mail.docx", "A 874-2025")</f>
        <v/>
      </c>
      <c r="AC43">
        <f>HYPERLINK("https://klasma.github.io/Logging_1782/tillsyn/A 874-2025 tillsynsbegäran.docx", "A 874-2025")</f>
        <v/>
      </c>
      <c r="AD43">
        <f>HYPERLINK("https://klasma.github.io/Logging_1782/tillsynsmail/A 874-2025 tillsynsbegäran mail.docx", "A 874-2025")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46310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4560-2025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45687</v>
      </c>
      <c r="E45" s="1" t="n">
        <v>46310</v>
      </c>
      <c r="F45" t="inlineStr">
        <is>
          <t>VÄRMLANDS LÄN</t>
        </is>
      </c>
      <c r="G45" t="inlineStr">
        <is>
          <t>FILIPSTAD</t>
        </is>
      </c>
      <c r="I45" t="n">
        <v>13.6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HYPERLINK("https://klasma.github.io/Logging_1782/artfynd/A 4560-2025 artfynd.xlsx", "A 4560-2025")</f>
        <v/>
      </c>
      <c r="X45">
        <f>HYPERLINK("https://klasma.github.io/Logging_1782/kartor/A 4560-2025 karta.png", "A 4560-2025")</f>
        <v/>
      </c>
      <c r="Y45">
        <f>HYPERLINK("https://klasma.github.io/Logging_1782/kartor_geotiff/A 4560-2025 georefererad karta.tif", "A 4560-2025")</f>
        <v/>
      </c>
      <c r="AA45">
        <f>HYPERLINK("https://klasma.github.io/Logging_1782/klagomål/A 4560-2025 FSC-klagomål.docx", "A 4560-2025")</f>
        <v/>
      </c>
      <c r="AB45">
        <f>HYPERLINK("https://klasma.github.io/Logging_1782/klagomålsmail/A 4560-2025 FSC-klagomål mail.docx", "A 4560-2025")</f>
        <v/>
      </c>
      <c r="AC45">
        <f>HYPERLINK("https://klasma.github.io/Logging_1782/tillsyn/A 4560-2025 tillsynsbegäran.docx", "A 4560-2025")</f>
        <v/>
      </c>
      <c r="AD45">
        <f>HYPERLINK("https://klasma.github.io/Logging_1782/tillsynsmail/A 4560-2025 tillsynsbegäran mail.docx", "A 4560-2025")</f>
        <v/>
      </c>
    </row>
    <row r="46" ht="15" customHeight="1">
      <c r="A46" t="inlineStr">
        <is>
          <t>A 25862-2026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46310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Talltaggsvamp</t>
        </is>
      </c>
      <c r="W46">
        <f>HYPERLINK("https://klasma.github.io/Logging_1782/artfynd/A 25862-2026 artfynd.xlsx", "A 25862-2026")</f>
        <v/>
      </c>
      <c r="X46">
        <f>HYPERLINK("https://klasma.github.io/Logging_1782/kartor/A 25862-2026 karta.png", "A 25862-2026")</f>
        <v/>
      </c>
      <c r="Y46">
        <f>HYPERLINK("https://klasma.github.io/Logging_1782/kartor_geotiff/A 25862-2026 georefererad karta.tif", "A 25862-2026")</f>
        <v/>
      </c>
      <c r="AA46">
        <f>HYPERLINK("https://klasma.github.io/Logging_1782/klagomål/A 25862-2026 FSC-klagomål.docx", "A 25862-2026")</f>
        <v/>
      </c>
      <c r="AB46">
        <f>HYPERLINK("https://klasma.github.io/Logging_1782/klagomålsmail/A 25862-2026 FSC-klagomål mail.docx", "A 25862-2026")</f>
        <v/>
      </c>
      <c r="AC46">
        <f>HYPERLINK("https://klasma.github.io/Logging_1782/tillsyn/A 25862-2026 tillsynsbegäran.docx", "A 25862-2026")</f>
        <v/>
      </c>
      <c r="AD46">
        <f>HYPERLINK("https://klasma.github.io/Logging_1782/tillsynsmail/A 25862-2026 tillsynsbegäran mail.docx", "A 25862-2026")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46310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10138-2024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46310</v>
      </c>
      <c r="F48" t="inlineStr">
        <is>
          <t>VÄRMLANDS LÄN</t>
        </is>
      </c>
      <c r="G48" t="inlineStr">
        <is>
          <t>FILIPSTAD</t>
        </is>
      </c>
      <c r="H48" t="inlineStr">
        <is>
          <t>Kommuner</t>
        </is>
      </c>
      <c r="I48" t="n">
        <v>6.8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Purpurknipprot</t>
        </is>
      </c>
      <c r="W48">
        <f>HYPERLINK("https://klasma.github.io/Logging_1782/artfynd/A 10138-2024 artfynd.xlsx", "A 10138-2024")</f>
        <v/>
      </c>
      <c r="X48">
        <f>HYPERLINK("https://klasma.github.io/Logging_1782/kartor/A 10138-2024 karta.png", "A 10138-2024")</f>
        <v/>
      </c>
      <c r="Y48">
        <f>HYPERLINK("https://klasma.github.io/Logging_1782/kartor_geotiff/A 10138-2024 georefererad karta.tif", "A 10138-2024")</f>
        <v/>
      </c>
      <c r="AA48">
        <f>HYPERLINK("https://klasma.github.io/Logging_1782/klagomål/A 10138-2024 FSC-klagomål.docx", "A 10138-2024")</f>
        <v/>
      </c>
      <c r="AB48">
        <f>HYPERLINK("https://klasma.github.io/Logging_1782/klagomålsmail/A 10138-2024 FSC-klagomål mail.docx", "A 10138-2024")</f>
        <v/>
      </c>
      <c r="AC48">
        <f>HYPERLINK("https://klasma.github.io/Logging_1782/tillsyn/A 10138-2024 tillsynsbegäran.docx", "A 10138-2024")</f>
        <v/>
      </c>
      <c r="AD48">
        <f>HYPERLINK("https://klasma.github.io/Logging_1782/tillsynsmail/A 10138-2024 tillsynsbegäran mail.docx", "A 10138-2024")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46310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46310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46310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30988-2026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46213</v>
      </c>
      <c r="E52" s="1" t="n">
        <v>46310</v>
      </c>
      <c r="F52" t="inlineStr">
        <is>
          <t>VÄRMLANDS LÄN</t>
        </is>
      </c>
      <c r="G52" t="inlineStr">
        <is>
          <t>FILIPSTAD</t>
        </is>
      </c>
      <c r="I52" t="n">
        <v>2.4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Skuggblåslav</t>
        </is>
      </c>
      <c r="W52">
        <f>HYPERLINK("https://klasma.github.io/Logging_1782/artfynd/A 30988-2026 artfynd.xlsx", "A 30988-2026")</f>
        <v/>
      </c>
      <c r="X52">
        <f>HYPERLINK("https://klasma.github.io/Logging_1782/kartor/A 30988-2026 karta.png", "A 30988-2026")</f>
        <v/>
      </c>
      <c r="Y52">
        <f>HYPERLINK("https://klasma.github.io/Logging_1782/kartor_geotiff/A 30988-2026 georefererad karta.tif", "A 30988-2026")</f>
        <v/>
      </c>
      <c r="AA52">
        <f>HYPERLINK("https://klasma.github.io/Logging_1782/klagomål/A 30988-2026 FSC-klagomål.docx", "A 30988-2026")</f>
        <v/>
      </c>
      <c r="AB52">
        <f>HYPERLINK("https://klasma.github.io/Logging_1782/klagomålsmail/A 30988-2026 FSC-klagomål mail.docx", "A 30988-2026")</f>
        <v/>
      </c>
      <c r="AC52">
        <f>HYPERLINK("https://klasma.github.io/Logging_1782/tillsyn/A 30988-2026 tillsynsbegäran.docx", "A 30988-2026")</f>
        <v/>
      </c>
      <c r="AD52">
        <f>HYPERLINK("https://klasma.github.io/Logging_1782/tillsynsmail/A 30988-2026 tillsynsbegäran mail.docx", "A 30988-2026")</f>
        <v/>
      </c>
    </row>
    <row r="53" ht="15" customHeight="1">
      <c r="A53" t="inlineStr">
        <is>
          <t>A 23046-2023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46310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HYPERLINK("https://klasma.github.io/Logging_1782/artfynd/A 23046-2023 artfynd.xlsx", "A 23046-2023")</f>
        <v/>
      </c>
      <c r="X53">
        <f>HYPERLINK("https://klasma.github.io/Logging_1782/kartor/A 23046-2023 karta.png", "A 23046-2023")</f>
        <v/>
      </c>
      <c r="Y53">
        <f>HYPERLINK("https://klasma.github.io/Logging_1782/kartor_geotiff/A 23046-2023 georefererad karta.tif", "A 23046-2023")</f>
        <v/>
      </c>
      <c r="Z53">
        <f>HYPERLINK("https://klasma.github.io/Logging_1782/knärot/A 23046-2023 karta knärot.png", "A 23046-2023")</f>
        <v/>
      </c>
      <c r="AA53">
        <f>HYPERLINK("https://klasma.github.io/Logging_1782/klagomål/A 23046-2023 FSC-klagomål.docx", "A 23046-2023")</f>
        <v/>
      </c>
      <c r="AB53">
        <f>HYPERLINK("https://klasma.github.io/Logging_1782/klagomålsmail/A 23046-2023 FSC-klagomål mail.docx", "A 23046-2023")</f>
        <v/>
      </c>
      <c r="AC53">
        <f>HYPERLINK("https://klasma.github.io/Logging_1782/tillsyn/A 23046-2023 tillsynsbegäran.docx", "A 23046-2023")</f>
        <v/>
      </c>
      <c r="AD53">
        <f>HYPERLINK("https://klasma.github.io/Logging_1782/tillsynsmail/A 23046-2023 tillsynsbegäran mail.docx", "A 23046-2023")</f>
        <v/>
      </c>
    </row>
    <row r="54" ht="15" customHeight="1">
      <c r="A54" t="inlineStr">
        <is>
          <t>A 46978-2023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46310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HYPERLINK("https://klasma.github.io/Logging_1782/artfynd/A 46978-2023 artfynd.xlsx", "A 46978-2023")</f>
        <v/>
      </c>
      <c r="X54">
        <f>HYPERLINK("https://klasma.github.io/Logging_1782/kartor/A 46978-2023 karta.png", "A 46978-2023")</f>
        <v/>
      </c>
      <c r="Y54">
        <f>HYPERLINK("https://klasma.github.io/Logging_1782/kartor_geotiff/A 46978-2023 georefererad karta.tif", "A 46978-2023")</f>
        <v/>
      </c>
      <c r="AA54">
        <f>HYPERLINK("https://klasma.github.io/Logging_1782/klagomål/A 46978-2023 FSC-klagomål.docx", "A 46978-2023")</f>
        <v/>
      </c>
      <c r="AB54">
        <f>HYPERLINK("https://klasma.github.io/Logging_1782/klagomålsmail/A 46978-2023 FSC-klagomål mail.docx", "A 46978-2023")</f>
        <v/>
      </c>
      <c r="AC54">
        <f>HYPERLINK("https://klasma.github.io/Logging_1782/tillsyn/A 46978-2023 tillsynsbegäran.docx", "A 46978-2023")</f>
        <v/>
      </c>
      <c r="AD54">
        <f>HYPERLINK("https://klasma.github.io/Logging_1782/tillsynsmail/A 46978-2023 tillsynsbegäran mail.docx", "A 46978-2023")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46310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46310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46310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46310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46310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46310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46310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46310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46310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46310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46310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46310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46310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46310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44651</v>
      </c>
      <c r="E73" s="1" t="n">
        <v>46310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66376-2021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46310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9.800000000000001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46310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23399-2025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45792</v>
      </c>
      <c r="E76" s="1" t="n">
        <v>46310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46310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45355</v>
      </c>
      <c r="E78" s="1" t="n">
        <v>46310</v>
      </c>
      <c r="F78" t="inlineStr">
        <is>
          <t>VÄRMLANDS LÄN</t>
        </is>
      </c>
      <c r="G78" t="inlineStr">
        <is>
          <t>FILIPSTAD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72118-2021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46310</v>
      </c>
      <c r="F79" t="inlineStr">
        <is>
          <t>VÄRMLANDS LÄN</t>
        </is>
      </c>
      <c r="G79" t="inlineStr">
        <is>
          <t>FILIPSTAD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46310</v>
      </c>
      <c r="F80" t="inlineStr">
        <is>
          <t>VÄRMLANDS LÄN</t>
        </is>
      </c>
      <c r="G80" t="inlineStr">
        <is>
          <t>FILIPSTAD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46310</v>
      </c>
      <c r="F81" t="inlineStr">
        <is>
          <t>VÄRMLANDS LÄN</t>
        </is>
      </c>
      <c r="G81" t="inlineStr">
        <is>
          <t>FILIPSTAD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46310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45796</v>
      </c>
      <c r="E83" s="1" t="n">
        <v>46310</v>
      </c>
      <c r="F83" t="inlineStr">
        <is>
          <t>VÄRMLANDS LÄN</t>
        </is>
      </c>
      <c r="G83" t="inlineStr">
        <is>
          <t>FILIPSTAD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46310</v>
      </c>
      <c r="F84" t="inlineStr">
        <is>
          <t>VÄRMLANDS LÄN</t>
        </is>
      </c>
      <c r="G84" t="inlineStr">
        <is>
          <t>FILIPSTAD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46310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46310</v>
      </c>
      <c r="F86" t="inlineStr">
        <is>
          <t>VÄRMLANDS LÄN</t>
        </is>
      </c>
      <c r="G86" t="inlineStr">
        <is>
          <t>FILIPSTAD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46310</v>
      </c>
      <c r="F87" t="inlineStr">
        <is>
          <t>VÄRMLANDS LÄN</t>
        </is>
      </c>
      <c r="G87" t="inlineStr">
        <is>
          <t>FILIPSTAD</t>
        </is>
      </c>
      <c r="H87" t="inlineStr">
        <is>
          <t>Kommuner</t>
        </is>
      </c>
      <c r="I87" t="n">
        <v>17.7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46310</v>
      </c>
      <c r="F88" t="inlineStr">
        <is>
          <t>VÄRMLANDS LÄN</t>
        </is>
      </c>
      <c r="G88" t="inlineStr">
        <is>
          <t>FILIPSTAD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35799-2022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44801</v>
      </c>
      <c r="E89" s="1" t="n">
        <v>46310</v>
      </c>
      <c r="F89" t="inlineStr">
        <is>
          <t>VÄRMLANDS LÄN</t>
        </is>
      </c>
      <c r="G89" t="inlineStr">
        <is>
          <t>FILIPSTAD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46310</v>
      </c>
      <c r="F90" t="inlineStr">
        <is>
          <t>VÄRMLANDS LÄN</t>
        </is>
      </c>
      <c r="G90" t="inlineStr">
        <is>
          <t>FILIPSTAD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56840-2024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45628</v>
      </c>
      <c r="E91" s="1" t="n">
        <v>46310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45586</v>
      </c>
      <c r="E92" s="1" t="n">
        <v>46310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9270-2023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44980</v>
      </c>
      <c r="E93" s="1" t="n">
        <v>46310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44655</v>
      </c>
      <c r="E94" s="1" t="n">
        <v>46310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46310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26116-2025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45805</v>
      </c>
      <c r="E96" s="1" t="n">
        <v>46310</v>
      </c>
      <c r="F96" t="inlineStr">
        <is>
          <t>VÄRMLANDS LÄN</t>
        </is>
      </c>
      <c r="G96" t="inlineStr">
        <is>
          <t>FILIPSTAD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26123-2025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45805</v>
      </c>
      <c r="E97" s="1" t="n">
        <v>46310</v>
      </c>
      <c r="F97" t="inlineStr">
        <is>
          <t>VÄRMLANDS LÄN</t>
        </is>
      </c>
      <c r="G97" t="inlineStr">
        <is>
          <t>FILIPSTAD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46310</v>
      </c>
      <c r="F98" t="inlineStr">
        <is>
          <t>VÄRMLANDS LÄN</t>
        </is>
      </c>
      <c r="G98" t="inlineStr">
        <is>
          <t>FILIPSTAD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46310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26843-2024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45470</v>
      </c>
      <c r="E100" s="1" t="n">
        <v>46310</v>
      </c>
      <c r="F100" t="inlineStr">
        <is>
          <t>VÄRMLANDS LÄN</t>
        </is>
      </c>
      <c r="G100" t="inlineStr">
        <is>
          <t>FILIPSTAD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26599-2024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45469</v>
      </c>
      <c r="E101" s="1" t="n">
        <v>46310</v>
      </c>
      <c r="F101" t="inlineStr">
        <is>
          <t>VÄRMLANDS LÄN</t>
        </is>
      </c>
      <c r="G101" t="inlineStr">
        <is>
          <t>FILIPSTAD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46310</v>
      </c>
      <c r="F102" t="inlineStr">
        <is>
          <t>VÄRMLANDS LÄN</t>
        </is>
      </c>
      <c r="G102" t="inlineStr">
        <is>
          <t>FILIPSTAD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44805</v>
      </c>
      <c r="E103" s="1" t="n">
        <v>46310</v>
      </c>
      <c r="F103" t="inlineStr">
        <is>
          <t>VÄRMLANDS LÄN</t>
        </is>
      </c>
      <c r="G103" t="inlineStr">
        <is>
          <t>FILIPSTAD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46310</v>
      </c>
      <c r="F104" t="inlineStr">
        <is>
          <t>VÄRMLANDS LÄN</t>
        </is>
      </c>
      <c r="G104" t="inlineStr">
        <is>
          <t>FILIPSTAD</t>
        </is>
      </c>
      <c r="H104" t="inlineStr">
        <is>
          <t>Kyrkan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50904-2023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46310</v>
      </c>
      <c r="F105" t="inlineStr">
        <is>
          <t>VÄRMLANDS LÄN</t>
        </is>
      </c>
      <c r="G105" t="inlineStr">
        <is>
          <t>FILIPSTAD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45087</v>
      </c>
      <c r="E106" s="1" t="n">
        <v>46310</v>
      </c>
      <c r="F106" t="inlineStr">
        <is>
          <t>VÄRMLANDS LÄN</t>
        </is>
      </c>
      <c r="G106" t="inlineStr">
        <is>
          <t>FILIPSTAD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25375-2023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45088</v>
      </c>
      <c r="E107" s="1" t="n">
        <v>46310</v>
      </c>
      <c r="F107" t="inlineStr">
        <is>
          <t>VÄRMLANDS LÄN</t>
        </is>
      </c>
      <c r="G107" t="inlineStr">
        <is>
          <t>FILIPSTAD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46310</v>
      </c>
      <c r="F108" t="inlineStr">
        <is>
          <t>VÄRMLANDS LÄN</t>
        </is>
      </c>
      <c r="G108" t="inlineStr">
        <is>
          <t>FILIPSTAD</t>
        </is>
      </c>
      <c r="I108" t="n">
        <v>23.3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44637</v>
      </c>
      <c r="E109" s="1" t="n">
        <v>46310</v>
      </c>
      <c r="F109" t="inlineStr">
        <is>
          <t>VÄRMLANDS LÄN</t>
        </is>
      </c>
      <c r="G109" t="inlineStr">
        <is>
          <t>FILIPSTAD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25737-2023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45090</v>
      </c>
      <c r="E110" s="1" t="n">
        <v>46310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46310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46310</v>
      </c>
      <c r="F112" t="inlineStr">
        <is>
          <t>VÄRMLANDS LÄN</t>
        </is>
      </c>
      <c r="G112" t="inlineStr">
        <is>
          <t>FILIPSTAD</t>
        </is>
      </c>
      <c r="H112" t="inlineStr">
        <is>
          <t>Kyrkan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44963</v>
      </c>
      <c r="E113" s="1" t="n">
        <v>46310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31172-2025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45832</v>
      </c>
      <c r="E114" s="1" t="n">
        <v>46310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45418</v>
      </c>
      <c r="E115" s="1" t="n">
        <v>46310</v>
      </c>
      <c r="F115" t="inlineStr">
        <is>
          <t>VÄRMLANDS LÄN</t>
        </is>
      </c>
      <c r="G115" t="inlineStr">
        <is>
          <t>FILIPSTAD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32032-2025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45835</v>
      </c>
      <c r="E116" s="1" t="n">
        <v>46310</v>
      </c>
      <c r="F116" t="inlineStr">
        <is>
          <t>VÄRMLANDS LÄN</t>
        </is>
      </c>
      <c r="G116" t="inlineStr">
        <is>
          <t>FILIPSTAD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46310</v>
      </c>
      <c r="F117" t="inlineStr">
        <is>
          <t>VÄRMLANDS LÄN</t>
        </is>
      </c>
      <c r="G117" t="inlineStr">
        <is>
          <t>FILIPSTAD</t>
        </is>
      </c>
      <c r="I117" t="n">
        <v>18.7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46310</v>
      </c>
      <c r="F118" t="inlineStr">
        <is>
          <t>VÄRMLANDS LÄN</t>
        </is>
      </c>
      <c r="G118" t="inlineStr">
        <is>
          <t>FILIPSTAD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46310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45578</v>
      </c>
      <c r="E120" s="1" t="n">
        <v>46310</v>
      </c>
      <c r="F120" t="inlineStr">
        <is>
          <t>VÄRMLANDS LÄN</t>
        </is>
      </c>
      <c r="G120" t="inlineStr">
        <is>
          <t>FILIPSTAD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46310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33407-2025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45841</v>
      </c>
      <c r="E122" s="1" t="n">
        <v>46310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45750</v>
      </c>
      <c r="E123" s="1" t="n">
        <v>46310</v>
      </c>
      <c r="F123" t="inlineStr">
        <is>
          <t>VÄRMLANDS LÄN</t>
        </is>
      </c>
      <c r="G123" t="inlineStr">
        <is>
          <t>FILIPSTAD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46310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46310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41718-2025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45902</v>
      </c>
      <c r="E126" s="1" t="n">
        <v>46310</v>
      </c>
      <c r="F126" t="inlineStr">
        <is>
          <t>VÄRMLANDS LÄN</t>
        </is>
      </c>
      <c r="G126" t="inlineStr">
        <is>
          <t>FILIPSTAD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45742</v>
      </c>
      <c r="E127" s="1" t="n">
        <v>46310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46310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27107-2024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45471</v>
      </c>
      <c r="E129" s="1" t="n">
        <v>46310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46310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46310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46310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46310</v>
      </c>
      <c r="F133" t="inlineStr">
        <is>
          <t>VÄRMLANDS LÄN</t>
        </is>
      </c>
      <c r="G133" t="inlineStr">
        <is>
          <t>FILIPSTAD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45393</v>
      </c>
      <c r="E134" s="1" t="n">
        <v>46310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46310</v>
      </c>
      <c r="F135" t="inlineStr">
        <is>
          <t>VÄRMLANDS LÄN</t>
        </is>
      </c>
      <c r="G135" t="inlineStr">
        <is>
          <t>FILIPSTAD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45870</v>
      </c>
      <c r="E136" s="1" t="n">
        <v>46310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46310</v>
      </c>
      <c r="F137" t="inlineStr">
        <is>
          <t>VÄRMLANDS LÄN</t>
        </is>
      </c>
      <c r="G137" t="inlineStr">
        <is>
          <t>FILIPSTAD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28161-2023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45093</v>
      </c>
      <c r="E138" s="1" t="n">
        <v>46310</v>
      </c>
      <c r="F138" t="inlineStr">
        <is>
          <t>VÄRMLANDS LÄN</t>
        </is>
      </c>
      <c r="G138" t="inlineStr">
        <is>
          <t>FILIPSTAD</t>
        </is>
      </c>
      <c r="H138" t="inlineStr">
        <is>
          <t>Kommuner</t>
        </is>
      </c>
      <c r="I138" t="n">
        <v>15.4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46310</v>
      </c>
      <c r="F139" t="inlineStr">
        <is>
          <t>VÄRMLANDS LÄN</t>
        </is>
      </c>
      <c r="G139" t="inlineStr">
        <is>
          <t>FILIPSTAD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55978-2022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44889</v>
      </c>
      <c r="E140" s="1" t="n">
        <v>46310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45223</v>
      </c>
      <c r="E141" s="1" t="n">
        <v>46310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45882</v>
      </c>
      <c r="E142" s="1" t="n">
        <v>46310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45750</v>
      </c>
      <c r="E143" s="1" t="n">
        <v>46310</v>
      </c>
      <c r="F143" t="inlineStr">
        <is>
          <t>VÄRMLANDS LÄN</t>
        </is>
      </c>
      <c r="G143" t="inlineStr">
        <is>
          <t>FILIPSTAD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46310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46310</v>
      </c>
      <c r="F145" t="inlineStr">
        <is>
          <t>VÄRMLANDS LÄN</t>
        </is>
      </c>
      <c r="G145" t="inlineStr">
        <is>
          <t>FILIPSTAD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46310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44963</v>
      </c>
      <c r="E147" s="1" t="n">
        <v>46310</v>
      </c>
      <c r="F147" t="inlineStr">
        <is>
          <t>VÄRMLANDS LÄN</t>
        </is>
      </c>
      <c r="G147" t="inlineStr">
        <is>
          <t>FILIPSTAD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46310</v>
      </c>
      <c r="F148" t="inlineStr">
        <is>
          <t>VÄRMLANDS LÄN</t>
        </is>
      </c>
      <c r="G148" t="inlineStr">
        <is>
          <t>FILIPSTAD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45436</v>
      </c>
      <c r="E149" s="1" t="n">
        <v>46310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45223</v>
      </c>
      <c r="E150" s="1" t="n">
        <v>46310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46310</v>
      </c>
      <c r="F151" t="inlineStr">
        <is>
          <t>VÄRMLANDS LÄN</t>
        </is>
      </c>
      <c r="G151" t="inlineStr">
        <is>
          <t>FILIPSTAD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46310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46310</v>
      </c>
      <c r="F153" t="inlineStr">
        <is>
          <t>VÄRMLANDS LÄN</t>
        </is>
      </c>
      <c r="G153" t="inlineStr">
        <is>
          <t>FILIPSTAD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23382-2024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45453</v>
      </c>
      <c r="E154" s="1" t="n">
        <v>46310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46310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46310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45153</v>
      </c>
      <c r="E157" s="1" t="n">
        <v>46310</v>
      </c>
      <c r="F157" t="inlineStr">
        <is>
          <t>VÄRMLANDS LÄN</t>
        </is>
      </c>
      <c r="G157" t="inlineStr">
        <is>
          <t>FILIPSTAD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46310</v>
      </c>
      <c r="F158" t="inlineStr">
        <is>
          <t>VÄRMLANDS LÄN</t>
        </is>
      </c>
      <c r="G158" t="inlineStr">
        <is>
          <t>FILIPSTAD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46076</v>
      </c>
      <c r="E159" s="1" t="n">
        <v>46310</v>
      </c>
      <c r="F159" t="inlineStr">
        <is>
          <t>VÄRMLANDS LÄN</t>
        </is>
      </c>
      <c r="G159" t="inlineStr">
        <is>
          <t>FILIPSTAD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45177</v>
      </c>
      <c r="E160" s="1" t="n">
        <v>46310</v>
      </c>
      <c r="F160" t="inlineStr">
        <is>
          <t>VÄRMLANDS LÄN</t>
        </is>
      </c>
      <c r="G160" t="inlineStr">
        <is>
          <t>FILIPSTAD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46310</v>
      </c>
      <c r="F161" t="inlineStr">
        <is>
          <t>VÄRMLANDS LÄN</t>
        </is>
      </c>
      <c r="G161" t="inlineStr">
        <is>
          <t>FILIPSTAD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46310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45686</v>
      </c>
      <c r="E163" s="1" t="n">
        <v>46310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46310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46310</v>
      </c>
      <c r="F165" t="inlineStr">
        <is>
          <t>VÄRMLANDS LÄN</t>
        </is>
      </c>
      <c r="G165" t="inlineStr">
        <is>
          <t>FILIPSTAD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46310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46310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46310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14275-2024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46310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46310</v>
      </c>
      <c r="F170" t="inlineStr">
        <is>
          <t>VÄRMLANDS LÄN</t>
        </is>
      </c>
      <c r="G170" t="inlineStr">
        <is>
          <t>FILIPSTAD</t>
        </is>
      </c>
      <c r="H170" t="inlineStr">
        <is>
          <t>Kyrkan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46310</v>
      </c>
      <c r="F171" t="inlineStr">
        <is>
          <t>VÄRMLANDS LÄN</t>
        </is>
      </c>
      <c r="G171" t="inlineStr">
        <is>
          <t>FILIPSTAD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46310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46310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46310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46310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50856-2022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44867</v>
      </c>
      <c r="E176" s="1" t="n">
        <v>46310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46310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46310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46310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46098</v>
      </c>
      <c r="E180" s="1" t="n">
        <v>46310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46310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46310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46310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46310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46310</v>
      </c>
      <c r="F185" t="inlineStr">
        <is>
          <t>VÄRMLANDS LÄN</t>
        </is>
      </c>
      <c r="G185" t="inlineStr">
        <is>
          <t>FILIPSTAD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45968</v>
      </c>
      <c r="E186" s="1" t="n">
        <v>46310</v>
      </c>
      <c r="F186" t="inlineStr">
        <is>
          <t>VÄRMLANDS LÄN</t>
        </is>
      </c>
      <c r="G186" t="inlineStr">
        <is>
          <t>FILIPSTAD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46310</v>
      </c>
      <c r="F187" t="inlineStr">
        <is>
          <t>VÄRMLANDS LÄN</t>
        </is>
      </c>
      <c r="G187" t="inlineStr">
        <is>
          <t>FILIPSTAD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44544</v>
      </c>
      <c r="E188" s="1" t="n">
        <v>46310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46310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46310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45245</v>
      </c>
      <c r="E191" s="1" t="n">
        <v>46310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46310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46310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46310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46310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46310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46310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46310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46310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45428</v>
      </c>
      <c r="E200" s="1" t="n">
        <v>46310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46310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46310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46310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46310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46310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46310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46107</v>
      </c>
      <c r="E207" s="1" t="n">
        <v>46310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46107</v>
      </c>
      <c r="E208" s="1" t="n">
        <v>46310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46107</v>
      </c>
      <c r="E209" s="1" t="n">
        <v>46310</v>
      </c>
      <c r="F209" t="inlineStr">
        <is>
          <t>VÄRMLANDS LÄN</t>
        </is>
      </c>
      <c r="G209" t="inlineStr">
        <is>
          <t>FILIPSTAD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46108</v>
      </c>
      <c r="E210" s="1" t="n">
        <v>46310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16040-2026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46108</v>
      </c>
      <c r="E211" s="1" t="n">
        <v>46310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36251-2022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44803</v>
      </c>
      <c r="E212" s="1" t="n">
        <v>46310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46310</v>
      </c>
      <c r="F213" t="inlineStr">
        <is>
          <t>VÄRMLANDS LÄN</t>
        </is>
      </c>
      <c r="G213" t="inlineStr">
        <is>
          <t>FILIPSTAD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45658</v>
      </c>
      <c r="E214" s="1" t="n">
        <v>46310</v>
      </c>
      <c r="F214" t="inlineStr">
        <is>
          <t>VÄRMLANDS LÄN</t>
        </is>
      </c>
      <c r="G214" t="inlineStr">
        <is>
          <t>FILIPSTAD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46310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46310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46114</v>
      </c>
      <c r="E217" s="1" t="n">
        <v>46310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46310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46310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46310</v>
      </c>
      <c r="F220" t="inlineStr">
        <is>
          <t>VÄRMLANDS LÄN</t>
        </is>
      </c>
      <c r="G220" t="inlineStr">
        <is>
          <t>FILIPSTAD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46310</v>
      </c>
      <c r="F221" t="inlineStr">
        <is>
          <t>VÄRMLANDS LÄN</t>
        </is>
      </c>
      <c r="G221" t="inlineStr">
        <is>
          <t>FILIPSTAD</t>
        </is>
      </c>
      <c r="H221" t="inlineStr">
        <is>
          <t>Kyrkan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46310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46310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46119</v>
      </c>
      <c r="E224" s="1" t="n">
        <v>46310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46120</v>
      </c>
      <c r="E225" s="1" t="n">
        <v>46310</v>
      </c>
      <c r="F225" t="inlineStr">
        <is>
          <t>VÄRMLANDS LÄN</t>
        </is>
      </c>
      <c r="G225" t="inlineStr">
        <is>
          <t>FILIPSTAD</t>
        </is>
      </c>
      <c r="I225" t="n">
        <v>9.699999999999999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46310</v>
      </c>
      <c r="F226" t="inlineStr">
        <is>
          <t>VÄRMLANDS LÄN</t>
        </is>
      </c>
      <c r="G226" t="inlineStr">
        <is>
          <t>FILIPSTAD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46310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46310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46310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46310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46310</v>
      </c>
      <c r="F231" t="inlineStr">
        <is>
          <t>VÄRMLANDS LÄN</t>
        </is>
      </c>
      <c r="G231" t="inlineStr">
        <is>
          <t>FILIPSTAD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46310</v>
      </c>
      <c r="F232" t="inlineStr">
        <is>
          <t>VÄRMLANDS LÄN</t>
        </is>
      </c>
      <c r="G232" t="inlineStr">
        <is>
          <t>FILIPSTAD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18376-2026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46310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46310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46310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46310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59929-2025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46310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46310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46310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46310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46310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60396-2025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46310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46310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46310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33368-2022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44788</v>
      </c>
      <c r="E245" s="1" t="n">
        <v>46310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46310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44951</v>
      </c>
      <c r="E247" s="1" t="n">
        <v>46310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46310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46310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45427</v>
      </c>
      <c r="E250" s="1" t="n">
        <v>46310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46310</v>
      </c>
      <c r="F251" t="inlineStr">
        <is>
          <t>VÄRMLANDS LÄN</t>
        </is>
      </c>
      <c r="G251" t="inlineStr">
        <is>
          <t>FILIPSTAD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46310</v>
      </c>
      <c r="F252" t="inlineStr">
        <is>
          <t>VÄRMLANDS LÄN</t>
        </is>
      </c>
      <c r="G252" t="inlineStr">
        <is>
          <t>FILIPSTAD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18507-2026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46127</v>
      </c>
      <c r="E253" s="1" t="n">
        <v>46310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29825-2023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45107</v>
      </c>
      <c r="E254" s="1" t="n">
        <v>46310</v>
      </c>
      <c r="F254" t="inlineStr">
        <is>
          <t>VÄRMLANDS LÄN</t>
        </is>
      </c>
      <c r="G254" t="inlineStr">
        <is>
          <t>FILIPSTAD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46310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45996</v>
      </c>
      <c r="E256" s="1" t="n">
        <v>46310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46310</v>
      </c>
      <c r="F257" t="inlineStr">
        <is>
          <t>VÄRMLANDS LÄN</t>
        </is>
      </c>
      <c r="G257" t="inlineStr">
        <is>
          <t>FILIPSTAD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61492-2025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46001</v>
      </c>
      <c r="E258" s="1" t="n">
        <v>46310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19435-2026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46310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46310</v>
      </c>
      <c r="F260" t="inlineStr">
        <is>
          <t>VÄRMLANDS LÄN</t>
        </is>
      </c>
      <c r="G260" t="inlineStr">
        <is>
          <t>FILIPSTAD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46310</v>
      </c>
      <c r="F261" t="inlineStr">
        <is>
          <t>VÄRMLANDS LÄN</t>
        </is>
      </c>
      <c r="G261" t="inlineStr">
        <is>
          <t>FILIPSTAD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46310</v>
      </c>
      <c r="F262" t="inlineStr">
        <is>
          <t>VÄRMLANDS LÄN</t>
        </is>
      </c>
      <c r="G262" t="inlineStr">
        <is>
          <t>FILIPSTAD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61417-2025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46001</v>
      </c>
      <c r="E263" s="1" t="n">
        <v>46310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46310</v>
      </c>
      <c r="F264" t="inlineStr">
        <is>
          <t>VÄRMLANDS LÄN</t>
        </is>
      </c>
      <c r="G264" t="inlineStr">
        <is>
          <t>FILIPSTAD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61327-2025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46310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46310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61823-2025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46003</v>
      </c>
      <c r="E267" s="1" t="n">
        <v>46310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46310</v>
      </c>
      <c r="F268" t="inlineStr">
        <is>
          <t>VÄRMLANDS LÄN</t>
        </is>
      </c>
      <c r="G268" t="inlineStr">
        <is>
          <t>FILIPSTAD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46310</v>
      </c>
      <c r="F269" t="inlineStr">
        <is>
          <t>VÄRMLANDS LÄN</t>
        </is>
      </c>
      <c r="G269" t="inlineStr">
        <is>
          <t>FILIPSTAD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46134</v>
      </c>
      <c r="E270" s="1" t="n">
        <v>46310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46310</v>
      </c>
      <c r="F271" t="inlineStr">
        <is>
          <t>VÄRMLANDS LÄN</t>
        </is>
      </c>
      <c r="G271" t="inlineStr">
        <is>
          <t>FILIPSTAD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46310</v>
      </c>
      <c r="F272" t="inlineStr">
        <is>
          <t>VÄRMLANDS LÄN</t>
        </is>
      </c>
      <c r="G272" t="inlineStr">
        <is>
          <t>FILIPSTAD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19676-2026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46134</v>
      </c>
      <c r="E273" s="1" t="n">
        <v>46310</v>
      </c>
      <c r="F273" t="inlineStr">
        <is>
          <t>VÄRMLANDS LÄN</t>
        </is>
      </c>
      <c r="G273" t="inlineStr">
        <is>
          <t>FILIPSTAD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46310</v>
      </c>
      <c r="F274" t="inlineStr">
        <is>
          <t>VÄRMLANDS LÄN</t>
        </is>
      </c>
      <c r="G274" t="inlineStr">
        <is>
          <t>FILIPSTAD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45114</v>
      </c>
      <c r="E275" s="1" t="n">
        <v>46310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46002</v>
      </c>
      <c r="E276" s="1" t="n">
        <v>46310</v>
      </c>
      <c r="F276" t="inlineStr">
        <is>
          <t>VÄRMLANDS LÄN</t>
        </is>
      </c>
      <c r="G276" t="inlineStr">
        <is>
          <t>FILIPSTAD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46310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46310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45232</v>
      </c>
      <c r="E279" s="1" t="n">
        <v>46310</v>
      </c>
      <c r="F279" t="inlineStr">
        <is>
          <t>VÄRMLANDS LÄN</t>
        </is>
      </c>
      <c r="G279" t="inlineStr">
        <is>
          <t>FILIPSTAD</t>
        </is>
      </c>
      <c r="I279" t="n">
        <v>15.5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46004</v>
      </c>
      <c r="E280" s="1" t="n">
        <v>46310</v>
      </c>
      <c r="F280" t="inlineStr">
        <is>
          <t>VÄRMLANDS LÄN</t>
        </is>
      </c>
      <c r="G280" t="inlineStr">
        <is>
          <t>FILIPSTAD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45712</v>
      </c>
      <c r="E281" s="1" t="n">
        <v>46310</v>
      </c>
      <c r="F281" t="inlineStr">
        <is>
          <t>VÄRMLANDS LÄN</t>
        </is>
      </c>
      <c r="G281" t="inlineStr">
        <is>
          <t>FILIPSTAD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46004</v>
      </c>
      <c r="E282" s="1" t="n">
        <v>46310</v>
      </c>
      <c r="F282" t="inlineStr">
        <is>
          <t>VÄRMLANDS LÄN</t>
        </is>
      </c>
      <c r="G282" t="inlineStr">
        <is>
          <t>FILIPSTAD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46310</v>
      </c>
      <c r="F283" t="inlineStr">
        <is>
          <t>VÄRMLANDS LÄN</t>
        </is>
      </c>
      <c r="G283" t="inlineStr">
        <is>
          <t>FILIPSTAD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46310</v>
      </c>
      <c r="F284" t="inlineStr">
        <is>
          <t>VÄRMLANDS LÄN</t>
        </is>
      </c>
      <c r="G284" t="inlineStr">
        <is>
          <t>FILIPSTAD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46310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46310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46310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46014</v>
      </c>
      <c r="E288" s="1" t="n">
        <v>46310</v>
      </c>
      <c r="F288" t="inlineStr">
        <is>
          <t>VÄRMLANDS LÄN</t>
        </is>
      </c>
      <c r="G288" t="inlineStr">
        <is>
          <t>FILIPSTAD</t>
        </is>
      </c>
      <c r="I288" t="n">
        <v>9.9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46310</v>
      </c>
      <c r="F289" t="inlineStr">
        <is>
          <t>VÄRMLANDS LÄN</t>
        </is>
      </c>
      <c r="G289" t="inlineStr">
        <is>
          <t>FILIPSTAD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46310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45180</v>
      </c>
      <c r="E291" s="1" t="n">
        <v>46310</v>
      </c>
      <c r="F291" t="inlineStr">
        <is>
          <t>VÄRMLANDS LÄN</t>
        </is>
      </c>
      <c r="G291" t="inlineStr">
        <is>
          <t>FILIPSTAD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22830-2023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45072</v>
      </c>
      <c r="E292" s="1" t="n">
        <v>46310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22866-2023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45072</v>
      </c>
      <c r="E293" s="1" t="n">
        <v>46310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46310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18210-2024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45420</v>
      </c>
      <c r="E295" s="1" t="n">
        <v>46310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46310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46310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46310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46310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45384</v>
      </c>
      <c r="E300" s="1" t="n">
        <v>46310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58611-2025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45986</v>
      </c>
      <c r="E301" s="1" t="n">
        <v>46310</v>
      </c>
      <c r="F301" t="inlineStr">
        <is>
          <t>VÄRMLANDS LÄN</t>
        </is>
      </c>
      <c r="G301" t="inlineStr">
        <is>
          <t>FILIPSTAD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45790</v>
      </c>
      <c r="E302" s="1" t="n">
        <v>46310</v>
      </c>
      <c r="F302" t="inlineStr">
        <is>
          <t>VÄRMLANDS LÄN</t>
        </is>
      </c>
      <c r="G302" t="inlineStr">
        <is>
          <t>FILIPSTAD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46310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46310</v>
      </c>
      <c r="F304" t="inlineStr">
        <is>
          <t>VÄRMLANDS LÄN</t>
        </is>
      </c>
      <c r="G304" t="inlineStr">
        <is>
          <t>FILIPSTAD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46310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46310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46310</v>
      </c>
      <c r="F307" t="inlineStr">
        <is>
          <t>VÄRMLANDS LÄN</t>
        </is>
      </c>
      <c r="G307" t="inlineStr">
        <is>
          <t>FILIPSTAD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46310</v>
      </c>
      <c r="F308" t="inlineStr">
        <is>
          <t>VÄRMLANDS LÄN</t>
        </is>
      </c>
      <c r="G308" t="inlineStr">
        <is>
          <t>FILIPSTAD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46310</v>
      </c>
      <c r="F309" t="inlineStr">
        <is>
          <t>VÄRMLANDS LÄN</t>
        </is>
      </c>
      <c r="G309" t="inlineStr">
        <is>
          <t>FILIPSTAD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46310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46310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46310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19351-2025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45769</v>
      </c>
      <c r="E313" s="1" t="n">
        <v>46310</v>
      </c>
      <c r="F313" t="inlineStr">
        <is>
          <t>VÄRMLANDS LÄN</t>
        </is>
      </c>
      <c r="G313" t="inlineStr">
        <is>
          <t>FILIPSTAD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46310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46310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46310</v>
      </c>
      <c r="F316" t="inlineStr">
        <is>
          <t>VÄRMLANDS LÄN</t>
        </is>
      </c>
      <c r="G316" t="inlineStr">
        <is>
          <t>FILIPSTAD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45246</v>
      </c>
      <c r="E317" s="1" t="n">
        <v>46310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46310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46310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46310</v>
      </c>
      <c r="F320" t="inlineStr">
        <is>
          <t>VÄRMLANDS LÄN</t>
        </is>
      </c>
      <c r="G320" t="inlineStr">
        <is>
          <t>FILIPSTAD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45671</v>
      </c>
      <c r="E321" s="1" t="n">
        <v>46310</v>
      </c>
      <c r="F321" t="inlineStr">
        <is>
          <t>VÄRMLANDS LÄN</t>
        </is>
      </c>
      <c r="G321" t="inlineStr">
        <is>
          <t>FILIPSTAD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45299</v>
      </c>
      <c r="E322" s="1" t="n">
        <v>46310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46310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46310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45456</v>
      </c>
      <c r="E325" s="1" t="n">
        <v>46310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46310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45484</v>
      </c>
      <c r="E327" s="1" t="n">
        <v>46310</v>
      </c>
      <c r="F327" t="inlineStr">
        <is>
          <t>VÄRMLANDS LÄN</t>
        </is>
      </c>
      <c r="G327" t="inlineStr">
        <is>
          <t>FILIPSTAD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46310</v>
      </c>
      <c r="F328" t="inlineStr">
        <is>
          <t>VÄRMLANDS LÄN</t>
        </is>
      </c>
      <c r="G328" t="inlineStr">
        <is>
          <t>FILIPSTAD</t>
        </is>
      </c>
      <c r="I328" t="n">
        <v>11.7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45124</v>
      </c>
      <c r="E329" s="1" t="n">
        <v>46310</v>
      </c>
      <c r="F329" t="inlineStr">
        <is>
          <t>VÄRMLANDS LÄN</t>
        </is>
      </c>
      <c r="G329" t="inlineStr">
        <is>
          <t>FILIPSTAD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20554-2025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45775</v>
      </c>
      <c r="E330" s="1" t="n">
        <v>46310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45327</v>
      </c>
      <c r="E331" s="1" t="n">
        <v>46310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46310</v>
      </c>
      <c r="F332" t="inlineStr">
        <is>
          <t>VÄRMLANDS LÄN</t>
        </is>
      </c>
      <c r="G332" t="inlineStr">
        <is>
          <t>FILIPSTAD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46310</v>
      </c>
      <c r="F333" t="inlineStr">
        <is>
          <t>VÄRMLANDS LÄN</t>
        </is>
      </c>
      <c r="G333" t="inlineStr">
        <is>
          <t>FILIPSTAD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46310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46310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46310</v>
      </c>
      <c r="F336" t="inlineStr">
        <is>
          <t>VÄRMLANDS LÄN</t>
        </is>
      </c>
      <c r="G336" t="inlineStr">
        <is>
          <t>FILIPSTAD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46310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46310</v>
      </c>
      <c r="F338" t="inlineStr">
        <is>
          <t>VÄRMLANDS LÄN</t>
        </is>
      </c>
      <c r="G338" t="inlineStr">
        <is>
          <t>FILIPSTAD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46310</v>
      </c>
      <c r="F339" t="inlineStr">
        <is>
          <t>VÄRMLANDS LÄN</t>
        </is>
      </c>
      <c r="G339" t="inlineStr">
        <is>
          <t>FILIPSTAD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46148</v>
      </c>
      <c r="E340" s="1" t="n">
        <v>46310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46310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46310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46310</v>
      </c>
      <c r="F343" t="inlineStr">
        <is>
          <t>VÄRMLANDS LÄN</t>
        </is>
      </c>
      <c r="G343" t="inlineStr">
        <is>
          <t>FILIPSTAD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46310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46310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46310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46310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46310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46310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46310</v>
      </c>
      <c r="F350" t="inlineStr">
        <is>
          <t>VÄRMLANDS LÄN</t>
        </is>
      </c>
      <c r="G350" t="inlineStr">
        <is>
          <t>FILIPSTAD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46310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46310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46310</v>
      </c>
      <c r="F353" t="inlineStr">
        <is>
          <t>VÄRMLANDS LÄN</t>
        </is>
      </c>
      <c r="G353" t="inlineStr">
        <is>
          <t>FILIPSTAD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46310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46310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46310</v>
      </c>
      <c r="F356" t="inlineStr">
        <is>
          <t>VÄRMLANDS LÄN</t>
        </is>
      </c>
      <c r="G356" t="inlineStr">
        <is>
          <t>FILIPSTAD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13918-2024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45391</v>
      </c>
      <c r="E357" s="1" t="n">
        <v>46310</v>
      </c>
      <c r="F357" t="inlineStr">
        <is>
          <t>VÄRMLANDS LÄN</t>
        </is>
      </c>
      <c r="G357" t="inlineStr">
        <is>
          <t>FILIPSTAD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70405-2021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44536</v>
      </c>
      <c r="E358" s="1" t="n">
        <v>46310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44579</v>
      </c>
      <c r="E359" s="1" t="n">
        <v>46310</v>
      </c>
      <c r="F359" t="inlineStr">
        <is>
          <t>VÄRMLANDS LÄN</t>
        </is>
      </c>
      <c r="G359" t="inlineStr">
        <is>
          <t>FILIPSTAD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44911</v>
      </c>
      <c r="E360" s="1" t="n">
        <v>46310</v>
      </c>
      <c r="F360" t="inlineStr">
        <is>
          <t>VÄRMLANDS LÄN</t>
        </is>
      </c>
      <c r="G360" t="inlineStr">
        <is>
          <t>FILIPSTAD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46310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23555-2026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46310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46310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45077</v>
      </c>
      <c r="E364" s="1" t="n">
        <v>46310</v>
      </c>
      <c r="F364" t="inlineStr">
        <is>
          <t>VÄRMLANDS LÄN</t>
        </is>
      </c>
      <c r="G364" t="inlineStr">
        <is>
          <t>FILIPSTAD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46310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46310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46310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23952-2026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46310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23931-2026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46310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46310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46310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46310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46310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9.300000000000001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46310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45037</v>
      </c>
      <c r="E375" s="1" t="n">
        <v>46310</v>
      </c>
      <c r="F375" t="inlineStr">
        <is>
          <t>VÄRMLANDS LÄN</t>
        </is>
      </c>
      <c r="G375" t="inlineStr">
        <is>
          <t>FILIPSTAD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46310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46310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44789</v>
      </c>
      <c r="E378" s="1" t="n">
        <v>46310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46310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23934-2026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46310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46310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36827-2022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44805</v>
      </c>
      <c r="E382" s="1" t="n">
        <v>46310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45202</v>
      </c>
      <c r="E383" s="1" t="n">
        <v>46310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46169</v>
      </c>
      <c r="E384" s="1" t="n">
        <v>46310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45133</v>
      </c>
      <c r="E385" s="1" t="n">
        <v>46310</v>
      </c>
      <c r="F385" t="inlineStr">
        <is>
          <t>VÄRMLANDS LÄN</t>
        </is>
      </c>
      <c r="G385" t="inlineStr">
        <is>
          <t>FILIPSTAD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46169</v>
      </c>
      <c r="E386" s="1" t="n">
        <v>46310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46310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49935-2025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45940</v>
      </c>
      <c r="E388" s="1" t="n">
        <v>46310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45456</v>
      </c>
      <c r="E389" s="1" t="n">
        <v>46310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46310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46310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46310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46310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46310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46310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46310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24941-2026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46310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46310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45749</v>
      </c>
      <c r="E399" s="1" t="n">
        <v>46310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46171</v>
      </c>
      <c r="E400" s="1" t="n">
        <v>46310</v>
      </c>
      <c r="F400" t="inlineStr">
        <is>
          <t>VÄRMLANDS LÄN</t>
        </is>
      </c>
      <c r="G400" t="inlineStr">
        <is>
          <t>FILIPSTAD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32183-2025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46310</v>
      </c>
      <c r="F401" t="inlineStr">
        <is>
          <t>VÄRMLANDS LÄN</t>
        </is>
      </c>
      <c r="G401" t="inlineStr">
        <is>
          <t>FILIPSTAD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46257-2022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44847</v>
      </c>
      <c r="E402" s="1" t="n">
        <v>46310</v>
      </c>
      <c r="F402" t="inlineStr">
        <is>
          <t>VÄRMLANDS LÄN</t>
        </is>
      </c>
      <c r="G402" t="inlineStr">
        <is>
          <t>FILIPSTAD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46310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46310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54836-2023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45229</v>
      </c>
      <c r="E405" s="1" t="n">
        <v>46310</v>
      </c>
      <c r="F405" t="inlineStr">
        <is>
          <t>VÄRMLANDS LÄN</t>
        </is>
      </c>
      <c r="G405" t="inlineStr">
        <is>
          <t>FILIPSTAD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25769-2026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46310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46310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45077</v>
      </c>
      <c r="E408" s="1" t="n">
        <v>46310</v>
      </c>
      <c r="F408" t="inlineStr">
        <is>
          <t>VÄRMLANDS LÄN</t>
        </is>
      </c>
      <c r="G408" t="inlineStr">
        <is>
          <t>FILIPSTAD</t>
        </is>
      </c>
      <c r="I408" t="n">
        <v>15.8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46310</v>
      </c>
      <c r="F409" t="inlineStr">
        <is>
          <t>VÄRMLANDS LÄN</t>
        </is>
      </c>
      <c r="G409" t="inlineStr">
        <is>
          <t>FILIPSTAD</t>
        </is>
      </c>
      <c r="H409" t="inlineStr">
        <is>
          <t>Kommuner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29473-2024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45484</v>
      </c>
      <c r="E410" s="1" t="n">
        <v>46310</v>
      </c>
      <c r="F410" t="inlineStr">
        <is>
          <t>VÄRMLANDS LÄN</t>
        </is>
      </c>
      <c r="G410" t="inlineStr">
        <is>
          <t>FILIPSTAD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46310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46310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26211-2026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46310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46310</v>
      </c>
      <c r="F414" t="inlineStr">
        <is>
          <t>VÄRMLANDS LÄN</t>
        </is>
      </c>
      <c r="G414" t="inlineStr">
        <is>
          <t>FILIPSTAD</t>
        </is>
      </c>
      <c r="H414" t="inlineStr">
        <is>
          <t>Kommuner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46310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26323-2026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46310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46310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46310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46310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46310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46310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21593-2023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45063</v>
      </c>
      <c r="E422" s="1" t="n">
        <v>46310</v>
      </c>
      <c r="F422" t="inlineStr">
        <is>
          <t>VÄRMLANDS LÄN</t>
        </is>
      </c>
      <c r="G422" t="inlineStr">
        <is>
          <t>FILIPSTAD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46310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9370-2023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44981</v>
      </c>
      <c r="E424" s="1" t="n">
        <v>46310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47536-2023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45203</v>
      </c>
      <c r="E425" s="1" t="n">
        <v>46310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25468-2024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46310</v>
      </c>
      <c r="F426" t="inlineStr">
        <is>
          <t>VÄRMLANDS LÄN</t>
        </is>
      </c>
      <c r="G426" t="inlineStr">
        <is>
          <t>FILIPSTAD</t>
        </is>
      </c>
      <c r="I426" t="n">
        <v>13.2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44579</v>
      </c>
      <c r="E427" s="1" t="n">
        <v>46310</v>
      </c>
      <c r="F427" t="inlineStr">
        <is>
          <t>VÄRMLANDS LÄN</t>
        </is>
      </c>
      <c r="G427" t="inlineStr">
        <is>
          <t>FILIPSTAD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27300-2026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46310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46187</v>
      </c>
      <c r="E429" s="1" t="n">
        <v>46310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46310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46310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46186</v>
      </c>
      <c r="E432" s="1" t="n">
        <v>46310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46310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27774-2026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46310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46310</v>
      </c>
      <c r="F435" t="inlineStr">
        <is>
          <t>VÄRMLANDS LÄN</t>
        </is>
      </c>
      <c r="G435" t="inlineStr">
        <is>
          <t>FILIPSTAD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45947</v>
      </c>
      <c r="E436" s="1" t="n">
        <v>46310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46310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45516-2024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45578</v>
      </c>
      <c r="E438" s="1" t="n">
        <v>46310</v>
      </c>
      <c r="F438" t="inlineStr">
        <is>
          <t>VÄRMLANDS LÄN</t>
        </is>
      </c>
      <c r="G438" t="inlineStr">
        <is>
          <t>FILIPSTAD</t>
        </is>
      </c>
      <c r="I438" t="n">
        <v>27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46310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32262-2023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45120</v>
      </c>
      <c r="E440" s="1" t="n">
        <v>46310</v>
      </c>
      <c r="F440" t="inlineStr">
        <is>
          <t>VÄRMLANDS LÄN</t>
        </is>
      </c>
      <c r="G440" t="inlineStr">
        <is>
          <t>FILIPSTAD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46310</v>
      </c>
      <c r="F441" t="inlineStr">
        <is>
          <t>VÄRMLANDS LÄN</t>
        </is>
      </c>
      <c r="G441" t="inlineStr">
        <is>
          <t>FILIPSTAD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46310</v>
      </c>
      <c r="F442" t="inlineStr">
        <is>
          <t>VÄRMLANDS LÄN</t>
        </is>
      </c>
      <c r="G442" t="inlineStr">
        <is>
          <t>FILIPSTAD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46310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47344-2023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45202</v>
      </c>
      <c r="E444" s="1" t="n">
        <v>46310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46310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46310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46310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46203</v>
      </c>
      <c r="E448" s="1" t="n">
        <v>46310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45418</v>
      </c>
      <c r="E449" s="1" t="n">
        <v>46310</v>
      </c>
      <c r="F449" t="inlineStr">
        <is>
          <t>VÄRMLANDS LÄN</t>
        </is>
      </c>
      <c r="G449" t="inlineStr">
        <is>
          <t>FILIPSTAD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46310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46310</v>
      </c>
      <c r="F451" t="inlineStr">
        <is>
          <t>VÄRMLANDS LÄN</t>
        </is>
      </c>
      <c r="G451" t="inlineStr">
        <is>
          <t>FILIPSTAD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46310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46310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44994</v>
      </c>
      <c r="E454" s="1" t="n">
        <v>46310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46310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46310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46310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45616</v>
      </c>
      <c r="E458" s="1" t="n">
        <v>46310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46310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55397-2022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44887</v>
      </c>
      <c r="E460" s="1" t="n">
        <v>46310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46310</v>
      </c>
      <c r="F461" t="inlineStr">
        <is>
          <t>VÄRMLANDS LÄN</t>
        </is>
      </c>
      <c r="G461" t="inlineStr">
        <is>
          <t>FILIPSTAD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46310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46210</v>
      </c>
      <c r="E463" s="1" t="n">
        <v>46310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14840-2023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45014</v>
      </c>
      <c r="E464" s="1" t="n">
        <v>46310</v>
      </c>
      <c r="F464" t="inlineStr">
        <is>
          <t>VÄRMLANDS LÄN</t>
        </is>
      </c>
      <c r="G464" t="inlineStr">
        <is>
          <t>FILIPSTAD</t>
        </is>
      </c>
      <c r="H464" t="inlineStr">
        <is>
          <t>Kyrkan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30799-2026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46310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4819-2023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44957</v>
      </c>
      <c r="E466" s="1" t="n">
        <v>46310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31283-2026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46218</v>
      </c>
      <c r="E467" s="1" t="n">
        <v>46310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46189</v>
      </c>
      <c r="E468" s="1" t="n">
        <v>46310</v>
      </c>
      <c r="F468" t="inlineStr">
        <is>
          <t>VÄRMLANDS LÄN</t>
        </is>
      </c>
      <c r="G468" t="inlineStr">
        <is>
          <t>FILIPSTAD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46310</v>
      </c>
      <c r="F469" t="inlineStr">
        <is>
          <t>VÄRMLANDS LÄN</t>
        </is>
      </c>
      <c r="G469" t="inlineStr">
        <is>
          <t>FILIPSTAD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31548-2026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46223</v>
      </c>
      <c r="E470" s="1" t="n">
        <v>46310</v>
      </c>
      <c r="F470" t="inlineStr">
        <is>
          <t>VÄRMLANDS LÄN</t>
        </is>
      </c>
      <c r="G470" t="inlineStr">
        <is>
          <t>FILIPSTAD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31537-2026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46223</v>
      </c>
      <c r="E471" s="1" t="n">
        <v>46310</v>
      </c>
      <c r="F471" t="inlineStr">
        <is>
          <t>VÄRMLANDS LÄN</t>
        </is>
      </c>
      <c r="G471" t="inlineStr">
        <is>
          <t>FILIPSTAD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46310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45511</v>
      </c>
      <c r="E473" s="1" t="n">
        <v>46310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5754-2022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46310</v>
      </c>
      <c r="F474" t="inlineStr">
        <is>
          <t>VÄRMLANDS LÄN</t>
        </is>
      </c>
      <c r="G474" t="inlineStr">
        <is>
          <t>FILIPSTAD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46310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46269</v>
      </c>
      <c r="E476" s="1" t="n">
        <v>46310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45186</v>
      </c>
      <c r="E477" s="1" t="n">
        <v>46310</v>
      </c>
      <c r="F477" t="inlineStr">
        <is>
          <t>VÄRMLANDS LÄN</t>
        </is>
      </c>
      <c r="G477" t="inlineStr">
        <is>
          <t>FILIPSTAD</t>
        </is>
      </c>
      <c r="I477" t="n">
        <v>15.3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46310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46269</v>
      </c>
      <c r="E479" s="1" t="n">
        <v>46310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46269</v>
      </c>
      <c r="E480" s="1" t="n">
        <v>46310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31648-2026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46225</v>
      </c>
      <c r="E481" s="1" t="n">
        <v>46310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46310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31699-2026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46226</v>
      </c>
      <c r="E483" s="1" t="n">
        <v>46310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46226</v>
      </c>
      <c r="E484" s="1" t="n">
        <v>46310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46227</v>
      </c>
      <c r="E485" s="1" t="n">
        <v>46310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45569</v>
      </c>
      <c r="E486" s="1" t="n">
        <v>46310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36819-2026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46310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46227</v>
      </c>
      <c r="E488" s="1" t="n">
        <v>46310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46273</v>
      </c>
      <c r="E489" s="1" t="n">
        <v>46310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46310</v>
      </c>
      <c r="F490" t="inlineStr">
        <is>
          <t>VÄRMLANDS LÄN</t>
        </is>
      </c>
      <c r="G490" t="inlineStr">
        <is>
          <t>FILIPSTAD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57026-2023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46310</v>
      </c>
      <c r="F491" t="inlineStr">
        <is>
          <t>VÄRMLANDS LÄN</t>
        </is>
      </c>
      <c r="G491" t="inlineStr">
        <is>
          <t>FILIPSTAD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36818-2026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46310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46680-2024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45583</v>
      </c>
      <c r="E493" s="1" t="n">
        <v>46310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46310</v>
      </c>
      <c r="F494" t="inlineStr">
        <is>
          <t>VÄRMLANDS LÄN</t>
        </is>
      </c>
      <c r="G494" t="inlineStr">
        <is>
          <t>FILIPSTAD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19030-2022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44691</v>
      </c>
      <c r="E495" s="1" t="n">
        <v>46310</v>
      </c>
      <c r="F495" t="inlineStr">
        <is>
          <t>VÄRMLANDS LÄN</t>
        </is>
      </c>
      <c r="G495" t="inlineStr">
        <is>
          <t>FILIPSTAD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46310</v>
      </c>
      <c r="F496" t="inlineStr">
        <is>
          <t>VÄRMLANDS LÄN</t>
        </is>
      </c>
      <c r="G496" t="inlineStr">
        <is>
          <t>FILIPSTAD</t>
        </is>
      </c>
      <c r="I496" t="n">
        <v>11.6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27080-2023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45096</v>
      </c>
      <c r="E497" s="1" t="n">
        <v>46310</v>
      </c>
      <c r="F497" t="inlineStr">
        <is>
          <t>VÄRMLANDS LÄN</t>
        </is>
      </c>
      <c r="G497" t="inlineStr">
        <is>
          <t>FILIPSTAD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46186</v>
      </c>
      <c r="E498" s="1" t="n">
        <v>46310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48908-2023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45195</v>
      </c>
      <c r="E499" s="1" t="n">
        <v>46310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31957-2026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46232</v>
      </c>
      <c r="E500" s="1" t="n">
        <v>46310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46274</v>
      </c>
      <c r="E501" s="1" t="n">
        <v>46310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46231</v>
      </c>
      <c r="E502" s="1" t="n">
        <v>46310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46232</v>
      </c>
      <c r="E503" s="1" t="n">
        <v>46310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31963-2026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46232</v>
      </c>
      <c r="E504" s="1" t="n">
        <v>46310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46233</v>
      </c>
      <c r="E505" s="1" t="n">
        <v>46310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37519-2026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46310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45655</v>
      </c>
      <c r="E507" s="1" t="n">
        <v>46310</v>
      </c>
      <c r="F507" t="inlineStr">
        <is>
          <t>VÄRMLANDS LÄN</t>
        </is>
      </c>
      <c r="G507" t="inlineStr">
        <is>
          <t>FILIPSTAD</t>
        </is>
      </c>
      <c r="I507" t="n">
        <v>26.5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45655</v>
      </c>
      <c r="E508" s="1" t="n">
        <v>46310</v>
      </c>
      <c r="F508" t="inlineStr">
        <is>
          <t>VÄRMLANDS LÄN</t>
        </is>
      </c>
      <c r="G508" t="inlineStr">
        <is>
          <t>FILIPSTAD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46310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32141-2026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46234</v>
      </c>
      <c r="E510" s="1" t="n">
        <v>46310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46269</v>
      </c>
      <c r="E511" s="1" t="n">
        <v>46310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46233</v>
      </c>
      <c r="E512" s="1" t="n">
        <v>46310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32248-2026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46237</v>
      </c>
      <c r="E513" s="1" t="n">
        <v>46310</v>
      </c>
      <c r="F513" t="inlineStr">
        <is>
          <t>VÄRMLANDS LÄN</t>
        </is>
      </c>
      <c r="G513" t="inlineStr">
        <is>
          <t>FILIPSTAD</t>
        </is>
      </c>
      <c r="I513" t="n">
        <v>13.4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46237</v>
      </c>
      <c r="E514" s="1" t="n">
        <v>46310</v>
      </c>
      <c r="F514" t="inlineStr">
        <is>
          <t>VÄRMLANDS LÄN</t>
        </is>
      </c>
      <c r="G514" t="inlineStr">
        <is>
          <t>FILIPSTAD</t>
        </is>
      </c>
      <c r="H514" t="inlineStr">
        <is>
          <t>Kommuner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46233</v>
      </c>
      <c r="E515" s="1" t="n">
        <v>46310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1170-2023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44935</v>
      </c>
      <c r="E516" s="1" t="n">
        <v>46310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46281</v>
      </c>
      <c r="E517" s="1" t="n">
        <v>46310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46240</v>
      </c>
      <c r="E518" s="1" t="n">
        <v>46310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46283</v>
      </c>
      <c r="E519" s="1" t="n">
        <v>46310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38325-2026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46282</v>
      </c>
      <c r="E520" s="1" t="n">
        <v>46310</v>
      </c>
      <c r="F520" t="inlineStr">
        <is>
          <t>VÄRMLANDS LÄN</t>
        </is>
      </c>
      <c r="G520" t="inlineStr">
        <is>
          <t>FILIPSTAD</t>
        </is>
      </c>
      <c r="H520" t="inlineStr">
        <is>
          <t>Kyrkan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53562-2023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45230</v>
      </c>
      <c r="E521" s="1" t="n">
        <v>46310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9.9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46239</v>
      </c>
      <c r="E522" s="1" t="n">
        <v>46310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32572-2026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46239</v>
      </c>
      <c r="E523" s="1" t="n">
        <v>46310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32601-2026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46240</v>
      </c>
      <c r="E524" s="1" t="n">
        <v>46310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46239</v>
      </c>
      <c r="E525" s="1" t="n">
        <v>46310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46283</v>
      </c>
      <c r="E526" s="1" t="n">
        <v>46310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32588-2026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46240</v>
      </c>
      <c r="E527" s="1" t="n">
        <v>46310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46310</v>
      </c>
      <c r="F528" t="inlineStr">
        <is>
          <t>VÄRMLANDS LÄN</t>
        </is>
      </c>
      <c r="G528" t="inlineStr">
        <is>
          <t>FILIPSTAD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32603-2026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46240</v>
      </c>
      <c r="E529" s="1" t="n">
        <v>46310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46310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46286</v>
      </c>
      <c r="E531" s="1" t="n">
        <v>46310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46129</v>
      </c>
      <c r="E532" s="1" t="n">
        <v>46310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43484-2023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45184</v>
      </c>
      <c r="E533" s="1" t="n">
        <v>46310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45124</v>
      </c>
      <c r="E534" s="1" t="n">
        <v>46310</v>
      </c>
      <c r="F534" t="inlineStr">
        <is>
          <t>VÄRMLANDS LÄN</t>
        </is>
      </c>
      <c r="G534" t="inlineStr">
        <is>
          <t>FILIPSTAD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32852-2026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46244</v>
      </c>
      <c r="E535" s="1" t="n">
        <v>46310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34262-2024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46310</v>
      </c>
      <c r="F536" t="inlineStr">
        <is>
          <t>VÄRMLANDS LÄN</t>
        </is>
      </c>
      <c r="G536" t="inlineStr">
        <is>
          <t>FILIPSTAD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45592-2024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45579</v>
      </c>
      <c r="E537" s="1" t="n">
        <v>46310</v>
      </c>
      <c r="F537" t="inlineStr">
        <is>
          <t>VÄRMLANDS LÄN</t>
        </is>
      </c>
      <c r="G537" t="inlineStr">
        <is>
          <t>FILIPSTAD</t>
        </is>
      </c>
      <c r="H537" t="inlineStr">
        <is>
          <t>Kyrkan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43264-2024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45568</v>
      </c>
      <c r="E538" s="1" t="n">
        <v>46310</v>
      </c>
      <c r="F538" t="inlineStr">
        <is>
          <t>VÄRMLANDS LÄN</t>
        </is>
      </c>
      <c r="G538" t="inlineStr">
        <is>
          <t>FILIPSTAD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6860-2024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46310</v>
      </c>
      <c r="F539" t="inlineStr">
        <is>
          <t>VÄRMLANDS LÄN</t>
        </is>
      </c>
      <c r="G539" t="inlineStr">
        <is>
          <t>FILIPSTAD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46310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33092-2026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46245</v>
      </c>
      <c r="E541" s="1" t="n">
        <v>46310</v>
      </c>
      <c r="F541" t="inlineStr">
        <is>
          <t>VÄRMLANDS LÄN</t>
        </is>
      </c>
      <c r="G541" t="inlineStr">
        <is>
          <t>FILIPSTAD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46310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46310</v>
      </c>
      <c r="F543" t="inlineStr">
        <is>
          <t>VÄRMLANDS LÄN</t>
        </is>
      </c>
      <c r="G543" t="inlineStr">
        <is>
          <t>FILIPSTAD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46310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46310</v>
      </c>
      <c r="F545" t="inlineStr">
        <is>
          <t>VÄRMLANDS LÄN</t>
        </is>
      </c>
      <c r="G545" t="inlineStr">
        <is>
          <t>FILIPSTAD</t>
        </is>
      </c>
      <c r="H545" t="inlineStr">
        <is>
          <t>Kyrkan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46310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46288</v>
      </c>
      <c r="E547" s="1" t="n">
        <v>46310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33324-2026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46310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39333-2026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46288</v>
      </c>
      <c r="E549" s="1" t="n">
        <v>46310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39893-2026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46290</v>
      </c>
      <c r="E550" s="1" t="n">
        <v>46310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33468-2026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46247</v>
      </c>
      <c r="E551" s="1" t="n">
        <v>46310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33493-2026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46247</v>
      </c>
      <c r="E552" s="1" t="n">
        <v>46310</v>
      </c>
      <c r="F552" t="inlineStr">
        <is>
          <t>VÄRMLANDS LÄN</t>
        </is>
      </c>
      <c r="G552" t="inlineStr">
        <is>
          <t>FILIPSTAD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45567</v>
      </c>
      <c r="E553" s="1" t="n">
        <v>46310</v>
      </c>
      <c r="F553" t="inlineStr">
        <is>
          <t>VÄRMLANDS LÄN</t>
        </is>
      </c>
      <c r="G553" t="inlineStr">
        <is>
          <t>FILIPSTAD</t>
        </is>
      </c>
      <c r="H553" t="inlineStr">
        <is>
          <t>Kyrkan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40092-2026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46293</v>
      </c>
      <c r="E554" s="1" t="n">
        <v>46310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45700</v>
      </c>
      <c r="E555" s="1" t="n">
        <v>46310</v>
      </c>
      <c r="F555" t="inlineStr">
        <is>
          <t>VÄRMLANDS LÄN</t>
        </is>
      </c>
      <c r="G555" t="inlineStr">
        <is>
          <t>FILIPSTAD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40121-2026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46310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40113-2026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46310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46252</v>
      </c>
      <c r="E558" s="1" t="n">
        <v>46310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25376-2023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45088</v>
      </c>
      <c r="E559" s="1" t="n">
        <v>46310</v>
      </c>
      <c r="F559" t="inlineStr">
        <is>
          <t>VÄRMLANDS LÄN</t>
        </is>
      </c>
      <c r="G559" t="inlineStr">
        <is>
          <t>FILIPSTAD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46310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46310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40378-2026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46294</v>
      </c>
      <c r="E562" s="1" t="n">
        <v>46310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69015-2021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44530</v>
      </c>
      <c r="E563" s="1" t="n">
        <v>46310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46310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20966-2024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45439</v>
      </c>
      <c r="E565" s="1" t="n">
        <v>46310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6520-2023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44960</v>
      </c>
      <c r="E566" s="1" t="n">
        <v>46310</v>
      </c>
      <c r="F566" t="inlineStr">
        <is>
          <t>VÄRMLANDS LÄN</t>
        </is>
      </c>
      <c r="G566" t="inlineStr">
        <is>
          <t>FILIPSTAD</t>
        </is>
      </c>
      <c r="H566" t="inlineStr">
        <is>
          <t>Kommuner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40386-2026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46294</v>
      </c>
      <c r="E567" s="1" t="n">
        <v>46310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33855-2026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46251</v>
      </c>
      <c r="E568" s="1" t="n">
        <v>46310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33859-2026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46310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46251</v>
      </c>
      <c r="E570" s="1" t="n">
        <v>46310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45436</v>
      </c>
      <c r="E571" s="1" t="n">
        <v>46310</v>
      </c>
      <c r="F571" t="inlineStr">
        <is>
          <t>VÄRMLANDS LÄN</t>
        </is>
      </c>
      <c r="G571" t="inlineStr">
        <is>
          <t>FILIPSTAD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46310</v>
      </c>
      <c r="F572" t="inlineStr">
        <is>
          <t>VÄRMLANDS LÄN</t>
        </is>
      </c>
      <c r="G572" t="inlineStr">
        <is>
          <t>FILIPSTAD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53690-2022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44880</v>
      </c>
      <c r="E573" s="1" t="n">
        <v>46310</v>
      </c>
      <c r="F573" t="inlineStr">
        <is>
          <t>VÄRMLANDS LÄN</t>
        </is>
      </c>
      <c r="G573" t="inlineStr">
        <is>
          <t>FILIPSTAD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45700</v>
      </c>
      <c r="E574" s="1" t="n">
        <v>46310</v>
      </c>
      <c r="F574" t="inlineStr">
        <is>
          <t>VÄRMLANDS LÄN</t>
        </is>
      </c>
      <c r="G574" t="inlineStr">
        <is>
          <t>FILIPSTAD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46244</v>
      </c>
      <c r="E575" s="1" t="n">
        <v>46310</v>
      </c>
      <c r="F575" t="inlineStr">
        <is>
          <t>VÄRMLANDS LÄN</t>
        </is>
      </c>
      <c r="G575" t="inlineStr">
        <is>
          <t>FILIPSTAD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46310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46310</v>
      </c>
      <c r="F577" t="inlineStr">
        <is>
          <t>VÄRMLANDS LÄN</t>
        </is>
      </c>
      <c r="G577" t="inlineStr">
        <is>
          <t>FILIPSTAD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10306-2025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45720</v>
      </c>
      <c r="E578" s="1" t="n">
        <v>46310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46213</v>
      </c>
      <c r="E579" s="1" t="n">
        <v>46310</v>
      </c>
      <c r="F579" t="inlineStr">
        <is>
          <t>VÄRMLANDS LÄN</t>
        </is>
      </c>
      <c r="G579" t="inlineStr">
        <is>
          <t>FILIPSTAD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46310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51618-2022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44872</v>
      </c>
      <c r="E581" s="1" t="n">
        <v>46310</v>
      </c>
      <c r="F581" t="inlineStr">
        <is>
          <t>VÄRMLANDS LÄN</t>
        </is>
      </c>
      <c r="G581" t="inlineStr">
        <is>
          <t>FILIPSTAD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45516</v>
      </c>
      <c r="E582" s="1" t="n">
        <v>46310</v>
      </c>
      <c r="F582" t="inlineStr">
        <is>
          <t>VÄRMLANDS LÄN</t>
        </is>
      </c>
      <c r="G582" t="inlineStr">
        <is>
          <t>FILIPSTAD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37611-2022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44809</v>
      </c>
      <c r="E583" s="1" t="n">
        <v>46310</v>
      </c>
      <c r="F583" t="inlineStr">
        <is>
          <t>VÄRMLANDS LÄN</t>
        </is>
      </c>
      <c r="G583" t="inlineStr">
        <is>
          <t>FILIPSTAD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16591-2022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44672</v>
      </c>
      <c r="E584" s="1" t="n">
        <v>46310</v>
      </c>
      <c r="F584" t="inlineStr">
        <is>
          <t>VÄRMLANDS LÄN</t>
        </is>
      </c>
      <c r="G584" t="inlineStr">
        <is>
          <t>FILIPSTAD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46310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46310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19.2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41229-2026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46297</v>
      </c>
      <c r="E587" s="1" t="n">
        <v>46310</v>
      </c>
      <c r="F587" t="inlineStr">
        <is>
          <t>VÄRMLANDS LÄN</t>
        </is>
      </c>
      <c r="G587" t="inlineStr">
        <is>
          <t>FILIPSTAD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14432-2025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45741</v>
      </c>
      <c r="E588" s="1" t="n">
        <v>46310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46259</v>
      </c>
      <c r="E589" s="1" t="n">
        <v>46310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34916-2026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46259</v>
      </c>
      <c r="E590" s="1" t="n">
        <v>46310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46304</v>
      </c>
      <c r="E591" s="1" t="n">
        <v>46310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46261</v>
      </c>
      <c r="E592" s="1" t="n">
        <v>46310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46261</v>
      </c>
      <c r="E593" s="1" t="n">
        <v>46310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27139-2024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45471</v>
      </c>
      <c r="E594" s="1" t="n">
        <v>46310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47566-2025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45931</v>
      </c>
      <c r="E595" s="1" t="n">
        <v>46310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17244-2024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45414</v>
      </c>
      <c r="E596" s="1" t="n">
        <v>46310</v>
      </c>
      <c r="F596" t="inlineStr">
        <is>
          <t>VÄRMLANDS LÄN</t>
        </is>
      </c>
      <c r="G596" t="inlineStr">
        <is>
          <t>FILIPSTAD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46202</v>
      </c>
      <c r="E597" s="1" t="n">
        <v>46310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46310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35290-2026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46261</v>
      </c>
      <c r="E599" s="1" t="n">
        <v>46310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47002-2024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45586</v>
      </c>
      <c r="E600" s="1" t="n">
        <v>46310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30646-2024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45495</v>
      </c>
      <c r="E601" s="1" t="n">
        <v>46310</v>
      </c>
      <c r="F601" t="inlineStr">
        <is>
          <t>VÄRMLANDS LÄN</t>
        </is>
      </c>
      <c r="G601" t="inlineStr">
        <is>
          <t>FILIPSTAD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20875-2024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45439</v>
      </c>
      <c r="E602" s="1" t="n">
        <v>46310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56037-2025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45973</v>
      </c>
      <c r="E603" s="1" t="n">
        <v>46310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46304</v>
      </c>
      <c r="E604" s="1" t="n">
        <v>46310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16009-2026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46310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46310</v>
      </c>
      <c r="F606" t="inlineStr">
        <is>
          <t>VÄRMLANDS LÄN</t>
        </is>
      </c>
      <c r="G606" t="inlineStr">
        <is>
          <t>FILIPSTAD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50786-2024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45602</v>
      </c>
      <c r="E607" s="1" t="n">
        <v>46310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35821-2026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46310</v>
      </c>
      <c r="F608" t="inlineStr">
        <is>
          <t>VÄRMLANDS LÄN</t>
        </is>
      </c>
      <c r="G608" t="inlineStr">
        <is>
          <t>FILIPSTAD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65167-2021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44515</v>
      </c>
      <c r="E609" s="1" t="n">
        <v>46310</v>
      </c>
      <c r="F609" t="inlineStr">
        <is>
          <t>VÄRMLANDS LÄN</t>
        </is>
      </c>
      <c r="G609" t="inlineStr">
        <is>
          <t>FILIPSTAD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36195-2026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46310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46266</v>
      </c>
      <c r="E611" s="1" t="n">
        <v>46310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27.4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35641-2026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46265</v>
      </c>
      <c r="E612" s="1" t="n">
        <v>46310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35615-2026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46264</v>
      </c>
      <c r="E613" s="1" t="n">
        <v>46310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46266</v>
      </c>
      <c r="E614" s="1" t="n">
        <v>46310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28357-2024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45477</v>
      </c>
      <c r="E615" s="1" t="n">
        <v>46310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45530</v>
      </c>
      <c r="E616" s="1" t="n">
        <v>46310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6.6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45791</v>
      </c>
      <c r="E617" s="1" t="n">
        <v>46310</v>
      </c>
      <c r="F617" t="inlineStr">
        <is>
          <t>VÄRMLANDS LÄN</t>
        </is>
      </c>
      <c r="G617" t="inlineStr">
        <is>
          <t>FILIPSTAD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48702-2024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45593</v>
      </c>
      <c r="E618" s="1" t="n">
        <v>46310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35995-2026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46266</v>
      </c>
      <c r="E619" s="1" t="n">
        <v>46310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35945-2026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46266</v>
      </c>
      <c r="E620" s="1" t="n">
        <v>46310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35614-2026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46264</v>
      </c>
      <c r="E621" s="1" t="n">
        <v>46310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22880-2025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45790</v>
      </c>
      <c r="E622" s="1" t="n">
        <v>46310</v>
      </c>
      <c r="F622" t="inlineStr">
        <is>
          <t>VÄRMLANDS LÄN</t>
        </is>
      </c>
      <c r="G622" t="inlineStr">
        <is>
          <t>FILIPSTAD</t>
        </is>
      </c>
      <c r="H622" t="inlineStr">
        <is>
          <t>Kyrkan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42582-2026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46308</v>
      </c>
      <c r="E623" s="1" t="n">
        <v>46310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45667</v>
      </c>
      <c r="E624" s="1" t="n">
        <v>46310</v>
      </c>
      <c r="F624" t="inlineStr">
        <is>
          <t>VÄRMLANDS LÄN</t>
        </is>
      </c>
      <c r="G624" t="inlineStr">
        <is>
          <t>FILIPSTAD</t>
        </is>
      </c>
      <c r="H624" t="inlineStr">
        <is>
          <t>Kommuner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23775-2025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45793</v>
      </c>
      <c r="E625" s="1" t="n">
        <v>46310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46310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46310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46310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46310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46310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46310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46310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46310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46310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46310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46310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46310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46310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46310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46310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46310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46310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46310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2026-10-15T02:04:59Z</dcterms:created>
  <dcterms:modified xmlns:dcterms="http://purl.org/dc/terms/" xmlns:xsi="http://www.w3.org/2001/XMLSchema-instance" xsi:type="dcterms:W3CDTF">2026-10-15T02:05:00Z</dcterms:modified>
</cp:coreProperties>
</file>