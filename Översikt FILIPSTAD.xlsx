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45510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45510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45510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45510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45510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42882-2020</t>
        </is>
      </c>
      <c r="B7" s="1" t="n">
        <v>44078</v>
      </c>
      <c r="C7" s="1" t="n">
        <v>45510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2.2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Garnlav
Lunglav
Spillkråka
Stjärntagging
Vedticka
Fläcknycklar</t>
        </is>
      </c>
      <c r="S7">
        <f>HYPERLINK("https://klasma.github.io/Logging_1782/artfynd/A 42882-2020 artfynd.xlsx", "A 42882-2020")</f>
        <v/>
      </c>
      <c r="T7">
        <f>HYPERLINK("https://klasma.github.io/Logging_1782/kartor/A 42882-2020 karta.png", "A 42882-2020")</f>
        <v/>
      </c>
      <c r="V7">
        <f>HYPERLINK("https://klasma.github.io/Logging_1782/klagomål/A 42882-2020 FSC-klagomål.docx", "A 42882-2020")</f>
        <v/>
      </c>
      <c r="W7">
        <f>HYPERLINK("https://klasma.github.io/Logging_1782/klagomålsmail/A 42882-2020 FSC-klagomål mail.docx", "A 42882-2020")</f>
        <v/>
      </c>
      <c r="X7">
        <f>HYPERLINK("https://klasma.github.io/Logging_1782/tillsyn/A 42882-2020 tillsynsbegäran.docx", "A 42882-2020")</f>
        <v/>
      </c>
      <c r="Y7">
        <f>HYPERLINK("https://klasma.github.io/Logging_1782/tillsynsmail/A 42882-2020 tillsynsbegäran mail.docx", "A 42882-2020")</f>
        <v/>
      </c>
      <c r="Z7">
        <f>HYPERLINK("https://klasma.github.io/Logging_1782/fåglar/A 42882-2020 prioriterade fågelarter.docx", "A 42882-2020")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45510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Ullticka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30023-2020</t>
        </is>
      </c>
      <c r="B9" s="1" t="n">
        <v>44006</v>
      </c>
      <c r="C9" s="1" t="n">
        <v>45510</v>
      </c>
      <c r="D9" t="inlineStr">
        <is>
          <t>VÄRMLANDS LÄN</t>
        </is>
      </c>
      <c r="E9" t="inlineStr">
        <is>
          <t>FILIPSTAD</t>
        </is>
      </c>
      <c r="G9" t="n">
        <v>1.1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Rödgul trumpetsvamp
Tvåblad
Vårärt
Blåsippa</t>
        </is>
      </c>
      <c r="S9">
        <f>HYPERLINK("https://klasma.github.io/Logging_1782/artfynd/A 30023-2020 artfynd.xlsx", "A 30023-2020")</f>
        <v/>
      </c>
      <c r="T9">
        <f>HYPERLINK("https://klasma.github.io/Logging_1782/kartor/A 30023-2020 karta.png", "A 30023-2020")</f>
        <v/>
      </c>
      <c r="V9">
        <f>HYPERLINK("https://klasma.github.io/Logging_1782/klagomål/A 30023-2020 FSC-klagomål.docx", "A 30023-2020")</f>
        <v/>
      </c>
      <c r="W9">
        <f>HYPERLINK("https://klasma.github.io/Logging_1782/klagomålsmail/A 30023-2020 FSC-klagomål mail.docx", "A 30023-2020")</f>
        <v/>
      </c>
      <c r="X9">
        <f>HYPERLINK("https://klasma.github.io/Logging_1782/tillsyn/A 30023-2020 tillsynsbegäran.docx", "A 30023-2020")</f>
        <v/>
      </c>
      <c r="Y9">
        <f>HYPERLINK("https://klasma.github.io/Logging_1782/tillsynsmail/A 30023-2020 tillsynsbegäran mail.docx", "A 30023-2020")</f>
        <v/>
      </c>
    </row>
    <row r="10" ht="15" customHeight="1">
      <c r="A10" t="inlineStr">
        <is>
          <t>A 46072-2020</t>
        </is>
      </c>
      <c r="B10" s="1" t="n">
        <v>44091</v>
      </c>
      <c r="C10" s="1" t="n">
        <v>45510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Skuggblåslav
Vedticka
Fläcknycklar</t>
        </is>
      </c>
      <c r="S10">
        <f>HYPERLINK("https://klasma.github.io/Logging_1782/artfynd/A 46072-2020 artfynd.xlsx", "A 46072-2020")</f>
        <v/>
      </c>
      <c r="T10">
        <f>HYPERLINK("https://klasma.github.io/Logging_1782/kartor/A 46072-2020 karta.png", "A 46072-2020")</f>
        <v/>
      </c>
      <c r="V10">
        <f>HYPERLINK("https://klasma.github.io/Logging_1782/klagomål/A 46072-2020 FSC-klagomål.docx", "A 46072-2020")</f>
        <v/>
      </c>
      <c r="W10">
        <f>HYPERLINK("https://klasma.github.io/Logging_1782/klagomålsmail/A 46072-2020 FSC-klagomål mail.docx", "A 46072-2020")</f>
        <v/>
      </c>
      <c r="X10">
        <f>HYPERLINK("https://klasma.github.io/Logging_1782/tillsyn/A 46072-2020 tillsynsbegäran.docx", "A 46072-2020")</f>
        <v/>
      </c>
      <c r="Y10">
        <f>HYPERLINK("https://klasma.github.io/Logging_1782/tillsynsmail/A 46072-2020 tillsynsbegäran mail.docx", "A 46072-2020")</f>
        <v/>
      </c>
    </row>
    <row r="11" ht="15" customHeight="1">
      <c r="A11" t="inlineStr">
        <is>
          <t>A 65201-2023</t>
        </is>
      </c>
      <c r="B11" s="1" t="n">
        <v>45289</v>
      </c>
      <c r="C11" s="1" t="n">
        <v>45510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7.5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Brunpudrad nållav
Vedtrappmossa
Blåsippa</t>
        </is>
      </c>
      <c r="S11">
        <f>HYPERLINK("https://klasma.github.io/Logging_1782/artfynd/A 65201-2023 artfynd.xlsx", "A 65201-2023")</f>
        <v/>
      </c>
      <c r="T11">
        <f>HYPERLINK("https://klasma.github.io/Logging_1782/kartor/A 65201-2023 karta.png", "A 65201-2023")</f>
        <v/>
      </c>
      <c r="U11">
        <f>HYPERLINK("https://klasma.github.io/Logging_1782/knärot/A 65201-2023 karta knärot.png", "A 65201-2023")</f>
        <v/>
      </c>
      <c r="V11">
        <f>HYPERLINK("https://klasma.github.io/Logging_1782/klagomål/A 65201-2023 FSC-klagomål.docx", "A 65201-2023")</f>
        <v/>
      </c>
      <c r="W11">
        <f>HYPERLINK("https://klasma.github.io/Logging_1782/klagomålsmail/A 65201-2023 FSC-klagomål mail.docx", "A 65201-2023")</f>
        <v/>
      </c>
      <c r="X11">
        <f>HYPERLINK("https://klasma.github.io/Logging_1782/tillsyn/A 65201-2023 tillsynsbegäran.docx", "A 65201-2023")</f>
        <v/>
      </c>
      <c r="Y11">
        <f>HYPERLINK("https://klasma.github.io/Logging_1782/tillsynsmail/A 65201-2023 tillsynsbegäran mail.docx", "A 65201-2023")</f>
        <v/>
      </c>
    </row>
    <row r="12" ht="15" customHeight="1">
      <c r="A12" t="inlineStr">
        <is>
          <t>A 26276-2019</t>
        </is>
      </c>
      <c r="B12" s="1" t="n">
        <v>43611</v>
      </c>
      <c r="C12" s="1" t="n">
        <v>45510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18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Purpurknipprot
Tvåblad
Brudsporre</t>
        </is>
      </c>
      <c r="S12">
        <f>HYPERLINK("https://klasma.github.io/Logging_1782/artfynd/A 26276-2019 artfynd.xlsx", "A 26276-2019")</f>
        <v/>
      </c>
      <c r="T12">
        <f>HYPERLINK("https://klasma.github.io/Logging_1782/kartor/A 26276-2019 karta.png", "A 26276-2019")</f>
        <v/>
      </c>
      <c r="V12">
        <f>HYPERLINK("https://klasma.github.io/Logging_1782/klagomål/A 26276-2019 FSC-klagomål.docx", "A 26276-2019")</f>
        <v/>
      </c>
      <c r="W12">
        <f>HYPERLINK("https://klasma.github.io/Logging_1782/klagomålsmail/A 26276-2019 FSC-klagomål mail.docx", "A 26276-2019")</f>
        <v/>
      </c>
      <c r="X12">
        <f>HYPERLINK("https://klasma.github.io/Logging_1782/tillsyn/A 26276-2019 tillsynsbegäran.docx", "A 26276-2019")</f>
        <v/>
      </c>
      <c r="Y12">
        <f>HYPERLINK("https://klasma.github.io/Logging_1782/tillsynsmail/A 26276-2019 tillsynsbegäran mail.docx", "A 26276-2019")</f>
        <v/>
      </c>
    </row>
    <row r="13" ht="15" customHeight="1">
      <c r="A13" t="inlineStr">
        <is>
          <t>A 28169-2021</t>
        </is>
      </c>
      <c r="B13" s="1" t="n">
        <v>44355</v>
      </c>
      <c r="C13" s="1" t="n">
        <v>45510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6.1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Garnlav
Mindre märgborre</t>
        </is>
      </c>
      <c r="S13">
        <f>HYPERLINK("https://klasma.github.io/Logging_1782/artfynd/A 28169-2021 artfynd.xlsx", "A 28169-2021")</f>
        <v/>
      </c>
      <c r="T13">
        <f>HYPERLINK("https://klasma.github.io/Logging_1782/kartor/A 28169-2021 karta.png", "A 28169-2021")</f>
        <v/>
      </c>
      <c r="U13">
        <f>HYPERLINK("https://klasma.github.io/Logging_1782/knärot/A 28169-2021 karta knärot.png", "A 28169-2021")</f>
        <v/>
      </c>
      <c r="V13">
        <f>HYPERLINK("https://klasma.github.io/Logging_1782/klagomål/A 28169-2021 FSC-klagomål.docx", "A 28169-2021")</f>
        <v/>
      </c>
      <c r="W13">
        <f>HYPERLINK("https://klasma.github.io/Logging_1782/klagomålsmail/A 28169-2021 FSC-klagomål mail.docx", "A 28169-2021")</f>
        <v/>
      </c>
      <c r="X13">
        <f>HYPERLINK("https://klasma.github.io/Logging_1782/tillsyn/A 28169-2021 tillsynsbegäran.docx", "A 28169-2021")</f>
        <v/>
      </c>
      <c r="Y13">
        <f>HYPERLINK("https://klasma.github.io/Logging_1782/tillsynsmail/A 28169-2021 tillsynsbegäran mail.docx", "A 28169-2021")</f>
        <v/>
      </c>
    </row>
    <row r="14" ht="15" customHeight="1">
      <c r="A14" t="inlineStr">
        <is>
          <t>A 2356-2023</t>
        </is>
      </c>
      <c r="B14" s="1" t="n">
        <v>44942</v>
      </c>
      <c r="C14" s="1" t="n">
        <v>45510</v>
      </c>
      <c r="D14" t="inlineStr">
        <is>
          <t>VÄRMLANDS LÄN</t>
        </is>
      </c>
      <c r="E14" t="inlineStr">
        <is>
          <t>FILIPSTAD</t>
        </is>
      </c>
      <c r="G14" t="n">
        <v>3.8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Loppstarr
Majviva
Guckusko</t>
        </is>
      </c>
      <c r="S14">
        <f>HYPERLINK("https://klasma.github.io/Logging_1782/artfynd/A 2356-2023 artfynd.xlsx", "A 2356-2023")</f>
        <v/>
      </c>
      <c r="T14">
        <f>HYPERLINK("https://klasma.github.io/Logging_1782/kartor/A 2356-2023 karta.png", "A 2356-2023")</f>
        <v/>
      </c>
      <c r="V14">
        <f>HYPERLINK("https://klasma.github.io/Logging_1782/klagomål/A 2356-2023 FSC-klagomål.docx", "A 2356-2023")</f>
        <v/>
      </c>
      <c r="W14">
        <f>HYPERLINK("https://klasma.github.io/Logging_1782/klagomålsmail/A 2356-2023 FSC-klagomål mail.docx", "A 2356-2023")</f>
        <v/>
      </c>
      <c r="X14">
        <f>HYPERLINK("https://klasma.github.io/Logging_1782/tillsyn/A 2356-2023 tillsynsbegäran.docx", "A 2356-2023")</f>
        <v/>
      </c>
      <c r="Y14">
        <f>HYPERLINK("https://klasma.github.io/Logging_1782/tillsynsmail/A 2356-2023 tillsynsbegäran mail.docx", "A 2356-2023")</f>
        <v/>
      </c>
    </row>
    <row r="15" ht="15" customHeight="1">
      <c r="A15" t="inlineStr">
        <is>
          <t>A 26303-2023</t>
        </is>
      </c>
      <c r="B15" s="1" t="n">
        <v>45091</v>
      </c>
      <c r="C15" s="1" t="n">
        <v>45510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8.4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Purpurknipprot
Tvåblad
Brudsporre</t>
        </is>
      </c>
      <c r="S15">
        <f>HYPERLINK("https://klasma.github.io/Logging_1782/artfynd/A 26303-2023 artfynd.xlsx", "A 26303-2023")</f>
        <v/>
      </c>
      <c r="T15">
        <f>HYPERLINK("https://klasma.github.io/Logging_1782/kartor/A 26303-2023 karta.png", "A 26303-2023")</f>
        <v/>
      </c>
      <c r="V15">
        <f>HYPERLINK("https://klasma.github.io/Logging_1782/klagomål/A 26303-2023 FSC-klagomål.docx", "A 26303-2023")</f>
        <v/>
      </c>
      <c r="W15">
        <f>HYPERLINK("https://klasma.github.io/Logging_1782/klagomålsmail/A 26303-2023 FSC-klagomål mail.docx", "A 26303-2023")</f>
        <v/>
      </c>
      <c r="X15">
        <f>HYPERLINK("https://klasma.github.io/Logging_1782/tillsyn/A 26303-2023 tillsynsbegäran.docx", "A 26303-2023")</f>
        <v/>
      </c>
      <c r="Y15">
        <f>HYPERLINK("https://klasma.github.io/Logging_1782/tillsynsmail/A 26303-2023 tillsynsbegäran mail.docx", "A 26303-2023")</f>
        <v/>
      </c>
    </row>
    <row r="16" ht="15" customHeight="1">
      <c r="A16" t="inlineStr">
        <is>
          <t>A 22410-2021</t>
        </is>
      </c>
      <c r="B16" s="1" t="n">
        <v>44326</v>
      </c>
      <c r="C16" s="1" t="n">
        <v>45510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9.800000000000001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Brunklöver
Revlummer</t>
        </is>
      </c>
      <c r="S16">
        <f>HYPERLINK("https://klasma.github.io/Logging_1782/artfynd/A 22410-2021 artfynd.xlsx", "A 22410-2021")</f>
        <v/>
      </c>
      <c r="T16">
        <f>HYPERLINK("https://klasma.github.io/Logging_1782/kartor/A 22410-2021 karta.png", "A 22410-2021")</f>
        <v/>
      </c>
      <c r="V16">
        <f>HYPERLINK("https://klasma.github.io/Logging_1782/klagomål/A 22410-2021 FSC-klagomål.docx", "A 22410-2021")</f>
        <v/>
      </c>
      <c r="W16">
        <f>HYPERLINK("https://klasma.github.io/Logging_1782/klagomålsmail/A 22410-2021 FSC-klagomål mail.docx", "A 22410-2021")</f>
        <v/>
      </c>
      <c r="X16">
        <f>HYPERLINK("https://klasma.github.io/Logging_1782/tillsyn/A 22410-2021 tillsynsbegäran.docx", "A 22410-2021")</f>
        <v/>
      </c>
      <c r="Y16">
        <f>HYPERLINK("https://klasma.github.io/Logging_1782/tillsynsmail/A 22410-2021 tillsynsbegäran mail.docx", "A 22410-2021")</f>
        <v/>
      </c>
    </row>
    <row r="17" ht="15" customHeight="1">
      <c r="A17" t="inlineStr">
        <is>
          <t>A 45523-2022</t>
        </is>
      </c>
      <c r="B17" s="1" t="n">
        <v>44845</v>
      </c>
      <c r="C17" s="1" t="n">
        <v>45510</v>
      </c>
      <c r="D17" t="inlineStr">
        <is>
          <t>VÄRMLANDS LÄN</t>
        </is>
      </c>
      <c r="E17" t="inlineStr">
        <is>
          <t>FILIPSTAD</t>
        </is>
      </c>
      <c r="G17" t="n">
        <v>7.7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Korallblylav</t>
        </is>
      </c>
      <c r="S17">
        <f>HYPERLINK("https://klasma.github.io/Logging_1782/artfynd/A 45523-2022 artfynd.xlsx", "A 45523-2022")</f>
        <v/>
      </c>
      <c r="T17">
        <f>HYPERLINK("https://klasma.github.io/Logging_1782/kartor/A 45523-2022 karta.png", "A 45523-2022")</f>
        <v/>
      </c>
      <c r="V17">
        <f>HYPERLINK("https://klasma.github.io/Logging_1782/klagomål/A 45523-2022 FSC-klagomål.docx", "A 45523-2022")</f>
        <v/>
      </c>
      <c r="W17">
        <f>HYPERLINK("https://klasma.github.io/Logging_1782/klagomålsmail/A 45523-2022 FSC-klagomål mail.docx", "A 45523-2022")</f>
        <v/>
      </c>
      <c r="X17">
        <f>HYPERLINK("https://klasma.github.io/Logging_1782/tillsyn/A 45523-2022 tillsynsbegäran.docx", "A 45523-2022")</f>
        <v/>
      </c>
      <c r="Y17">
        <f>HYPERLINK("https://klasma.github.io/Logging_1782/tillsynsmail/A 45523-2022 tillsynsbegäran mail.docx", "A 45523-2022")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45510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45510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65232-2023</t>
        </is>
      </c>
      <c r="B20" s="1" t="n">
        <v>45289</v>
      </c>
      <c r="C20" s="1" t="n">
        <v>45510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26.4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Spetsvaxskivling
Ögonpyrola</t>
        </is>
      </c>
      <c r="S20">
        <f>HYPERLINK("https://klasma.github.io/Logging_1782/artfynd/A 65232-2023 artfynd.xlsx", "A 65232-2023")</f>
        <v/>
      </c>
      <c r="T20">
        <f>HYPERLINK("https://klasma.github.io/Logging_1782/kartor/A 65232-2023 karta.png", "A 65232-2023")</f>
        <v/>
      </c>
      <c r="V20">
        <f>HYPERLINK("https://klasma.github.io/Logging_1782/klagomål/A 65232-2023 FSC-klagomål.docx", "A 65232-2023")</f>
        <v/>
      </c>
      <c r="W20">
        <f>HYPERLINK("https://klasma.github.io/Logging_1782/klagomålsmail/A 65232-2023 FSC-klagomål mail.docx", "A 65232-2023")</f>
        <v/>
      </c>
      <c r="X20">
        <f>HYPERLINK("https://klasma.github.io/Logging_1782/tillsyn/A 65232-2023 tillsynsbegäran.docx", "A 65232-2023")</f>
        <v/>
      </c>
      <c r="Y20">
        <f>HYPERLINK("https://klasma.github.io/Logging_1782/tillsynsmail/A 65232-2023 tillsynsbegäran mail.docx", "A 65232-2023")</f>
        <v/>
      </c>
    </row>
    <row r="21" ht="15" customHeight="1">
      <c r="A21" t="inlineStr">
        <is>
          <t>A 31191-2019</t>
        </is>
      </c>
      <c r="B21" s="1" t="n">
        <v>43640</v>
      </c>
      <c r="C21" s="1" t="n">
        <v>45510</v>
      </c>
      <c r="D21" t="inlineStr">
        <is>
          <t>VÄRMLANDS LÄN</t>
        </is>
      </c>
      <c r="E21" t="inlineStr">
        <is>
          <t>FILIPSTAD</t>
        </is>
      </c>
      <c r="G21" t="n">
        <v>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HYPERLINK("https://klasma.github.io/Logging_1782/artfynd/A 31191-2019 artfynd.xlsx", "A 31191-2019")</f>
        <v/>
      </c>
      <c r="T21">
        <f>HYPERLINK("https://klasma.github.io/Logging_1782/kartor/A 31191-2019 karta.png", "A 31191-2019")</f>
        <v/>
      </c>
      <c r="V21">
        <f>HYPERLINK("https://klasma.github.io/Logging_1782/klagomål/A 31191-2019 FSC-klagomål.docx", "A 31191-2019")</f>
        <v/>
      </c>
      <c r="W21">
        <f>HYPERLINK("https://klasma.github.io/Logging_1782/klagomålsmail/A 31191-2019 FSC-klagomål mail.docx", "A 31191-2019")</f>
        <v/>
      </c>
      <c r="X21">
        <f>HYPERLINK("https://klasma.github.io/Logging_1782/tillsyn/A 31191-2019 tillsynsbegäran.docx", "A 31191-2019")</f>
        <v/>
      </c>
      <c r="Y21">
        <f>HYPERLINK("https://klasma.github.io/Logging_1782/tillsynsmail/A 31191-2019 tillsynsbegäran mail.docx", "A 31191-2019")</f>
        <v/>
      </c>
      <c r="Z21">
        <f>HYPERLINK("https://klasma.github.io/Logging_1782/fåglar/A 31191-2019 prioriterade fågelarter.docx", "A 31191-2019")</f>
        <v/>
      </c>
    </row>
    <row r="22" ht="15" customHeight="1">
      <c r="A22" t="inlineStr">
        <is>
          <t>A 65258-2019</t>
        </is>
      </c>
      <c r="B22" s="1" t="n">
        <v>43802</v>
      </c>
      <c r="C22" s="1" t="n">
        <v>45510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HYPERLINK("https://klasma.github.io/Logging_1782/artfynd/A 65258-2019 artfynd.xlsx", "A 65258-2019")</f>
        <v/>
      </c>
      <c r="T22">
        <f>HYPERLINK("https://klasma.github.io/Logging_1782/kartor/A 65258-2019 karta.png", "A 65258-2019")</f>
        <v/>
      </c>
      <c r="V22">
        <f>HYPERLINK("https://klasma.github.io/Logging_1782/klagomål/A 65258-2019 FSC-klagomål.docx", "A 65258-2019")</f>
        <v/>
      </c>
      <c r="W22">
        <f>HYPERLINK("https://klasma.github.io/Logging_1782/klagomålsmail/A 65258-2019 FSC-klagomål mail.docx", "A 65258-2019")</f>
        <v/>
      </c>
      <c r="X22">
        <f>HYPERLINK("https://klasma.github.io/Logging_1782/tillsyn/A 65258-2019 tillsynsbegäran.docx", "A 65258-2019")</f>
        <v/>
      </c>
      <c r="Y22">
        <f>HYPERLINK("https://klasma.github.io/Logging_1782/tillsynsmail/A 65258-2019 tillsynsbegäran mail.docx", "A 65258-2019")</f>
        <v/>
      </c>
    </row>
    <row r="23" ht="15" customHeight="1">
      <c r="A23" t="inlineStr">
        <is>
          <t>A 42542-2020</t>
        </is>
      </c>
      <c r="B23" s="1" t="n">
        <v>44077</v>
      </c>
      <c r="C23" s="1" t="n">
        <v>45510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HYPERLINK("https://klasma.github.io/Logging_1782/artfynd/A 42542-2020 artfynd.xlsx", "A 42542-2020")</f>
        <v/>
      </c>
      <c r="T23">
        <f>HYPERLINK("https://klasma.github.io/Logging_1782/kartor/A 42542-2020 karta.png", "A 42542-2020")</f>
        <v/>
      </c>
      <c r="V23">
        <f>HYPERLINK("https://klasma.github.io/Logging_1782/klagomål/A 42542-2020 FSC-klagomål.docx", "A 42542-2020")</f>
        <v/>
      </c>
      <c r="W23">
        <f>HYPERLINK("https://klasma.github.io/Logging_1782/klagomålsmail/A 42542-2020 FSC-klagomål mail.docx", "A 42542-2020")</f>
        <v/>
      </c>
      <c r="X23">
        <f>HYPERLINK("https://klasma.github.io/Logging_1782/tillsyn/A 42542-2020 tillsynsbegäran.docx", "A 42542-2020")</f>
        <v/>
      </c>
      <c r="Y23">
        <f>HYPERLINK("https://klasma.github.io/Logging_1782/tillsynsmail/A 42542-2020 tillsynsbegäran mail.docx", "A 42542-2020")</f>
        <v/>
      </c>
    </row>
    <row r="24" ht="15" customHeight="1">
      <c r="A24" t="inlineStr">
        <is>
          <t>A 62572-2021</t>
        </is>
      </c>
      <c r="B24" s="1" t="n">
        <v>44503</v>
      </c>
      <c r="C24" s="1" t="n">
        <v>45510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62572-2021 artfynd.xlsx", "A 62572-2021")</f>
        <v/>
      </c>
      <c r="T24">
        <f>HYPERLINK("https://klasma.github.io/Logging_1782/kartor/A 62572-2021 karta.png", "A 62572-2021")</f>
        <v/>
      </c>
      <c r="V24">
        <f>HYPERLINK("https://klasma.github.io/Logging_1782/klagomål/A 62572-2021 FSC-klagomål.docx", "A 62572-2021")</f>
        <v/>
      </c>
      <c r="W24">
        <f>HYPERLINK("https://klasma.github.io/Logging_1782/klagomålsmail/A 62572-2021 FSC-klagomål mail.docx", "A 62572-2021")</f>
        <v/>
      </c>
      <c r="X24">
        <f>HYPERLINK("https://klasma.github.io/Logging_1782/tillsyn/A 62572-2021 tillsynsbegäran.docx", "A 62572-2021")</f>
        <v/>
      </c>
      <c r="Y24">
        <f>HYPERLINK("https://klasma.github.io/Logging_1782/tillsynsmail/A 62572-2021 tillsynsbegäran mail.docx", "A 62572-2021")</f>
        <v/>
      </c>
    </row>
    <row r="25" ht="15" customHeight="1">
      <c r="A25" t="inlineStr">
        <is>
          <t>A 20754-2022</t>
        </is>
      </c>
      <c r="B25" s="1" t="n">
        <v>44701</v>
      </c>
      <c r="C25" s="1" t="n">
        <v>45510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HYPERLINK("https://klasma.github.io/Logging_1782/artfynd/A 20754-2022 artfynd.xlsx", "A 20754-2022")</f>
        <v/>
      </c>
      <c r="T25">
        <f>HYPERLINK("https://klasma.github.io/Logging_1782/kartor/A 20754-2022 karta.png", "A 20754-2022")</f>
        <v/>
      </c>
      <c r="V25">
        <f>HYPERLINK("https://klasma.github.io/Logging_1782/klagomål/A 20754-2022 FSC-klagomål.docx", "A 20754-2022")</f>
        <v/>
      </c>
      <c r="W25">
        <f>HYPERLINK("https://klasma.github.io/Logging_1782/klagomålsmail/A 20754-2022 FSC-klagomål mail.docx", "A 20754-2022")</f>
        <v/>
      </c>
      <c r="X25">
        <f>HYPERLINK("https://klasma.github.io/Logging_1782/tillsyn/A 20754-2022 tillsynsbegäran.docx", "A 20754-2022")</f>
        <v/>
      </c>
      <c r="Y25">
        <f>HYPERLINK("https://klasma.github.io/Logging_1782/tillsynsmail/A 20754-2022 tillsynsbegäran mail.docx", "A 20754-2022")</f>
        <v/>
      </c>
    </row>
    <row r="26" ht="15" customHeight="1">
      <c r="A26" t="inlineStr">
        <is>
          <t>A 27105-2022</t>
        </is>
      </c>
      <c r="B26" s="1" t="n">
        <v>44741</v>
      </c>
      <c r="C26" s="1" t="n">
        <v>45510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HYPERLINK("https://klasma.github.io/Logging_1782/artfynd/A 27105-2022 artfynd.xlsx", "A 27105-2022")</f>
        <v/>
      </c>
      <c r="T26">
        <f>HYPERLINK("https://klasma.github.io/Logging_1782/kartor/A 27105-2022 karta.png", "A 27105-2022")</f>
        <v/>
      </c>
      <c r="V26">
        <f>HYPERLINK("https://klasma.github.io/Logging_1782/klagomål/A 27105-2022 FSC-klagomål.docx", "A 27105-2022")</f>
        <v/>
      </c>
      <c r="W26">
        <f>HYPERLINK("https://klasma.github.io/Logging_1782/klagomålsmail/A 27105-2022 FSC-klagomål mail.docx", "A 27105-2022")</f>
        <v/>
      </c>
      <c r="X26">
        <f>HYPERLINK("https://klasma.github.io/Logging_1782/tillsyn/A 27105-2022 tillsynsbegäran.docx", "A 27105-2022")</f>
        <v/>
      </c>
      <c r="Y26">
        <f>HYPERLINK("https://klasma.github.io/Logging_1782/tillsynsmail/A 27105-2022 tillsynsbegäran mail.docx", "A 27105-2022")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45510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37427-2023</t>
        </is>
      </c>
      <c r="B28" s="1" t="n">
        <v>45156</v>
      </c>
      <c r="C28" s="1" t="n">
        <v>45510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37427-2023 artfynd.xlsx", "A 37427-2023")</f>
        <v/>
      </c>
      <c r="T28">
        <f>HYPERLINK("https://klasma.github.io/Logging_1782/kartor/A 37427-2023 karta.png", "A 37427-2023")</f>
        <v/>
      </c>
      <c r="V28">
        <f>HYPERLINK("https://klasma.github.io/Logging_1782/klagomål/A 37427-2023 FSC-klagomål.docx", "A 37427-2023")</f>
        <v/>
      </c>
      <c r="W28">
        <f>HYPERLINK("https://klasma.github.io/Logging_1782/klagomålsmail/A 37427-2023 FSC-klagomål mail.docx", "A 37427-2023")</f>
        <v/>
      </c>
      <c r="X28">
        <f>HYPERLINK("https://klasma.github.io/Logging_1782/tillsyn/A 37427-2023 tillsynsbegäran.docx", "A 37427-2023")</f>
        <v/>
      </c>
      <c r="Y28">
        <f>HYPERLINK("https://klasma.github.io/Logging_1782/tillsynsmail/A 37427-2023 tillsynsbegäran mail.docx", "A 37427-2023")</f>
        <v/>
      </c>
    </row>
    <row r="29" ht="15" customHeight="1">
      <c r="A29" t="inlineStr">
        <is>
          <t>A 61939-2023</t>
        </is>
      </c>
      <c r="B29" s="1" t="n">
        <v>45266</v>
      </c>
      <c r="C29" s="1" t="n">
        <v>45510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HYPERLINK("https://klasma.github.io/Logging_1782/artfynd/A 61939-2023 artfynd.xlsx", "A 61939-2023")</f>
        <v/>
      </c>
      <c r="T29">
        <f>HYPERLINK("https://klasma.github.io/Logging_1782/kartor/A 61939-2023 karta.png", "A 61939-2023")</f>
        <v/>
      </c>
      <c r="V29">
        <f>HYPERLINK("https://klasma.github.io/Logging_1782/klagomål/A 61939-2023 FSC-klagomål.docx", "A 61939-2023")</f>
        <v/>
      </c>
      <c r="W29">
        <f>HYPERLINK("https://klasma.github.io/Logging_1782/klagomålsmail/A 61939-2023 FSC-klagomål mail.docx", "A 61939-2023")</f>
        <v/>
      </c>
      <c r="X29">
        <f>HYPERLINK("https://klasma.github.io/Logging_1782/tillsyn/A 61939-2023 tillsynsbegäran.docx", "A 61939-2023")</f>
        <v/>
      </c>
      <c r="Y29">
        <f>HYPERLINK("https://klasma.github.io/Logging_1782/tillsynsmail/A 61939-2023 tillsynsbegäran mail.docx", "A 61939-2023")</f>
        <v/>
      </c>
    </row>
    <row r="30" ht="15" customHeight="1">
      <c r="A30" t="inlineStr">
        <is>
          <t>A 10812-2024</t>
        </is>
      </c>
      <c r="B30" s="1" t="n">
        <v>45369</v>
      </c>
      <c r="C30" s="1" t="n">
        <v>45510</v>
      </c>
      <c r="D30" t="inlineStr">
        <is>
          <t>VÄRMLANDS LÄN</t>
        </is>
      </c>
      <c r="E30" t="inlineStr">
        <is>
          <t>FILIPSTAD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HYPERLINK("https://klasma.github.io/Logging_1782/artfynd/A 10812-2024 artfynd.xlsx", "A 10812-2024")</f>
        <v/>
      </c>
      <c r="T30">
        <f>HYPERLINK("https://klasma.github.io/Logging_1782/kartor/A 10812-2024 karta.png", "A 10812-2024")</f>
        <v/>
      </c>
      <c r="V30">
        <f>HYPERLINK("https://klasma.github.io/Logging_1782/klagomål/A 10812-2024 FSC-klagomål.docx", "A 10812-2024")</f>
        <v/>
      </c>
      <c r="W30">
        <f>HYPERLINK("https://klasma.github.io/Logging_1782/klagomålsmail/A 10812-2024 FSC-klagomål mail.docx", "A 10812-2024")</f>
        <v/>
      </c>
      <c r="X30">
        <f>HYPERLINK("https://klasma.github.io/Logging_1782/tillsyn/A 10812-2024 tillsynsbegäran.docx", "A 10812-2024")</f>
        <v/>
      </c>
      <c r="Y30">
        <f>HYPERLINK("https://klasma.github.io/Logging_1782/tillsynsmail/A 10812-2024 tillsynsbegäran mail.docx", "A 10812-2024")</f>
        <v/>
      </c>
    </row>
    <row r="31" ht="15" customHeight="1">
      <c r="A31" t="inlineStr">
        <is>
          <t>A 11921-2024</t>
        </is>
      </c>
      <c r="B31" s="1" t="n">
        <v>45376</v>
      </c>
      <c r="C31" s="1" t="n">
        <v>45510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HYPERLINK("https://klasma.github.io/Logging_1782/artfynd/A 11921-2024 artfynd.xlsx", "A 11921-2024")</f>
        <v/>
      </c>
      <c r="T31">
        <f>HYPERLINK("https://klasma.github.io/Logging_1782/kartor/A 11921-2024 karta.png", "A 11921-2024")</f>
        <v/>
      </c>
      <c r="V31">
        <f>HYPERLINK("https://klasma.github.io/Logging_1782/klagomål/A 11921-2024 FSC-klagomål.docx", "A 11921-2024")</f>
        <v/>
      </c>
      <c r="W31">
        <f>HYPERLINK("https://klasma.github.io/Logging_1782/klagomålsmail/A 11921-2024 FSC-klagomål mail.docx", "A 11921-2024")</f>
        <v/>
      </c>
      <c r="X31">
        <f>HYPERLINK("https://klasma.github.io/Logging_1782/tillsyn/A 11921-2024 tillsynsbegäran.docx", "A 11921-2024")</f>
        <v/>
      </c>
      <c r="Y31">
        <f>HYPERLINK("https://klasma.github.io/Logging_1782/tillsynsmail/A 11921-2024 tillsynsbegäran mail.docx", "A 11921-2024")</f>
        <v/>
      </c>
    </row>
    <row r="32" ht="15" customHeight="1">
      <c r="A32" t="inlineStr">
        <is>
          <t>A 16317-2024</t>
        </is>
      </c>
      <c r="B32" s="1" t="n">
        <v>45407</v>
      </c>
      <c r="C32" s="1" t="n">
        <v>45510</v>
      </c>
      <c r="D32" t="inlineStr">
        <is>
          <t>VÄRMLANDS LÄN</t>
        </is>
      </c>
      <c r="E32" t="inlineStr">
        <is>
          <t>FILIPSTAD</t>
        </is>
      </c>
      <c r="G32" t="n">
        <v>6.8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Skuggblåslav</t>
        </is>
      </c>
      <c r="S32">
        <f>HYPERLINK("https://klasma.github.io/Logging_1782/artfynd/A 16317-2024 artfynd.xlsx", "A 16317-2024")</f>
        <v/>
      </c>
      <c r="T32">
        <f>HYPERLINK("https://klasma.github.io/Logging_1782/kartor/A 16317-2024 karta.png", "A 16317-2024")</f>
        <v/>
      </c>
      <c r="V32">
        <f>HYPERLINK("https://klasma.github.io/Logging_1782/klagomål/A 16317-2024 FSC-klagomål.docx", "A 16317-2024")</f>
        <v/>
      </c>
      <c r="W32">
        <f>HYPERLINK("https://klasma.github.io/Logging_1782/klagomålsmail/A 16317-2024 FSC-klagomål mail.docx", "A 16317-2024")</f>
        <v/>
      </c>
      <c r="X32">
        <f>HYPERLINK("https://klasma.github.io/Logging_1782/tillsyn/A 16317-2024 tillsynsbegäran.docx", "A 16317-2024")</f>
        <v/>
      </c>
      <c r="Y32">
        <f>HYPERLINK("https://klasma.github.io/Logging_1782/tillsynsmail/A 16317-2024 tillsynsbegäran mail.docx", "A 16317-2024")</f>
        <v/>
      </c>
    </row>
    <row r="33" ht="15" customHeight="1">
      <c r="A33" t="inlineStr">
        <is>
          <t>A 23377-2024</t>
        </is>
      </c>
      <c r="B33" s="1" t="n">
        <v>45453</v>
      </c>
      <c r="C33" s="1" t="n">
        <v>45510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Tallbit</t>
        </is>
      </c>
      <c r="S33">
        <f>HYPERLINK("https://klasma.github.io/Logging_1782/artfynd/A 23377-2024 artfynd.xlsx", "A 23377-2024")</f>
        <v/>
      </c>
      <c r="T33">
        <f>HYPERLINK("https://klasma.github.io/Logging_1782/kartor/A 23377-2024 karta.png", "A 23377-2024")</f>
        <v/>
      </c>
      <c r="V33">
        <f>HYPERLINK("https://klasma.github.io/Logging_1782/klagomål/A 23377-2024 FSC-klagomål.docx", "A 23377-2024")</f>
        <v/>
      </c>
      <c r="W33">
        <f>HYPERLINK("https://klasma.github.io/Logging_1782/klagomålsmail/A 23377-2024 FSC-klagomål mail.docx", "A 23377-2024")</f>
        <v/>
      </c>
      <c r="X33">
        <f>HYPERLINK("https://klasma.github.io/Logging_1782/tillsyn/A 23377-2024 tillsynsbegäran.docx", "A 23377-2024")</f>
        <v/>
      </c>
      <c r="Y33">
        <f>HYPERLINK("https://klasma.github.io/Logging_1782/tillsynsmail/A 23377-2024 tillsynsbegäran mail.docx", "A 23377-2024")</f>
        <v/>
      </c>
      <c r="Z33">
        <f>HYPERLINK("https://klasma.github.io/Logging_1782/fåglar/A 23377-2024 prioriterade fågelarter.docx", "A 23377-2024")</f>
        <v/>
      </c>
    </row>
    <row r="34" ht="15" customHeight="1">
      <c r="A34" t="inlineStr">
        <is>
          <t>A 19491-2019</t>
        </is>
      </c>
      <c r="B34" s="1" t="n">
        <v>43565</v>
      </c>
      <c r="C34" s="1" t="n">
        <v>45510</v>
      </c>
      <c r="D34" t="inlineStr">
        <is>
          <t>VÄRMLANDS LÄN</t>
        </is>
      </c>
      <c r="E34" t="inlineStr">
        <is>
          <t>FILIPSTAD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20047-2019</t>
        </is>
      </c>
      <c r="B35" s="1" t="n">
        <v>43570</v>
      </c>
      <c r="C35" s="1" t="n">
        <v>45510</v>
      </c>
      <c r="D35" t="inlineStr">
        <is>
          <t>VÄRMLANDS LÄN</t>
        </is>
      </c>
      <c r="E35" t="inlineStr">
        <is>
          <t>FILIPSTAD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20045-2019</t>
        </is>
      </c>
      <c r="B36" s="1" t="n">
        <v>43570</v>
      </c>
      <c r="C36" s="1" t="n">
        <v>45510</v>
      </c>
      <c r="D36" t="inlineStr">
        <is>
          <t>VÄRMLANDS LÄN</t>
        </is>
      </c>
      <c r="E36" t="inlineStr">
        <is>
          <t>FILIPSTAD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21222-2019</t>
        </is>
      </c>
      <c r="B37" s="1" t="n">
        <v>43579</v>
      </c>
      <c r="C37" s="1" t="n">
        <v>45510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23023-2019</t>
        </is>
      </c>
      <c r="B38" s="1" t="n">
        <v>43591</v>
      </c>
      <c r="C38" s="1" t="n">
        <v>45510</v>
      </c>
      <c r="D38" t="inlineStr">
        <is>
          <t>VÄRMLANDS LÄN</t>
        </is>
      </c>
      <c r="E38" t="inlineStr">
        <is>
          <t>FILIPSTAD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24902-2019</t>
        </is>
      </c>
      <c r="B39" s="1" t="n">
        <v>43602</v>
      </c>
      <c r="C39" s="1" t="n">
        <v>45510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25041-2019</t>
        </is>
      </c>
      <c r="B40" s="1" t="n">
        <v>43603</v>
      </c>
      <c r="C40" s="1" t="n">
        <v>45510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26274-2019</t>
        </is>
      </c>
      <c r="B41" s="1" t="n">
        <v>43611</v>
      </c>
      <c r="C41" s="1" t="n">
        <v>45510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26289-2019</t>
        </is>
      </c>
      <c r="B42" s="1" t="n">
        <v>43611</v>
      </c>
      <c r="C42" s="1" t="n">
        <v>45510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26280-2019</t>
        </is>
      </c>
      <c r="B43" s="1" t="n">
        <v>43611</v>
      </c>
      <c r="C43" s="1" t="n">
        <v>45510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26287-2019</t>
        </is>
      </c>
      <c r="B44" s="1" t="n">
        <v>43611</v>
      </c>
      <c r="C44" s="1" t="n">
        <v>45510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27199-2019</t>
        </is>
      </c>
      <c r="B45" s="1" t="n">
        <v>43614</v>
      </c>
      <c r="C45" s="1" t="n">
        <v>45510</v>
      </c>
      <c r="D45" t="inlineStr">
        <is>
          <t>VÄRMLANDS LÄN</t>
        </is>
      </c>
      <c r="E45" t="inlineStr">
        <is>
          <t>FILIPSTAD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27388-2019</t>
        </is>
      </c>
      <c r="B46" s="1" t="n">
        <v>43616</v>
      </c>
      <c r="C46" s="1" t="n">
        <v>45510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34.4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27430-2019</t>
        </is>
      </c>
      <c r="B47" s="1" t="n">
        <v>43617</v>
      </c>
      <c r="C47" s="1" t="n">
        <v>45510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30777-2019</t>
        </is>
      </c>
      <c r="B48" s="1" t="n">
        <v>43636</v>
      </c>
      <c r="C48" s="1" t="n">
        <v>45510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31121-2019</t>
        </is>
      </c>
      <c r="B49" s="1" t="n">
        <v>43640</v>
      </c>
      <c r="C49" s="1" t="n">
        <v>45510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31122-2019</t>
        </is>
      </c>
      <c r="B50" s="1" t="n">
        <v>43640</v>
      </c>
      <c r="C50" s="1" t="n">
        <v>45510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31120-2019</t>
        </is>
      </c>
      <c r="B51" s="1" t="n">
        <v>43640</v>
      </c>
      <c r="C51" s="1" t="n">
        <v>45510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31664-2019</t>
        </is>
      </c>
      <c r="B52" s="1" t="n">
        <v>43640</v>
      </c>
      <c r="C52" s="1" t="n">
        <v>45510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31650-2019</t>
        </is>
      </c>
      <c r="B53" s="1" t="n">
        <v>43640</v>
      </c>
      <c r="C53" s="1" t="n">
        <v>45510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32562-2019</t>
        </is>
      </c>
      <c r="B54" s="1" t="n">
        <v>43647</v>
      </c>
      <c r="C54" s="1" t="n">
        <v>45510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34513-2019</t>
        </is>
      </c>
      <c r="B55" s="1" t="n">
        <v>43657</v>
      </c>
      <c r="C55" s="1" t="n">
        <v>45510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35422-2019</t>
        </is>
      </c>
      <c r="B56" s="1" t="n">
        <v>43663</v>
      </c>
      <c r="C56" s="1" t="n">
        <v>45510</v>
      </c>
      <c r="D56" t="inlineStr">
        <is>
          <t>VÄRMLANDS LÄN</t>
        </is>
      </c>
      <c r="E56" t="inlineStr">
        <is>
          <t>FILIPSTAD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37216-2019</t>
        </is>
      </c>
      <c r="B57" s="1" t="n">
        <v>43677</v>
      </c>
      <c r="C57" s="1" t="n">
        <v>45510</v>
      </c>
      <c r="D57" t="inlineStr">
        <is>
          <t>VÄRMLANDS LÄN</t>
        </is>
      </c>
      <c r="E57" t="inlineStr">
        <is>
          <t>FILIPSTAD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37833-2019</t>
        </is>
      </c>
      <c r="B58" s="1" t="n">
        <v>43682</v>
      </c>
      <c r="C58" s="1" t="n">
        <v>45510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37867-2019</t>
        </is>
      </c>
      <c r="B59" s="1" t="n">
        <v>43682</v>
      </c>
      <c r="C59" s="1" t="n">
        <v>45510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37856-2019</t>
        </is>
      </c>
      <c r="B60" s="1" t="n">
        <v>43682</v>
      </c>
      <c r="C60" s="1" t="n">
        <v>45510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41821-2019</t>
        </is>
      </c>
      <c r="B61" s="1" t="n">
        <v>43700</v>
      </c>
      <c r="C61" s="1" t="n">
        <v>45510</v>
      </c>
      <c r="D61" t="inlineStr">
        <is>
          <t>VÄRMLANDS LÄN</t>
        </is>
      </c>
      <c r="E61" t="inlineStr">
        <is>
          <t>FILIPSTAD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42033-2019</t>
        </is>
      </c>
      <c r="B62" s="1" t="n">
        <v>43700</v>
      </c>
      <c r="C62" s="1" t="n">
        <v>45510</v>
      </c>
      <c r="D62" t="inlineStr">
        <is>
          <t>VÄRMLANDS LÄN</t>
        </is>
      </c>
      <c r="E62" t="inlineStr">
        <is>
          <t>FILIPSTAD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42131-2019</t>
        </is>
      </c>
      <c r="B63" s="1" t="n">
        <v>43703</v>
      </c>
      <c r="C63" s="1" t="n">
        <v>45510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42980-2019</t>
        </is>
      </c>
      <c r="B64" s="1" t="n">
        <v>43705</v>
      </c>
      <c r="C64" s="1" t="n">
        <v>45510</v>
      </c>
      <c r="D64" t="inlineStr">
        <is>
          <t>VÄRMLANDS LÄN</t>
        </is>
      </c>
      <c r="E64" t="inlineStr">
        <is>
          <t>FILIPSTAD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43291-2019</t>
        </is>
      </c>
      <c r="B65" s="1" t="n">
        <v>43706</v>
      </c>
      <c r="C65" s="1" t="n">
        <v>45510</v>
      </c>
      <c r="D65" t="inlineStr">
        <is>
          <t>VÄRMLANDS LÄN</t>
        </is>
      </c>
      <c r="E65" t="inlineStr">
        <is>
          <t>FILIPSTAD</t>
        </is>
      </c>
      <c r="G65" t="n">
        <v>15.5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44177-2019</t>
        </is>
      </c>
      <c r="B66" s="1" t="n">
        <v>43710</v>
      </c>
      <c r="C66" s="1" t="n">
        <v>45510</v>
      </c>
      <c r="D66" t="inlineStr">
        <is>
          <t>VÄRMLANDS LÄN</t>
        </is>
      </c>
      <c r="E66" t="inlineStr">
        <is>
          <t>FILIPSTAD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45704-2019</t>
        </is>
      </c>
      <c r="B67" s="1" t="n">
        <v>43717</v>
      </c>
      <c r="C67" s="1" t="n">
        <v>45510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46822-2019</t>
        </is>
      </c>
      <c r="B68" s="1" t="n">
        <v>43720</v>
      </c>
      <c r="C68" s="1" t="n">
        <v>45510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46904-2019</t>
        </is>
      </c>
      <c r="B69" s="1" t="n">
        <v>43720</v>
      </c>
      <c r="C69" s="1" t="n">
        <v>45510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48936-2019</t>
        </is>
      </c>
      <c r="B70" s="1" t="n">
        <v>43728</v>
      </c>
      <c r="C70" s="1" t="n">
        <v>45510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50933-2019</t>
        </is>
      </c>
      <c r="B71" s="1" t="n">
        <v>43738</v>
      </c>
      <c r="C71" s="1" t="n">
        <v>45510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50939-2019</t>
        </is>
      </c>
      <c r="B72" s="1" t="n">
        <v>43738</v>
      </c>
      <c r="C72" s="1" t="n">
        <v>45510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50840-2019</t>
        </is>
      </c>
      <c r="B73" s="1" t="n">
        <v>43738</v>
      </c>
      <c r="C73" s="1" t="n">
        <v>45510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51260-2019</t>
        </is>
      </c>
      <c r="B74" s="1" t="n">
        <v>43739</v>
      </c>
      <c r="C74" s="1" t="n">
        <v>45510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53932-2019</t>
        </is>
      </c>
      <c r="B75" s="1" t="n">
        <v>43742</v>
      </c>
      <c r="C75" s="1" t="n">
        <v>45510</v>
      </c>
      <c r="D75" t="inlineStr">
        <is>
          <t>VÄRMLANDS LÄN</t>
        </is>
      </c>
      <c r="E75" t="inlineStr">
        <is>
          <t>FILIPSTAD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54839-2019</t>
        </is>
      </c>
      <c r="B76" s="1" t="n">
        <v>43755</v>
      </c>
      <c r="C76" s="1" t="n">
        <v>45510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54778-2019</t>
        </is>
      </c>
      <c r="B77" s="1" t="n">
        <v>43755</v>
      </c>
      <c r="C77" s="1" t="n">
        <v>45510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54706-2019</t>
        </is>
      </c>
      <c r="B78" s="1" t="n">
        <v>43755</v>
      </c>
      <c r="C78" s="1" t="n">
        <v>45510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59883-2019</t>
        </is>
      </c>
      <c r="B79" s="1" t="n">
        <v>43777</v>
      </c>
      <c r="C79" s="1" t="n">
        <v>45510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64342-2019</t>
        </is>
      </c>
      <c r="B80" s="1" t="n">
        <v>43797</v>
      </c>
      <c r="C80" s="1" t="n">
        <v>45510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64343-2019</t>
        </is>
      </c>
      <c r="B81" s="1" t="n">
        <v>43797</v>
      </c>
      <c r="C81" s="1" t="n">
        <v>45510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64353-2019</t>
        </is>
      </c>
      <c r="B82" s="1" t="n">
        <v>43797</v>
      </c>
      <c r="C82" s="1" t="n">
        <v>45510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65089-2019</t>
        </is>
      </c>
      <c r="B83" s="1" t="n">
        <v>43802</v>
      </c>
      <c r="C83" s="1" t="n">
        <v>45510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65078-2019</t>
        </is>
      </c>
      <c r="B84" s="1" t="n">
        <v>43802</v>
      </c>
      <c r="C84" s="1" t="n">
        <v>45510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65235-2019</t>
        </is>
      </c>
      <c r="B85" s="1" t="n">
        <v>43802</v>
      </c>
      <c r="C85" s="1" t="n">
        <v>45510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65345-2019</t>
        </is>
      </c>
      <c r="B86" s="1" t="n">
        <v>43803</v>
      </c>
      <c r="C86" s="1" t="n">
        <v>45510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65366-2019</t>
        </is>
      </c>
      <c r="B87" s="1" t="n">
        <v>43803</v>
      </c>
      <c r="C87" s="1" t="n">
        <v>45510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66877-2019</t>
        </is>
      </c>
      <c r="B88" s="1" t="n">
        <v>43810</v>
      </c>
      <c r="C88" s="1" t="n">
        <v>45510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67904-2019</t>
        </is>
      </c>
      <c r="B89" s="1" t="n">
        <v>43816</v>
      </c>
      <c r="C89" s="1" t="n">
        <v>45510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68495-2019</t>
        </is>
      </c>
      <c r="B90" s="1" t="n">
        <v>43818</v>
      </c>
      <c r="C90" s="1" t="n">
        <v>45510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69138-2019</t>
        </is>
      </c>
      <c r="B91" s="1" t="n">
        <v>43829</v>
      </c>
      <c r="C91" s="1" t="n">
        <v>45510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69113-2019</t>
        </is>
      </c>
      <c r="B92" s="1" t="n">
        <v>43829</v>
      </c>
      <c r="C92" s="1" t="n">
        <v>45510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5196-2020</t>
        </is>
      </c>
      <c r="B93" s="1" t="n">
        <v>43860</v>
      </c>
      <c r="C93" s="1" t="n">
        <v>45510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5229-2020</t>
        </is>
      </c>
      <c r="B94" s="1" t="n">
        <v>43860</v>
      </c>
      <c r="C94" s="1" t="n">
        <v>45510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5280-2020</t>
        </is>
      </c>
      <c r="B95" s="1" t="n">
        <v>43860</v>
      </c>
      <c r="C95" s="1" t="n">
        <v>45510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6181-2020</t>
        </is>
      </c>
      <c r="B96" s="1" t="n">
        <v>43865</v>
      </c>
      <c r="C96" s="1" t="n">
        <v>45510</v>
      </c>
      <c r="D96" t="inlineStr">
        <is>
          <t>VÄRMLANDS LÄN</t>
        </is>
      </c>
      <c r="E96" t="inlineStr">
        <is>
          <t>FILIPSTAD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7656-2020</t>
        </is>
      </c>
      <c r="B97" s="1" t="n">
        <v>43872</v>
      </c>
      <c r="C97" s="1" t="n">
        <v>45510</v>
      </c>
      <c r="D97" t="inlineStr">
        <is>
          <t>VÄRMLANDS LÄN</t>
        </is>
      </c>
      <c r="E97" t="inlineStr">
        <is>
          <t>FILIPSTAD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7831-2020</t>
        </is>
      </c>
      <c r="B98" s="1" t="n">
        <v>43872</v>
      </c>
      <c r="C98" s="1" t="n">
        <v>45510</v>
      </c>
      <c r="D98" t="inlineStr">
        <is>
          <t>VÄRMLANDS LÄN</t>
        </is>
      </c>
      <c r="E98" t="inlineStr">
        <is>
          <t>FILIPSTAD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7859-2020</t>
        </is>
      </c>
      <c r="B99" s="1" t="n">
        <v>43872</v>
      </c>
      <c r="C99" s="1" t="n">
        <v>45510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7828-2020</t>
        </is>
      </c>
      <c r="B100" s="1" t="n">
        <v>43872</v>
      </c>
      <c r="C100" s="1" t="n">
        <v>45510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9117-2020</t>
        </is>
      </c>
      <c r="B101" s="1" t="n">
        <v>43879</v>
      </c>
      <c r="C101" s="1" t="n">
        <v>45510</v>
      </c>
      <c r="D101" t="inlineStr">
        <is>
          <t>VÄRMLANDS LÄN</t>
        </is>
      </c>
      <c r="E101" t="inlineStr">
        <is>
          <t>FILIPSTAD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9395-2020</t>
        </is>
      </c>
      <c r="B102" s="1" t="n">
        <v>43880</v>
      </c>
      <c r="C102" s="1" t="n">
        <v>45510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9931-2020</t>
        </is>
      </c>
      <c r="B103" s="1" t="n">
        <v>43882</v>
      </c>
      <c r="C103" s="1" t="n">
        <v>45510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9939-2020</t>
        </is>
      </c>
      <c r="B104" s="1" t="n">
        <v>43882</v>
      </c>
      <c r="C104" s="1" t="n">
        <v>45510</v>
      </c>
      <c r="D104" t="inlineStr">
        <is>
          <t>VÄRMLANDS LÄN</t>
        </is>
      </c>
      <c r="E104" t="inlineStr">
        <is>
          <t>FILIPSTAD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10721-2020</t>
        </is>
      </c>
      <c r="B105" s="1" t="n">
        <v>43885</v>
      </c>
      <c r="C105" s="1" t="n">
        <v>45510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11219-2020</t>
        </is>
      </c>
      <c r="B106" s="1" t="n">
        <v>43886</v>
      </c>
      <c r="C106" s="1" t="n">
        <v>45510</v>
      </c>
      <c r="D106" t="inlineStr">
        <is>
          <t>VÄRMLANDS LÄN</t>
        </is>
      </c>
      <c r="E106" t="inlineStr">
        <is>
          <t>FILIPSTAD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10464-2020</t>
        </is>
      </c>
      <c r="B107" s="1" t="n">
        <v>43886</v>
      </c>
      <c r="C107" s="1" t="n">
        <v>45510</v>
      </c>
      <c r="D107" t="inlineStr">
        <is>
          <t>VÄRMLANDS LÄN</t>
        </is>
      </c>
      <c r="E107" t="inlineStr">
        <is>
          <t>FILIPSTAD</t>
        </is>
      </c>
      <c r="G107" t="n">
        <v>17.3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10497-2020</t>
        </is>
      </c>
      <c r="B108" s="1" t="n">
        <v>43886</v>
      </c>
      <c r="C108" s="1" t="n">
        <v>45510</v>
      </c>
      <c r="D108" t="inlineStr">
        <is>
          <t>VÄRMLANDS LÄN</t>
        </is>
      </c>
      <c r="E108" t="inlineStr">
        <is>
          <t>FILIPSTAD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10319-2020</t>
        </is>
      </c>
      <c r="B109" s="1" t="n">
        <v>43887</v>
      </c>
      <c r="C109" s="1" t="n">
        <v>45510</v>
      </c>
      <c r="D109" t="inlineStr">
        <is>
          <t>VÄRMLANDS LÄN</t>
        </is>
      </c>
      <c r="E109" t="inlineStr">
        <is>
          <t>FILIPSTAD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10560-2020</t>
        </is>
      </c>
      <c r="B110" s="1" t="n">
        <v>43887</v>
      </c>
      <c r="C110" s="1" t="n">
        <v>45510</v>
      </c>
      <c r="D110" t="inlineStr">
        <is>
          <t>VÄRMLANDS LÄN</t>
        </is>
      </c>
      <c r="E110" t="inlineStr">
        <is>
          <t>FILIPSTAD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11944-2020</t>
        </is>
      </c>
      <c r="B111" s="1" t="n">
        <v>43889</v>
      </c>
      <c r="C111" s="1" t="n">
        <v>45510</v>
      </c>
      <c r="D111" t="inlineStr">
        <is>
          <t>VÄRMLANDS LÄN</t>
        </is>
      </c>
      <c r="E111" t="inlineStr">
        <is>
          <t>FILIPSTAD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11160-2020</t>
        </is>
      </c>
      <c r="B112" s="1" t="n">
        <v>43891</v>
      </c>
      <c r="C112" s="1" t="n">
        <v>45510</v>
      </c>
      <c r="D112" t="inlineStr">
        <is>
          <t>VÄRMLANDS LÄN</t>
        </is>
      </c>
      <c r="E112" t="inlineStr">
        <is>
          <t>FILIPSTAD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12372-2020</t>
        </is>
      </c>
      <c r="B113" s="1" t="n">
        <v>43896</v>
      </c>
      <c r="C113" s="1" t="n">
        <v>45510</v>
      </c>
      <c r="D113" t="inlineStr">
        <is>
          <t>VÄRMLANDS LÄN</t>
        </is>
      </c>
      <c r="E113" t="inlineStr">
        <is>
          <t>FILIPSTAD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13740-2020</t>
        </is>
      </c>
      <c r="B114" s="1" t="n">
        <v>43903</v>
      </c>
      <c r="C114" s="1" t="n">
        <v>45510</v>
      </c>
      <c r="D114" t="inlineStr">
        <is>
          <t>VÄRMLANDS LÄN</t>
        </is>
      </c>
      <c r="E114" t="inlineStr">
        <is>
          <t>FILIPSTAD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16322-2020</t>
        </is>
      </c>
      <c r="B115" s="1" t="n">
        <v>43907</v>
      </c>
      <c r="C115" s="1" t="n">
        <v>45510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16305-2020</t>
        </is>
      </c>
      <c r="B116" s="1" t="n">
        <v>43907</v>
      </c>
      <c r="C116" s="1" t="n">
        <v>45510</v>
      </c>
      <c r="D116" t="inlineStr">
        <is>
          <t>VÄRMLANDS LÄN</t>
        </is>
      </c>
      <c r="E116" t="inlineStr">
        <is>
          <t>FILIPSTAD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14501-2020</t>
        </is>
      </c>
      <c r="B117" s="1" t="n">
        <v>43908</v>
      </c>
      <c r="C117" s="1" t="n">
        <v>45510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15598-2020</t>
        </is>
      </c>
      <c r="B118" s="1" t="n">
        <v>43914</v>
      </c>
      <c r="C118" s="1" t="n">
        <v>45510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15702-2020</t>
        </is>
      </c>
      <c r="B119" s="1" t="n">
        <v>43915</v>
      </c>
      <c r="C119" s="1" t="n">
        <v>45510</v>
      </c>
      <c r="D119" t="inlineStr">
        <is>
          <t>VÄRMLANDS LÄN</t>
        </is>
      </c>
      <c r="E119" t="inlineStr">
        <is>
          <t>FILIPSTAD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17892-2020</t>
        </is>
      </c>
      <c r="B120" s="1" t="n">
        <v>43924</v>
      </c>
      <c r="C120" s="1" t="n">
        <v>45510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17879-2020</t>
        </is>
      </c>
      <c r="B121" s="1" t="n">
        <v>43924</v>
      </c>
      <c r="C121" s="1" t="n">
        <v>45510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18707-2020</t>
        </is>
      </c>
      <c r="B122" s="1" t="n">
        <v>43930</v>
      </c>
      <c r="C122" s="1" t="n">
        <v>45510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18804-2020</t>
        </is>
      </c>
      <c r="B123" s="1" t="n">
        <v>43933</v>
      </c>
      <c r="C123" s="1" t="n">
        <v>45510</v>
      </c>
      <c r="D123" t="inlineStr">
        <is>
          <t>VÄRMLANDS LÄN</t>
        </is>
      </c>
      <c r="E123" t="inlineStr">
        <is>
          <t>FILIPSTAD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19282-2020</t>
        </is>
      </c>
      <c r="B124" s="1" t="n">
        <v>43937</v>
      </c>
      <c r="C124" s="1" t="n">
        <v>45510</v>
      </c>
      <c r="D124" t="inlineStr">
        <is>
          <t>VÄRMLANDS LÄN</t>
        </is>
      </c>
      <c r="E124" t="inlineStr">
        <is>
          <t>FILIPSTAD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20706-2020</t>
        </is>
      </c>
      <c r="B125" s="1" t="n">
        <v>43949</v>
      </c>
      <c r="C125" s="1" t="n">
        <v>45510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20735-2020</t>
        </is>
      </c>
      <c r="B126" s="1" t="n">
        <v>43949</v>
      </c>
      <c r="C126" s="1" t="n">
        <v>45510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20671-2020</t>
        </is>
      </c>
      <c r="B127" s="1" t="n">
        <v>43949</v>
      </c>
      <c r="C127" s="1" t="n">
        <v>45510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20744-2020</t>
        </is>
      </c>
      <c r="B128" s="1" t="n">
        <v>43949</v>
      </c>
      <c r="C128" s="1" t="n">
        <v>45510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20753-2020</t>
        </is>
      </c>
      <c r="B129" s="1" t="n">
        <v>43949</v>
      </c>
      <c r="C129" s="1" t="n">
        <v>45510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20670-2020</t>
        </is>
      </c>
      <c r="B130" s="1" t="n">
        <v>43949</v>
      </c>
      <c r="C130" s="1" t="n">
        <v>45510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20702-2020</t>
        </is>
      </c>
      <c r="B131" s="1" t="n">
        <v>43949</v>
      </c>
      <c r="C131" s="1" t="n">
        <v>45510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20709-2020</t>
        </is>
      </c>
      <c r="B132" s="1" t="n">
        <v>43949</v>
      </c>
      <c r="C132" s="1" t="n">
        <v>45510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20726-2020</t>
        </is>
      </c>
      <c r="B133" s="1" t="n">
        <v>43949</v>
      </c>
      <c r="C133" s="1" t="n">
        <v>45510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20751-2020</t>
        </is>
      </c>
      <c r="B134" s="1" t="n">
        <v>43949</v>
      </c>
      <c r="C134" s="1" t="n">
        <v>45510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20741-2020</t>
        </is>
      </c>
      <c r="B135" s="1" t="n">
        <v>43949</v>
      </c>
      <c r="C135" s="1" t="n">
        <v>45510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20729-2020</t>
        </is>
      </c>
      <c r="B136" s="1" t="n">
        <v>43949</v>
      </c>
      <c r="C136" s="1" t="n">
        <v>45510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22086-2020</t>
        </is>
      </c>
      <c r="B137" s="1" t="n">
        <v>43959</v>
      </c>
      <c r="C137" s="1" t="n">
        <v>45510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22125-2020</t>
        </is>
      </c>
      <c r="B138" s="1" t="n">
        <v>43960</v>
      </c>
      <c r="C138" s="1" t="n">
        <v>45510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22600-2020</t>
        </is>
      </c>
      <c r="B139" s="1" t="n">
        <v>43963</v>
      </c>
      <c r="C139" s="1" t="n">
        <v>45510</v>
      </c>
      <c r="D139" t="inlineStr">
        <is>
          <t>VÄRMLANDS LÄN</t>
        </is>
      </c>
      <c r="E139" t="inlineStr">
        <is>
          <t>FILIPSTAD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22871-2020</t>
        </is>
      </c>
      <c r="B140" s="1" t="n">
        <v>43964</v>
      </c>
      <c r="C140" s="1" t="n">
        <v>45510</v>
      </c>
      <c r="D140" t="inlineStr">
        <is>
          <t>VÄRMLANDS LÄN</t>
        </is>
      </c>
      <c r="E140" t="inlineStr">
        <is>
          <t>FILIPSTAD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22869-2020</t>
        </is>
      </c>
      <c r="B141" s="1" t="n">
        <v>43964</v>
      </c>
      <c r="C141" s="1" t="n">
        <v>45510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23293-2020</t>
        </is>
      </c>
      <c r="B142" s="1" t="n">
        <v>43966</v>
      </c>
      <c r="C142" s="1" t="n">
        <v>45510</v>
      </c>
      <c r="D142" t="inlineStr">
        <is>
          <t>VÄRMLANDS LÄN</t>
        </is>
      </c>
      <c r="E142" t="inlineStr">
        <is>
          <t>FILIPSTAD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25528-2020</t>
        </is>
      </c>
      <c r="B143" s="1" t="n">
        <v>43983</v>
      </c>
      <c r="C143" s="1" t="n">
        <v>45510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25971-2020</t>
        </is>
      </c>
      <c r="B144" s="1" t="n">
        <v>43985</v>
      </c>
      <c r="C144" s="1" t="n">
        <v>45510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26440-2020</t>
        </is>
      </c>
      <c r="B145" s="1" t="n">
        <v>43987</v>
      </c>
      <c r="C145" s="1" t="n">
        <v>45510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26545-2020</t>
        </is>
      </c>
      <c r="B146" s="1" t="n">
        <v>43987</v>
      </c>
      <c r="C146" s="1" t="n">
        <v>45510</v>
      </c>
      <c r="D146" t="inlineStr">
        <is>
          <t>VÄRMLANDS LÄN</t>
        </is>
      </c>
      <c r="E146" t="inlineStr">
        <is>
          <t>FILIPSTAD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26517-2020</t>
        </is>
      </c>
      <c r="B147" s="1" t="n">
        <v>43987</v>
      </c>
      <c r="C147" s="1" t="n">
        <v>45510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28301-2020</t>
        </is>
      </c>
      <c r="B148" s="1" t="n">
        <v>43998</v>
      </c>
      <c r="C148" s="1" t="n">
        <v>45510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28522-2020</t>
        </is>
      </c>
      <c r="B149" s="1" t="n">
        <v>43999</v>
      </c>
      <c r="C149" s="1" t="n">
        <v>45510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30017-2020</t>
        </is>
      </c>
      <c r="B150" s="1" t="n">
        <v>44006</v>
      </c>
      <c r="C150" s="1" t="n">
        <v>45510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30028-2020</t>
        </is>
      </c>
      <c r="B151" s="1" t="n">
        <v>44006</v>
      </c>
      <c r="C151" s="1" t="n">
        <v>45510</v>
      </c>
      <c r="D151" t="inlineStr">
        <is>
          <t>VÄRMLANDS LÄN</t>
        </is>
      </c>
      <c r="E151" t="inlineStr">
        <is>
          <t>FILIPSTAD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30085-2020</t>
        </is>
      </c>
      <c r="B152" s="1" t="n">
        <v>44006</v>
      </c>
      <c r="C152" s="1" t="n">
        <v>45510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30007-2020</t>
        </is>
      </c>
      <c r="B153" s="1" t="n">
        <v>44006</v>
      </c>
      <c r="C153" s="1" t="n">
        <v>45510</v>
      </c>
      <c r="D153" t="inlineStr">
        <is>
          <t>VÄRMLANDS LÄN</t>
        </is>
      </c>
      <c r="E153" t="inlineStr">
        <is>
          <t>FILIPSTAD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30768-2020</t>
        </is>
      </c>
      <c r="B154" s="1" t="n">
        <v>44008</v>
      </c>
      <c r="C154" s="1" t="n">
        <v>45510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30767-2020</t>
        </is>
      </c>
      <c r="B155" s="1" t="n">
        <v>44008</v>
      </c>
      <c r="C155" s="1" t="n">
        <v>45510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33872-2020</t>
        </is>
      </c>
      <c r="B156" s="1" t="n">
        <v>44027</v>
      </c>
      <c r="C156" s="1" t="n">
        <v>45510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34105-2020</t>
        </is>
      </c>
      <c r="B157" s="1" t="n">
        <v>44028</v>
      </c>
      <c r="C157" s="1" t="n">
        <v>45510</v>
      </c>
      <c r="D157" t="inlineStr">
        <is>
          <t>VÄRMLANDS LÄN</t>
        </is>
      </c>
      <c r="E157" t="inlineStr">
        <is>
          <t>FILIPSTAD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33969-2020</t>
        </is>
      </c>
      <c r="B158" s="1" t="n">
        <v>44028</v>
      </c>
      <c r="C158" s="1" t="n">
        <v>45510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34461-2020</t>
        </is>
      </c>
      <c r="B159" s="1" t="n">
        <v>44032</v>
      </c>
      <c r="C159" s="1" t="n">
        <v>45510</v>
      </c>
      <c r="D159" t="inlineStr">
        <is>
          <t>VÄRMLANDS LÄN</t>
        </is>
      </c>
      <c r="E159" t="inlineStr">
        <is>
          <t>FILIPSTAD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35194-2020</t>
        </is>
      </c>
      <c r="B160" s="1" t="n">
        <v>44040</v>
      </c>
      <c r="C160" s="1" t="n">
        <v>45510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36126-2020</t>
        </is>
      </c>
      <c r="B161" s="1" t="n">
        <v>44048</v>
      </c>
      <c r="C161" s="1" t="n">
        <v>45510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36090-2020</t>
        </is>
      </c>
      <c r="B162" s="1" t="n">
        <v>44048</v>
      </c>
      <c r="C162" s="1" t="n">
        <v>45510</v>
      </c>
      <c r="D162" t="inlineStr">
        <is>
          <t>VÄRMLANDS LÄN</t>
        </is>
      </c>
      <c r="E162" t="inlineStr">
        <is>
          <t>FILIPSTAD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37465-2020</t>
        </is>
      </c>
      <c r="B163" s="1" t="n">
        <v>44055</v>
      </c>
      <c r="C163" s="1" t="n">
        <v>45510</v>
      </c>
      <c r="D163" t="inlineStr">
        <is>
          <t>VÄRMLANDS LÄN</t>
        </is>
      </c>
      <c r="E163" t="inlineStr">
        <is>
          <t>FILIPSTAD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37458-2020</t>
        </is>
      </c>
      <c r="B164" s="1" t="n">
        <v>44055</v>
      </c>
      <c r="C164" s="1" t="n">
        <v>45510</v>
      </c>
      <c r="D164" t="inlineStr">
        <is>
          <t>VÄRMLANDS LÄN</t>
        </is>
      </c>
      <c r="E164" t="inlineStr">
        <is>
          <t>FILIPSTAD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37880-2020</t>
        </is>
      </c>
      <c r="B165" s="1" t="n">
        <v>44057</v>
      </c>
      <c r="C165" s="1" t="n">
        <v>45510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39813-2020</t>
        </is>
      </c>
      <c r="B166" s="1" t="n">
        <v>44067</v>
      </c>
      <c r="C166" s="1" t="n">
        <v>45510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40873-2020</t>
        </is>
      </c>
      <c r="B167" s="1" t="n">
        <v>44070</v>
      </c>
      <c r="C167" s="1" t="n">
        <v>45510</v>
      </c>
      <c r="D167" t="inlineStr">
        <is>
          <t>VÄRMLANDS LÄN</t>
        </is>
      </c>
      <c r="E167" t="inlineStr">
        <is>
          <t>FILIPSTAD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40829-2020</t>
        </is>
      </c>
      <c r="B168" s="1" t="n">
        <v>44070</v>
      </c>
      <c r="C168" s="1" t="n">
        <v>45510</v>
      </c>
      <c r="D168" t="inlineStr">
        <is>
          <t>VÄRMLANDS LÄN</t>
        </is>
      </c>
      <c r="E168" t="inlineStr">
        <is>
          <t>FILIPSTAD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42584-2020</t>
        </is>
      </c>
      <c r="B169" s="1" t="n">
        <v>44077</v>
      </c>
      <c r="C169" s="1" t="n">
        <v>45510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42597-2020</t>
        </is>
      </c>
      <c r="B170" s="1" t="n">
        <v>44077</v>
      </c>
      <c r="C170" s="1" t="n">
        <v>45510</v>
      </c>
      <c r="D170" t="inlineStr">
        <is>
          <t>VÄRMLANDS LÄN</t>
        </is>
      </c>
      <c r="E170" t="inlineStr">
        <is>
          <t>FILIPSTAD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43613-2020</t>
        </is>
      </c>
      <c r="B171" s="1" t="n">
        <v>44082</v>
      </c>
      <c r="C171" s="1" t="n">
        <v>45510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43671-2020</t>
        </is>
      </c>
      <c r="B172" s="1" t="n">
        <v>44082</v>
      </c>
      <c r="C172" s="1" t="n">
        <v>45510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46113-2020</t>
        </is>
      </c>
      <c r="B173" s="1" t="n">
        <v>44091</v>
      </c>
      <c r="C173" s="1" t="n">
        <v>45510</v>
      </c>
      <c r="D173" t="inlineStr">
        <is>
          <t>VÄRMLANDS LÄN</t>
        </is>
      </c>
      <c r="E173" t="inlineStr">
        <is>
          <t>FILIPSTAD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47434-2020</t>
        </is>
      </c>
      <c r="B174" s="1" t="n">
        <v>44097</v>
      </c>
      <c r="C174" s="1" t="n">
        <v>45510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47540-2020</t>
        </is>
      </c>
      <c r="B175" s="1" t="n">
        <v>44098</v>
      </c>
      <c r="C175" s="1" t="n">
        <v>45510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47674-2020</t>
        </is>
      </c>
      <c r="B176" s="1" t="n">
        <v>44098</v>
      </c>
      <c r="C176" s="1" t="n">
        <v>45510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50210-2020</t>
        </is>
      </c>
      <c r="B177" s="1" t="n">
        <v>44109</v>
      </c>
      <c r="C177" s="1" t="n">
        <v>45510</v>
      </c>
      <c r="D177" t="inlineStr">
        <is>
          <t>VÄRMLANDS LÄN</t>
        </is>
      </c>
      <c r="E177" t="inlineStr">
        <is>
          <t>FILIPSTAD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51254-2020</t>
        </is>
      </c>
      <c r="B178" s="1" t="n">
        <v>44112</v>
      </c>
      <c r="C178" s="1" t="n">
        <v>45510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51300-2020</t>
        </is>
      </c>
      <c r="B179" s="1" t="n">
        <v>44112</v>
      </c>
      <c r="C179" s="1" t="n">
        <v>45510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51742-2020</t>
        </is>
      </c>
      <c r="B180" s="1" t="n">
        <v>44114</v>
      </c>
      <c r="C180" s="1" t="n">
        <v>45510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51743-2020</t>
        </is>
      </c>
      <c r="B181" s="1" t="n">
        <v>44114</v>
      </c>
      <c r="C181" s="1" t="n">
        <v>45510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53417-2020</t>
        </is>
      </c>
      <c r="B182" s="1" t="n">
        <v>44123</v>
      </c>
      <c r="C182" s="1" t="n">
        <v>45510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53786-2020</t>
        </is>
      </c>
      <c r="B183" s="1" t="n">
        <v>44124</v>
      </c>
      <c r="C183" s="1" t="n">
        <v>45510</v>
      </c>
      <c r="D183" t="inlineStr">
        <is>
          <t>VÄRMLANDS LÄN</t>
        </is>
      </c>
      <c r="E183" t="inlineStr">
        <is>
          <t>FILIPSTAD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54162-2020</t>
        </is>
      </c>
      <c r="B184" s="1" t="n">
        <v>44125</v>
      </c>
      <c r="C184" s="1" t="n">
        <v>45510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54623-2020</t>
        </is>
      </c>
      <c r="B185" s="1" t="n">
        <v>44127</v>
      </c>
      <c r="C185" s="1" t="n">
        <v>45510</v>
      </c>
      <c r="D185" t="inlineStr">
        <is>
          <t>VÄRMLANDS LÄN</t>
        </is>
      </c>
      <c r="E185" t="inlineStr">
        <is>
          <t>FILIPSTAD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55806-2020</t>
        </is>
      </c>
      <c r="B186" s="1" t="n">
        <v>44132</v>
      </c>
      <c r="C186" s="1" t="n">
        <v>45510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55802-2020</t>
        </is>
      </c>
      <c r="B187" s="1" t="n">
        <v>44132</v>
      </c>
      <c r="C187" s="1" t="n">
        <v>45510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55923-2020</t>
        </is>
      </c>
      <c r="B188" s="1" t="n">
        <v>44132</v>
      </c>
      <c r="C188" s="1" t="n">
        <v>45510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56279-2020</t>
        </is>
      </c>
      <c r="B189" s="1" t="n">
        <v>44134</v>
      </c>
      <c r="C189" s="1" t="n">
        <v>45510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56406-2020</t>
        </is>
      </c>
      <c r="B190" s="1" t="n">
        <v>44137</v>
      </c>
      <c r="C190" s="1" t="n">
        <v>45510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56861-2020</t>
        </is>
      </c>
      <c r="B191" s="1" t="n">
        <v>44138</v>
      </c>
      <c r="C191" s="1" t="n">
        <v>45510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58532-2020</t>
        </is>
      </c>
      <c r="B192" s="1" t="n">
        <v>44145</v>
      </c>
      <c r="C192" s="1" t="n">
        <v>45510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58843-2020</t>
        </is>
      </c>
      <c r="B193" s="1" t="n">
        <v>44146</v>
      </c>
      <c r="C193" s="1" t="n">
        <v>45510</v>
      </c>
      <c r="D193" t="inlineStr">
        <is>
          <t>VÄRMLANDS LÄN</t>
        </is>
      </c>
      <c r="E193" t="inlineStr">
        <is>
          <t>FILIPSTAD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59849-2020</t>
        </is>
      </c>
      <c r="B194" s="1" t="n">
        <v>44151</v>
      </c>
      <c r="C194" s="1" t="n">
        <v>45510</v>
      </c>
      <c r="D194" t="inlineStr">
        <is>
          <t>VÄRMLANDS LÄN</t>
        </is>
      </c>
      <c r="E194" t="inlineStr">
        <is>
          <t>FILIPSTAD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59854-2020</t>
        </is>
      </c>
      <c r="B195" s="1" t="n">
        <v>44151</v>
      </c>
      <c r="C195" s="1" t="n">
        <v>45510</v>
      </c>
      <c r="D195" t="inlineStr">
        <is>
          <t>VÄRMLANDS LÄN</t>
        </is>
      </c>
      <c r="E195" t="inlineStr">
        <is>
          <t>FILIPSTAD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60912-2020</t>
        </is>
      </c>
      <c r="B196" s="1" t="n">
        <v>44152</v>
      </c>
      <c r="C196" s="1" t="n">
        <v>45510</v>
      </c>
      <c r="D196" t="inlineStr">
        <is>
          <t>VÄRMLANDS LÄN</t>
        </is>
      </c>
      <c r="E196" t="inlineStr">
        <is>
          <t>FILIPSTAD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60289-2020</t>
        </is>
      </c>
      <c r="B197" s="1" t="n">
        <v>44152</v>
      </c>
      <c r="C197" s="1" t="n">
        <v>45510</v>
      </c>
      <c r="D197" t="inlineStr">
        <is>
          <t>VÄRMLANDS LÄN</t>
        </is>
      </c>
      <c r="E197" t="inlineStr">
        <is>
          <t>FILIPSTAD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60740-2020</t>
        </is>
      </c>
      <c r="B198" s="1" t="n">
        <v>44153</v>
      </c>
      <c r="C198" s="1" t="n">
        <v>45510</v>
      </c>
      <c r="D198" t="inlineStr">
        <is>
          <t>VÄRMLANDS LÄN</t>
        </is>
      </c>
      <c r="E198" t="inlineStr">
        <is>
          <t>FILIPSTAD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62644-2020</t>
        </is>
      </c>
      <c r="B199" s="1" t="n">
        <v>44161</v>
      </c>
      <c r="C199" s="1" t="n">
        <v>45510</v>
      </c>
      <c r="D199" t="inlineStr">
        <is>
          <t>VÄRMLANDS LÄN</t>
        </is>
      </c>
      <c r="E199" t="inlineStr">
        <is>
          <t>FILIPSTAD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63224-2020</t>
        </is>
      </c>
      <c r="B200" s="1" t="n">
        <v>44163</v>
      </c>
      <c r="C200" s="1" t="n">
        <v>45510</v>
      </c>
      <c r="D200" t="inlineStr">
        <is>
          <t>VÄRMLANDS LÄN</t>
        </is>
      </c>
      <c r="E200" t="inlineStr">
        <is>
          <t>FILIPSTAD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64025-2020</t>
        </is>
      </c>
      <c r="B201" s="1" t="n">
        <v>44167</v>
      </c>
      <c r="C201" s="1" t="n">
        <v>45510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64756-2020</t>
        </is>
      </c>
      <c r="B202" s="1" t="n">
        <v>44169</v>
      </c>
      <c r="C202" s="1" t="n">
        <v>45510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64622-2020</t>
        </is>
      </c>
      <c r="B203" s="1" t="n">
        <v>44169</v>
      </c>
      <c r="C203" s="1" t="n">
        <v>45510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64787-2020</t>
        </is>
      </c>
      <c r="B204" s="1" t="n">
        <v>44169</v>
      </c>
      <c r="C204" s="1" t="n">
        <v>45510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64786-2020</t>
        </is>
      </c>
      <c r="B205" s="1" t="n">
        <v>44169</v>
      </c>
      <c r="C205" s="1" t="n">
        <v>45510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64754-2020</t>
        </is>
      </c>
      <c r="B206" s="1" t="n">
        <v>44169</v>
      </c>
      <c r="C206" s="1" t="n">
        <v>45510</v>
      </c>
      <c r="D206" t="inlineStr">
        <is>
          <t>VÄRMLANDS LÄN</t>
        </is>
      </c>
      <c r="E206" t="inlineStr">
        <is>
          <t>FILIPSTAD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64776-2020</t>
        </is>
      </c>
      <c r="B207" s="1" t="n">
        <v>44169</v>
      </c>
      <c r="C207" s="1" t="n">
        <v>45510</v>
      </c>
      <c r="D207" t="inlineStr">
        <is>
          <t>VÄRMLANDS LÄN</t>
        </is>
      </c>
      <c r="E207" t="inlineStr">
        <is>
          <t>FILIPSTAD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66363-2020</t>
        </is>
      </c>
      <c r="B208" s="1" t="n">
        <v>44176</v>
      </c>
      <c r="C208" s="1" t="n">
        <v>45510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66427-2020</t>
        </is>
      </c>
      <c r="B209" s="1" t="n">
        <v>44176</v>
      </c>
      <c r="C209" s="1" t="n">
        <v>45510</v>
      </c>
      <c r="D209" t="inlineStr">
        <is>
          <t>VÄRMLANDS LÄN</t>
        </is>
      </c>
      <c r="E209" t="inlineStr">
        <is>
          <t>FILIPSTAD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66415-2020</t>
        </is>
      </c>
      <c r="B210" s="1" t="n">
        <v>44176</v>
      </c>
      <c r="C210" s="1" t="n">
        <v>45510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66804-2020</t>
        </is>
      </c>
      <c r="B211" s="1" t="n">
        <v>44179</v>
      </c>
      <c r="C211" s="1" t="n">
        <v>45510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67843-2020</t>
        </is>
      </c>
      <c r="B212" s="1" t="n">
        <v>44182</v>
      </c>
      <c r="C212" s="1" t="n">
        <v>45510</v>
      </c>
      <c r="D212" t="inlineStr">
        <is>
          <t>VÄRMLANDS LÄN</t>
        </is>
      </c>
      <c r="E212" t="inlineStr">
        <is>
          <t>FILIPSTAD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67852-2020</t>
        </is>
      </c>
      <c r="B213" s="1" t="n">
        <v>44182</v>
      </c>
      <c r="C213" s="1" t="n">
        <v>45510</v>
      </c>
      <c r="D213" t="inlineStr">
        <is>
          <t>VÄRMLANDS LÄN</t>
        </is>
      </c>
      <c r="E213" t="inlineStr">
        <is>
          <t>FILIPSTAD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68517-2020</t>
        </is>
      </c>
      <c r="B214" s="1" t="n">
        <v>44186</v>
      </c>
      <c r="C214" s="1" t="n">
        <v>45510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68515-2020</t>
        </is>
      </c>
      <c r="B215" s="1" t="n">
        <v>44186</v>
      </c>
      <c r="C215" s="1" t="n">
        <v>45510</v>
      </c>
      <c r="D215" t="inlineStr">
        <is>
          <t>VÄRMLANDS LÄN</t>
        </is>
      </c>
      <c r="E215" t="inlineStr">
        <is>
          <t>FILIPSTAD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68620-2020</t>
        </is>
      </c>
      <c r="B216" s="1" t="n">
        <v>44186</v>
      </c>
      <c r="C216" s="1" t="n">
        <v>45510</v>
      </c>
      <c r="D216" t="inlineStr">
        <is>
          <t>VÄRMLANDS LÄN</t>
        </is>
      </c>
      <c r="E216" t="inlineStr">
        <is>
          <t>FILIPSTAD</t>
        </is>
      </c>
      <c r="G216" t="n">
        <v>29.6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68877-2020</t>
        </is>
      </c>
      <c r="B217" s="1" t="n">
        <v>44187</v>
      </c>
      <c r="C217" s="1" t="n">
        <v>45510</v>
      </c>
      <c r="D217" t="inlineStr">
        <is>
          <t>VÄRMLANDS LÄN</t>
        </is>
      </c>
      <c r="E217" t="inlineStr">
        <is>
          <t>FILIPSTAD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1391-2021</t>
        </is>
      </c>
      <c r="B218" s="1" t="n">
        <v>44208</v>
      </c>
      <c r="C218" s="1" t="n">
        <v>45510</v>
      </c>
      <c r="D218" t="inlineStr">
        <is>
          <t>VÄRMLANDS LÄN</t>
        </is>
      </c>
      <c r="E218" t="inlineStr">
        <is>
          <t>FILIPSTAD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2672-2021</t>
        </is>
      </c>
      <c r="B219" s="1" t="n">
        <v>44214</v>
      </c>
      <c r="C219" s="1" t="n">
        <v>45510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4420-2021</t>
        </is>
      </c>
      <c r="B220" s="1" t="n">
        <v>44224</v>
      </c>
      <c r="C220" s="1" t="n">
        <v>45510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4617-2021</t>
        </is>
      </c>
      <c r="B221" s="1" t="n">
        <v>44224</v>
      </c>
      <c r="C221" s="1" t="n">
        <v>45510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4475-2021</t>
        </is>
      </c>
      <c r="B222" s="1" t="n">
        <v>44224</v>
      </c>
      <c r="C222" s="1" t="n">
        <v>45510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4619-2021</t>
        </is>
      </c>
      <c r="B223" s="1" t="n">
        <v>44224</v>
      </c>
      <c r="C223" s="1" t="n">
        <v>45510</v>
      </c>
      <c r="D223" t="inlineStr">
        <is>
          <t>VÄRMLANDS LÄN</t>
        </is>
      </c>
      <c r="E223" t="inlineStr">
        <is>
          <t>FILIPSTAD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4738-2021</t>
        </is>
      </c>
      <c r="B224" s="1" t="n">
        <v>44225</v>
      </c>
      <c r="C224" s="1" t="n">
        <v>45510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5141-2021</t>
        </is>
      </c>
      <c r="B225" s="1" t="n">
        <v>44228</v>
      </c>
      <c r="C225" s="1" t="n">
        <v>45510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5176-2021</t>
        </is>
      </c>
      <c r="B226" s="1" t="n">
        <v>44228</v>
      </c>
      <c r="C226" s="1" t="n">
        <v>45510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5342-2021</t>
        </is>
      </c>
      <c r="B227" s="1" t="n">
        <v>44229</v>
      </c>
      <c r="C227" s="1" t="n">
        <v>45510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5729-2021</t>
        </is>
      </c>
      <c r="B228" s="1" t="n">
        <v>44229</v>
      </c>
      <c r="C228" s="1" t="n">
        <v>45510</v>
      </c>
      <c r="D228" t="inlineStr">
        <is>
          <t>VÄRMLANDS LÄN</t>
        </is>
      </c>
      <c r="E228" t="inlineStr">
        <is>
          <t>FILIPSTAD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5834-2021</t>
        </is>
      </c>
      <c r="B229" s="1" t="n">
        <v>44231</v>
      </c>
      <c r="C229" s="1" t="n">
        <v>45510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6539-2021</t>
        </is>
      </c>
      <c r="B230" s="1" t="n">
        <v>44235</v>
      </c>
      <c r="C230" s="1" t="n">
        <v>45510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6542-2021</t>
        </is>
      </c>
      <c r="B231" s="1" t="n">
        <v>44235</v>
      </c>
      <c r="C231" s="1" t="n">
        <v>45510</v>
      </c>
      <c r="D231" t="inlineStr">
        <is>
          <t>VÄRMLANDS LÄN</t>
        </is>
      </c>
      <c r="E231" t="inlineStr">
        <is>
          <t>FILIPSTAD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6770-2021</t>
        </is>
      </c>
      <c r="B232" s="1" t="n">
        <v>44236</v>
      </c>
      <c r="C232" s="1" t="n">
        <v>45510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7593-2021</t>
        </is>
      </c>
      <c r="B233" s="1" t="n">
        <v>44241</v>
      </c>
      <c r="C233" s="1" t="n">
        <v>45510</v>
      </c>
      <c r="D233" t="inlineStr">
        <is>
          <t>VÄRMLANDS LÄN</t>
        </is>
      </c>
      <c r="E233" t="inlineStr">
        <is>
          <t>FILIPSTAD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10501-2021</t>
        </is>
      </c>
      <c r="B234" s="1" t="n">
        <v>44258</v>
      </c>
      <c r="C234" s="1" t="n">
        <v>45510</v>
      </c>
      <c r="D234" t="inlineStr">
        <is>
          <t>VÄRMLANDS LÄN</t>
        </is>
      </c>
      <c r="E234" t="inlineStr">
        <is>
          <t>FILIPSTAD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13932-2021</t>
        </is>
      </c>
      <c r="B235" s="1" t="n">
        <v>44277</v>
      </c>
      <c r="C235" s="1" t="n">
        <v>45510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17809-2021</t>
        </is>
      </c>
      <c r="B236" s="1" t="n">
        <v>44300</v>
      </c>
      <c r="C236" s="1" t="n">
        <v>45510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45510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17813-2021</t>
        </is>
      </c>
      <c r="B238" s="1" t="n">
        <v>44300</v>
      </c>
      <c r="C238" s="1" t="n">
        <v>45510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18235-2021</t>
        </is>
      </c>
      <c r="B239" s="1" t="n">
        <v>44303</v>
      </c>
      <c r="C239" s="1" t="n">
        <v>45510</v>
      </c>
      <c r="D239" t="inlineStr">
        <is>
          <t>VÄRMLANDS LÄN</t>
        </is>
      </c>
      <c r="E239" t="inlineStr">
        <is>
          <t>FILIPSTAD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20954-2021</t>
        </is>
      </c>
      <c r="B240" s="1" t="n">
        <v>44319</v>
      </c>
      <c r="C240" s="1" t="n">
        <v>45510</v>
      </c>
      <c r="D240" t="inlineStr">
        <is>
          <t>VÄRMLANDS LÄN</t>
        </is>
      </c>
      <c r="E240" t="inlineStr">
        <is>
          <t>FILIPSTAD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22654-2021</t>
        </is>
      </c>
      <c r="B241" s="1" t="n">
        <v>44327</v>
      </c>
      <c r="C241" s="1" t="n">
        <v>45510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22933-2021</t>
        </is>
      </c>
      <c r="B242" s="1" t="n">
        <v>44327</v>
      </c>
      <c r="C242" s="1" t="n">
        <v>45510</v>
      </c>
      <c r="D242" t="inlineStr">
        <is>
          <t>VÄRMLANDS LÄN</t>
        </is>
      </c>
      <c r="E242" t="inlineStr">
        <is>
          <t>FILIPSTAD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22930-2021</t>
        </is>
      </c>
      <c r="B243" s="1" t="n">
        <v>44327</v>
      </c>
      <c r="C243" s="1" t="n">
        <v>45510</v>
      </c>
      <c r="D243" t="inlineStr">
        <is>
          <t>VÄRMLANDS LÄN</t>
        </is>
      </c>
      <c r="E243" t="inlineStr">
        <is>
          <t>FILIPSTAD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23236-2021</t>
        </is>
      </c>
      <c r="B244" s="1" t="n">
        <v>44333</v>
      </c>
      <c r="C244" s="1" t="n">
        <v>45510</v>
      </c>
      <c r="D244" t="inlineStr">
        <is>
          <t>VÄRMLANDS LÄN</t>
        </is>
      </c>
      <c r="E244" t="inlineStr">
        <is>
          <t>FILIPSTAD</t>
        </is>
      </c>
      <c r="F244" t="inlineStr">
        <is>
          <t>Kyrkan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26377-2021</t>
        </is>
      </c>
      <c r="B245" s="1" t="n">
        <v>44347</v>
      </c>
      <c r="C245" s="1" t="n">
        <v>45510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28351-2021</t>
        </is>
      </c>
      <c r="B246" s="1" t="n">
        <v>44356</v>
      </c>
      <c r="C246" s="1" t="n">
        <v>45510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30524-2021</t>
        </is>
      </c>
      <c r="B247" s="1" t="n">
        <v>44364</v>
      </c>
      <c r="C247" s="1" t="n">
        <v>45510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31189-2021</t>
        </is>
      </c>
      <c r="B248" s="1" t="n">
        <v>44368</v>
      </c>
      <c r="C248" s="1" t="n">
        <v>45510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35737-2021</t>
        </is>
      </c>
      <c r="B249" s="1" t="n">
        <v>44386</v>
      </c>
      <c r="C249" s="1" t="n">
        <v>45510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36042-2021</t>
        </is>
      </c>
      <c r="B250" s="1" t="n">
        <v>44386</v>
      </c>
      <c r="C250" s="1" t="n">
        <v>45510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37008-2021</t>
        </is>
      </c>
      <c r="B251" s="1" t="n">
        <v>44393</v>
      </c>
      <c r="C251" s="1" t="n">
        <v>45510</v>
      </c>
      <c r="D251" t="inlineStr">
        <is>
          <t>VÄRMLANDS LÄN</t>
        </is>
      </c>
      <c r="E251" t="inlineStr">
        <is>
          <t>FILIPSTAD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37784-2021</t>
        </is>
      </c>
      <c r="B252" s="1" t="n">
        <v>44401</v>
      </c>
      <c r="C252" s="1" t="n">
        <v>45510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37783-2021</t>
        </is>
      </c>
      <c r="B253" s="1" t="n">
        <v>44401</v>
      </c>
      <c r="C253" s="1" t="n">
        <v>45510</v>
      </c>
      <c r="D253" t="inlineStr">
        <is>
          <t>VÄRMLANDS LÄN</t>
        </is>
      </c>
      <c r="E253" t="inlineStr">
        <is>
          <t>FILIPSTAD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40953-2021</t>
        </is>
      </c>
      <c r="B254" s="1" t="n">
        <v>44421</v>
      </c>
      <c r="C254" s="1" t="n">
        <v>45510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43643-2021</t>
        </is>
      </c>
      <c r="B255" s="1" t="n">
        <v>44433</v>
      </c>
      <c r="C255" s="1" t="n">
        <v>45510</v>
      </c>
      <c r="D255" t="inlineStr">
        <is>
          <t>VÄRMLANDS LÄN</t>
        </is>
      </c>
      <c r="E255" t="inlineStr">
        <is>
          <t>FILIPSTAD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43634-2021</t>
        </is>
      </c>
      <c r="B256" s="1" t="n">
        <v>44433</v>
      </c>
      <c r="C256" s="1" t="n">
        <v>45510</v>
      </c>
      <c r="D256" t="inlineStr">
        <is>
          <t>VÄRMLANDS LÄN</t>
        </is>
      </c>
      <c r="E256" t="inlineStr">
        <is>
          <t>FILIPSTAD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44178-2021</t>
        </is>
      </c>
      <c r="B257" s="1" t="n">
        <v>44434</v>
      </c>
      <c r="C257" s="1" t="n">
        <v>45510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44384-2021</t>
        </is>
      </c>
      <c r="B258" s="1" t="n">
        <v>44435</v>
      </c>
      <c r="C258" s="1" t="n">
        <v>45510</v>
      </c>
      <c r="D258" t="inlineStr">
        <is>
          <t>VÄRMLANDS LÄN</t>
        </is>
      </c>
      <c r="E258" t="inlineStr">
        <is>
          <t>FILIPSTAD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44401-2021</t>
        </is>
      </c>
      <c r="B259" s="1" t="n">
        <v>44435</v>
      </c>
      <c r="C259" s="1" t="n">
        <v>45510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45139-2021</t>
        </is>
      </c>
      <c r="B260" s="1" t="n">
        <v>44439</v>
      </c>
      <c r="C260" s="1" t="n">
        <v>45510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46546-2021</t>
        </is>
      </c>
      <c r="B261" s="1" t="n">
        <v>44445</v>
      </c>
      <c r="C261" s="1" t="n">
        <v>45510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47673-2021</t>
        </is>
      </c>
      <c r="B262" s="1" t="n">
        <v>44448</v>
      </c>
      <c r="C262" s="1" t="n">
        <v>45510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48101-2021</t>
        </is>
      </c>
      <c r="B263" s="1" t="n">
        <v>44449</v>
      </c>
      <c r="C263" s="1" t="n">
        <v>45510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49736-2021</t>
        </is>
      </c>
      <c r="B264" s="1" t="n">
        <v>44453</v>
      </c>
      <c r="C264" s="1" t="n">
        <v>45510</v>
      </c>
      <c r="D264" t="inlineStr">
        <is>
          <t>VÄRMLANDS LÄN</t>
        </is>
      </c>
      <c r="E264" t="inlineStr">
        <is>
          <t>FILIPSTAD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50009-2021</t>
        </is>
      </c>
      <c r="B265" s="1" t="n">
        <v>44454</v>
      </c>
      <c r="C265" s="1" t="n">
        <v>45510</v>
      </c>
      <c r="D265" t="inlineStr">
        <is>
          <t>VÄRMLANDS LÄN</t>
        </is>
      </c>
      <c r="E265" t="inlineStr">
        <is>
          <t>FILIPSTAD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49999-2021</t>
        </is>
      </c>
      <c r="B266" s="1" t="n">
        <v>44454</v>
      </c>
      <c r="C266" s="1" t="n">
        <v>45510</v>
      </c>
      <c r="D266" t="inlineStr">
        <is>
          <t>VÄRMLANDS LÄN</t>
        </is>
      </c>
      <c r="E266" t="inlineStr">
        <is>
          <t>FILIPSTAD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50063-2021</t>
        </is>
      </c>
      <c r="B267" s="1" t="n">
        <v>44456</v>
      </c>
      <c r="C267" s="1" t="n">
        <v>45510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50914-2021</t>
        </is>
      </c>
      <c r="B268" s="1" t="n">
        <v>44460</v>
      </c>
      <c r="C268" s="1" t="n">
        <v>45510</v>
      </c>
      <c r="D268" t="inlineStr">
        <is>
          <t>VÄRMLANDS LÄN</t>
        </is>
      </c>
      <c r="E268" t="inlineStr">
        <is>
          <t>FILIPSTAD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51266-2021</t>
        </is>
      </c>
      <c r="B269" s="1" t="n">
        <v>44461</v>
      </c>
      <c r="C269" s="1" t="n">
        <v>45510</v>
      </c>
      <c r="D269" t="inlineStr">
        <is>
          <t>VÄRMLANDS LÄN</t>
        </is>
      </c>
      <c r="E269" t="inlineStr">
        <is>
          <t>FILIPSTAD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52384-2021</t>
        </is>
      </c>
      <c r="B270" s="1" t="n">
        <v>44465</v>
      </c>
      <c r="C270" s="1" t="n">
        <v>45510</v>
      </c>
      <c r="D270" t="inlineStr">
        <is>
          <t>VÄRMLANDS LÄN</t>
        </is>
      </c>
      <c r="E270" t="inlineStr">
        <is>
          <t>FILIPSTAD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52977-2021</t>
        </is>
      </c>
      <c r="B271" s="1" t="n">
        <v>44467</v>
      </c>
      <c r="C271" s="1" t="n">
        <v>45510</v>
      </c>
      <c r="D271" t="inlineStr">
        <is>
          <t>VÄRMLANDS LÄN</t>
        </is>
      </c>
      <c r="E271" t="inlineStr">
        <is>
          <t>FILIPSTAD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52986-2021</t>
        </is>
      </c>
      <c r="B272" s="1" t="n">
        <v>44467</v>
      </c>
      <c r="C272" s="1" t="n">
        <v>45510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52992-2021</t>
        </is>
      </c>
      <c r="B273" s="1" t="n">
        <v>44467</v>
      </c>
      <c r="C273" s="1" t="n">
        <v>45510</v>
      </c>
      <c r="D273" t="inlineStr">
        <is>
          <t>VÄRMLANDS LÄN</t>
        </is>
      </c>
      <c r="E273" t="inlineStr">
        <is>
          <t>FILIPSTAD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52981-2021</t>
        </is>
      </c>
      <c r="B274" s="1" t="n">
        <v>44467</v>
      </c>
      <c r="C274" s="1" t="n">
        <v>45510</v>
      </c>
      <c r="D274" t="inlineStr">
        <is>
          <t>VÄRMLANDS LÄN</t>
        </is>
      </c>
      <c r="E274" t="inlineStr">
        <is>
          <t>FILIPSTAD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54008-2021</t>
        </is>
      </c>
      <c r="B275" s="1" t="n">
        <v>44470</v>
      </c>
      <c r="C275" s="1" t="n">
        <v>45510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54247-2021</t>
        </is>
      </c>
      <c r="B276" s="1" t="n">
        <v>44470</v>
      </c>
      <c r="C276" s="1" t="n">
        <v>45510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55548-2021</t>
        </is>
      </c>
      <c r="B277" s="1" t="n">
        <v>44475</v>
      </c>
      <c r="C277" s="1" t="n">
        <v>45510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57090-2021</t>
        </is>
      </c>
      <c r="B278" s="1" t="n">
        <v>44482</v>
      </c>
      <c r="C278" s="1" t="n">
        <v>45510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57087-2021</t>
        </is>
      </c>
      <c r="B279" s="1" t="n">
        <v>44482</v>
      </c>
      <c r="C279" s="1" t="n">
        <v>45510</v>
      </c>
      <c r="D279" t="inlineStr">
        <is>
          <t>VÄRMLANDS LÄN</t>
        </is>
      </c>
      <c r="E279" t="inlineStr">
        <is>
          <t>FILIPSTAD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59954-2021</t>
        </is>
      </c>
      <c r="B280" s="1" t="n">
        <v>44494</v>
      </c>
      <c r="C280" s="1" t="n">
        <v>45510</v>
      </c>
      <c r="D280" t="inlineStr">
        <is>
          <t>VÄRMLANDS LÄN</t>
        </is>
      </c>
      <c r="E280" t="inlineStr">
        <is>
          <t>FILIPSTAD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60374-2021</t>
        </is>
      </c>
      <c r="B281" s="1" t="n">
        <v>44496</v>
      </c>
      <c r="C281" s="1" t="n">
        <v>45510</v>
      </c>
      <c r="D281" t="inlineStr">
        <is>
          <t>VÄRMLANDS LÄN</t>
        </is>
      </c>
      <c r="E281" t="inlineStr">
        <is>
          <t>FILIPSTAD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60377-2021</t>
        </is>
      </c>
      <c r="B282" s="1" t="n">
        <v>44496</v>
      </c>
      <c r="C282" s="1" t="n">
        <v>45510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61673-2021</t>
        </is>
      </c>
      <c r="B283" s="1" t="n">
        <v>44501</v>
      </c>
      <c r="C283" s="1" t="n">
        <v>45510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62313-2021</t>
        </is>
      </c>
      <c r="B284" s="1" t="n">
        <v>44503</v>
      </c>
      <c r="C284" s="1" t="n">
        <v>45510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63140-2021</t>
        </is>
      </c>
      <c r="B285" s="1" t="n">
        <v>44505</v>
      </c>
      <c r="C285" s="1" t="n">
        <v>45510</v>
      </c>
      <c r="D285" t="inlineStr">
        <is>
          <t>VÄRMLANDS LÄN</t>
        </is>
      </c>
      <c r="E285" t="inlineStr">
        <is>
          <t>FILIPSTAD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63144-2021</t>
        </is>
      </c>
      <c r="B286" s="1" t="n">
        <v>44505</v>
      </c>
      <c r="C286" s="1" t="n">
        <v>45510</v>
      </c>
      <c r="D286" t="inlineStr">
        <is>
          <t>VÄRMLANDS LÄN</t>
        </is>
      </c>
      <c r="E286" t="inlineStr">
        <is>
          <t>FILIPSTAD</t>
        </is>
      </c>
      <c r="G286" t="n">
        <v>24.3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63714-2021</t>
        </is>
      </c>
      <c r="B287" s="1" t="n">
        <v>44505</v>
      </c>
      <c r="C287" s="1" t="n">
        <v>45510</v>
      </c>
      <c r="D287" t="inlineStr">
        <is>
          <t>VÄRMLANDS LÄN</t>
        </is>
      </c>
      <c r="E287" t="inlineStr">
        <is>
          <t>FILIPSTAD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63482-2021</t>
        </is>
      </c>
      <c r="B288" s="1" t="n">
        <v>44508</v>
      </c>
      <c r="C288" s="1" t="n">
        <v>45510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63766-2021</t>
        </is>
      </c>
      <c r="B289" s="1" t="n">
        <v>44509</v>
      </c>
      <c r="C289" s="1" t="n">
        <v>45510</v>
      </c>
      <c r="D289" t="inlineStr">
        <is>
          <t>VÄRMLANDS LÄN</t>
        </is>
      </c>
      <c r="E289" t="inlineStr">
        <is>
          <t>FILIPSTAD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64526-2021</t>
        </is>
      </c>
      <c r="B290" s="1" t="n">
        <v>44511</v>
      </c>
      <c r="C290" s="1" t="n">
        <v>45510</v>
      </c>
      <c r="D290" t="inlineStr">
        <is>
          <t>VÄRMLANDS LÄN</t>
        </is>
      </c>
      <c r="E290" t="inlineStr">
        <is>
          <t>FILIPSTAD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65174-2021</t>
        </is>
      </c>
      <c r="B291" s="1" t="n">
        <v>44515</v>
      </c>
      <c r="C291" s="1" t="n">
        <v>45510</v>
      </c>
      <c r="D291" t="inlineStr">
        <is>
          <t>VÄRMLANDS LÄN</t>
        </is>
      </c>
      <c r="E291" t="inlineStr">
        <is>
          <t>FILIPSTAD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65183-2021</t>
        </is>
      </c>
      <c r="B292" s="1" t="n">
        <v>44515</v>
      </c>
      <c r="C292" s="1" t="n">
        <v>45510</v>
      </c>
      <c r="D292" t="inlineStr">
        <is>
          <t>VÄRMLANDS LÄN</t>
        </is>
      </c>
      <c r="E292" t="inlineStr">
        <is>
          <t>FILIPSTAD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65167-2021</t>
        </is>
      </c>
      <c r="B293" s="1" t="n">
        <v>44515</v>
      </c>
      <c r="C293" s="1" t="n">
        <v>45510</v>
      </c>
      <c r="D293" t="inlineStr">
        <is>
          <t>VÄRMLANDS LÄN</t>
        </is>
      </c>
      <c r="E293" t="inlineStr">
        <is>
          <t>FILIPSTAD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65354-2021</t>
        </is>
      </c>
      <c r="B294" s="1" t="n">
        <v>44515</v>
      </c>
      <c r="C294" s="1" t="n">
        <v>45510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65298-2021</t>
        </is>
      </c>
      <c r="B295" s="1" t="n">
        <v>44515</v>
      </c>
      <c r="C295" s="1" t="n">
        <v>45510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66376-2021</t>
        </is>
      </c>
      <c r="B296" s="1" t="n">
        <v>44518</v>
      </c>
      <c r="C296" s="1" t="n">
        <v>45510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67445-2021</t>
        </is>
      </c>
      <c r="B297" s="1" t="n">
        <v>44524</v>
      </c>
      <c r="C297" s="1" t="n">
        <v>45510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67734-2021</t>
        </is>
      </c>
      <c r="B298" s="1" t="n">
        <v>44525</v>
      </c>
      <c r="C298" s="1" t="n">
        <v>45510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69015-2021</t>
        </is>
      </c>
      <c r="B299" s="1" t="n">
        <v>44530</v>
      </c>
      <c r="C299" s="1" t="n">
        <v>45510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69658-2021</t>
        </is>
      </c>
      <c r="B300" s="1" t="n">
        <v>44532</v>
      </c>
      <c r="C300" s="1" t="n">
        <v>45510</v>
      </c>
      <c r="D300" t="inlineStr">
        <is>
          <t>VÄRMLANDS LÄN</t>
        </is>
      </c>
      <c r="E300" t="inlineStr">
        <is>
          <t>FILIPSTAD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70276-2021</t>
        </is>
      </c>
      <c r="B301" s="1" t="n">
        <v>44536</v>
      </c>
      <c r="C301" s="1" t="n">
        <v>45510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70405-2021</t>
        </is>
      </c>
      <c r="B302" s="1" t="n">
        <v>44536</v>
      </c>
      <c r="C302" s="1" t="n">
        <v>45510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70732-2021</t>
        </is>
      </c>
      <c r="B303" s="1" t="n">
        <v>44537</v>
      </c>
      <c r="C303" s="1" t="n">
        <v>45510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72118-2021</t>
        </is>
      </c>
      <c r="B304" s="1" t="n">
        <v>44543</v>
      </c>
      <c r="C304" s="1" t="n">
        <v>45510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71971-2021</t>
        </is>
      </c>
      <c r="B305" s="1" t="n">
        <v>44544</v>
      </c>
      <c r="C305" s="1" t="n">
        <v>45510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72076-2021</t>
        </is>
      </c>
      <c r="B306" s="1" t="n">
        <v>44544</v>
      </c>
      <c r="C306" s="1" t="n">
        <v>45510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72334-2021</t>
        </is>
      </c>
      <c r="B307" s="1" t="n">
        <v>44545</v>
      </c>
      <c r="C307" s="1" t="n">
        <v>45510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72564-2021</t>
        </is>
      </c>
      <c r="B308" s="1" t="n">
        <v>44546</v>
      </c>
      <c r="C308" s="1" t="n">
        <v>45510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73664-2021</t>
        </is>
      </c>
      <c r="B309" s="1" t="n">
        <v>44552</v>
      </c>
      <c r="C309" s="1" t="n">
        <v>45510</v>
      </c>
      <c r="D309" t="inlineStr">
        <is>
          <t>VÄRMLANDS LÄN</t>
        </is>
      </c>
      <c r="E309" t="inlineStr">
        <is>
          <t>FILIPSTAD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2440-2022</t>
        </is>
      </c>
      <c r="B310" s="1" t="n">
        <v>44579</v>
      </c>
      <c r="C310" s="1" t="n">
        <v>45510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2443-2022</t>
        </is>
      </c>
      <c r="B311" s="1" t="n">
        <v>44579</v>
      </c>
      <c r="C311" s="1" t="n">
        <v>45510</v>
      </c>
      <c r="D311" t="inlineStr">
        <is>
          <t>VÄRMLANDS LÄN</t>
        </is>
      </c>
      <c r="E311" t="inlineStr">
        <is>
          <t>FILIPSTAD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4191-2022</t>
        </is>
      </c>
      <c r="B312" s="1" t="n">
        <v>44588</v>
      </c>
      <c r="C312" s="1" t="n">
        <v>45510</v>
      </c>
      <c r="D312" t="inlineStr">
        <is>
          <t>VÄRMLANDS LÄN</t>
        </is>
      </c>
      <c r="E312" t="inlineStr">
        <is>
          <t>FILIPSTAD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5750-2022</t>
        </is>
      </c>
      <c r="B313" s="1" t="n">
        <v>44596</v>
      </c>
      <c r="C313" s="1" t="n">
        <v>45510</v>
      </c>
      <c r="D313" t="inlineStr">
        <is>
          <t>VÄRMLANDS LÄN</t>
        </is>
      </c>
      <c r="E313" t="inlineStr">
        <is>
          <t>FILIPSTAD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5754-2022</t>
        </is>
      </c>
      <c r="B314" s="1" t="n">
        <v>44596</v>
      </c>
      <c r="C314" s="1" t="n">
        <v>45510</v>
      </c>
      <c r="D314" t="inlineStr">
        <is>
          <t>VÄRMLANDS LÄN</t>
        </is>
      </c>
      <c r="E314" t="inlineStr">
        <is>
          <t>FILIPSTAD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5928-2022</t>
        </is>
      </c>
      <c r="B315" s="1" t="n">
        <v>44598</v>
      </c>
      <c r="C315" s="1" t="n">
        <v>45510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7292-2022</t>
        </is>
      </c>
      <c r="B316" s="1" t="n">
        <v>44606</v>
      </c>
      <c r="C316" s="1" t="n">
        <v>45510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7415-2022</t>
        </is>
      </c>
      <c r="B317" s="1" t="n">
        <v>44606</v>
      </c>
      <c r="C317" s="1" t="n">
        <v>45510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8482-2022</t>
        </is>
      </c>
      <c r="B318" s="1" t="n">
        <v>44613</v>
      </c>
      <c r="C318" s="1" t="n">
        <v>45510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12247-2022</t>
        </is>
      </c>
      <c r="B319" s="1" t="n">
        <v>44637</v>
      </c>
      <c r="C319" s="1" t="n">
        <v>45510</v>
      </c>
      <c r="D319" t="inlineStr">
        <is>
          <t>VÄRMLANDS LÄN</t>
        </is>
      </c>
      <c r="E319" t="inlineStr">
        <is>
          <t>FILIPSTAD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14077-2022</t>
        </is>
      </c>
      <c r="B320" s="1" t="n">
        <v>44651</v>
      </c>
      <c r="C320" s="1" t="n">
        <v>45510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14074-2022</t>
        </is>
      </c>
      <c r="B321" s="1" t="n">
        <v>44651</v>
      </c>
      <c r="C321" s="1" t="n">
        <v>45510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14582-2022</t>
        </is>
      </c>
      <c r="B322" s="1" t="n">
        <v>44655</v>
      </c>
      <c r="C322" s="1" t="n">
        <v>45510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15932-2022</t>
        </is>
      </c>
      <c r="B323" s="1" t="n">
        <v>44664</v>
      </c>
      <c r="C323" s="1" t="n">
        <v>45510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15901-2022</t>
        </is>
      </c>
      <c r="B324" s="1" t="n">
        <v>44664</v>
      </c>
      <c r="C324" s="1" t="n">
        <v>45510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16303-2022</t>
        </is>
      </c>
      <c r="B325" s="1" t="n">
        <v>44670</v>
      </c>
      <c r="C325" s="1" t="n">
        <v>45510</v>
      </c>
      <c r="D325" t="inlineStr">
        <is>
          <t>VÄRMLANDS LÄN</t>
        </is>
      </c>
      <c r="E325" t="inlineStr">
        <is>
          <t>FILIPSTAD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16591-2022</t>
        </is>
      </c>
      <c r="B326" s="1" t="n">
        <v>44672</v>
      </c>
      <c r="C326" s="1" t="n">
        <v>45510</v>
      </c>
      <c r="D326" t="inlineStr">
        <is>
          <t>VÄRMLANDS LÄN</t>
        </is>
      </c>
      <c r="E326" t="inlineStr">
        <is>
          <t>FILIPSTAD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18138-2022</t>
        </is>
      </c>
      <c r="B327" s="1" t="n">
        <v>44684</v>
      </c>
      <c r="C327" s="1" t="n">
        <v>45510</v>
      </c>
      <c r="D327" t="inlineStr">
        <is>
          <t>VÄRMLANDS LÄN</t>
        </is>
      </c>
      <c r="E327" t="inlineStr">
        <is>
          <t>FILIPSTAD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19018-2022</t>
        </is>
      </c>
      <c r="B328" s="1" t="n">
        <v>44691</v>
      </c>
      <c r="C328" s="1" t="n">
        <v>45510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19030-2022</t>
        </is>
      </c>
      <c r="B329" s="1" t="n">
        <v>44691</v>
      </c>
      <c r="C329" s="1" t="n">
        <v>45510</v>
      </c>
      <c r="D329" t="inlineStr">
        <is>
          <t>VÄRMLANDS LÄN</t>
        </is>
      </c>
      <c r="E329" t="inlineStr">
        <is>
          <t>FILIPSTAD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19626-2022</t>
        </is>
      </c>
      <c r="B330" s="1" t="n">
        <v>44694</v>
      </c>
      <c r="C330" s="1" t="n">
        <v>45510</v>
      </c>
      <c r="D330" t="inlineStr">
        <is>
          <t>VÄRMLANDS LÄN</t>
        </is>
      </c>
      <c r="E330" t="inlineStr">
        <is>
          <t>FILIPSTAD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21311-2022</t>
        </is>
      </c>
      <c r="B331" s="1" t="n">
        <v>44705</v>
      </c>
      <c r="C331" s="1" t="n">
        <v>45510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22356-2022</t>
        </is>
      </c>
      <c r="B332" s="1" t="n">
        <v>44713</v>
      </c>
      <c r="C332" s="1" t="n">
        <v>45510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23063-2022</t>
        </is>
      </c>
      <c r="B333" s="1" t="n">
        <v>44719</v>
      </c>
      <c r="C333" s="1" t="n">
        <v>45510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24442-2022</t>
        </is>
      </c>
      <c r="B334" s="1" t="n">
        <v>44726</v>
      </c>
      <c r="C334" s="1" t="n">
        <v>45510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24412-2022</t>
        </is>
      </c>
      <c r="B335" s="1" t="n">
        <v>44726</v>
      </c>
      <c r="C335" s="1" t="n">
        <v>45510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24463-2022</t>
        </is>
      </c>
      <c r="B336" s="1" t="n">
        <v>44726</v>
      </c>
      <c r="C336" s="1" t="n">
        <v>45510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26831-2022</t>
        </is>
      </c>
      <c r="B337" s="1" t="n">
        <v>44740</v>
      </c>
      <c r="C337" s="1" t="n">
        <v>45510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26859-2022</t>
        </is>
      </c>
      <c r="B338" s="1" t="n">
        <v>44740</v>
      </c>
      <c r="C338" s="1" t="n">
        <v>45510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27789-2022</t>
        </is>
      </c>
      <c r="B339" s="1" t="n">
        <v>44743</v>
      </c>
      <c r="C339" s="1" t="n">
        <v>45510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28198-2022</t>
        </is>
      </c>
      <c r="B340" s="1" t="n">
        <v>44746</v>
      </c>
      <c r="C340" s="1" t="n">
        <v>45510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31133-2022</t>
        </is>
      </c>
      <c r="B341" s="1" t="n">
        <v>44770</v>
      </c>
      <c r="C341" s="1" t="n">
        <v>45510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32680-2022</t>
        </is>
      </c>
      <c r="B342" s="1" t="n">
        <v>44783</v>
      </c>
      <c r="C342" s="1" t="n">
        <v>45510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33368-2022</t>
        </is>
      </c>
      <c r="B343" s="1" t="n">
        <v>44788</v>
      </c>
      <c r="C343" s="1" t="n">
        <v>45510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33671-2022</t>
        </is>
      </c>
      <c r="B344" s="1" t="n">
        <v>44789</v>
      </c>
      <c r="C344" s="1" t="n">
        <v>45510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34559-2022</t>
        </is>
      </c>
      <c r="B345" s="1" t="n">
        <v>44794</v>
      </c>
      <c r="C345" s="1" t="n">
        <v>45510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35712-2022</t>
        </is>
      </c>
      <c r="B346" s="1" t="n">
        <v>44799</v>
      </c>
      <c r="C346" s="1" t="n">
        <v>45510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35799-2022</t>
        </is>
      </c>
      <c r="B347" s="1" t="n">
        <v>44802</v>
      </c>
      <c r="C347" s="1" t="n">
        <v>45510</v>
      </c>
      <c r="D347" t="inlineStr">
        <is>
          <t>VÄRMLANDS LÄN</t>
        </is>
      </c>
      <c r="E347" t="inlineStr">
        <is>
          <t>FILIPSTAD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36251-2022</t>
        </is>
      </c>
      <c r="B348" s="1" t="n">
        <v>44803</v>
      </c>
      <c r="C348" s="1" t="n">
        <v>45510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36809-2022</t>
        </is>
      </c>
      <c r="B349" s="1" t="n">
        <v>44805</v>
      </c>
      <c r="C349" s="1" t="n">
        <v>45510</v>
      </c>
      <c r="D349" t="inlineStr">
        <is>
          <t>VÄRMLANDS LÄN</t>
        </is>
      </c>
      <c r="E349" t="inlineStr">
        <is>
          <t>FILIPSTAD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36827-2022</t>
        </is>
      </c>
      <c r="B350" s="1" t="n">
        <v>44805</v>
      </c>
      <c r="C350" s="1" t="n">
        <v>45510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37611-2022</t>
        </is>
      </c>
      <c r="B351" s="1" t="n">
        <v>44809</v>
      </c>
      <c r="C351" s="1" t="n">
        <v>45510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42759-2022</t>
        </is>
      </c>
      <c r="B352" s="1" t="n">
        <v>44832</v>
      </c>
      <c r="C352" s="1" t="n">
        <v>45510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42958-2022</t>
        </is>
      </c>
      <c r="B353" s="1" t="n">
        <v>44833</v>
      </c>
      <c r="C353" s="1" t="n">
        <v>45510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43313-2022</t>
        </is>
      </c>
      <c r="B354" s="1" t="n">
        <v>44834</v>
      </c>
      <c r="C354" s="1" t="n">
        <v>45510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43514-2022</t>
        </is>
      </c>
      <c r="B355" s="1" t="n">
        <v>44837</v>
      </c>
      <c r="C355" s="1" t="n">
        <v>45510</v>
      </c>
      <c r="D355" t="inlineStr">
        <is>
          <t>VÄRMLANDS LÄN</t>
        </is>
      </c>
      <c r="E355" t="inlineStr">
        <is>
          <t>FILIPSTAD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43586-2022</t>
        </is>
      </c>
      <c r="B356" s="1" t="n">
        <v>44837</v>
      </c>
      <c r="C356" s="1" t="n">
        <v>45510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44180-2022</t>
        </is>
      </c>
      <c r="B357" s="1" t="n">
        <v>44839</v>
      </c>
      <c r="C357" s="1" t="n">
        <v>45510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44683-2022</t>
        </is>
      </c>
      <c r="B358" s="1" t="n">
        <v>44840</v>
      </c>
      <c r="C358" s="1" t="n">
        <v>45510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44971-2022</t>
        </is>
      </c>
      <c r="B359" s="1" t="n">
        <v>44841</v>
      </c>
      <c r="C359" s="1" t="n">
        <v>45510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45372-2022</t>
        </is>
      </c>
      <c r="B360" s="1" t="n">
        <v>44844</v>
      </c>
      <c r="C360" s="1" t="n">
        <v>45510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46257-2022</t>
        </is>
      </c>
      <c r="B361" s="1" t="n">
        <v>44847</v>
      </c>
      <c r="C361" s="1" t="n">
        <v>45510</v>
      </c>
      <c r="D361" t="inlineStr">
        <is>
          <t>VÄRMLANDS LÄN</t>
        </is>
      </c>
      <c r="E361" t="inlineStr">
        <is>
          <t>FILIPSTAD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47188-2022</t>
        </is>
      </c>
      <c r="B362" s="1" t="n">
        <v>44852</v>
      </c>
      <c r="C362" s="1" t="n">
        <v>45510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47693-2022</t>
        </is>
      </c>
      <c r="B363" s="1" t="n">
        <v>44854</v>
      </c>
      <c r="C363" s="1" t="n">
        <v>45510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49046-2022</t>
        </is>
      </c>
      <c r="B364" s="1" t="n">
        <v>44860</v>
      </c>
      <c r="C364" s="1" t="n">
        <v>45510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50856-2022</t>
        </is>
      </c>
      <c r="B365" s="1" t="n">
        <v>44867</v>
      </c>
      <c r="C365" s="1" t="n">
        <v>45510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51492-2022</t>
        </is>
      </c>
      <c r="B366" s="1" t="n">
        <v>44869</v>
      </c>
      <c r="C366" s="1" t="n">
        <v>45510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51589-2022</t>
        </is>
      </c>
      <c r="B367" s="1" t="n">
        <v>44871</v>
      </c>
      <c r="C367" s="1" t="n">
        <v>45510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51618-2022</t>
        </is>
      </c>
      <c r="B368" s="1" t="n">
        <v>44872</v>
      </c>
      <c r="C368" s="1" t="n">
        <v>45510</v>
      </c>
      <c r="D368" t="inlineStr">
        <is>
          <t>VÄRMLANDS LÄN</t>
        </is>
      </c>
      <c r="E368" t="inlineStr">
        <is>
          <t>FILIPSTAD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53034-2022</t>
        </is>
      </c>
      <c r="B369" s="1" t="n">
        <v>44876</v>
      </c>
      <c r="C369" s="1" t="n">
        <v>45510</v>
      </c>
      <c r="D369" t="inlineStr">
        <is>
          <t>VÄRMLANDS LÄN</t>
        </is>
      </c>
      <c r="E369" t="inlineStr">
        <is>
          <t>FILIPSTAD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53208-2022</t>
        </is>
      </c>
      <c r="B370" s="1" t="n">
        <v>44876</v>
      </c>
      <c r="C370" s="1" t="n">
        <v>45510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53291-2022</t>
        </is>
      </c>
      <c r="B371" s="1" t="n">
        <v>44877</v>
      </c>
      <c r="C371" s="1" t="n">
        <v>45510</v>
      </c>
      <c r="D371" t="inlineStr">
        <is>
          <t>VÄRMLANDS LÄN</t>
        </is>
      </c>
      <c r="E371" t="inlineStr">
        <is>
          <t>FILIPSTAD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53422-2022</t>
        </is>
      </c>
      <c r="B372" s="1" t="n">
        <v>44879</v>
      </c>
      <c r="C372" s="1" t="n">
        <v>45510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53690-2022</t>
        </is>
      </c>
      <c r="B373" s="1" t="n">
        <v>44880</v>
      </c>
      <c r="C373" s="1" t="n">
        <v>45510</v>
      </c>
      <c r="D373" t="inlineStr">
        <is>
          <t>VÄRMLANDS LÄN</t>
        </is>
      </c>
      <c r="E373" t="inlineStr">
        <is>
          <t>FILIPSTAD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55268-2022</t>
        </is>
      </c>
      <c r="B374" s="1" t="n">
        <v>44887</v>
      </c>
      <c r="C374" s="1" t="n">
        <v>45510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55397-2022</t>
        </is>
      </c>
      <c r="B375" s="1" t="n">
        <v>44887</v>
      </c>
      <c r="C375" s="1" t="n">
        <v>45510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55782-2022</t>
        </is>
      </c>
      <c r="B376" s="1" t="n">
        <v>44888</v>
      </c>
      <c r="C376" s="1" t="n">
        <v>45510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55835-2022</t>
        </is>
      </c>
      <c r="B377" s="1" t="n">
        <v>44888</v>
      </c>
      <c r="C377" s="1" t="n">
        <v>45510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55978-2022</t>
        </is>
      </c>
      <c r="B378" s="1" t="n">
        <v>44889</v>
      </c>
      <c r="C378" s="1" t="n">
        <v>45510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55946-2022</t>
        </is>
      </c>
      <c r="B379" s="1" t="n">
        <v>44889</v>
      </c>
      <c r="C379" s="1" t="n">
        <v>45510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55960-2022</t>
        </is>
      </c>
      <c r="B380" s="1" t="n">
        <v>44889</v>
      </c>
      <c r="C380" s="1" t="n">
        <v>45510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56222-2022</t>
        </is>
      </c>
      <c r="B381" s="1" t="n">
        <v>44890</v>
      </c>
      <c r="C381" s="1" t="n">
        <v>45510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56334-2022</t>
        </is>
      </c>
      <c r="B382" s="1" t="n">
        <v>44890</v>
      </c>
      <c r="C382" s="1" t="n">
        <v>45510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56594-2022</t>
        </is>
      </c>
      <c r="B383" s="1" t="n">
        <v>44893</v>
      </c>
      <c r="C383" s="1" t="n">
        <v>45510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56693-2022</t>
        </is>
      </c>
      <c r="B384" s="1" t="n">
        <v>44893</v>
      </c>
      <c r="C384" s="1" t="n">
        <v>45510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57456-2022</t>
        </is>
      </c>
      <c r="B385" s="1" t="n">
        <v>44896</v>
      </c>
      <c r="C385" s="1" t="n">
        <v>45510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58855-2022</t>
        </is>
      </c>
      <c r="B386" s="1" t="n">
        <v>44903</v>
      </c>
      <c r="C386" s="1" t="n">
        <v>45510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59196-2022</t>
        </is>
      </c>
      <c r="B387" s="1" t="n">
        <v>44904</v>
      </c>
      <c r="C387" s="1" t="n">
        <v>45510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59342-2022</t>
        </is>
      </c>
      <c r="B388" s="1" t="n">
        <v>44904</v>
      </c>
      <c r="C388" s="1" t="n">
        <v>45510</v>
      </c>
      <c r="D388" t="inlineStr">
        <is>
          <t>VÄRMLANDS LÄN</t>
        </is>
      </c>
      <c r="E388" t="inlineStr">
        <is>
          <t>FILIPSTAD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59347-2022</t>
        </is>
      </c>
      <c r="B389" s="1" t="n">
        <v>44904</v>
      </c>
      <c r="C389" s="1" t="n">
        <v>45510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59343-2022</t>
        </is>
      </c>
      <c r="B390" s="1" t="n">
        <v>44904</v>
      </c>
      <c r="C390" s="1" t="n">
        <v>45510</v>
      </c>
      <c r="D390" t="inlineStr">
        <is>
          <t>VÄRMLANDS LÄN</t>
        </is>
      </c>
      <c r="E390" t="inlineStr">
        <is>
          <t>FILIPSTAD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60108-2022</t>
        </is>
      </c>
      <c r="B391" s="1" t="n">
        <v>44909</v>
      </c>
      <c r="C391" s="1" t="n">
        <v>45510</v>
      </c>
      <c r="D391" t="inlineStr">
        <is>
          <t>VÄRMLANDS LÄN</t>
        </is>
      </c>
      <c r="E391" t="inlineStr">
        <is>
          <t>FILIPSTAD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61628-2022</t>
        </is>
      </c>
      <c r="B392" s="1" t="n">
        <v>44911</v>
      </c>
      <c r="C392" s="1" t="n">
        <v>45510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61741-2022</t>
        </is>
      </c>
      <c r="B393" s="1" t="n">
        <v>44911</v>
      </c>
      <c r="C393" s="1" t="n">
        <v>45510</v>
      </c>
      <c r="D393" t="inlineStr">
        <is>
          <t>VÄRMLANDS LÄN</t>
        </is>
      </c>
      <c r="E393" t="inlineStr">
        <is>
          <t>FILIPSTAD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1042-2023</t>
        </is>
      </c>
      <c r="B394" s="1" t="n">
        <v>44935</v>
      </c>
      <c r="C394" s="1" t="n">
        <v>45510</v>
      </c>
      <c r="D394" t="inlineStr">
        <is>
          <t>VÄRMLANDS LÄN</t>
        </is>
      </c>
      <c r="E394" t="inlineStr">
        <is>
          <t>FILIPSTAD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1170-2023</t>
        </is>
      </c>
      <c r="B395" s="1" t="n">
        <v>44935</v>
      </c>
      <c r="C395" s="1" t="n">
        <v>45510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3844-2023</t>
        </is>
      </c>
      <c r="B396" s="1" t="n">
        <v>44951</v>
      </c>
      <c r="C396" s="1" t="n">
        <v>45510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4819-2023</t>
        </is>
      </c>
      <c r="B397" s="1" t="n">
        <v>44957</v>
      </c>
      <c r="C397" s="1" t="n">
        <v>45510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5992-2023</t>
        </is>
      </c>
      <c r="B398" s="1" t="n">
        <v>44959</v>
      </c>
      <c r="C398" s="1" t="n">
        <v>45510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6555-2023</t>
        </is>
      </c>
      <c r="B399" s="1" t="n">
        <v>44960</v>
      </c>
      <c r="C399" s="1" t="n">
        <v>45510</v>
      </c>
      <c r="D399" t="inlineStr">
        <is>
          <t>VÄRMLANDS LÄN</t>
        </is>
      </c>
      <c r="E399" t="inlineStr">
        <is>
          <t>FILIPSTAD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6520-2023</t>
        </is>
      </c>
      <c r="B400" s="1" t="n">
        <v>44960</v>
      </c>
      <c r="C400" s="1" t="n">
        <v>45510</v>
      </c>
      <c r="D400" t="inlineStr">
        <is>
          <t>VÄRMLANDS LÄN</t>
        </is>
      </c>
      <c r="E400" t="inlineStr">
        <is>
          <t>FILIPSTAD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6561-2023</t>
        </is>
      </c>
      <c r="B401" s="1" t="n">
        <v>44960</v>
      </c>
      <c r="C401" s="1" t="n">
        <v>45510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6523-2023</t>
        </is>
      </c>
      <c r="B402" s="1" t="n">
        <v>44960</v>
      </c>
      <c r="C402" s="1" t="n">
        <v>45510</v>
      </c>
      <c r="D402" t="inlineStr">
        <is>
          <t>VÄRMLANDS LÄN</t>
        </is>
      </c>
      <c r="E402" t="inlineStr">
        <is>
          <t>FILIPSTAD</t>
        </is>
      </c>
      <c r="F402" t="inlineStr">
        <is>
          <t>Kommuner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6568-2023</t>
        </is>
      </c>
      <c r="B403" s="1" t="n">
        <v>44960</v>
      </c>
      <c r="C403" s="1" t="n">
        <v>45510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6573-2023</t>
        </is>
      </c>
      <c r="B404" s="1" t="n">
        <v>44960</v>
      </c>
      <c r="C404" s="1" t="n">
        <v>45510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5846-2023</t>
        </is>
      </c>
      <c r="B405" s="1" t="n">
        <v>44963</v>
      </c>
      <c r="C405" s="1" t="n">
        <v>45510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5803-2023</t>
        </is>
      </c>
      <c r="B406" s="1" t="n">
        <v>44963</v>
      </c>
      <c r="C406" s="1" t="n">
        <v>45510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6503-2023</t>
        </is>
      </c>
      <c r="B407" s="1" t="n">
        <v>44966</v>
      </c>
      <c r="C407" s="1" t="n">
        <v>45510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6498-2023</t>
        </is>
      </c>
      <c r="B408" s="1" t="n">
        <v>44966</v>
      </c>
      <c r="C408" s="1" t="n">
        <v>45510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6709-2023</t>
        </is>
      </c>
      <c r="B409" s="1" t="n">
        <v>44966</v>
      </c>
      <c r="C409" s="1" t="n">
        <v>45510</v>
      </c>
      <c r="D409" t="inlineStr">
        <is>
          <t>VÄRMLANDS LÄN</t>
        </is>
      </c>
      <c r="E409" t="inlineStr">
        <is>
          <t>FILIPSTAD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7248-2023</t>
        </is>
      </c>
      <c r="B410" s="1" t="n">
        <v>44970</v>
      </c>
      <c r="C410" s="1" t="n">
        <v>45510</v>
      </c>
      <c r="D410" t="inlineStr">
        <is>
          <t>VÄRMLANDS LÄN</t>
        </is>
      </c>
      <c r="E410" t="inlineStr">
        <is>
          <t>FILIPSTAD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8301-2023</t>
        </is>
      </c>
      <c r="B411" s="1" t="n">
        <v>44974</v>
      </c>
      <c r="C411" s="1" t="n">
        <v>45510</v>
      </c>
      <c r="D411" t="inlineStr">
        <is>
          <t>VÄRMLANDS LÄN</t>
        </is>
      </c>
      <c r="E411" t="inlineStr">
        <is>
          <t>FILIPSTAD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8788-2023</t>
        </is>
      </c>
      <c r="B412" s="1" t="n">
        <v>44978</v>
      </c>
      <c r="C412" s="1" t="n">
        <v>45510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9270-2023</t>
        </is>
      </c>
      <c r="B413" s="1" t="n">
        <v>44980</v>
      </c>
      <c r="C413" s="1" t="n">
        <v>45510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9388-2023</t>
        </is>
      </c>
      <c r="B414" s="1" t="n">
        <v>44981</v>
      </c>
      <c r="C414" s="1" t="n">
        <v>45510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9370-2023</t>
        </is>
      </c>
      <c r="B415" s="1" t="n">
        <v>44981</v>
      </c>
      <c r="C415" s="1" t="n">
        <v>45510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10395-2023</t>
        </is>
      </c>
      <c r="B416" s="1" t="n">
        <v>44987</v>
      </c>
      <c r="C416" s="1" t="n">
        <v>45510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11129-2023</t>
        </is>
      </c>
      <c r="B417" s="1" t="n">
        <v>44992</v>
      </c>
      <c r="C417" s="1" t="n">
        <v>45510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11866-2023</t>
        </is>
      </c>
      <c r="B418" s="1" t="n">
        <v>44993</v>
      </c>
      <c r="C418" s="1" t="n">
        <v>45510</v>
      </c>
      <c r="D418" t="inlineStr">
        <is>
          <t>VÄRMLANDS LÄN</t>
        </is>
      </c>
      <c r="E418" t="inlineStr">
        <is>
          <t>FILIPSTAD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11680-2023</t>
        </is>
      </c>
      <c r="B419" s="1" t="n">
        <v>44994</v>
      </c>
      <c r="C419" s="1" t="n">
        <v>45510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11745-2023</t>
        </is>
      </c>
      <c r="B420" s="1" t="n">
        <v>44994</v>
      </c>
      <c r="C420" s="1" t="n">
        <v>45510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12160-2023</t>
        </is>
      </c>
      <c r="B421" s="1" t="n">
        <v>44998</v>
      </c>
      <c r="C421" s="1" t="n">
        <v>45510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12566-2023</t>
        </is>
      </c>
      <c r="B422" s="1" t="n">
        <v>45000</v>
      </c>
      <c r="C422" s="1" t="n">
        <v>45510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13623-2023</t>
        </is>
      </c>
      <c r="B423" s="1" t="n">
        <v>45006</v>
      </c>
      <c r="C423" s="1" t="n">
        <v>45510</v>
      </c>
      <c r="D423" t="inlineStr">
        <is>
          <t>VÄRMLANDS LÄN</t>
        </is>
      </c>
      <c r="E423" t="inlineStr">
        <is>
          <t>FILIPSTAD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14204-2023</t>
        </is>
      </c>
      <c r="B424" s="1" t="n">
        <v>45009</v>
      </c>
      <c r="C424" s="1" t="n">
        <v>45510</v>
      </c>
      <c r="D424" t="inlineStr">
        <is>
          <t>VÄRMLANDS LÄN</t>
        </is>
      </c>
      <c r="E424" t="inlineStr">
        <is>
          <t>FILIPSTAD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14459-2023</t>
        </is>
      </c>
      <c r="B425" s="1" t="n">
        <v>45012</v>
      </c>
      <c r="C425" s="1" t="n">
        <v>45510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14608-2023</t>
        </is>
      </c>
      <c r="B426" s="1" t="n">
        <v>45013</v>
      </c>
      <c r="C426" s="1" t="n">
        <v>45510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14726-2023</t>
        </is>
      </c>
      <c r="B427" s="1" t="n">
        <v>45014</v>
      </c>
      <c r="C427" s="1" t="n">
        <v>45510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14840-2023</t>
        </is>
      </c>
      <c r="B428" s="1" t="n">
        <v>45014</v>
      </c>
      <c r="C428" s="1" t="n">
        <v>45510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14920-2023</t>
        </is>
      </c>
      <c r="B429" s="1" t="n">
        <v>45015</v>
      </c>
      <c r="C429" s="1" t="n">
        <v>45510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15003-2023</t>
        </is>
      </c>
      <c r="B430" s="1" t="n">
        <v>45015</v>
      </c>
      <c r="C430" s="1" t="n">
        <v>45510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15136-2023</t>
        </is>
      </c>
      <c r="B431" s="1" t="n">
        <v>45016</v>
      </c>
      <c r="C431" s="1" t="n">
        <v>45510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15989-2023</t>
        </is>
      </c>
      <c r="B432" s="1" t="n">
        <v>45023</v>
      </c>
      <c r="C432" s="1" t="n">
        <v>45510</v>
      </c>
      <c r="D432" t="inlineStr">
        <is>
          <t>VÄRMLANDS LÄN</t>
        </is>
      </c>
      <c r="E432" t="inlineStr">
        <is>
          <t>FILIPSTAD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16335-2023</t>
        </is>
      </c>
      <c r="B433" s="1" t="n">
        <v>45028</v>
      </c>
      <c r="C433" s="1" t="n">
        <v>45510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16479-2023</t>
        </is>
      </c>
      <c r="B434" s="1" t="n">
        <v>45029</v>
      </c>
      <c r="C434" s="1" t="n">
        <v>45510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17684-2023</t>
        </is>
      </c>
      <c r="B435" s="1" t="n">
        <v>45037</v>
      </c>
      <c r="C435" s="1" t="n">
        <v>45510</v>
      </c>
      <c r="D435" t="inlineStr">
        <is>
          <t>VÄRMLANDS LÄN</t>
        </is>
      </c>
      <c r="E435" t="inlineStr">
        <is>
          <t>FILIPSTAD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</v>
      </c>
      <c r="C436" s="1" t="n">
        <v>45510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18181-2023</t>
        </is>
      </c>
      <c r="B437" s="1" t="n">
        <v>45040</v>
      </c>
      <c r="C437" s="1" t="n">
        <v>45510</v>
      </c>
      <c r="D437" t="inlineStr">
        <is>
          <t>VÄRMLANDS LÄN</t>
        </is>
      </c>
      <c r="E437" t="inlineStr">
        <is>
          <t>FILIPSTAD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18256-2023</t>
        </is>
      </c>
      <c r="B438" s="1" t="n">
        <v>45041</v>
      </c>
      <c r="C438" s="1" t="n">
        <v>45510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18630-2023</t>
        </is>
      </c>
      <c r="B439" s="1" t="n">
        <v>45043</v>
      </c>
      <c r="C439" s="1" t="n">
        <v>45510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20791-2023</t>
        </is>
      </c>
      <c r="B440" s="1" t="n">
        <v>45058</v>
      </c>
      <c r="C440" s="1" t="n">
        <v>45510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20832-2023</t>
        </is>
      </c>
      <c r="B441" s="1" t="n">
        <v>45058</v>
      </c>
      <c r="C441" s="1" t="n">
        <v>45510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21593-2023</t>
        </is>
      </c>
      <c r="B442" s="1" t="n">
        <v>45063</v>
      </c>
      <c r="C442" s="1" t="n">
        <v>45510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21605-2023</t>
        </is>
      </c>
      <c r="B443" s="1" t="n">
        <v>45063</v>
      </c>
      <c r="C443" s="1" t="n">
        <v>45510</v>
      </c>
      <c r="D443" t="inlineStr">
        <is>
          <t>VÄRMLANDS LÄN</t>
        </is>
      </c>
      <c r="E443" t="inlineStr">
        <is>
          <t>FILIPSTAD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21608-2023</t>
        </is>
      </c>
      <c r="B444" s="1" t="n">
        <v>45063</v>
      </c>
      <c r="C444" s="1" t="n">
        <v>45510</v>
      </c>
      <c r="D444" t="inlineStr">
        <is>
          <t>VÄRMLANDS LÄN</t>
        </is>
      </c>
      <c r="E444" t="inlineStr">
        <is>
          <t>FILIPSTAD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22132-2023</t>
        </is>
      </c>
      <c r="B445" s="1" t="n">
        <v>45069</v>
      </c>
      <c r="C445" s="1" t="n">
        <v>45510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22268-2023</t>
        </is>
      </c>
      <c r="B446" s="1" t="n">
        <v>45070</v>
      </c>
      <c r="C446" s="1" t="n">
        <v>45510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22681-2023</t>
        </is>
      </c>
      <c r="B447" s="1" t="n">
        <v>45071</v>
      </c>
      <c r="C447" s="1" t="n">
        <v>45510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22666-2023</t>
        </is>
      </c>
      <c r="B448" s="1" t="n">
        <v>45071</v>
      </c>
      <c r="C448" s="1" t="n">
        <v>45510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22665-2023</t>
        </is>
      </c>
      <c r="B449" s="1" t="n">
        <v>45071</v>
      </c>
      <c r="C449" s="1" t="n">
        <v>45510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22830-2023</t>
        </is>
      </c>
      <c r="B450" s="1" t="n">
        <v>45072</v>
      </c>
      <c r="C450" s="1" t="n">
        <v>45510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22866-2023</t>
        </is>
      </c>
      <c r="B451" s="1" t="n">
        <v>45072</v>
      </c>
      <c r="C451" s="1" t="n">
        <v>45510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23045-2023</t>
        </is>
      </c>
      <c r="B452" s="1" t="n">
        <v>45075</v>
      </c>
      <c r="C452" s="1" t="n">
        <v>45510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HYPERLINK("https://klasma.github.io/Logging_1782/knärot/A 23045-2023 karta knärot.png", "A 23045-2023")</f>
        <v/>
      </c>
      <c r="V452">
        <f>HYPERLINK("https://klasma.github.io/Logging_1782/klagomål/A 23045-2023 FSC-klagomål.docx", "A 23045-2023")</f>
        <v/>
      </c>
      <c r="W452">
        <f>HYPERLINK("https://klasma.github.io/Logging_1782/klagomålsmail/A 23045-2023 FSC-klagomål mail.docx", "A 23045-2023")</f>
        <v/>
      </c>
      <c r="X452">
        <f>HYPERLINK("https://klasma.github.io/Logging_1782/tillsyn/A 23045-2023 tillsynsbegäran.docx", "A 23045-2023")</f>
        <v/>
      </c>
      <c r="Y452">
        <f>HYPERLINK("https://klasma.github.io/Logging_1782/tillsynsmail/A 23045-2023 tillsynsbegäran mail.docx", "A 23045-2023")</f>
        <v/>
      </c>
    </row>
    <row r="453" ht="15" customHeight="1">
      <c r="A453" t="inlineStr">
        <is>
          <t>A 23046-2023</t>
        </is>
      </c>
      <c r="B453" s="1" t="n">
        <v>45075</v>
      </c>
      <c r="C453" s="1" t="n">
        <v>45510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HYPERLINK("https://klasma.github.io/Logging_1782/knärot/A 23046-2023 karta knärot.png", "A 23046-2023")</f>
        <v/>
      </c>
      <c r="V453">
        <f>HYPERLINK("https://klasma.github.io/Logging_1782/klagomål/A 23046-2023 FSC-klagomål.docx", "A 23046-2023")</f>
        <v/>
      </c>
      <c r="W453">
        <f>HYPERLINK("https://klasma.github.io/Logging_1782/klagomålsmail/A 23046-2023 FSC-klagomål mail.docx", "A 23046-2023")</f>
        <v/>
      </c>
      <c r="X453">
        <f>HYPERLINK("https://klasma.github.io/Logging_1782/tillsyn/A 23046-2023 tillsynsbegäran.docx", "A 23046-2023")</f>
        <v/>
      </c>
      <c r="Y453">
        <f>HYPERLINK("https://klasma.github.io/Logging_1782/tillsynsmail/A 23046-2023 tillsynsbegäran mail.docx", "A 23046-2023")</f>
        <v/>
      </c>
    </row>
    <row r="454" ht="15" customHeight="1">
      <c r="A454" t="inlineStr">
        <is>
          <t>A 23335-2023</t>
        </is>
      </c>
      <c r="B454" s="1" t="n">
        <v>45076</v>
      </c>
      <c r="C454" s="1" t="n">
        <v>45510</v>
      </c>
      <c r="D454" t="inlineStr">
        <is>
          <t>VÄRMLANDS LÄN</t>
        </is>
      </c>
      <c r="E454" t="inlineStr">
        <is>
          <t>FILIPSTAD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23617-2023</t>
        </is>
      </c>
      <c r="B455" s="1" t="n">
        <v>45077</v>
      </c>
      <c r="C455" s="1" t="n">
        <v>45510</v>
      </c>
      <c r="D455" t="inlineStr">
        <is>
          <t>VÄRMLANDS LÄN</t>
        </is>
      </c>
      <c r="E455" t="inlineStr">
        <is>
          <t>FILIPSTAD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23618-2023</t>
        </is>
      </c>
      <c r="B456" s="1" t="n">
        <v>45077</v>
      </c>
      <c r="C456" s="1" t="n">
        <v>45510</v>
      </c>
      <c r="D456" t="inlineStr">
        <is>
          <t>VÄRMLANDS LÄN</t>
        </is>
      </c>
      <c r="E456" t="inlineStr">
        <is>
          <t>FILIPSTAD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23620-2023</t>
        </is>
      </c>
      <c r="B457" s="1" t="n">
        <v>45077</v>
      </c>
      <c r="C457" s="1" t="n">
        <v>45510</v>
      </c>
      <c r="D457" t="inlineStr">
        <is>
          <t>VÄRMLANDS LÄN</t>
        </is>
      </c>
      <c r="E457" t="inlineStr">
        <is>
          <t>FILIPSTAD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23696-2023</t>
        </is>
      </c>
      <c r="B458" s="1" t="n">
        <v>45077</v>
      </c>
      <c r="C458" s="1" t="n">
        <v>45510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23822-2023</t>
        </is>
      </c>
      <c r="B459" s="1" t="n">
        <v>45078</v>
      </c>
      <c r="C459" s="1" t="n">
        <v>45510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23837-2023</t>
        </is>
      </c>
      <c r="B460" s="1" t="n">
        <v>45078</v>
      </c>
      <c r="C460" s="1" t="n">
        <v>45510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25338-2023</t>
        </is>
      </c>
      <c r="B461" s="1" t="n">
        <v>45087</v>
      </c>
      <c r="C461" s="1" t="n">
        <v>45510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25376-2023</t>
        </is>
      </c>
      <c r="B462" s="1" t="n">
        <v>45089</v>
      </c>
      <c r="C462" s="1" t="n">
        <v>45510</v>
      </c>
      <c r="D462" t="inlineStr">
        <is>
          <t>VÄRMLANDS LÄN</t>
        </is>
      </c>
      <c r="E462" t="inlineStr">
        <is>
          <t>FILIPSTAD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45089</v>
      </c>
      <c r="C463" s="1" t="n">
        <v>45510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25368-2023</t>
        </is>
      </c>
      <c r="B464" s="1" t="n">
        <v>45089</v>
      </c>
      <c r="C464" s="1" t="n">
        <v>45510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25386-2023</t>
        </is>
      </c>
      <c r="B465" s="1" t="n">
        <v>45089</v>
      </c>
      <c r="C465" s="1" t="n">
        <v>45510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25406-2023</t>
        </is>
      </c>
      <c r="B466" s="1" t="n">
        <v>45089</v>
      </c>
      <c r="C466" s="1" t="n">
        <v>45510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25586-2023</t>
        </is>
      </c>
      <c r="B467" s="1" t="n">
        <v>45089</v>
      </c>
      <c r="C467" s="1" t="n">
        <v>45510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25738-2023</t>
        </is>
      </c>
      <c r="B468" s="1" t="n">
        <v>45090</v>
      </c>
      <c r="C468" s="1" t="n">
        <v>45510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25737-2023</t>
        </is>
      </c>
      <c r="B469" s="1" t="n">
        <v>45090</v>
      </c>
      <c r="C469" s="1" t="n">
        <v>45510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26804-2023</t>
        </is>
      </c>
      <c r="B470" s="1" t="n">
        <v>45090</v>
      </c>
      <c r="C470" s="1" t="n">
        <v>45510</v>
      </c>
      <c r="D470" t="inlineStr">
        <is>
          <t>VÄRMLANDS LÄN</t>
        </is>
      </c>
      <c r="E470" t="inlineStr">
        <is>
          <t>FILIPSTAD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26280-2023</t>
        </is>
      </c>
      <c r="B471" s="1" t="n">
        <v>45091</v>
      </c>
      <c r="C471" s="1" t="n">
        <v>45510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28161-2023</t>
        </is>
      </c>
      <c r="B472" s="1" t="n">
        <v>45093</v>
      </c>
      <c r="C472" s="1" t="n">
        <v>45510</v>
      </c>
      <c r="D472" t="inlineStr">
        <is>
          <t>VÄRMLANDS LÄN</t>
        </is>
      </c>
      <c r="E472" t="inlineStr">
        <is>
          <t>FILIPSTAD</t>
        </is>
      </c>
      <c r="F472" t="inlineStr">
        <is>
          <t>Kommuner</t>
        </is>
      </c>
      <c r="G472" t="n">
        <v>15.4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27059-2023</t>
        </is>
      </c>
      <c r="B473" s="1" t="n">
        <v>45096</v>
      </c>
      <c r="C473" s="1" t="n">
        <v>45510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27080-2023</t>
        </is>
      </c>
      <c r="B474" s="1" t="n">
        <v>45096</v>
      </c>
      <c r="C474" s="1" t="n">
        <v>45510</v>
      </c>
      <c r="D474" t="inlineStr">
        <is>
          <t>VÄRMLANDS LÄN</t>
        </is>
      </c>
      <c r="E474" t="inlineStr">
        <is>
          <t>FILIPSTAD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27319-2023</t>
        </is>
      </c>
      <c r="B475" s="1" t="n">
        <v>45096</v>
      </c>
      <c r="C475" s="1" t="n">
        <v>45510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27861-2023</t>
        </is>
      </c>
      <c r="B476" s="1" t="n">
        <v>45098</v>
      </c>
      <c r="C476" s="1" t="n">
        <v>45510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27953-2023</t>
        </is>
      </c>
      <c r="B477" s="1" t="n">
        <v>45098</v>
      </c>
      <c r="C477" s="1" t="n">
        <v>45510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28223-2023</t>
        </is>
      </c>
      <c r="B478" s="1" t="n">
        <v>45099</v>
      </c>
      <c r="C478" s="1" t="n">
        <v>45510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28234-2023</t>
        </is>
      </c>
      <c r="B479" s="1" t="n">
        <v>45099</v>
      </c>
      <c r="C479" s="1" t="n">
        <v>45510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28229-2023</t>
        </is>
      </c>
      <c r="B480" s="1" t="n">
        <v>45099</v>
      </c>
      <c r="C480" s="1" t="n">
        <v>45510</v>
      </c>
      <c r="D480" t="inlineStr">
        <is>
          <t>VÄRMLANDS LÄN</t>
        </is>
      </c>
      <c r="E480" t="inlineStr">
        <is>
          <t>FILIPSTAD</t>
        </is>
      </c>
      <c r="F480" t="inlineStr">
        <is>
          <t>Kommuner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28686-2023</t>
        </is>
      </c>
      <c r="B481" s="1" t="n">
        <v>45103</v>
      </c>
      <c r="C481" s="1" t="n">
        <v>45510</v>
      </c>
      <c r="D481" t="inlineStr">
        <is>
          <t>VÄRMLANDS LÄN</t>
        </is>
      </c>
      <c r="E481" t="inlineStr">
        <is>
          <t>FILIPSTAD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29429-2023</t>
        </is>
      </c>
      <c r="B482" s="1" t="n">
        <v>45106</v>
      </c>
      <c r="C482" s="1" t="n">
        <v>45510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29444-2023</t>
        </is>
      </c>
      <c r="B483" s="1" t="n">
        <v>45106</v>
      </c>
      <c r="C483" s="1" t="n">
        <v>45510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29426-2023</t>
        </is>
      </c>
      <c r="B484" s="1" t="n">
        <v>45106</v>
      </c>
      <c r="C484" s="1" t="n">
        <v>45510</v>
      </c>
      <c r="D484" t="inlineStr">
        <is>
          <t>VÄRMLANDS LÄN</t>
        </is>
      </c>
      <c r="E484" t="inlineStr">
        <is>
          <t>FILIPSTAD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29668-2023</t>
        </is>
      </c>
      <c r="B485" s="1" t="n">
        <v>45107</v>
      </c>
      <c r="C485" s="1" t="n">
        <v>45510</v>
      </c>
      <c r="D485" t="inlineStr">
        <is>
          <t>VÄRMLANDS LÄN</t>
        </is>
      </c>
      <c r="E485" t="inlineStr">
        <is>
          <t>FILIPSTAD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45510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30037-2023</t>
        </is>
      </c>
      <c r="B487" s="1" t="n">
        <v>45110</v>
      </c>
      <c r="C487" s="1" t="n">
        <v>45510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31020-2023</t>
        </is>
      </c>
      <c r="B488" s="1" t="n">
        <v>45113</v>
      </c>
      <c r="C488" s="1" t="n">
        <v>45510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31107-2023</t>
        </is>
      </c>
      <c r="B489" s="1" t="n">
        <v>45113</v>
      </c>
      <c r="C489" s="1" t="n">
        <v>45510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31350-2023</t>
        </is>
      </c>
      <c r="B490" s="1" t="n">
        <v>45114</v>
      </c>
      <c r="C490" s="1" t="n">
        <v>45510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31358-2023</t>
        </is>
      </c>
      <c r="B491" s="1" t="n">
        <v>45114</v>
      </c>
      <c r="C491" s="1" t="n">
        <v>45510</v>
      </c>
      <c r="D491" t="inlineStr">
        <is>
          <t>VÄRMLANDS LÄN</t>
        </is>
      </c>
      <c r="E491" t="inlineStr">
        <is>
          <t>FILIPSTAD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31306-2023</t>
        </is>
      </c>
      <c r="B492" s="1" t="n">
        <v>45114</v>
      </c>
      <c r="C492" s="1" t="n">
        <v>45510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31451-2023</t>
        </is>
      </c>
      <c r="B493" s="1" t="n">
        <v>45114</v>
      </c>
      <c r="C493" s="1" t="n">
        <v>45510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31300-2023</t>
        </is>
      </c>
      <c r="B494" s="1" t="n">
        <v>45114</v>
      </c>
      <c r="C494" s="1" t="n">
        <v>45510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31342-2023</t>
        </is>
      </c>
      <c r="B495" s="1" t="n">
        <v>45114</v>
      </c>
      <c r="C495" s="1" t="n">
        <v>45510</v>
      </c>
      <c r="D495" t="inlineStr">
        <is>
          <t>VÄRMLANDS LÄN</t>
        </is>
      </c>
      <c r="E495" t="inlineStr">
        <is>
          <t>FILIPSTAD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31299-2023</t>
        </is>
      </c>
      <c r="B496" s="1" t="n">
        <v>45114</v>
      </c>
      <c r="C496" s="1" t="n">
        <v>45510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31351-2023</t>
        </is>
      </c>
      <c r="B497" s="1" t="n">
        <v>45114</v>
      </c>
      <c r="C497" s="1" t="n">
        <v>45510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32262-2023</t>
        </is>
      </c>
      <c r="B498" s="1" t="n">
        <v>45120</v>
      </c>
      <c r="C498" s="1" t="n">
        <v>45510</v>
      </c>
      <c r="D498" t="inlineStr">
        <is>
          <t>VÄRMLANDS LÄN</t>
        </is>
      </c>
      <c r="E498" t="inlineStr">
        <is>
          <t>FILIPSTAD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32376-2023</t>
        </is>
      </c>
      <c r="B499" s="1" t="n">
        <v>45120</v>
      </c>
      <c r="C499" s="1" t="n">
        <v>45510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32804-2023</t>
        </is>
      </c>
      <c r="B500" s="1" t="n">
        <v>45124</v>
      </c>
      <c r="C500" s="1" t="n">
        <v>45510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33966-2023</t>
        </is>
      </c>
      <c r="B501" s="1" t="n">
        <v>45124</v>
      </c>
      <c r="C501" s="1" t="n">
        <v>45510</v>
      </c>
      <c r="D501" t="inlineStr">
        <is>
          <t>VÄRMLANDS LÄN</t>
        </is>
      </c>
      <c r="E501" t="inlineStr">
        <is>
          <t>FILIPSTAD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33973-2023</t>
        </is>
      </c>
      <c r="B502" s="1" t="n">
        <v>45124</v>
      </c>
      <c r="C502" s="1" t="n">
        <v>45510</v>
      </c>
      <c r="D502" t="inlineStr">
        <is>
          <t>VÄRMLANDS LÄN</t>
        </is>
      </c>
      <c r="E502" t="inlineStr">
        <is>
          <t>FILIPSTAD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33967-2023</t>
        </is>
      </c>
      <c r="B503" s="1" t="n">
        <v>45124</v>
      </c>
      <c r="C503" s="1" t="n">
        <v>45510</v>
      </c>
      <c r="D503" t="inlineStr">
        <is>
          <t>VÄRMLANDS LÄN</t>
        </is>
      </c>
      <c r="E503" t="inlineStr">
        <is>
          <t>FILIPSTAD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33971-2023</t>
        </is>
      </c>
      <c r="B504" s="1" t="n">
        <v>45124</v>
      </c>
      <c r="C504" s="1" t="n">
        <v>45510</v>
      </c>
      <c r="D504" t="inlineStr">
        <is>
          <t>VÄRMLANDS LÄN</t>
        </is>
      </c>
      <c r="E504" t="inlineStr">
        <is>
          <t>FILIPSTAD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33969-2023</t>
        </is>
      </c>
      <c r="B505" s="1" t="n">
        <v>45124</v>
      </c>
      <c r="C505" s="1" t="n">
        <v>45510</v>
      </c>
      <c r="D505" t="inlineStr">
        <is>
          <t>VÄRMLANDS LÄN</t>
        </is>
      </c>
      <c r="E505" t="inlineStr">
        <is>
          <t>FILIPSTAD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34512-2023</t>
        </is>
      </c>
      <c r="B506" s="1" t="n">
        <v>45133</v>
      </c>
      <c r="C506" s="1" t="n">
        <v>45510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</v>
      </c>
      <c r="C507" s="1" t="n">
        <v>45510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36291-2023</t>
        </is>
      </c>
      <c r="B508" s="1" t="n">
        <v>45152</v>
      </c>
      <c r="C508" s="1" t="n">
        <v>45510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36317-2023</t>
        </is>
      </c>
      <c r="B509" s="1" t="n">
        <v>45152</v>
      </c>
      <c r="C509" s="1" t="n">
        <v>45510</v>
      </c>
      <c r="D509" t="inlineStr">
        <is>
          <t>VÄRMLANDS LÄN</t>
        </is>
      </c>
      <c r="E509" t="inlineStr">
        <is>
          <t>FILIPSTAD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36637-2023</t>
        </is>
      </c>
      <c r="B510" s="1" t="n">
        <v>45153</v>
      </c>
      <c r="C510" s="1" t="n">
        <v>45510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36680-2023</t>
        </is>
      </c>
      <c r="B511" s="1" t="n">
        <v>45153</v>
      </c>
      <c r="C511" s="1" t="n">
        <v>45510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37577-2023</t>
        </is>
      </c>
      <c r="B512" s="1" t="n">
        <v>45159</v>
      </c>
      <c r="C512" s="1" t="n">
        <v>45510</v>
      </c>
      <c r="D512" t="inlineStr">
        <is>
          <t>VÄRMLANDS LÄN</t>
        </is>
      </c>
      <c r="E512" t="inlineStr">
        <is>
          <t>FILIPSTAD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38463-2023</t>
        </is>
      </c>
      <c r="B513" s="1" t="n">
        <v>45162</v>
      </c>
      <c r="C513" s="1" t="n">
        <v>45510</v>
      </c>
      <c r="D513" t="inlineStr">
        <is>
          <t>VÄRMLANDS LÄN</t>
        </is>
      </c>
      <c r="E513" t="inlineStr">
        <is>
          <t>FILIPSTAD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39651-2023</t>
        </is>
      </c>
      <c r="B514" s="1" t="n">
        <v>45167</v>
      </c>
      <c r="C514" s="1" t="n">
        <v>45510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39725-2023</t>
        </is>
      </c>
      <c r="B515" s="1" t="n">
        <v>45167</v>
      </c>
      <c r="C515" s="1" t="n">
        <v>45510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39633-2023</t>
        </is>
      </c>
      <c r="B516" s="1" t="n">
        <v>45167</v>
      </c>
      <c r="C516" s="1" t="n">
        <v>45510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39631-2023</t>
        </is>
      </c>
      <c r="B517" s="1" t="n">
        <v>45167</v>
      </c>
      <c r="C517" s="1" t="n">
        <v>45510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39803-2023</t>
        </is>
      </c>
      <c r="B518" s="1" t="n">
        <v>45168</v>
      </c>
      <c r="C518" s="1" t="n">
        <v>45510</v>
      </c>
      <c r="D518" t="inlineStr">
        <is>
          <t>VÄRMLANDS LÄN</t>
        </is>
      </c>
      <c r="E518" t="inlineStr">
        <is>
          <t>FILIPSTAD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39566-2023</t>
        </is>
      </c>
      <c r="B519" s="1" t="n">
        <v>45167</v>
      </c>
      <c r="C519" s="1" t="n">
        <v>45510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40239-2023</t>
        </is>
      </c>
      <c r="B520" s="1" t="n">
        <v>45169</v>
      </c>
      <c r="C520" s="1" t="n">
        <v>45510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40244-2023</t>
        </is>
      </c>
      <c r="B521" s="1" t="n">
        <v>45169</v>
      </c>
      <c r="C521" s="1" t="n">
        <v>45510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40362-2023</t>
        </is>
      </c>
      <c r="B522" s="1" t="n">
        <v>45169</v>
      </c>
      <c r="C522" s="1" t="n">
        <v>45510</v>
      </c>
      <c r="D522" t="inlineStr">
        <is>
          <t>VÄRMLANDS LÄN</t>
        </is>
      </c>
      <c r="E522" t="inlineStr">
        <is>
          <t>FILIPSTAD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40246-2023</t>
        </is>
      </c>
      <c r="B523" s="1" t="n">
        <v>45169</v>
      </c>
      <c r="C523" s="1" t="n">
        <v>45510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41075-2023</t>
        </is>
      </c>
      <c r="B524" s="1" t="n">
        <v>45173</v>
      </c>
      <c r="C524" s="1" t="n">
        <v>45510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41304-2023</t>
        </is>
      </c>
      <c r="B525" s="1" t="n">
        <v>45174</v>
      </c>
      <c r="C525" s="1" t="n">
        <v>45510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41983-2023</t>
        </is>
      </c>
      <c r="B526" s="1" t="n">
        <v>45177</v>
      </c>
      <c r="C526" s="1" t="n">
        <v>45510</v>
      </c>
      <c r="D526" t="inlineStr">
        <is>
          <t>VÄRMLANDS LÄN</t>
        </is>
      </c>
      <c r="E526" t="inlineStr">
        <is>
          <t>FILIPSTAD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43239-2023</t>
        </is>
      </c>
      <c r="B527" s="1" t="n">
        <v>45180</v>
      </c>
      <c r="C527" s="1" t="n">
        <v>45510</v>
      </c>
      <c r="D527" t="inlineStr">
        <is>
          <t>VÄRMLANDS LÄN</t>
        </is>
      </c>
      <c r="E527" t="inlineStr">
        <is>
          <t>FILIPSTAD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43233-2023</t>
        </is>
      </c>
      <c r="B528" s="1" t="n">
        <v>45180</v>
      </c>
      <c r="C528" s="1" t="n">
        <v>45510</v>
      </c>
      <c r="D528" t="inlineStr">
        <is>
          <t>VÄRMLANDS LÄN</t>
        </is>
      </c>
      <c r="E528" t="inlineStr">
        <is>
          <t>FILIPSTAD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43209-2023</t>
        </is>
      </c>
      <c r="B529" s="1" t="n">
        <v>45183</v>
      </c>
      <c r="C529" s="1" t="n">
        <v>45510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43243-2023</t>
        </is>
      </c>
      <c r="B530" s="1" t="n">
        <v>45183</v>
      </c>
      <c r="C530" s="1" t="n">
        <v>45510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43260-2023</t>
        </is>
      </c>
      <c r="B531" s="1" t="n">
        <v>45183</v>
      </c>
      <c r="C531" s="1" t="n">
        <v>45510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43333-2023</t>
        </is>
      </c>
      <c r="B532" s="1" t="n">
        <v>45183</v>
      </c>
      <c r="C532" s="1" t="n">
        <v>45510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43352-2023</t>
        </is>
      </c>
      <c r="B533" s="1" t="n">
        <v>45183</v>
      </c>
      <c r="C533" s="1" t="n">
        <v>45510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43484-2023</t>
        </is>
      </c>
      <c r="B534" s="1" t="n">
        <v>45184</v>
      </c>
      <c r="C534" s="1" t="n">
        <v>45510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43542-2023</t>
        </is>
      </c>
      <c r="B535" s="1" t="n">
        <v>45184</v>
      </c>
      <c r="C535" s="1" t="n">
        <v>45510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43577-2023</t>
        </is>
      </c>
      <c r="B536" s="1" t="n">
        <v>45184</v>
      </c>
      <c r="C536" s="1" t="n">
        <v>45510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43571-2023</t>
        </is>
      </c>
      <c r="B537" s="1" t="n">
        <v>45184</v>
      </c>
      <c r="C537" s="1" t="n">
        <v>45510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43635-2023</t>
        </is>
      </c>
      <c r="B538" s="1" t="n">
        <v>45186</v>
      </c>
      <c r="C538" s="1" t="n">
        <v>45510</v>
      </c>
      <c r="D538" t="inlineStr">
        <is>
          <t>VÄRMLANDS LÄN</t>
        </is>
      </c>
      <c r="E538" t="inlineStr">
        <is>
          <t>FILIPSTAD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43717-2023</t>
        </is>
      </c>
      <c r="B539" s="1" t="n">
        <v>45187</v>
      </c>
      <c r="C539" s="1" t="n">
        <v>45510</v>
      </c>
      <c r="D539" t="inlineStr">
        <is>
          <t>VÄRMLANDS LÄN</t>
        </is>
      </c>
      <c r="E539" t="inlineStr">
        <is>
          <t>FILIPSTAD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44134-2023</t>
        </is>
      </c>
      <c r="B540" s="1" t="n">
        <v>45188</v>
      </c>
      <c r="C540" s="1" t="n">
        <v>45510</v>
      </c>
      <c r="D540" t="inlineStr">
        <is>
          <t>VÄRMLANDS LÄN</t>
        </is>
      </c>
      <c r="E540" t="inlineStr">
        <is>
          <t>FILIPSTAD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44119-2023</t>
        </is>
      </c>
      <c r="B541" s="1" t="n">
        <v>45188</v>
      </c>
      <c r="C541" s="1" t="n">
        <v>45510</v>
      </c>
      <c r="D541" t="inlineStr">
        <is>
          <t>VÄRMLANDS LÄN</t>
        </is>
      </c>
      <c r="E541" t="inlineStr">
        <is>
          <t>FILIPSTAD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44503-2023</t>
        </is>
      </c>
      <c r="B542" s="1" t="n">
        <v>45189</v>
      </c>
      <c r="C542" s="1" t="n">
        <v>45510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44657-2023</t>
        </is>
      </c>
      <c r="B543" s="1" t="n">
        <v>45189</v>
      </c>
      <c r="C543" s="1" t="n">
        <v>45510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44509-2023</t>
        </is>
      </c>
      <c r="B544" s="1" t="n">
        <v>45189</v>
      </c>
      <c r="C544" s="1" t="n">
        <v>45510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44792-2023</t>
        </is>
      </c>
      <c r="B545" s="1" t="n">
        <v>45190</v>
      </c>
      <c r="C545" s="1" t="n">
        <v>45510</v>
      </c>
      <c r="D545" t="inlineStr">
        <is>
          <t>VÄRMLANDS LÄN</t>
        </is>
      </c>
      <c r="E545" t="inlineStr">
        <is>
          <t>FILIPSTAD</t>
        </is>
      </c>
      <c r="G545" t="n">
        <v>18.4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44818-2023</t>
        </is>
      </c>
      <c r="B546" s="1" t="n">
        <v>45190</v>
      </c>
      <c r="C546" s="1" t="n">
        <v>45510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44868-2023</t>
        </is>
      </c>
      <c r="B547" s="1" t="n">
        <v>45190</v>
      </c>
      <c r="C547" s="1" t="n">
        <v>45510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46978-2023</t>
        </is>
      </c>
      <c r="B548" s="1" t="n">
        <v>45195</v>
      </c>
      <c r="C548" s="1" t="n">
        <v>45510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48908-2023</t>
        </is>
      </c>
      <c r="B549" s="1" t="n">
        <v>45195</v>
      </c>
      <c r="C549" s="1" t="n">
        <v>45510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45987-2023</t>
        </is>
      </c>
      <c r="B550" s="1" t="n">
        <v>45196</v>
      </c>
      <c r="C550" s="1" t="n">
        <v>45510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46419-2023</t>
        </is>
      </c>
      <c r="B551" s="1" t="n">
        <v>45197</v>
      </c>
      <c r="C551" s="1" t="n">
        <v>45510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46403-2023</t>
        </is>
      </c>
      <c r="B552" s="1" t="n">
        <v>45197</v>
      </c>
      <c r="C552" s="1" t="n">
        <v>45510</v>
      </c>
      <c r="D552" t="inlineStr">
        <is>
          <t>VÄRMLANDS LÄN</t>
        </is>
      </c>
      <c r="E552" t="inlineStr">
        <is>
          <t>FILIPSTAD</t>
        </is>
      </c>
      <c r="G552" t="n">
        <v>16.8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46513-2023</t>
        </is>
      </c>
      <c r="B553" s="1" t="n">
        <v>45197</v>
      </c>
      <c r="C553" s="1" t="n">
        <v>45510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46405-2023</t>
        </is>
      </c>
      <c r="B554" s="1" t="n">
        <v>45197</v>
      </c>
      <c r="C554" s="1" t="n">
        <v>45510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47344-2023</t>
        </is>
      </c>
      <c r="B555" s="1" t="n">
        <v>45202</v>
      </c>
      <c r="C555" s="1" t="n">
        <v>45510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47361-2023</t>
        </is>
      </c>
      <c r="B556" s="1" t="n">
        <v>45202</v>
      </c>
      <c r="C556" s="1" t="n">
        <v>45510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47381-2023</t>
        </is>
      </c>
      <c r="B557" s="1" t="n">
        <v>45202</v>
      </c>
      <c r="C557" s="1" t="n">
        <v>45510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47403-2023</t>
        </is>
      </c>
      <c r="B558" s="1" t="n">
        <v>45202</v>
      </c>
      <c r="C558" s="1" t="n">
        <v>45510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47339-2023</t>
        </is>
      </c>
      <c r="B559" s="1" t="n">
        <v>45202</v>
      </c>
      <c r="C559" s="1" t="n">
        <v>45510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47458-2023</t>
        </is>
      </c>
      <c r="B560" s="1" t="n">
        <v>45202</v>
      </c>
      <c r="C560" s="1" t="n">
        <v>45510</v>
      </c>
      <c r="D560" t="inlineStr">
        <is>
          <t>VÄRMLANDS LÄN</t>
        </is>
      </c>
      <c r="E560" t="inlineStr">
        <is>
          <t>FILIPSTAD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47455-2023</t>
        </is>
      </c>
      <c r="B561" s="1" t="n">
        <v>45202</v>
      </c>
      <c r="C561" s="1" t="n">
        <v>45510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47573-2023</t>
        </is>
      </c>
      <c r="B562" s="1" t="n">
        <v>45203</v>
      </c>
      <c r="C562" s="1" t="n">
        <v>45510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47585-2023</t>
        </is>
      </c>
      <c r="B563" s="1" t="n">
        <v>45203</v>
      </c>
      <c r="C563" s="1" t="n">
        <v>45510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47536-2023</t>
        </is>
      </c>
      <c r="B564" s="1" t="n">
        <v>45203</v>
      </c>
      <c r="C564" s="1" t="n">
        <v>45510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48040-2023</t>
        </is>
      </c>
      <c r="B565" s="1" t="n">
        <v>45204</v>
      </c>
      <c r="C565" s="1" t="n">
        <v>45510</v>
      </c>
      <c r="D565" t="inlineStr">
        <is>
          <t>VÄRMLANDS LÄN</t>
        </is>
      </c>
      <c r="E565" t="inlineStr">
        <is>
          <t>FILIPSTAD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48524-2023</t>
        </is>
      </c>
      <c r="B566" s="1" t="n">
        <v>45208</v>
      </c>
      <c r="C566" s="1" t="n">
        <v>45510</v>
      </c>
      <c r="D566" t="inlineStr">
        <is>
          <t>VÄRMLANDS LÄN</t>
        </is>
      </c>
      <c r="E566" t="inlineStr">
        <is>
          <t>FILIPSTAD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48963-2023</t>
        </is>
      </c>
      <c r="B567" s="1" t="n">
        <v>45209</v>
      </c>
      <c r="C567" s="1" t="n">
        <v>45510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49167-2023</t>
        </is>
      </c>
      <c r="B568" s="1" t="n">
        <v>45210</v>
      </c>
      <c r="C568" s="1" t="n">
        <v>45510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49208-2023</t>
        </is>
      </c>
      <c r="B569" s="1" t="n">
        <v>45210</v>
      </c>
      <c r="C569" s="1" t="n">
        <v>45510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49436-2023</t>
        </is>
      </c>
      <c r="B570" s="1" t="n">
        <v>45211</v>
      </c>
      <c r="C570" s="1" t="n">
        <v>45510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49818-2023</t>
        </is>
      </c>
      <c r="B571" s="1" t="n">
        <v>45212</v>
      </c>
      <c r="C571" s="1" t="n">
        <v>45510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50243-2023</t>
        </is>
      </c>
      <c r="B572" s="1" t="n">
        <v>45216</v>
      </c>
      <c r="C572" s="1" t="n">
        <v>45510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50904-2023</t>
        </is>
      </c>
      <c r="B573" s="1" t="n">
        <v>45218</v>
      </c>
      <c r="C573" s="1" t="n">
        <v>45510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50995-2023</t>
        </is>
      </c>
      <c r="B574" s="1" t="n">
        <v>45218</v>
      </c>
      <c r="C574" s="1" t="n">
        <v>45510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51014-2023</t>
        </is>
      </c>
      <c r="B575" s="1" t="n">
        <v>45218</v>
      </c>
      <c r="C575" s="1" t="n">
        <v>45510</v>
      </c>
      <c r="D575" t="inlineStr">
        <is>
          <t>VÄRMLANDS LÄN</t>
        </is>
      </c>
      <c r="E575" t="inlineStr">
        <is>
          <t>FILIPSTAD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51654-2023</t>
        </is>
      </c>
      <c r="B576" s="1" t="n">
        <v>45222</v>
      </c>
      <c r="C576" s="1" t="n">
        <v>45510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53210-2023</t>
        </is>
      </c>
      <c r="B577" s="1" t="n">
        <v>45222</v>
      </c>
      <c r="C577" s="1" t="n">
        <v>45510</v>
      </c>
      <c r="D577" t="inlineStr">
        <is>
          <t>VÄRMLANDS LÄN</t>
        </is>
      </c>
      <c r="E577" t="inlineStr">
        <is>
          <t>FILIPSTAD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51985-2023</t>
        </is>
      </c>
      <c r="B578" s="1" t="n">
        <v>45223</v>
      </c>
      <c r="C578" s="1" t="n">
        <v>45510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51945-2023</t>
        </is>
      </c>
      <c r="B579" s="1" t="n">
        <v>45223</v>
      </c>
      <c r="C579" s="1" t="n">
        <v>45510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52994-2023</t>
        </is>
      </c>
      <c r="B580" s="1" t="n">
        <v>45226</v>
      </c>
      <c r="C580" s="1" t="n">
        <v>45510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52849-2023</t>
        </is>
      </c>
      <c r="B581" s="1" t="n">
        <v>45226</v>
      </c>
      <c r="C581" s="1" t="n">
        <v>45510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53348-2023</t>
        </is>
      </c>
      <c r="B582" s="1" t="n">
        <v>45229</v>
      </c>
      <c r="C582" s="1" t="n">
        <v>45510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53216-2023</t>
        </is>
      </c>
      <c r="B583" s="1" t="n">
        <v>45229</v>
      </c>
      <c r="C583" s="1" t="n">
        <v>45510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54828-2023</t>
        </is>
      </c>
      <c r="B584" s="1" t="n">
        <v>45229</v>
      </c>
      <c r="C584" s="1" t="n">
        <v>45510</v>
      </c>
      <c r="D584" t="inlineStr">
        <is>
          <t>VÄRMLANDS LÄN</t>
        </is>
      </c>
      <c r="E584" t="inlineStr">
        <is>
          <t>FILIPSTAD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54836-2023</t>
        </is>
      </c>
      <c r="B585" s="1" t="n">
        <v>45229</v>
      </c>
      <c r="C585" s="1" t="n">
        <v>45510</v>
      </c>
      <c r="D585" t="inlineStr">
        <is>
          <t>VÄRMLANDS LÄN</t>
        </is>
      </c>
      <c r="E585" t="inlineStr">
        <is>
          <t>FILIPSTAD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53744-2023</t>
        </is>
      </c>
      <c r="B586" s="1" t="n">
        <v>45230</v>
      </c>
      <c r="C586" s="1" t="n">
        <v>45510</v>
      </c>
      <c r="D586" t="inlineStr">
        <is>
          <t>VÄRMLANDS LÄN</t>
        </is>
      </c>
      <c r="E586" t="inlineStr">
        <is>
          <t>FILIPSTAD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53619-2023</t>
        </is>
      </c>
      <c r="B587" s="1" t="n">
        <v>45230</v>
      </c>
      <c r="C587" s="1" t="n">
        <v>45510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53562-2023</t>
        </is>
      </c>
      <c r="B588" s="1" t="n">
        <v>45230</v>
      </c>
      <c r="C588" s="1" t="n">
        <v>45510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53872-2023</t>
        </is>
      </c>
      <c r="B589" s="1" t="n">
        <v>45231</v>
      </c>
      <c r="C589" s="1" t="n">
        <v>45510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53853-2023</t>
        </is>
      </c>
      <c r="B590" s="1" t="n">
        <v>45231</v>
      </c>
      <c r="C590" s="1" t="n">
        <v>45510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54127-2023</t>
        </is>
      </c>
      <c r="B591" s="1" t="n">
        <v>45232</v>
      </c>
      <c r="C591" s="1" t="n">
        <v>45510</v>
      </c>
      <c r="D591" t="inlineStr">
        <is>
          <t>VÄRMLANDS LÄN</t>
        </is>
      </c>
      <c r="E591" t="inlineStr">
        <is>
          <t>FILIPSTAD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55093-2023</t>
        </is>
      </c>
      <c r="B592" s="1" t="n">
        <v>45237</v>
      </c>
      <c r="C592" s="1" t="n">
        <v>45510</v>
      </c>
      <c r="D592" t="inlineStr">
        <is>
          <t>VÄRMLANDS LÄN</t>
        </is>
      </c>
      <c r="E592" t="inlineStr">
        <is>
          <t>FILIPSTAD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55088-2023</t>
        </is>
      </c>
      <c r="B593" s="1" t="n">
        <v>45237</v>
      </c>
      <c r="C593" s="1" t="n">
        <v>45510</v>
      </c>
      <c r="D593" t="inlineStr">
        <is>
          <t>VÄRMLANDS LÄN</t>
        </is>
      </c>
      <c r="E593" t="inlineStr">
        <is>
          <t>FILIPSTAD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55096-2023</t>
        </is>
      </c>
      <c r="B594" s="1" t="n">
        <v>45237</v>
      </c>
      <c r="C594" s="1" t="n">
        <v>45510</v>
      </c>
      <c r="D594" t="inlineStr">
        <is>
          <t>VÄRMLANDS LÄN</t>
        </is>
      </c>
      <c r="E594" t="inlineStr">
        <is>
          <t>FILIPSTAD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55102-2023</t>
        </is>
      </c>
      <c r="B595" s="1" t="n">
        <v>45237</v>
      </c>
      <c r="C595" s="1" t="n">
        <v>45510</v>
      </c>
      <c r="D595" t="inlineStr">
        <is>
          <t>VÄRMLANDS LÄN</t>
        </is>
      </c>
      <c r="E595" t="inlineStr">
        <is>
          <t>FILIPSTAD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55509-2023</t>
        </is>
      </c>
      <c r="B596" s="1" t="n">
        <v>45238</v>
      </c>
      <c r="C596" s="1" t="n">
        <v>45510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55537-2023</t>
        </is>
      </c>
      <c r="B597" s="1" t="n">
        <v>45238</v>
      </c>
      <c r="C597" s="1" t="n">
        <v>45510</v>
      </c>
      <c r="D597" t="inlineStr">
        <is>
          <t>VÄRMLANDS LÄN</t>
        </is>
      </c>
      <c r="E597" t="inlineStr">
        <is>
          <t>FILIPSTAD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55751-2023</t>
        </is>
      </c>
      <c r="B598" s="1" t="n">
        <v>45239</v>
      </c>
      <c r="C598" s="1" t="n">
        <v>45510</v>
      </c>
      <c r="D598" t="inlineStr">
        <is>
          <t>VÄRMLANDS LÄN</t>
        </is>
      </c>
      <c r="E598" t="inlineStr">
        <is>
          <t>FILIPSTAD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56151-2023</t>
        </is>
      </c>
      <c r="B599" s="1" t="n">
        <v>45240</v>
      </c>
      <c r="C599" s="1" t="n">
        <v>45510</v>
      </c>
      <c r="D599" t="inlineStr">
        <is>
          <t>VÄRMLANDS LÄN</t>
        </is>
      </c>
      <c r="E599" t="inlineStr">
        <is>
          <t>FILIPSTAD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56070-2023</t>
        </is>
      </c>
      <c r="B600" s="1" t="n">
        <v>45240</v>
      </c>
      <c r="C600" s="1" t="n">
        <v>45510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56559-2023</t>
        </is>
      </c>
      <c r="B601" s="1" t="n">
        <v>45243</v>
      </c>
      <c r="C601" s="1" t="n">
        <v>45510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56557-2023</t>
        </is>
      </c>
      <c r="B602" s="1" t="n">
        <v>45243</v>
      </c>
      <c r="C602" s="1" t="n">
        <v>45510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19.2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57026-2023</t>
        </is>
      </c>
      <c r="B603" s="1" t="n">
        <v>45244</v>
      </c>
      <c r="C603" s="1" t="n">
        <v>45510</v>
      </c>
      <c r="D603" t="inlineStr">
        <is>
          <t>VÄRMLANDS LÄN</t>
        </is>
      </c>
      <c r="E603" t="inlineStr">
        <is>
          <t>FILIPSTAD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57027-2023</t>
        </is>
      </c>
      <c r="B604" s="1" t="n">
        <v>45244</v>
      </c>
      <c r="C604" s="1" t="n">
        <v>45510</v>
      </c>
      <c r="D604" t="inlineStr">
        <is>
          <t>VÄRMLANDS LÄN</t>
        </is>
      </c>
      <c r="E604" t="inlineStr">
        <is>
          <t>FILIPSTAD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57244-2023</t>
        </is>
      </c>
      <c r="B605" s="1" t="n">
        <v>45245</v>
      </c>
      <c r="C605" s="1" t="n">
        <v>45510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57218-2023</t>
        </is>
      </c>
      <c r="B606" s="1" t="n">
        <v>45245</v>
      </c>
      <c r="C606" s="1" t="n">
        <v>45510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57189-2023</t>
        </is>
      </c>
      <c r="B607" s="1" t="n">
        <v>45245</v>
      </c>
      <c r="C607" s="1" t="n">
        <v>45510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57212-2023</t>
        </is>
      </c>
      <c r="B608" s="1" t="n">
        <v>45245</v>
      </c>
      <c r="C608" s="1" t="n">
        <v>45510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57247-2023</t>
        </is>
      </c>
      <c r="B609" s="1" t="n">
        <v>45245</v>
      </c>
      <c r="C609" s="1" t="n">
        <v>45510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57506-2023</t>
        </is>
      </c>
      <c r="B610" s="1" t="n">
        <v>45246</v>
      </c>
      <c r="C610" s="1" t="n">
        <v>45510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57517-2023</t>
        </is>
      </c>
      <c r="B611" s="1" t="n">
        <v>45246</v>
      </c>
      <c r="C611" s="1" t="n">
        <v>45510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57522-2023</t>
        </is>
      </c>
      <c r="B612" s="1" t="n">
        <v>45246</v>
      </c>
      <c r="C612" s="1" t="n">
        <v>45510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57643-2023</t>
        </is>
      </c>
      <c r="B613" s="1" t="n">
        <v>45246</v>
      </c>
      <c r="C613" s="1" t="n">
        <v>45510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57535-2023</t>
        </is>
      </c>
      <c r="B614" s="1" t="n">
        <v>45246</v>
      </c>
      <c r="C614" s="1" t="n">
        <v>45510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57595-2023</t>
        </is>
      </c>
      <c r="B615" s="1" t="n">
        <v>45246</v>
      </c>
      <c r="C615" s="1" t="n">
        <v>45510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57601-2023</t>
        </is>
      </c>
      <c r="B616" s="1" t="n">
        <v>45246</v>
      </c>
      <c r="C616" s="1" t="n">
        <v>45510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57528-2023</t>
        </is>
      </c>
      <c r="B617" s="1" t="n">
        <v>45246</v>
      </c>
      <c r="C617" s="1" t="n">
        <v>45510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57588-2023</t>
        </is>
      </c>
      <c r="B618" s="1" t="n">
        <v>45246</v>
      </c>
      <c r="C618" s="1" t="n">
        <v>45510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57610-2023</t>
        </is>
      </c>
      <c r="B619" s="1" t="n">
        <v>45246</v>
      </c>
      <c r="C619" s="1" t="n">
        <v>45510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57576-2023</t>
        </is>
      </c>
      <c r="B620" s="1" t="n">
        <v>45246</v>
      </c>
      <c r="C620" s="1" t="n">
        <v>45510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57591-2023</t>
        </is>
      </c>
      <c r="B621" s="1" t="n">
        <v>45246</v>
      </c>
      <c r="C621" s="1" t="n">
        <v>45510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57634-2023</t>
        </is>
      </c>
      <c r="B622" s="1" t="n">
        <v>45246</v>
      </c>
      <c r="C622" s="1" t="n">
        <v>45510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58147-2023</t>
        </is>
      </c>
      <c r="B623" s="1" t="n">
        <v>45250</v>
      </c>
      <c r="C623" s="1" t="n">
        <v>45510</v>
      </c>
      <c r="D623" t="inlineStr">
        <is>
          <t>VÄRMLANDS LÄN</t>
        </is>
      </c>
      <c r="E623" t="inlineStr">
        <is>
          <t>FILIPSTAD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58183-2023</t>
        </is>
      </c>
      <c r="B624" s="1" t="n">
        <v>45250</v>
      </c>
      <c r="C624" s="1" t="n">
        <v>45510</v>
      </c>
      <c r="D624" t="inlineStr">
        <is>
          <t>VÄRMLANDS LÄN</t>
        </is>
      </c>
      <c r="E624" t="inlineStr">
        <is>
          <t>FILIPSTAD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58150-2023</t>
        </is>
      </c>
      <c r="B625" s="1" t="n">
        <v>45250</v>
      </c>
      <c r="C625" s="1" t="n">
        <v>45510</v>
      </c>
      <c r="D625" t="inlineStr">
        <is>
          <t>VÄRMLANDS LÄN</t>
        </is>
      </c>
      <c r="E625" t="inlineStr">
        <is>
          <t>FILIPSTAD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59296-2023</t>
        </is>
      </c>
      <c r="B626" s="1" t="n">
        <v>45253</v>
      </c>
      <c r="C626" s="1" t="n">
        <v>45510</v>
      </c>
      <c r="D626" t="inlineStr">
        <is>
          <t>VÄRMLANDS LÄN</t>
        </is>
      </c>
      <c r="E626" t="inlineStr">
        <is>
          <t>FILIPSTAD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59347-2023</t>
        </is>
      </c>
      <c r="B627" s="1" t="n">
        <v>45253</v>
      </c>
      <c r="C627" s="1" t="n">
        <v>45510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59336-2023</t>
        </is>
      </c>
      <c r="B628" s="1" t="n">
        <v>45253</v>
      </c>
      <c r="C628" s="1" t="n">
        <v>45510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60296-2023</t>
        </is>
      </c>
      <c r="B629" s="1" t="n">
        <v>45257</v>
      </c>
      <c r="C629" s="1" t="n">
        <v>45510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60240-2023</t>
        </is>
      </c>
      <c r="B630" s="1" t="n">
        <v>45258</v>
      </c>
      <c r="C630" s="1" t="n">
        <v>45510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60350-2023</t>
        </is>
      </c>
      <c r="B631" s="1" t="n">
        <v>45258</v>
      </c>
      <c r="C631" s="1" t="n">
        <v>45510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60968-2023</t>
        </is>
      </c>
      <c r="B632" s="1" t="n">
        <v>45261</v>
      </c>
      <c r="C632" s="1" t="n">
        <v>45510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61383-2023</t>
        </is>
      </c>
      <c r="B633" s="1" t="n">
        <v>45264</v>
      </c>
      <c r="C633" s="1" t="n">
        <v>45510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61906-2023</t>
        </is>
      </c>
      <c r="B634" s="1" t="n">
        <v>45264</v>
      </c>
      <c r="C634" s="1" t="n">
        <v>45510</v>
      </c>
      <c r="D634" t="inlineStr">
        <is>
          <t>VÄRMLANDS LÄN</t>
        </is>
      </c>
      <c r="E634" t="inlineStr">
        <is>
          <t>FILIPSTAD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62218-2023</t>
        </is>
      </c>
      <c r="B635" s="1" t="n">
        <v>45267</v>
      </c>
      <c r="C635" s="1" t="n">
        <v>45510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62197-2023</t>
        </is>
      </c>
      <c r="B636" s="1" t="n">
        <v>45267</v>
      </c>
      <c r="C636" s="1" t="n">
        <v>45510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62335-2023</t>
        </is>
      </c>
      <c r="B637" s="1" t="n">
        <v>45267</v>
      </c>
      <c r="C637" s="1" t="n">
        <v>45510</v>
      </c>
      <c r="D637" t="inlineStr">
        <is>
          <t>VÄRMLANDS LÄN</t>
        </is>
      </c>
      <c r="E637" t="inlineStr">
        <is>
          <t>FILIPSTAD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62366-2023</t>
        </is>
      </c>
      <c r="B638" s="1" t="n">
        <v>45267</v>
      </c>
      <c r="C638" s="1" t="n">
        <v>45510</v>
      </c>
      <c r="D638" t="inlineStr">
        <is>
          <t>VÄRMLANDS LÄN</t>
        </is>
      </c>
      <c r="E638" t="inlineStr">
        <is>
          <t>FILIPSTAD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62540-2023</t>
        </is>
      </c>
      <c r="B639" s="1" t="n">
        <v>45267</v>
      </c>
      <c r="C639" s="1" t="n">
        <v>45510</v>
      </c>
      <c r="D639" t="inlineStr">
        <is>
          <t>VÄRMLANDS LÄN</t>
        </is>
      </c>
      <c r="E639" t="inlineStr">
        <is>
          <t>FILIPSTAD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62787-2023</t>
        </is>
      </c>
      <c r="B640" s="1" t="n">
        <v>45271</v>
      </c>
      <c r="C640" s="1" t="n">
        <v>45510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63411-2023</t>
        </is>
      </c>
      <c r="B641" s="1" t="n">
        <v>45274</v>
      </c>
      <c r="C641" s="1" t="n">
        <v>45510</v>
      </c>
      <c r="D641" t="inlineStr">
        <is>
          <t>VÄRMLANDS LÄN</t>
        </is>
      </c>
      <c r="E641" t="inlineStr">
        <is>
          <t>FILIPSTAD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63416-2023</t>
        </is>
      </c>
      <c r="B642" s="1" t="n">
        <v>45274</v>
      </c>
      <c r="C642" s="1" t="n">
        <v>45510</v>
      </c>
      <c r="D642" t="inlineStr">
        <is>
          <t>VÄRMLANDS LÄN</t>
        </is>
      </c>
      <c r="E642" t="inlineStr">
        <is>
          <t>FILIPSTAD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63421-2023</t>
        </is>
      </c>
      <c r="B643" s="1" t="n">
        <v>45274</v>
      </c>
      <c r="C643" s="1" t="n">
        <v>45510</v>
      </c>
      <c r="D643" t="inlineStr">
        <is>
          <t>VÄRMLANDS LÄN</t>
        </is>
      </c>
      <c r="E643" t="inlineStr">
        <is>
          <t>FILIPSTAD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63622-2023</t>
        </is>
      </c>
      <c r="B644" s="1" t="n">
        <v>45275</v>
      </c>
      <c r="C644" s="1" t="n">
        <v>45510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63617-2023</t>
        </is>
      </c>
      <c r="B645" s="1" t="n">
        <v>45275</v>
      </c>
      <c r="C645" s="1" t="n">
        <v>45510</v>
      </c>
      <c r="D645" t="inlineStr">
        <is>
          <t>VÄRMLANDS LÄN</t>
        </is>
      </c>
      <c r="E645" t="inlineStr">
        <is>
          <t>FILIPSTAD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63621-2023</t>
        </is>
      </c>
      <c r="B646" s="1" t="n">
        <v>45275</v>
      </c>
      <c r="C646" s="1" t="n">
        <v>45510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</v>
      </c>
      <c r="C647" s="1" t="n">
        <v>45510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1320-2024</t>
        </is>
      </c>
      <c r="B648" s="1" t="n">
        <v>45303</v>
      </c>
      <c r="C648" s="1" t="n">
        <v>45510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2361-2024</t>
        </is>
      </c>
      <c r="B649" s="1" t="n">
        <v>45310</v>
      </c>
      <c r="C649" s="1" t="n">
        <v>45510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3659-2024</t>
        </is>
      </c>
      <c r="B650" s="1" t="n">
        <v>45321</v>
      </c>
      <c r="C650" s="1" t="n">
        <v>45510</v>
      </c>
      <c r="D650" t="inlineStr">
        <is>
          <t>VÄRMLANDS LÄN</t>
        </is>
      </c>
      <c r="E650" t="inlineStr">
        <is>
          <t>FILIPSTAD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3786-2024</t>
        </is>
      </c>
      <c r="B651" s="1" t="n">
        <v>45321</v>
      </c>
      <c r="C651" s="1" t="n">
        <v>45510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3979-2024</t>
        </is>
      </c>
      <c r="B652" s="1" t="n">
        <v>45322</v>
      </c>
      <c r="C652" s="1" t="n">
        <v>45510</v>
      </c>
      <c r="D652" t="inlineStr">
        <is>
          <t>VÄRMLANDS LÄN</t>
        </is>
      </c>
      <c r="E652" t="inlineStr">
        <is>
          <t>FILIPSTAD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4418-2024</t>
        </is>
      </c>
      <c r="B653" s="1" t="n">
        <v>45327</v>
      </c>
      <c r="C653" s="1" t="n">
        <v>45510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4620-2024</t>
        </is>
      </c>
      <c r="B654" s="1" t="n">
        <v>45328</v>
      </c>
      <c r="C654" s="1" t="n">
        <v>45510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6860-2024</t>
        </is>
      </c>
      <c r="B655" s="1" t="n">
        <v>45342</v>
      </c>
      <c r="C655" s="1" t="n">
        <v>45510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7071-2024</t>
        </is>
      </c>
      <c r="B656" s="1" t="n">
        <v>45343</v>
      </c>
      <c r="C656" s="1" t="n">
        <v>45510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7223-2024</t>
        </is>
      </c>
      <c r="B657" s="1" t="n">
        <v>45344</v>
      </c>
      <c r="C657" s="1" t="n">
        <v>45510</v>
      </c>
      <c r="D657" t="inlineStr">
        <is>
          <t>VÄRMLANDS LÄN</t>
        </is>
      </c>
      <c r="E657" t="inlineStr">
        <is>
          <t>FILIPSTAD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8712-2024</t>
        </is>
      </c>
      <c r="B658" s="1" t="n">
        <v>45355</v>
      </c>
      <c r="C658" s="1" t="n">
        <v>45510</v>
      </c>
      <c r="D658" t="inlineStr">
        <is>
          <t>VÄRMLANDS LÄN</t>
        </is>
      </c>
      <c r="E658" t="inlineStr">
        <is>
          <t>FILIPSTAD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10138-2024</t>
        </is>
      </c>
      <c r="B659" s="1" t="n">
        <v>45364</v>
      </c>
      <c r="C659" s="1" t="n">
        <v>45510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10143-2024</t>
        </is>
      </c>
      <c r="B660" s="1" t="n">
        <v>45364</v>
      </c>
      <c r="C660" s="1" t="n">
        <v>45510</v>
      </c>
      <c r="D660" t="inlineStr">
        <is>
          <t>VÄRMLANDS LÄN</t>
        </is>
      </c>
      <c r="E660" t="inlineStr">
        <is>
          <t>FILIPSTAD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11415-2024</t>
        </is>
      </c>
      <c r="B661" s="1" t="n">
        <v>45372</v>
      </c>
      <c r="C661" s="1" t="n">
        <v>45510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18.3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12267-2024</t>
        </is>
      </c>
      <c r="B662" s="1" t="n">
        <v>45378</v>
      </c>
      <c r="C662" s="1" t="n">
        <v>45510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12279-2024</t>
        </is>
      </c>
      <c r="B663" s="1" t="n">
        <v>45378</v>
      </c>
      <c r="C663" s="1" t="n">
        <v>45510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12283-2024</t>
        </is>
      </c>
      <c r="B664" s="1" t="n">
        <v>45378</v>
      </c>
      <c r="C664" s="1" t="n">
        <v>45510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12298-2024</t>
        </is>
      </c>
      <c r="B665" s="1" t="n">
        <v>45378</v>
      </c>
      <c r="C665" s="1" t="n">
        <v>45510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12286-2024</t>
        </is>
      </c>
      <c r="B666" s="1" t="n">
        <v>45378</v>
      </c>
      <c r="C666" s="1" t="n">
        <v>45510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12514-2024</t>
        </is>
      </c>
      <c r="B667" s="1" t="n">
        <v>45379</v>
      </c>
      <c r="C667" s="1" t="n">
        <v>45510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12728-2024</t>
        </is>
      </c>
      <c r="B668" s="1" t="n">
        <v>45384</v>
      </c>
      <c r="C668" s="1" t="n">
        <v>45510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12737-2024</t>
        </is>
      </c>
      <c r="B669" s="1" t="n">
        <v>45384</v>
      </c>
      <c r="C669" s="1" t="n">
        <v>45510</v>
      </c>
      <c r="D669" t="inlineStr">
        <is>
          <t>VÄRMLANDS LÄN</t>
        </is>
      </c>
      <c r="E669" t="inlineStr">
        <is>
          <t>FILIPSTAD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12837-2024</t>
        </is>
      </c>
      <c r="B670" s="1" t="n">
        <v>45384</v>
      </c>
      <c r="C670" s="1" t="n">
        <v>45510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12714-2024</t>
        </is>
      </c>
      <c r="B671" s="1" t="n">
        <v>45384</v>
      </c>
      <c r="C671" s="1" t="n">
        <v>45510</v>
      </c>
      <c r="D671" t="inlineStr">
        <is>
          <t>VÄRMLANDS LÄN</t>
        </is>
      </c>
      <c r="E671" t="inlineStr">
        <is>
          <t>FILIPSTAD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12946-2024</t>
        </is>
      </c>
      <c r="B672" s="1" t="n">
        <v>45385</v>
      </c>
      <c r="C672" s="1" t="n">
        <v>45510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13609-2024</t>
        </is>
      </c>
      <c r="B673" s="1" t="n">
        <v>45390</v>
      </c>
      <c r="C673" s="1" t="n">
        <v>45510</v>
      </c>
      <c r="D673" t="inlineStr">
        <is>
          <t>VÄRMLANDS LÄN</t>
        </is>
      </c>
      <c r="E673" t="inlineStr">
        <is>
          <t>FILIPSTAD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13662-2024</t>
        </is>
      </c>
      <c r="B674" s="1" t="n">
        <v>45390</v>
      </c>
      <c r="C674" s="1" t="n">
        <v>45510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13918-2024</t>
        </is>
      </c>
      <c r="B675" s="1" t="n">
        <v>45391</v>
      </c>
      <c r="C675" s="1" t="n">
        <v>45510</v>
      </c>
      <c r="D675" t="inlineStr">
        <is>
          <t>VÄRMLANDS LÄN</t>
        </is>
      </c>
      <c r="E675" t="inlineStr">
        <is>
          <t>FILIPSTAD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14268-2024</t>
        </is>
      </c>
      <c r="B676" s="1" t="n">
        <v>45393</v>
      </c>
      <c r="C676" s="1" t="n">
        <v>45510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14272-2024</t>
        </is>
      </c>
      <c r="B677" s="1" t="n">
        <v>45393</v>
      </c>
      <c r="C677" s="1" t="n">
        <v>45510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14275-2024</t>
        </is>
      </c>
      <c r="B678" s="1" t="n">
        <v>45393</v>
      </c>
      <c r="C678" s="1" t="n">
        <v>45510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14656-2024</t>
        </is>
      </c>
      <c r="B679" s="1" t="n">
        <v>45397</v>
      </c>
      <c r="C679" s="1" t="n">
        <v>45510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14838-2024</t>
        </is>
      </c>
      <c r="B680" s="1" t="n">
        <v>45398</v>
      </c>
      <c r="C680" s="1" t="n">
        <v>45510</v>
      </c>
      <c r="D680" t="inlineStr">
        <is>
          <t>VÄRMLANDS LÄN</t>
        </is>
      </c>
      <c r="E680" t="inlineStr">
        <is>
          <t>FILIPSTAD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14857-2024</t>
        </is>
      </c>
      <c r="B681" s="1" t="n">
        <v>45398</v>
      </c>
      <c r="C681" s="1" t="n">
        <v>45510</v>
      </c>
      <c r="D681" t="inlineStr">
        <is>
          <t>VÄRMLANDS LÄN</t>
        </is>
      </c>
      <c r="E681" t="inlineStr">
        <is>
          <t>FILIPSTAD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15431-2024</t>
        </is>
      </c>
      <c r="B682" s="1" t="n">
        <v>45401</v>
      </c>
      <c r="C682" s="1" t="n">
        <v>45510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15471-2024</t>
        </is>
      </c>
      <c r="B683" s="1" t="n">
        <v>45401</v>
      </c>
      <c r="C683" s="1" t="n">
        <v>45510</v>
      </c>
      <c r="D683" t="inlineStr">
        <is>
          <t>VÄRMLANDS LÄN</t>
        </is>
      </c>
      <c r="E683" t="inlineStr">
        <is>
          <t>FILIPSTAD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15815-2024</t>
        </is>
      </c>
      <c r="B684" s="1" t="n">
        <v>45404</v>
      </c>
      <c r="C684" s="1" t="n">
        <v>45510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15940-2024</t>
        </is>
      </c>
      <c r="B685" s="1" t="n">
        <v>45405</v>
      </c>
      <c r="C685" s="1" t="n">
        <v>45510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15903-2024</t>
        </is>
      </c>
      <c r="B686" s="1" t="n">
        <v>45405</v>
      </c>
      <c r="C686" s="1" t="n">
        <v>45510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15937-2024</t>
        </is>
      </c>
      <c r="B687" s="1" t="n">
        <v>45405</v>
      </c>
      <c r="C687" s="1" t="n">
        <v>45510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15902-2024</t>
        </is>
      </c>
      <c r="B688" s="1" t="n">
        <v>45405</v>
      </c>
      <c r="C688" s="1" t="n">
        <v>45510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16087-2024</t>
        </is>
      </c>
      <c r="B689" s="1" t="n">
        <v>45406</v>
      </c>
      <c r="C689" s="1" t="n">
        <v>45510</v>
      </c>
      <c r="D689" t="inlineStr">
        <is>
          <t>VÄRMLANDS LÄN</t>
        </is>
      </c>
      <c r="E689" t="inlineStr">
        <is>
          <t>FILIPSTAD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16329-2024</t>
        </is>
      </c>
      <c r="B690" s="1" t="n">
        <v>45407</v>
      </c>
      <c r="C690" s="1" t="n">
        <v>45510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16371-2024</t>
        </is>
      </c>
      <c r="B691" s="1" t="n">
        <v>45407</v>
      </c>
      <c r="C691" s="1" t="n">
        <v>45510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16416-2024</t>
        </is>
      </c>
      <c r="B692" s="1" t="n">
        <v>45407</v>
      </c>
      <c r="C692" s="1" t="n">
        <v>45510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16584-2024</t>
        </is>
      </c>
      <c r="B693" s="1" t="n">
        <v>45408</v>
      </c>
      <c r="C693" s="1" t="n">
        <v>45510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16604-2024</t>
        </is>
      </c>
      <c r="B694" s="1" t="n">
        <v>45408</v>
      </c>
      <c r="C694" s="1" t="n">
        <v>45510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16479-2024</t>
        </is>
      </c>
      <c r="B695" s="1" t="n">
        <v>45408</v>
      </c>
      <c r="C695" s="1" t="n">
        <v>45510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16603-2024</t>
        </is>
      </c>
      <c r="B696" s="1" t="n">
        <v>45408</v>
      </c>
      <c r="C696" s="1" t="n">
        <v>45510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16946-2024</t>
        </is>
      </c>
      <c r="B697" s="1" t="n">
        <v>45411</v>
      </c>
      <c r="C697" s="1" t="n">
        <v>45510</v>
      </c>
      <c r="D697" t="inlineStr">
        <is>
          <t>VÄRMLANDS LÄN</t>
        </is>
      </c>
      <c r="E697" t="inlineStr">
        <is>
          <t>FILIPSTAD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16839-2024</t>
        </is>
      </c>
      <c r="B698" s="1" t="n">
        <v>45411</v>
      </c>
      <c r="C698" s="1" t="n">
        <v>45510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16929-2024</t>
        </is>
      </c>
      <c r="B699" s="1" t="n">
        <v>45411</v>
      </c>
      <c r="C699" s="1" t="n">
        <v>45510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16762-2024</t>
        </is>
      </c>
      <c r="B700" s="1" t="n">
        <v>45411</v>
      </c>
      <c r="C700" s="1" t="n">
        <v>45510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17244-2024</t>
        </is>
      </c>
      <c r="B701" s="1" t="n">
        <v>45414</v>
      </c>
      <c r="C701" s="1" t="n">
        <v>45510</v>
      </c>
      <c r="D701" t="inlineStr">
        <is>
          <t>VÄRMLANDS LÄN</t>
        </is>
      </c>
      <c r="E701" t="inlineStr">
        <is>
          <t>FILIPSTAD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17273-2024</t>
        </is>
      </c>
      <c r="B702" s="1" t="n">
        <v>45414</v>
      </c>
      <c r="C702" s="1" t="n">
        <v>45510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17281-2024</t>
        </is>
      </c>
      <c r="B703" s="1" t="n">
        <v>45414</v>
      </c>
      <c r="C703" s="1" t="n">
        <v>45510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17274-2024</t>
        </is>
      </c>
      <c r="B704" s="1" t="n">
        <v>45414</v>
      </c>
      <c r="C704" s="1" t="n">
        <v>45510</v>
      </c>
      <c r="D704" t="inlineStr">
        <is>
          <t>VÄRMLANDS LÄN</t>
        </is>
      </c>
      <c r="E704" t="inlineStr">
        <is>
          <t>FILIPSTAD</t>
        </is>
      </c>
      <c r="F704" t="inlineStr">
        <is>
          <t>Kommuner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17523-2024</t>
        </is>
      </c>
      <c r="B705" s="1" t="n">
        <v>45415</v>
      </c>
      <c r="C705" s="1" t="n">
        <v>45510</v>
      </c>
      <c r="D705" t="inlineStr">
        <is>
          <t>VÄRMLANDS LÄN</t>
        </is>
      </c>
      <c r="E705" t="inlineStr">
        <is>
          <t>FILIPSTAD</t>
        </is>
      </c>
      <c r="F705" t="inlineStr">
        <is>
          <t>Kyrkan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17462-2024</t>
        </is>
      </c>
      <c r="B706" s="1" t="n">
        <v>45415</v>
      </c>
      <c r="C706" s="1" t="n">
        <v>45510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17472-2024</t>
        </is>
      </c>
      <c r="B707" s="1" t="n">
        <v>45415</v>
      </c>
      <c r="C707" s="1" t="n">
        <v>45510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17788-2024</t>
        </is>
      </c>
      <c r="B708" s="1" t="n">
        <v>45418</v>
      </c>
      <c r="C708" s="1" t="n">
        <v>45510</v>
      </c>
      <c r="D708" t="inlineStr">
        <is>
          <t>VÄRMLANDS LÄN</t>
        </is>
      </c>
      <c r="E708" t="inlineStr">
        <is>
          <t>FILIPSTAD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17794-2024</t>
        </is>
      </c>
      <c r="B709" s="1" t="n">
        <v>45418</v>
      </c>
      <c r="C709" s="1" t="n">
        <v>45510</v>
      </c>
      <c r="D709" t="inlineStr">
        <is>
          <t>VÄRMLANDS LÄN</t>
        </is>
      </c>
      <c r="E709" t="inlineStr">
        <is>
          <t>FILIPSTAD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17795-2024</t>
        </is>
      </c>
      <c r="B710" s="1" t="n">
        <v>45418</v>
      </c>
      <c r="C710" s="1" t="n">
        <v>45510</v>
      </c>
      <c r="D710" t="inlineStr">
        <is>
          <t>VÄRMLANDS LÄN</t>
        </is>
      </c>
      <c r="E710" t="inlineStr">
        <is>
          <t>FILIPSTAD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17858-2024</t>
        </is>
      </c>
      <c r="B711" s="1" t="n">
        <v>45419</v>
      </c>
      <c r="C711" s="1" t="n">
        <v>45510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17978-2024</t>
        </is>
      </c>
      <c r="B712" s="1" t="n">
        <v>45419</v>
      </c>
      <c r="C712" s="1" t="n">
        <v>45510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17977-2024</t>
        </is>
      </c>
      <c r="B713" s="1" t="n">
        <v>45419</v>
      </c>
      <c r="C713" s="1" t="n">
        <v>45510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18210-2024</t>
        </is>
      </c>
      <c r="B714" s="1" t="n">
        <v>45420</v>
      </c>
      <c r="C714" s="1" t="n">
        <v>45510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18527-2024</t>
        </is>
      </c>
      <c r="B715" s="1" t="n">
        <v>45425</v>
      </c>
      <c r="C715" s="1" t="n">
        <v>45510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18543-2024</t>
        </is>
      </c>
      <c r="B716" s="1" t="n">
        <v>45425</v>
      </c>
      <c r="C716" s="1" t="n">
        <v>45510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19034-2024</t>
        </is>
      </c>
      <c r="B717" s="1" t="n">
        <v>45427</v>
      </c>
      <c r="C717" s="1" t="n">
        <v>45510</v>
      </c>
      <c r="D717" t="inlineStr">
        <is>
          <t>VÄRMLANDS LÄN</t>
        </is>
      </c>
      <c r="E717" t="inlineStr">
        <is>
          <t>FILIPSTAD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19035-2024</t>
        </is>
      </c>
      <c r="B718" s="1" t="n">
        <v>45427</v>
      </c>
      <c r="C718" s="1" t="n">
        <v>45510</v>
      </c>
      <c r="D718" t="inlineStr">
        <is>
          <t>VÄRMLANDS LÄN</t>
        </is>
      </c>
      <c r="E718" t="inlineStr">
        <is>
          <t>FILIPSTAD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18999-2024</t>
        </is>
      </c>
      <c r="B719" s="1" t="n">
        <v>45427</v>
      </c>
      <c r="C719" s="1" t="n">
        <v>45510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18984-2024</t>
        </is>
      </c>
      <c r="B720" s="1" t="n">
        <v>45427</v>
      </c>
      <c r="C720" s="1" t="n">
        <v>45510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19159-2024</t>
        </is>
      </c>
      <c r="B721" s="1" t="n">
        <v>45428</v>
      </c>
      <c r="C721" s="1" t="n">
        <v>45510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20200-2024</t>
        </is>
      </c>
      <c r="B722" s="1" t="n">
        <v>45434</v>
      </c>
      <c r="C722" s="1" t="n">
        <v>45510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20344-2024</t>
        </is>
      </c>
      <c r="B723" s="1" t="n">
        <v>45435</v>
      </c>
      <c r="C723" s="1" t="n">
        <v>45510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20383-2024</t>
        </is>
      </c>
      <c r="B724" s="1" t="n">
        <v>45435</v>
      </c>
      <c r="C724" s="1" t="n">
        <v>45510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20385-2024</t>
        </is>
      </c>
      <c r="B725" s="1" t="n">
        <v>45435</v>
      </c>
      <c r="C725" s="1" t="n">
        <v>45510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20387-2024</t>
        </is>
      </c>
      <c r="B726" s="1" t="n">
        <v>45435</v>
      </c>
      <c r="C726" s="1" t="n">
        <v>45510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20342-2024</t>
        </is>
      </c>
      <c r="B727" s="1" t="n">
        <v>45435</v>
      </c>
      <c r="C727" s="1" t="n">
        <v>45510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20657-2024</t>
        </is>
      </c>
      <c r="B728" s="1" t="n">
        <v>45436</v>
      </c>
      <c r="C728" s="1" t="n">
        <v>45510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20661-2024</t>
        </is>
      </c>
      <c r="B729" s="1" t="n">
        <v>45436</v>
      </c>
      <c r="C729" s="1" t="n">
        <v>45510</v>
      </c>
      <c r="D729" t="inlineStr">
        <is>
          <t>VÄRMLANDS LÄN</t>
        </is>
      </c>
      <c r="E729" t="inlineStr">
        <is>
          <t>FILIPSTAD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20663-2024</t>
        </is>
      </c>
      <c r="B730" s="1" t="n">
        <v>45436</v>
      </c>
      <c r="C730" s="1" t="n">
        <v>45510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20686-2024</t>
        </is>
      </c>
      <c r="B731" s="1" t="n">
        <v>45436</v>
      </c>
      <c r="C731" s="1" t="n">
        <v>45510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20844-2024</t>
        </is>
      </c>
      <c r="B732" s="1" t="n">
        <v>45439</v>
      </c>
      <c r="C732" s="1" t="n">
        <v>45510</v>
      </c>
      <c r="D732" t="inlineStr">
        <is>
          <t>VÄRMLANDS LÄN</t>
        </is>
      </c>
      <c r="E732" t="inlineStr">
        <is>
          <t>FILIPSTAD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20957-2024</t>
        </is>
      </c>
      <c r="B733" s="1" t="n">
        <v>45439</v>
      </c>
      <c r="C733" s="1" t="n">
        <v>45510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20949-2024</t>
        </is>
      </c>
      <c r="B734" s="1" t="n">
        <v>45439</v>
      </c>
      <c r="C734" s="1" t="n">
        <v>45510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20875-2024</t>
        </is>
      </c>
      <c r="B735" s="1" t="n">
        <v>45439</v>
      </c>
      <c r="C735" s="1" t="n">
        <v>45510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20966-2024</t>
        </is>
      </c>
      <c r="B736" s="1" t="n">
        <v>45439</v>
      </c>
      <c r="C736" s="1" t="n">
        <v>45510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21715-2024</t>
        </is>
      </c>
      <c r="B737" s="1" t="n">
        <v>45442</v>
      </c>
      <c r="C737" s="1" t="n">
        <v>45510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22578-2024</t>
        </is>
      </c>
      <c r="B738" s="1" t="n">
        <v>45447</v>
      </c>
      <c r="C738" s="1" t="n">
        <v>45510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22868-2024</t>
        </is>
      </c>
      <c r="B739" s="1" t="n">
        <v>45448</v>
      </c>
      <c r="C739" s="1" t="n">
        <v>45510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23382-2024</t>
        </is>
      </c>
      <c r="B740" s="1" t="n">
        <v>45453</v>
      </c>
      <c r="C740" s="1" t="n">
        <v>45510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23371-2024</t>
        </is>
      </c>
      <c r="B741" s="1" t="n">
        <v>45453</v>
      </c>
      <c r="C741" s="1" t="n">
        <v>45510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24082-2024</t>
        </is>
      </c>
      <c r="B742" s="1" t="n">
        <v>45456</v>
      </c>
      <c r="C742" s="1" t="n">
        <v>45510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24054-2024</t>
        </is>
      </c>
      <c r="B743" s="1" t="n">
        <v>45456</v>
      </c>
      <c r="C743" s="1" t="n">
        <v>45510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24139-2024</t>
        </is>
      </c>
      <c r="B744" s="1" t="n">
        <v>45456</v>
      </c>
      <c r="C744" s="1" t="n">
        <v>45510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24260-2024</t>
        </is>
      </c>
      <c r="B745" s="1" t="n">
        <v>45457</v>
      </c>
      <c r="C745" s="1" t="n">
        <v>45510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24871-2024</t>
        </is>
      </c>
      <c r="B746" s="1" t="n">
        <v>45461</v>
      </c>
      <c r="C746" s="1" t="n">
        <v>45510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25254-2024</t>
        </is>
      </c>
      <c r="B747" s="1" t="n">
        <v>45462</v>
      </c>
      <c r="C747" s="1" t="n">
        <v>45510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25521-2024</t>
        </is>
      </c>
      <c r="B748" s="1" t="n">
        <v>45463</v>
      </c>
      <c r="C748" s="1" t="n">
        <v>45510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25468-2024</t>
        </is>
      </c>
      <c r="B749" s="1" t="n">
        <v>45463</v>
      </c>
      <c r="C749" s="1" t="n">
        <v>45510</v>
      </c>
      <c r="D749" t="inlineStr">
        <is>
          <t>VÄRMLANDS LÄN</t>
        </is>
      </c>
      <c r="E749" t="inlineStr">
        <is>
          <t>FILIPSTAD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25462-2024</t>
        </is>
      </c>
      <c r="B750" s="1" t="n">
        <v>45463</v>
      </c>
      <c r="C750" s="1" t="n">
        <v>45510</v>
      </c>
      <c r="D750" t="inlineStr">
        <is>
          <t>VÄRMLANDS LÄN</t>
        </is>
      </c>
      <c r="E750" t="inlineStr">
        <is>
          <t>FILIPSTAD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26179-2024</t>
        </is>
      </c>
      <c r="B751" s="1" t="n">
        <v>45468</v>
      </c>
      <c r="C751" s="1" t="n">
        <v>45510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26170-2024</t>
        </is>
      </c>
      <c r="B752" s="1" t="n">
        <v>45468</v>
      </c>
      <c r="C752" s="1" t="n">
        <v>45510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26165-2024</t>
        </is>
      </c>
      <c r="B753" s="1" t="n">
        <v>45468</v>
      </c>
      <c r="C753" s="1" t="n">
        <v>45510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26599-2024</t>
        </is>
      </c>
      <c r="B754" s="1" t="n">
        <v>45469</v>
      </c>
      <c r="C754" s="1" t="n">
        <v>45510</v>
      </c>
      <c r="D754" t="inlineStr">
        <is>
          <t>VÄRMLANDS LÄN</t>
        </is>
      </c>
      <c r="E754" t="inlineStr">
        <is>
          <t>FILIPSTAD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26880-2024</t>
        </is>
      </c>
      <c r="B755" s="1" t="n">
        <v>45470</v>
      </c>
      <c r="C755" s="1" t="n">
        <v>45510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18.3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26816-2024</t>
        </is>
      </c>
      <c r="B756" s="1" t="n">
        <v>45470</v>
      </c>
      <c r="C756" s="1" t="n">
        <v>45510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26843-2024</t>
        </is>
      </c>
      <c r="B757" s="1" t="n">
        <v>45470</v>
      </c>
      <c r="C757" s="1" t="n">
        <v>45510</v>
      </c>
      <c r="D757" t="inlineStr">
        <is>
          <t>VÄRMLANDS LÄN</t>
        </is>
      </c>
      <c r="E757" t="inlineStr">
        <is>
          <t>FILIPSTAD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26811-2024</t>
        </is>
      </c>
      <c r="B758" s="1" t="n">
        <v>45470</v>
      </c>
      <c r="C758" s="1" t="n">
        <v>45510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9.300000000000001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26809-2024</t>
        </is>
      </c>
      <c r="B759" s="1" t="n">
        <v>45470</v>
      </c>
      <c r="C759" s="1" t="n">
        <v>45510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27129-2024</t>
        </is>
      </c>
      <c r="B760" s="1" t="n">
        <v>45471</v>
      </c>
      <c r="C760" s="1" t="n">
        <v>45510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27107-2024</t>
        </is>
      </c>
      <c r="B761" s="1" t="n">
        <v>45471</v>
      </c>
      <c r="C761" s="1" t="n">
        <v>45510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27139-2024</t>
        </is>
      </c>
      <c r="B762" s="1" t="n">
        <v>45471</v>
      </c>
      <c r="C762" s="1" t="n">
        <v>45510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27105-2024</t>
        </is>
      </c>
      <c r="B763" s="1" t="n">
        <v>45471</v>
      </c>
      <c r="C763" s="1" t="n">
        <v>45510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26991-2024</t>
        </is>
      </c>
      <c r="B764" s="1" t="n">
        <v>45471</v>
      </c>
      <c r="C764" s="1" t="n">
        <v>45510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26975-2024</t>
        </is>
      </c>
      <c r="B765" s="1" t="n">
        <v>45471</v>
      </c>
      <c r="C765" s="1" t="n">
        <v>45510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26974-2024</t>
        </is>
      </c>
      <c r="B766" s="1" t="n">
        <v>45471</v>
      </c>
      <c r="C766" s="1" t="n">
        <v>45510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27400-2024</t>
        </is>
      </c>
      <c r="B767" s="1" t="n">
        <v>45474</v>
      </c>
      <c r="C767" s="1" t="n">
        <v>45510</v>
      </c>
      <c r="D767" t="inlineStr">
        <is>
          <t>VÄRMLANDS LÄN</t>
        </is>
      </c>
      <c r="E767" t="inlineStr">
        <is>
          <t>FILIPSTAD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28034-2024</t>
        </is>
      </c>
      <c r="B768" s="1" t="n">
        <v>45476</v>
      </c>
      <c r="C768" s="1" t="n">
        <v>45510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28357-2024</t>
        </is>
      </c>
      <c r="B769" s="1" t="n">
        <v>45477</v>
      </c>
      <c r="C769" s="1" t="n">
        <v>45510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28615-2024</t>
        </is>
      </c>
      <c r="B770" s="1" t="n">
        <v>45478</v>
      </c>
      <c r="C770" s="1" t="n">
        <v>45510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29358-2024</t>
        </is>
      </c>
      <c r="B771" s="1" t="n">
        <v>45483</v>
      </c>
      <c r="C771" s="1" t="n">
        <v>45510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29473-2024</t>
        </is>
      </c>
      <c r="B772" s="1" t="n">
        <v>45484</v>
      </c>
      <c r="C772" s="1" t="n">
        <v>45510</v>
      </c>
      <c r="D772" t="inlineStr">
        <is>
          <t>VÄRMLANDS LÄN</t>
        </is>
      </c>
      <c r="E772" t="inlineStr">
        <is>
          <t>FILIPSTAD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29474-2024</t>
        </is>
      </c>
      <c r="B773" s="1" t="n">
        <v>45484</v>
      </c>
      <c r="C773" s="1" t="n">
        <v>45510</v>
      </c>
      <c r="D773" t="inlineStr">
        <is>
          <t>VÄRMLANDS LÄN</t>
        </is>
      </c>
      <c r="E773" t="inlineStr">
        <is>
          <t>FILIPSTAD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29520-2024</t>
        </is>
      </c>
      <c r="B774" s="1" t="n">
        <v>45484</v>
      </c>
      <c r="C774" s="1" t="n">
        <v>45510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30527-2024</t>
        </is>
      </c>
      <c r="B775" s="1" t="n">
        <v>45492</v>
      </c>
      <c r="C775" s="1" t="n">
        <v>45510</v>
      </c>
      <c r="D775" t="inlineStr">
        <is>
          <t>VÄRMLANDS LÄN</t>
        </is>
      </c>
      <c r="E775" t="inlineStr">
        <is>
          <t>FILIPSTAD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30540-2024</t>
        </is>
      </c>
      <c r="B776" s="1" t="n">
        <v>45492</v>
      </c>
      <c r="C776" s="1" t="n">
        <v>45510</v>
      </c>
      <c r="D776" t="inlineStr">
        <is>
          <t>VÄRMLANDS LÄN</t>
        </is>
      </c>
      <c r="E776" t="inlineStr">
        <is>
          <t>FILIPSTAD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30552-2024</t>
        </is>
      </c>
      <c r="B777" s="1" t="n">
        <v>45492</v>
      </c>
      <c r="C777" s="1" t="n">
        <v>45510</v>
      </c>
      <c r="D777" t="inlineStr">
        <is>
          <t>VÄRMLANDS LÄN</t>
        </is>
      </c>
      <c r="E777" t="inlineStr">
        <is>
          <t>FILIPSTAD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30646-2024</t>
        </is>
      </c>
      <c r="B778" s="1" t="n">
        <v>45495</v>
      </c>
      <c r="C778" s="1" t="n">
        <v>45510</v>
      </c>
      <c r="D778" t="inlineStr">
        <is>
          <t>VÄRMLANDS LÄN</t>
        </is>
      </c>
      <c r="E778" t="inlineStr">
        <is>
          <t>FILIPSTAD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31632-2024</t>
        </is>
      </c>
      <c r="B779" s="1" t="n">
        <v>45506</v>
      </c>
      <c r="C779" s="1" t="n">
        <v>45510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31630-2024</t>
        </is>
      </c>
      <c r="B780" s="1" t="n">
        <v>45506</v>
      </c>
      <c r="C780" s="1" t="n">
        <v>45510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2024-08-06T11:02:02Z</dcterms:created>
  <dcterms:modified xmlns:dcterms="http://purl.org/dc/terms/" xmlns:xsi="http://www.w3.org/2001/XMLSchema-instance" xsi:type="dcterms:W3CDTF">2024-08-06T11:02:03Z</dcterms:modified>
</cp:coreProperties>
</file>