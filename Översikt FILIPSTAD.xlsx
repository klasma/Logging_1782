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46253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46253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46253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46253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46253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46253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46253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46253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46253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46253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Dropptaggsvamp
Skuggblåslav</t>
        </is>
      </c>
      <c r="W14">
        <f>HYPERLINK("https://klasma.github.io/Logging_1782/artfynd/A 38134-2024 artfynd.xlsx", "A 38134-2024")</f>
        <v/>
      </c>
      <c r="X14">
        <f>HYPERLINK("https://klasma.github.io/Logging_1782/kartor/A 38134-2024 karta.png", "A 38134-2024")</f>
        <v/>
      </c>
      <c r="Y14">
        <f>HYPERLINK("https://klasma.github.io/Logging_1782/kartor_geotiff/A 38134-2024 georefererad karta.tif", "A 38134-2024")</f>
        <v/>
      </c>
      <c r="AA14">
        <f>HYPERLINK("https://klasma.github.io/Logging_1782/klagomål/A 38134-2024 FSC-klagomål.docx", "A 38134-2024")</f>
        <v/>
      </c>
      <c r="AB14">
        <f>HYPERLINK("https://klasma.github.io/Logging_1782/klagomålsmail/A 38134-2024 FSC-klagomål mail.docx", "A 38134-2024")</f>
        <v/>
      </c>
      <c r="AC14">
        <f>HYPERLINK("https://klasma.github.io/Logging_1782/tillsyn/A 38134-2024 tillsynsbegäran.docx", "A 38134-2024")</f>
        <v/>
      </c>
      <c r="AD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46253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46253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46253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46253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46253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46253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46253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46253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46253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16139-2025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46253</v>
      </c>
      <c r="F24" t="inlineStr">
        <is>
          <t>VÄRMLANDS LÄN</t>
        </is>
      </c>
      <c r="G24" t="inlineStr">
        <is>
          <t>FILIPSTAD</t>
        </is>
      </c>
      <c r="I24" t="n">
        <v>18.2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Bronshjon</t>
        </is>
      </c>
      <c r="W24">
        <f>HYPERLINK("https://klasma.github.io/Logging_1782/artfynd/A 16139-2025 artfynd.xlsx", "A 16139-2025")</f>
        <v/>
      </c>
      <c r="X24">
        <f>HYPERLINK("https://klasma.github.io/Logging_1782/kartor/A 16139-2025 karta.png", "A 16139-2025")</f>
        <v/>
      </c>
      <c r="Y24">
        <f>HYPERLINK("https://klasma.github.io/Logging_1782/kartor_geotiff/A 16139-2025 georefererad karta.tif", "A 16139-2025")</f>
        <v/>
      </c>
      <c r="AA24">
        <f>HYPERLINK("https://klasma.github.io/Logging_1782/klagomål/A 16139-2025 FSC-klagomål.docx", "A 16139-2025")</f>
        <v/>
      </c>
      <c r="AB24">
        <f>HYPERLINK("https://klasma.github.io/Logging_1782/klagomålsmail/A 16139-2025 FSC-klagomål mail.docx", "A 16139-2025")</f>
        <v/>
      </c>
      <c r="AC24">
        <f>HYPERLINK("https://klasma.github.io/Logging_1782/tillsyn/A 16139-2025 tillsynsbegäran.docx", "A 16139-2025")</f>
        <v/>
      </c>
      <c r="AD24">
        <f>HYPERLINK("https://klasma.github.io/Logging_1782/tillsynsmail/A 16139-2025 tillsynsbegäran mail.docx", "A 16139-2025")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46253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A 17274-2024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45414</v>
      </c>
      <c r="E26" s="1" t="n">
        <v>46253</v>
      </c>
      <c r="F26" t="inlineStr">
        <is>
          <t>VÄRMLANDS LÄN</t>
        </is>
      </c>
      <c r="G26" t="inlineStr">
        <is>
          <t>FILIPSTAD</t>
        </is>
      </c>
      <c r="H26" t="inlineStr">
        <is>
          <t>Kommuner</t>
        </is>
      </c>
      <c r="I26" t="n">
        <v>5.8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Dropptaggsvamp
Talltita</t>
        </is>
      </c>
      <c r="W26">
        <f>HYPERLINK("https://klasma.github.io/Logging_1782/artfynd/A 17274-2024 artfynd.xlsx", "A 17274-2024")</f>
        <v/>
      </c>
      <c r="X26">
        <f>HYPERLINK("https://klasma.github.io/Logging_1782/kartor/A 17274-2024 karta.png", "A 17274-2024")</f>
        <v/>
      </c>
      <c r="Y26">
        <f>HYPERLINK("https://klasma.github.io/Logging_1782/kartor_geotiff/A 17274-2024 georefererad karta.tif", "A 17274-2024")</f>
        <v/>
      </c>
      <c r="AA26">
        <f>HYPERLINK("https://klasma.github.io/Logging_1782/klagomål/A 17274-2024 FSC-klagomål.docx", "A 17274-2024")</f>
        <v/>
      </c>
      <c r="AB26">
        <f>HYPERLINK("https://klasma.github.io/Logging_1782/klagomålsmail/A 17274-2024 FSC-klagomål mail.docx", "A 17274-2024")</f>
        <v/>
      </c>
      <c r="AC26">
        <f>HYPERLINK("https://klasma.github.io/Logging_1782/tillsyn/A 17274-2024 tillsynsbegäran.docx", "A 17274-2024")</f>
        <v/>
      </c>
      <c r="AD26">
        <f>HYPERLINK("https://klasma.github.io/Logging_1782/tillsynsmail/A 17274-2024 tillsynsbegäran mail.docx", "A 17274-2024")</f>
        <v/>
      </c>
      <c r="AE26">
        <f>HYPERLINK("https://klasma.github.io/Logging_1782/fåglar/A 17274-2024 prioriterade fågelarter.docx", "A 17274-2024")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46253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46253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46253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46253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46253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38140-2024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46253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HYPERLINK("https://klasma.github.io/Logging_1782/artfynd/A 38140-2024 artfynd.xlsx", "A 38140-2024")</f>
        <v/>
      </c>
      <c r="X32">
        <f>HYPERLINK("https://klasma.github.io/Logging_1782/kartor/A 38140-2024 karta.png", "A 38140-2024")</f>
        <v/>
      </c>
      <c r="Y32">
        <f>HYPERLINK("https://klasma.github.io/Logging_1782/kartor_geotiff/A 38140-2024 georefererad karta.tif", "A 38140-2024")</f>
        <v/>
      </c>
      <c r="AA32">
        <f>HYPERLINK("https://klasma.github.io/Logging_1782/klagomål/A 38140-2024 FSC-klagomål.docx", "A 38140-2024")</f>
        <v/>
      </c>
      <c r="AB32">
        <f>HYPERLINK("https://klasma.github.io/Logging_1782/klagomålsmail/A 38140-2024 FSC-klagomål mail.docx", "A 38140-2024")</f>
        <v/>
      </c>
      <c r="AC32">
        <f>HYPERLINK("https://klasma.github.io/Logging_1782/tillsyn/A 38140-2024 tillsynsbegäran.docx", "A 38140-2024")</f>
        <v/>
      </c>
      <c r="AD32">
        <f>HYPERLINK("https://klasma.github.io/Logging_1782/tillsynsmail/A 38140-2024 tillsynsbegäran mail.docx", "A 38140-2024")</f>
        <v/>
      </c>
    </row>
    <row r="33" ht="15" customHeight="1">
      <c r="A33" t="inlineStr">
        <is>
          <t>A 23046-2023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45075</v>
      </c>
      <c r="E33" s="1" t="n">
        <v>46253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HYPERLINK("https://klasma.github.io/Logging_1782/artfynd/A 23046-2023 artfynd.xlsx", "A 23046-2023")</f>
        <v/>
      </c>
      <c r="X33">
        <f>HYPERLINK("https://klasma.github.io/Logging_1782/kartor/A 23046-2023 karta.png", "A 23046-2023")</f>
        <v/>
      </c>
      <c r="Y33">
        <f>HYPERLINK("https://klasma.github.io/Logging_1782/kartor_geotiff/A 23046-2023 georefererad karta.tif", "A 23046-2023")</f>
        <v/>
      </c>
      <c r="Z33">
        <f>HYPERLINK("https://klasma.github.io/Logging_1782/knärot/A 23046-2023 karta knärot.png", "A 23046-2023")</f>
        <v/>
      </c>
      <c r="AA33">
        <f>HYPERLINK("https://klasma.github.io/Logging_1782/klagomål/A 23046-2023 FSC-klagomål.docx", "A 23046-2023")</f>
        <v/>
      </c>
      <c r="AB33">
        <f>HYPERLINK("https://klasma.github.io/Logging_1782/klagomålsmail/A 23046-2023 FSC-klagomål mail.docx", "A 23046-2023")</f>
        <v/>
      </c>
      <c r="AC33">
        <f>HYPERLINK("https://klasma.github.io/Logging_1782/tillsyn/A 23046-2023 tillsynsbegäran.docx", "A 23046-2023")</f>
        <v/>
      </c>
      <c r="AD33">
        <f>HYPERLINK("https://klasma.github.io/Logging_1782/tillsynsmail/A 23046-2023 tillsynsbegäran mail.docx", "A 23046-2023")</f>
        <v/>
      </c>
    </row>
    <row r="34" ht="15" customHeight="1">
      <c r="A34" t="inlineStr">
        <is>
          <t>A 25916-2025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46253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26.4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Lunglav</t>
        </is>
      </c>
      <c r="W34">
        <f>HYPERLINK("https://klasma.github.io/Logging_1782/artfynd/A 25916-2025 artfynd.xlsx", "A 25916-2025")</f>
        <v/>
      </c>
      <c r="X34">
        <f>HYPERLINK("https://klasma.github.io/Logging_1782/kartor/A 25916-2025 karta.png", "A 25916-2025")</f>
        <v/>
      </c>
      <c r="Y34">
        <f>HYPERLINK("https://klasma.github.io/Logging_1782/kartor_geotiff/A 25916-2025 georefererad karta.tif", "A 25916-2025")</f>
        <v/>
      </c>
      <c r="AA34">
        <f>HYPERLINK("https://klasma.github.io/Logging_1782/klagomål/A 25916-2025 FSC-klagomål.docx", "A 25916-2025")</f>
        <v/>
      </c>
      <c r="AB34">
        <f>HYPERLINK("https://klasma.github.io/Logging_1782/klagomålsmail/A 25916-2025 FSC-klagomål mail.docx", "A 25916-2025")</f>
        <v/>
      </c>
      <c r="AC34">
        <f>HYPERLINK("https://klasma.github.io/Logging_1782/tillsyn/A 25916-2025 tillsynsbegäran.docx", "A 25916-2025")</f>
        <v/>
      </c>
      <c r="AD34">
        <f>HYPERLINK("https://klasma.github.io/Logging_1782/tillsynsmail/A 25916-2025 tillsynsbegäran mail.docx", "A 25916-2025")</f>
        <v/>
      </c>
    </row>
    <row r="35" ht="15" customHeight="1">
      <c r="A35" t="inlineStr">
        <is>
          <t>A 30652-2025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45831</v>
      </c>
      <c r="E35" s="1" t="n">
        <v>46253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HYPERLINK("https://klasma.github.io/Logging_1782/artfynd/A 30652-2025 artfynd.xlsx", "A 30652-2025")</f>
        <v/>
      </c>
      <c r="X35">
        <f>HYPERLINK("https://klasma.github.io/Logging_1782/kartor/A 30652-2025 karta.png", "A 30652-2025")</f>
        <v/>
      </c>
      <c r="Y35">
        <f>HYPERLINK("https://klasma.github.io/Logging_1782/kartor_geotiff/A 30652-2025 georefererad karta.tif", "A 30652-2025")</f>
        <v/>
      </c>
      <c r="AA35">
        <f>HYPERLINK("https://klasma.github.io/Logging_1782/klagomål/A 30652-2025 FSC-klagomål.docx", "A 30652-2025")</f>
        <v/>
      </c>
      <c r="AB35">
        <f>HYPERLINK("https://klasma.github.io/Logging_1782/klagomålsmail/A 30652-2025 FSC-klagomål mail.docx", "A 30652-2025")</f>
        <v/>
      </c>
      <c r="AC35">
        <f>HYPERLINK("https://klasma.github.io/Logging_1782/tillsyn/A 30652-2025 tillsynsbegäran.docx", "A 30652-2025")</f>
        <v/>
      </c>
      <c r="AD35">
        <f>HYPERLINK("https://klasma.github.io/Logging_1782/tillsynsmail/A 30652-2025 tillsynsbegäran mail.docx", "A 30652-2025")</f>
        <v/>
      </c>
      <c r="AE35">
        <f>HYPERLINK("https://klasma.github.io/Logging_1782/fåglar/A 30652-2025 prioriterade fågelarter.docx", "A 30652-2025")</f>
        <v/>
      </c>
    </row>
    <row r="36" ht="15" customHeight="1">
      <c r="A36" t="inlineStr">
        <is>
          <t>A 45781-2025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45923</v>
      </c>
      <c r="E36" s="1" t="n">
        <v>46253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Brunklöver</t>
        </is>
      </c>
      <c r="W36">
        <f>HYPERLINK("https://klasma.github.io/Logging_1782/artfynd/A 45781-2025 artfynd.xlsx", "A 45781-2025")</f>
        <v/>
      </c>
      <c r="X36">
        <f>HYPERLINK("https://klasma.github.io/Logging_1782/kartor/A 45781-2025 karta.png", "A 45781-2025")</f>
        <v/>
      </c>
      <c r="Y36">
        <f>HYPERLINK("https://klasma.github.io/Logging_1782/kartor_geotiff/A 45781-2025 georefererad karta.tif", "A 45781-2025")</f>
        <v/>
      </c>
      <c r="AA36">
        <f>HYPERLINK("https://klasma.github.io/Logging_1782/klagomål/A 45781-2025 FSC-klagomål.docx", "A 45781-2025")</f>
        <v/>
      </c>
      <c r="AB36">
        <f>HYPERLINK("https://klasma.github.io/Logging_1782/klagomålsmail/A 45781-2025 FSC-klagomål mail.docx", "A 45781-2025")</f>
        <v/>
      </c>
      <c r="AC36">
        <f>HYPERLINK("https://klasma.github.io/Logging_1782/tillsyn/A 45781-2025 tillsynsbegäran.docx", "A 45781-2025")</f>
        <v/>
      </c>
      <c r="AD36">
        <f>HYPERLINK("https://klasma.github.io/Logging_1782/tillsynsmail/A 45781-2025 tillsynsbegäran mail.docx", "A 45781-2025")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46253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Ädellav</t>
        </is>
      </c>
      <c r="W37">
        <f>HYPERLINK("https://klasma.github.io/Logging_1782/artfynd/A 17529-2026 artfynd.xlsx", "A 17529-2026")</f>
        <v/>
      </c>
      <c r="X37">
        <f>HYPERLINK("https://klasma.github.io/Logging_1782/kartor/A 17529-2026 karta.png", "A 17529-2026")</f>
        <v/>
      </c>
      <c r="Y37">
        <f>HYPERLINK("https://klasma.github.io/Logging_1782/kartor_geotiff/A 17529-2026 georefererad karta.tif", "A 17529-2026")</f>
        <v/>
      </c>
      <c r="AA37">
        <f>HYPERLINK("https://klasma.github.io/Logging_1782/klagomål/A 17529-2026 FSC-klagomål.docx", "A 17529-2026")</f>
        <v/>
      </c>
      <c r="AB37">
        <f>HYPERLINK("https://klasma.github.io/Logging_1782/klagomålsmail/A 17529-2026 FSC-klagomål mail.docx", "A 17529-2026")</f>
        <v/>
      </c>
      <c r="AC37">
        <f>HYPERLINK("https://klasma.github.io/Logging_1782/tillsyn/A 17529-2026 tillsynsbegäran.docx", "A 17529-2026")</f>
        <v/>
      </c>
      <c r="AD37">
        <f>HYPERLINK("https://klasma.github.io/Logging_1782/tillsynsmail/A 17529-2026 tillsynsbegäran mail.docx", "A 17529-2026")</f>
        <v/>
      </c>
    </row>
    <row r="38" ht="15" customHeight="1">
      <c r="A38" t="inlineStr">
        <is>
          <t>A 58734-2025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46253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18.2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Tretåig hackspett</t>
        </is>
      </c>
      <c r="W38">
        <f>HYPERLINK("https://klasma.github.io/Logging_1782/artfynd/A 58734-2025 artfynd.xlsx", "A 58734-2025")</f>
        <v/>
      </c>
      <c r="X38">
        <f>HYPERLINK("https://klasma.github.io/Logging_1782/kartor/A 58734-2025 karta.png", "A 58734-2025")</f>
        <v/>
      </c>
      <c r="Y38">
        <f>HYPERLINK("https://klasma.github.io/Logging_1782/kartor_geotiff/A 58734-2025 georefererad karta.tif", "A 58734-2025")</f>
        <v/>
      </c>
      <c r="AA38">
        <f>HYPERLINK("https://klasma.github.io/Logging_1782/klagomål/A 58734-2025 FSC-klagomål.docx", "A 58734-2025")</f>
        <v/>
      </c>
      <c r="AB38">
        <f>HYPERLINK("https://klasma.github.io/Logging_1782/klagomålsmail/A 58734-2025 FSC-klagomål mail.docx", "A 58734-2025")</f>
        <v/>
      </c>
      <c r="AC38">
        <f>HYPERLINK("https://klasma.github.io/Logging_1782/tillsyn/A 58734-2025 tillsynsbegäran.docx", "A 58734-2025")</f>
        <v/>
      </c>
      <c r="AD38">
        <f>HYPERLINK("https://klasma.github.io/Logging_1782/tillsynsmail/A 58734-2025 tillsynsbegäran mail.docx", "A 58734-2025")</f>
        <v/>
      </c>
      <c r="AE38">
        <f>HYPERLINK("https://klasma.github.io/Logging_1782/fåglar/A 58734-2025 prioriterade fågelarter.docx", "A 58734-2025")</f>
        <v/>
      </c>
    </row>
    <row r="39" ht="15" customHeight="1">
      <c r="A39" t="inlineStr">
        <is>
          <t>A 4560-2025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45687</v>
      </c>
      <c r="E39" s="1" t="n">
        <v>46253</v>
      </c>
      <c r="F39" t="inlineStr">
        <is>
          <t>VÄRMLANDS LÄN</t>
        </is>
      </c>
      <c r="G39" t="inlineStr">
        <is>
          <t>FILIPSTAD</t>
        </is>
      </c>
      <c r="I39" t="n">
        <v>13.6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Skrovlig taggsvamp</t>
        </is>
      </c>
      <c r="W39">
        <f>HYPERLINK("https://klasma.github.io/Logging_1782/artfynd/A 4560-2025 artfynd.xlsx", "A 4560-2025")</f>
        <v/>
      </c>
      <c r="X39">
        <f>HYPERLINK("https://klasma.github.io/Logging_1782/kartor/A 4560-2025 karta.png", "A 4560-2025")</f>
        <v/>
      </c>
      <c r="Y39">
        <f>HYPERLINK("https://klasma.github.io/Logging_1782/kartor_geotiff/A 4560-2025 georefererad karta.tif", "A 4560-2025")</f>
        <v/>
      </c>
      <c r="AA39">
        <f>HYPERLINK("https://klasma.github.io/Logging_1782/klagomål/A 4560-2025 FSC-klagomål.docx", "A 4560-2025")</f>
        <v/>
      </c>
      <c r="AB39">
        <f>HYPERLINK("https://klasma.github.io/Logging_1782/klagomålsmail/A 4560-2025 FSC-klagomål mail.docx", "A 4560-2025")</f>
        <v/>
      </c>
      <c r="AC39">
        <f>HYPERLINK("https://klasma.github.io/Logging_1782/tillsyn/A 4560-2025 tillsynsbegäran.docx", "A 4560-2025")</f>
        <v/>
      </c>
      <c r="AD39">
        <f>HYPERLINK("https://klasma.github.io/Logging_1782/tillsynsmail/A 4560-2025 tillsynsbegäran mail.docx", "A 4560-2025")</f>
        <v/>
      </c>
    </row>
    <row r="40" ht="15" customHeight="1">
      <c r="A40" t="inlineStr">
        <is>
          <t>A 31257-2026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46253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10.2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Gräsull</t>
        </is>
      </c>
      <c r="W40">
        <f>HYPERLINK("https://klasma.github.io/Logging_1782/artfynd/A 31257-2026 artfynd.xlsx", "A 31257-2026")</f>
        <v/>
      </c>
      <c r="X40">
        <f>HYPERLINK("https://klasma.github.io/Logging_1782/kartor/A 31257-2026 karta.png", "A 31257-2026")</f>
        <v/>
      </c>
      <c r="Y40">
        <f>HYPERLINK("https://klasma.github.io/Logging_1782/kartor_geotiff/A 31257-2026 georefererad karta.tif", "A 31257-2026")</f>
        <v/>
      </c>
      <c r="AA40">
        <f>HYPERLINK("https://klasma.github.io/Logging_1782/klagomål/A 31257-2026 FSC-klagomål.docx", "A 31257-2026")</f>
        <v/>
      </c>
      <c r="AB40">
        <f>HYPERLINK("https://klasma.github.io/Logging_1782/klagomålsmail/A 31257-2026 FSC-klagomål mail.docx", "A 31257-2026")</f>
        <v/>
      </c>
      <c r="AC40">
        <f>HYPERLINK("https://klasma.github.io/Logging_1782/tillsyn/A 31257-2026 tillsynsbegäran.docx", "A 31257-2026")</f>
        <v/>
      </c>
      <c r="AD40">
        <f>HYPERLINK("https://klasma.github.io/Logging_1782/tillsynsmail/A 31257-2026 tillsynsbegäran mail.docx", "A 31257-2026")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46253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46253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28915-2026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46253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HYPERLINK("https://klasma.github.io/Logging_1782/artfynd/A 28915-2026 artfynd.xlsx", "A 28915-2026")</f>
        <v/>
      </c>
      <c r="X43">
        <f>HYPERLINK("https://klasma.github.io/Logging_1782/kartor/A 28915-2026 karta.png", "A 28915-2026")</f>
        <v/>
      </c>
      <c r="Y43">
        <f>HYPERLINK("https://klasma.github.io/Logging_1782/kartor_geotiff/A 28915-2026 georefererad karta.tif", "A 28915-2026")</f>
        <v/>
      </c>
      <c r="AA43">
        <f>HYPERLINK("https://klasma.github.io/Logging_1782/klagomål/A 28915-2026 FSC-klagomål.docx", "A 28915-2026")</f>
        <v/>
      </c>
      <c r="AB43">
        <f>HYPERLINK("https://klasma.github.io/Logging_1782/klagomålsmail/A 28915-2026 FSC-klagomål mail.docx", "A 28915-2026")</f>
        <v/>
      </c>
      <c r="AC43">
        <f>HYPERLINK("https://klasma.github.io/Logging_1782/tillsyn/A 28915-2026 tillsynsbegäran.docx", "A 28915-2026")</f>
        <v/>
      </c>
      <c r="AD43">
        <f>HYPERLINK("https://klasma.github.io/Logging_1782/tillsynsmail/A 28915-2026 tillsynsbegäran mail.docx", "A 28915-2026")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46253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51522-2022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46253</v>
      </c>
      <c r="F45" t="inlineStr">
        <is>
          <t>VÄRMLANDS LÄN</t>
        </is>
      </c>
      <c r="G45" t="inlineStr">
        <is>
          <t>FILIPSTAD</t>
        </is>
      </c>
      <c r="I45" t="n">
        <v>4.1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HYPERLINK("https://klasma.github.io/Logging_1782/artfynd/A 51522-2022 artfynd.xlsx", "A 51522-2022")</f>
        <v/>
      </c>
      <c r="X45">
        <f>HYPERLINK("https://klasma.github.io/Logging_1782/kartor/A 51522-2022 karta.png", "A 51522-2022")</f>
        <v/>
      </c>
      <c r="Y45">
        <f>HYPERLINK("https://klasma.github.io/Logging_1782/kartor_geotiff/A 51522-2022 georefererad karta.tif", "A 51522-2022")</f>
        <v/>
      </c>
      <c r="AA45">
        <f>HYPERLINK("https://klasma.github.io/Logging_1782/klagomål/A 51522-2022 FSC-klagomål.docx", "A 51522-2022")</f>
        <v/>
      </c>
      <c r="AB45">
        <f>HYPERLINK("https://klasma.github.io/Logging_1782/klagomålsmail/A 51522-2022 FSC-klagomål mail.docx", "A 51522-2022")</f>
        <v/>
      </c>
      <c r="AC45">
        <f>HYPERLINK("https://klasma.github.io/Logging_1782/tillsyn/A 51522-2022 tillsynsbegäran.docx", "A 51522-2022")</f>
        <v/>
      </c>
      <c r="AD45">
        <f>HYPERLINK("https://klasma.github.io/Logging_1782/tillsynsmail/A 51522-2022 tillsynsbegäran mail.docx", "A 51522-2022")</f>
        <v/>
      </c>
    </row>
    <row r="46" ht="15" customHeight="1">
      <c r="A46" t="inlineStr">
        <is>
          <t>A 11453-2025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45726</v>
      </c>
      <c r="E46" s="1" t="n">
        <v>46253</v>
      </c>
      <c r="F46" t="inlineStr">
        <is>
          <t>VÄRMLANDS LÄN</t>
        </is>
      </c>
      <c r="G46" t="inlineStr">
        <is>
          <t>FILIPSTAD</t>
        </is>
      </c>
      <c r="I46" t="n">
        <v>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Purpurknipprot</t>
        </is>
      </c>
      <c r="W46">
        <f>HYPERLINK("https://klasma.github.io/Logging_1782/artfynd/A 11453-2025 artfynd.xlsx", "A 11453-2025")</f>
        <v/>
      </c>
      <c r="X46">
        <f>HYPERLINK("https://klasma.github.io/Logging_1782/kartor/A 11453-2025 karta.png", "A 11453-2025")</f>
        <v/>
      </c>
      <c r="Y46">
        <f>HYPERLINK("https://klasma.github.io/Logging_1782/kartor_geotiff/A 11453-2025 georefererad karta.tif", "A 11453-2025")</f>
        <v/>
      </c>
      <c r="AA46">
        <f>HYPERLINK("https://klasma.github.io/Logging_1782/klagomål/A 11453-2025 FSC-klagomål.docx", "A 11453-2025")</f>
        <v/>
      </c>
      <c r="AB46">
        <f>HYPERLINK("https://klasma.github.io/Logging_1782/klagomålsmail/A 11453-2025 FSC-klagomål mail.docx", "A 11453-2025")</f>
        <v/>
      </c>
      <c r="AC46">
        <f>HYPERLINK("https://klasma.github.io/Logging_1782/tillsyn/A 11453-2025 tillsynsbegäran.docx", "A 11453-2025")</f>
        <v/>
      </c>
      <c r="AD46">
        <f>HYPERLINK("https://klasma.github.io/Logging_1782/tillsynsmail/A 11453-2025 tillsynsbegäran mail.docx", "A 11453-2025")</f>
        <v/>
      </c>
    </row>
    <row r="47" ht="15" customHeight="1">
      <c r="A47" t="inlineStr">
        <is>
          <t>S 264-2022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44578</v>
      </c>
      <c r="E47" s="1" t="n">
        <v>46253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398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HYPERLINK("https://klasma.github.io/Logging_1782/artfynd/S 264-2022 artfynd.xlsx", "S 264-2022")</f>
        <v/>
      </c>
      <c r="X47">
        <f>HYPERLINK("https://klasma.github.io/Logging_1782/kartor/S 264-2022 karta.png", "S 264-2022")</f>
        <v/>
      </c>
      <c r="Y47">
        <f>HYPERLINK("https://klasma.github.io/Logging_1782/kartor_geotiff/S 264-2022 georefererad karta.tif", "S 264-2022")</f>
        <v/>
      </c>
      <c r="AA47">
        <f>HYPERLINK("https://klasma.github.io/Logging_1782/klagomål/S 264-2022 FSC-klagomål.docx", "S 264-2022")</f>
        <v/>
      </c>
      <c r="AB47">
        <f>HYPERLINK("https://klasma.github.io/Logging_1782/klagomålsmail/S 264-2022 FSC-klagomål mail.docx", "S 264-2022")</f>
        <v/>
      </c>
      <c r="AC47">
        <f>HYPERLINK("https://klasma.github.io/Logging_1782/tillsyn/S 264-2022 tillsynsbegäran.docx", "S 264-2022")</f>
        <v/>
      </c>
      <c r="AD47">
        <f>HYPERLINK("https://klasma.github.io/Logging_1782/tillsynsmail/S 264-2022 tillsynsbegäran mail.docx", "S 264-2022")</f>
        <v/>
      </c>
      <c r="AE47">
        <f>HYPERLINK("https://klasma.github.io/Logging_1782/fåglar/S 264-2022 prioriterade fågelarter.docx", "S 264-2022")</f>
        <v/>
      </c>
    </row>
    <row r="48" ht="15" customHeight="1">
      <c r="A48" t="inlineStr">
        <is>
          <t>S 383-2025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45691</v>
      </c>
      <c r="E48" s="1" t="n">
        <v>46253</v>
      </c>
      <c r="F48" t="inlineStr">
        <is>
          <t>VÄRMLANDS LÄN</t>
        </is>
      </c>
      <c r="G48" t="inlineStr">
        <is>
          <t>FILIPSTAD</t>
        </is>
      </c>
      <c r="I48" t="n">
        <v>18.6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Skrovlig taggsvamp</t>
        </is>
      </c>
      <c r="W48">
        <f>HYPERLINK("https://klasma.github.io/Logging_1782/artfynd/S 383-2025 artfynd.xlsx", "S 383-2025")</f>
        <v/>
      </c>
      <c r="X48">
        <f>HYPERLINK("https://klasma.github.io/Logging_1782/kartor/S 383-2025 karta.png", "S 383-2025")</f>
        <v/>
      </c>
      <c r="Y48">
        <f>HYPERLINK("https://klasma.github.io/Logging_1782/kartor_geotiff/S 383-2025 georefererad karta.tif", "S 383-2025")</f>
        <v/>
      </c>
      <c r="AA48">
        <f>HYPERLINK("https://klasma.github.io/Logging_1782/klagomål/S 383-2025 FSC-klagomål.docx", "S 383-2025")</f>
        <v/>
      </c>
      <c r="AB48">
        <f>HYPERLINK("https://klasma.github.io/Logging_1782/klagomålsmail/S 383-2025 FSC-klagomål mail.docx", "S 383-2025")</f>
        <v/>
      </c>
      <c r="AC48">
        <f>HYPERLINK("https://klasma.github.io/Logging_1782/tillsyn/S 383-2025 tillsynsbegäran.docx", "S 383-2025")</f>
        <v/>
      </c>
      <c r="AD48">
        <f>HYPERLINK("https://klasma.github.io/Logging_1782/tillsynsmail/S 383-2025 tillsynsbegäran mail.docx", "S 383-2025")</f>
        <v/>
      </c>
    </row>
    <row r="49" ht="15" customHeight="1">
      <c r="A49" t="inlineStr">
        <is>
          <t>A 8482-2022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46253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46253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44664</v>
      </c>
      <c r="E51" s="1" t="n">
        <v>46253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44435</v>
      </c>
      <c r="E52" s="1" t="n">
        <v>46253</v>
      </c>
      <c r="F52" t="inlineStr">
        <is>
          <t>VÄRMLANDS LÄN</t>
        </is>
      </c>
      <c r="G52" t="inlineStr">
        <is>
          <t>FILIPSTAD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46253</v>
      </c>
      <c r="F53" t="inlineStr">
        <is>
          <t>VÄRMLANDS LÄN</t>
        </is>
      </c>
      <c r="G53" t="inlineStr">
        <is>
          <t>FILIPSTAD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44606</v>
      </c>
      <c r="E54" s="1" t="n">
        <v>46253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46253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46253</v>
      </c>
      <c r="F56" t="inlineStr">
        <is>
          <t>VÄRMLANDS LÄN</t>
        </is>
      </c>
      <c r="G56" t="inlineStr">
        <is>
          <t>FILIPSTAD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44726</v>
      </c>
      <c r="E57" s="1" t="n">
        <v>46253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30.7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44505</v>
      </c>
      <c r="E58" s="1" t="n">
        <v>46253</v>
      </c>
      <c r="F58" t="inlineStr">
        <is>
          <t>VÄRMLANDS LÄN</t>
        </is>
      </c>
      <c r="G58" t="inlineStr">
        <is>
          <t>FILIPSTAD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46253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18.7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46253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46253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46253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22356-2022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44713</v>
      </c>
      <c r="E63" s="1" t="n">
        <v>46253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46253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46253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46253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46253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19626-2022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44694</v>
      </c>
      <c r="E68" s="1" t="n">
        <v>46253</v>
      </c>
      <c r="F68" t="inlineStr">
        <is>
          <t>VÄRMLANDS LÄN</t>
        </is>
      </c>
      <c r="G68" t="inlineStr">
        <is>
          <t>FILIPSTAD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46253</v>
      </c>
      <c r="F69" t="inlineStr">
        <is>
          <t>VÄRMLANDS LÄN</t>
        </is>
      </c>
      <c r="G69" t="inlineStr">
        <is>
          <t>FILIPSTAD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46253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46253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46253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46253</v>
      </c>
      <c r="F73" t="inlineStr">
        <is>
          <t>VÄRMLANDS LÄN</t>
        </is>
      </c>
      <c r="G73" t="inlineStr">
        <is>
          <t>FILIPSTAD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46253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46253</v>
      </c>
      <c r="F75" t="inlineStr">
        <is>
          <t>VÄRMLANDS LÄN</t>
        </is>
      </c>
      <c r="G75" t="inlineStr">
        <is>
          <t>FILIPSTAD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46253</v>
      </c>
      <c r="F76" t="inlineStr">
        <is>
          <t>VÄRMLANDS LÄN</t>
        </is>
      </c>
      <c r="G76" t="inlineStr">
        <is>
          <t>FILIPSTAD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53562-2023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45230</v>
      </c>
      <c r="E77" s="1" t="n">
        <v>46253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46253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45203</v>
      </c>
      <c r="E79" s="1" t="n">
        <v>46253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44467</v>
      </c>
      <c r="E80" s="1" t="n">
        <v>46253</v>
      </c>
      <c r="F80" t="inlineStr">
        <is>
          <t>VÄRMLANDS LÄN</t>
        </is>
      </c>
      <c r="G80" t="inlineStr">
        <is>
          <t>FILIPSTAD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45342</v>
      </c>
      <c r="E81" s="1" t="n">
        <v>46253</v>
      </c>
      <c r="F81" t="inlineStr">
        <is>
          <t>VÄRMLANDS LÄN</t>
        </is>
      </c>
      <c r="G81" t="inlineStr">
        <is>
          <t>FILIPSTAD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46253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45453</v>
      </c>
      <c r="E83" s="1" t="n">
        <v>46253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46253</v>
      </c>
      <c r="F84" t="inlineStr">
        <is>
          <t>VÄRMLANDS LÄN</t>
        </is>
      </c>
      <c r="G84" t="inlineStr">
        <is>
          <t>FILIPSTAD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45208</v>
      </c>
      <c r="E85" s="1" t="n">
        <v>46253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46253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46253</v>
      </c>
      <c r="F87" t="inlineStr">
        <is>
          <t>VÄRMLANDS LÄN</t>
        </is>
      </c>
      <c r="G87" t="inlineStr">
        <is>
          <t>FILIPSTAD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45223</v>
      </c>
      <c r="E88" s="1" t="n">
        <v>46253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46253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45408</v>
      </c>
      <c r="E90" s="1" t="n">
        <v>46253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45384</v>
      </c>
      <c r="E91" s="1" t="n">
        <v>46253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46253</v>
      </c>
      <c r="F92" t="inlineStr">
        <is>
          <t>VÄRMLANDS LÄN</t>
        </is>
      </c>
      <c r="G92" t="inlineStr">
        <is>
          <t>FILIPSTAD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45418</v>
      </c>
      <c r="E93" s="1" t="n">
        <v>46253</v>
      </c>
      <c r="F93" t="inlineStr">
        <is>
          <t>VÄRMLANDS LÄN</t>
        </is>
      </c>
      <c r="G93" t="inlineStr">
        <is>
          <t>FILIPSTAD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46253</v>
      </c>
      <c r="F94" t="inlineStr">
        <is>
          <t>VÄRMLANDS LÄN</t>
        </is>
      </c>
      <c r="G94" t="inlineStr">
        <is>
          <t>FILIPSTAD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45267</v>
      </c>
      <c r="E95" s="1" t="n">
        <v>46253</v>
      </c>
      <c r="F95" t="inlineStr">
        <is>
          <t>VÄRMLANDS LÄN</t>
        </is>
      </c>
      <c r="G95" t="inlineStr">
        <is>
          <t>FILIPSTAD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46253</v>
      </c>
      <c r="F96" t="inlineStr">
        <is>
          <t>VÄRMLANDS LÄN</t>
        </is>
      </c>
      <c r="G96" t="inlineStr">
        <is>
          <t>FILIPSTAD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45244</v>
      </c>
      <c r="E97" s="1" t="n">
        <v>46253</v>
      </c>
      <c r="F97" t="inlineStr">
        <is>
          <t>VÄRMLANDS LÄN</t>
        </is>
      </c>
      <c r="G97" t="inlineStr">
        <is>
          <t>FILIPSTAD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46253</v>
      </c>
      <c r="F98" t="inlineStr">
        <is>
          <t>VÄRMLANDS LÄN</t>
        </is>
      </c>
      <c r="G98" t="inlineStr">
        <is>
          <t>FILIPSTAD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46253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45120</v>
      </c>
      <c r="E100" s="1" t="n">
        <v>46253</v>
      </c>
      <c r="F100" t="inlineStr">
        <is>
          <t>VÄRMLANDS LÄN</t>
        </is>
      </c>
      <c r="G100" t="inlineStr">
        <is>
          <t>FILIPSTAD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45474</v>
      </c>
      <c r="E101" s="1" t="n">
        <v>46253</v>
      </c>
      <c r="F101" t="inlineStr">
        <is>
          <t>VÄRMLANDS LÄN</t>
        </is>
      </c>
      <c r="G101" t="inlineStr">
        <is>
          <t>FILIPSTAD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46253</v>
      </c>
      <c r="F102" t="inlineStr">
        <is>
          <t>VÄRMLANDS LÄN</t>
        </is>
      </c>
      <c r="G102" t="inlineStr">
        <is>
          <t>FILIPSTAD</t>
        </is>
      </c>
      <c r="H102" t="inlineStr">
        <is>
          <t>Kommuner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45674</v>
      </c>
      <c r="E103" s="1" t="n">
        <v>46253</v>
      </c>
      <c r="F103" t="inlineStr">
        <is>
          <t>VÄRMLANDS LÄN</t>
        </is>
      </c>
      <c r="G103" t="inlineStr">
        <is>
          <t>FILIPSTAD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46253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26123-2025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45805</v>
      </c>
      <c r="E105" s="1" t="n">
        <v>46253</v>
      </c>
      <c r="F105" t="inlineStr">
        <is>
          <t>VÄRMLANDS LÄN</t>
        </is>
      </c>
      <c r="G105" t="inlineStr">
        <is>
          <t>FILIPSTAD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26116-2025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45805</v>
      </c>
      <c r="E106" s="1" t="n">
        <v>46253</v>
      </c>
      <c r="F106" t="inlineStr">
        <is>
          <t>VÄRMLANDS LÄN</t>
        </is>
      </c>
      <c r="G106" t="inlineStr">
        <is>
          <t>FILIPSTAD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46253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45470</v>
      </c>
      <c r="E108" s="1" t="n">
        <v>46253</v>
      </c>
      <c r="F108" t="inlineStr">
        <is>
          <t>VÄRMLANDS LÄN</t>
        </is>
      </c>
      <c r="G108" t="inlineStr">
        <is>
          <t>FILIPSTAD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46253</v>
      </c>
      <c r="F109" t="inlineStr">
        <is>
          <t>VÄRMLANDS LÄN</t>
        </is>
      </c>
      <c r="G109" t="inlineStr">
        <is>
          <t>FILIPSTAD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45418</v>
      </c>
      <c r="E110" s="1" t="n">
        <v>46253</v>
      </c>
      <c r="F110" t="inlineStr">
        <is>
          <t>VÄRMLANDS LÄN</t>
        </is>
      </c>
      <c r="G110" t="inlineStr">
        <is>
          <t>FILIPSTAD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26599-2024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45469</v>
      </c>
      <c r="E111" s="1" t="n">
        <v>46253</v>
      </c>
      <c r="F111" t="inlineStr">
        <is>
          <t>VÄRMLANDS LÄN</t>
        </is>
      </c>
      <c r="G111" t="inlineStr">
        <is>
          <t>FILIPSTAD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44672</v>
      </c>
      <c r="E112" s="1" t="n">
        <v>46253</v>
      </c>
      <c r="F112" t="inlineStr">
        <is>
          <t>VÄRMLANDS LÄN</t>
        </is>
      </c>
      <c r="G112" t="inlineStr">
        <is>
          <t>FILIPSTAD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45578</v>
      </c>
      <c r="E113" s="1" t="n">
        <v>46253</v>
      </c>
      <c r="F113" t="inlineStr">
        <is>
          <t>VÄRMLANDS LÄN</t>
        </is>
      </c>
      <c r="G113" t="inlineStr">
        <is>
          <t>FILIPSTAD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46253</v>
      </c>
      <c r="F114" t="inlineStr">
        <is>
          <t>VÄRMLANDS LÄN</t>
        </is>
      </c>
      <c r="G114" t="inlineStr">
        <is>
          <t>FILIPSTAD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46040</v>
      </c>
      <c r="E115" s="1" t="n">
        <v>46253</v>
      </c>
      <c r="F115" t="inlineStr">
        <is>
          <t>VÄRMLANDS LÄN</t>
        </is>
      </c>
      <c r="G115" t="inlineStr">
        <is>
          <t>FILIPSTAD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69015-2021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44530</v>
      </c>
      <c r="E116" s="1" t="n">
        <v>46253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46253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46253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45202</v>
      </c>
      <c r="E119" s="1" t="n">
        <v>46253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46253</v>
      </c>
      <c r="F120" t="inlineStr">
        <is>
          <t>VÄRMLANDS LÄN</t>
        </is>
      </c>
      <c r="G120" t="inlineStr">
        <is>
          <t>FILIPSTAD</t>
        </is>
      </c>
      <c r="H120" t="inlineStr">
        <is>
          <t>Kyrkan</t>
        </is>
      </c>
      <c r="I120" t="n">
        <v>9.199999999999999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46253</v>
      </c>
      <c r="F121" t="inlineStr">
        <is>
          <t>VÄRMLANDS LÄN</t>
        </is>
      </c>
      <c r="G121" t="inlineStr">
        <is>
          <t>FILIPSTAD</t>
        </is>
      </c>
      <c r="I121" t="n">
        <v>23.3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46253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29944-2025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45826</v>
      </c>
      <c r="E123" s="1" t="n">
        <v>46253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46253</v>
      </c>
      <c r="F124" t="inlineStr">
        <is>
          <t>VÄRMLANDS LÄN</t>
        </is>
      </c>
      <c r="G124" t="inlineStr">
        <is>
          <t>FILIPSTAD</t>
        </is>
      </c>
      <c r="H124" t="inlineStr">
        <is>
          <t>Kyrkan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46253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46056</v>
      </c>
      <c r="E126" s="1" t="n">
        <v>46253</v>
      </c>
      <c r="F126" t="inlineStr">
        <is>
          <t>VÄRMLANDS LÄN</t>
        </is>
      </c>
      <c r="G126" t="inlineStr">
        <is>
          <t>FILIPSTAD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46056</v>
      </c>
      <c r="E127" s="1" t="n">
        <v>46253</v>
      </c>
      <c r="F127" t="inlineStr">
        <is>
          <t>VÄRMLANDS LÄN</t>
        </is>
      </c>
      <c r="G127" t="inlineStr">
        <is>
          <t>FILIPSTAD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44935</v>
      </c>
      <c r="E128" s="1" t="n">
        <v>46253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31172-2025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45832</v>
      </c>
      <c r="E129" s="1" t="n">
        <v>46253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46253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45364</v>
      </c>
      <c r="E131" s="1" t="n">
        <v>46253</v>
      </c>
      <c r="F131" t="inlineStr">
        <is>
          <t>VÄRMLANDS LÄN</t>
        </is>
      </c>
      <c r="G131" t="inlineStr">
        <is>
          <t>FILIPSTAD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46064</v>
      </c>
      <c r="E132" s="1" t="n">
        <v>46253</v>
      </c>
      <c r="F132" t="inlineStr">
        <is>
          <t>VÄRMLANDS LÄN</t>
        </is>
      </c>
      <c r="G132" t="inlineStr">
        <is>
          <t>FILIPSTAD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46253</v>
      </c>
      <c r="F133" t="inlineStr">
        <is>
          <t>VÄRMLANDS LÄN</t>
        </is>
      </c>
      <c r="G133" t="inlineStr">
        <is>
          <t>FILIPSTAD</t>
        </is>
      </c>
      <c r="I133" t="n">
        <v>18.7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41718-2025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45902</v>
      </c>
      <c r="E134" s="1" t="n">
        <v>46253</v>
      </c>
      <c r="F134" t="inlineStr">
        <is>
          <t>VÄRMLANDS LÄN</t>
        </is>
      </c>
      <c r="G134" t="inlineStr">
        <is>
          <t>FILIPSTAD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33368-2022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44788</v>
      </c>
      <c r="E135" s="1" t="n">
        <v>46253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32032-2025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45835</v>
      </c>
      <c r="E136" s="1" t="n">
        <v>46253</v>
      </c>
      <c r="F136" t="inlineStr">
        <is>
          <t>VÄRMLANDS LÄN</t>
        </is>
      </c>
      <c r="G136" t="inlineStr">
        <is>
          <t>FILIPSTAD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46253</v>
      </c>
      <c r="F137" t="inlineStr">
        <is>
          <t>VÄRMLANDS LÄN</t>
        </is>
      </c>
      <c r="G137" t="inlineStr">
        <is>
          <t>FILIPSTAD</t>
        </is>
      </c>
      <c r="H137" t="inlineStr">
        <is>
          <t>Kyrkan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46253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46253</v>
      </c>
      <c r="F139" t="inlineStr">
        <is>
          <t>VÄRMLANDS LÄN</t>
        </is>
      </c>
      <c r="G139" t="inlineStr">
        <is>
          <t>FILIPSTAD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46253</v>
      </c>
      <c r="F140" t="inlineStr">
        <is>
          <t>VÄRMLANDS LÄN</t>
        </is>
      </c>
      <c r="G140" t="inlineStr">
        <is>
          <t>FILIPSTAD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46253</v>
      </c>
      <c r="F141" t="inlineStr">
        <is>
          <t>VÄRMLANDS LÄN</t>
        </is>
      </c>
      <c r="G141" t="inlineStr">
        <is>
          <t>FILIPSTAD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46253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46253</v>
      </c>
      <c r="F143" t="inlineStr">
        <is>
          <t>VÄRMLANDS LÄN</t>
        </is>
      </c>
      <c r="G143" t="inlineStr">
        <is>
          <t>FILIPSTAD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46253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33407-2025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45841</v>
      </c>
      <c r="E145" s="1" t="n">
        <v>46253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44998</v>
      </c>
      <c r="E146" s="1" t="n">
        <v>46253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11.2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46253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20663-2024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45436</v>
      </c>
      <c r="E148" s="1" t="n">
        <v>46253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46253</v>
      </c>
      <c r="F149" t="inlineStr">
        <is>
          <t>VÄRMLANDS LÄN</t>
        </is>
      </c>
      <c r="G149" t="inlineStr">
        <is>
          <t>FILIPSTAD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46253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46253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46253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46253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46253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13393-2026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46253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46098</v>
      </c>
      <c r="E156" s="1" t="n">
        <v>46253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46098</v>
      </c>
      <c r="E157" s="1" t="n">
        <v>46253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46253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43633-2024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45569</v>
      </c>
      <c r="E159" s="1" t="n">
        <v>46253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46253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46253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14315-2026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46253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46253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46253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46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15197-2026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46253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46253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48103-2025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45933</v>
      </c>
      <c r="E167" s="1" t="n">
        <v>46253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46253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22866-2023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45072</v>
      </c>
      <c r="E169" s="1" t="n">
        <v>46253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46253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29473-2024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45484</v>
      </c>
      <c r="E171" s="1" t="n">
        <v>46253</v>
      </c>
      <c r="F171" t="inlineStr">
        <is>
          <t>VÄRMLANDS LÄN</t>
        </is>
      </c>
      <c r="G171" t="inlineStr">
        <is>
          <t>FILIPSTAD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46107</v>
      </c>
      <c r="E172" s="1" t="n">
        <v>46253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46107</v>
      </c>
      <c r="E173" s="1" t="n">
        <v>46253</v>
      </c>
      <c r="F173" t="inlineStr">
        <is>
          <t>VÄRMLANDS LÄN</t>
        </is>
      </c>
      <c r="G173" t="inlineStr">
        <is>
          <t>FILIPSTAD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46106</v>
      </c>
      <c r="E174" s="1" t="n">
        <v>46253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46253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46253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46253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16040-2026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46108</v>
      </c>
      <c r="E178" s="1" t="n">
        <v>46253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46108</v>
      </c>
      <c r="E179" s="1" t="n">
        <v>46253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46253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45195</v>
      </c>
      <c r="E181" s="1" t="n">
        <v>46253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16975-2026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46114</v>
      </c>
      <c r="E182" s="1" t="n">
        <v>46253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46119</v>
      </c>
      <c r="E183" s="1" t="n">
        <v>46253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17278-2026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46119</v>
      </c>
      <c r="E184" s="1" t="n">
        <v>46253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17326-2026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46119</v>
      </c>
      <c r="E185" s="1" t="n">
        <v>46253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46253</v>
      </c>
      <c r="F186" t="inlineStr">
        <is>
          <t>VÄRMLANDS LÄN</t>
        </is>
      </c>
      <c r="G186" t="inlineStr">
        <is>
          <t>FILIPSTAD</t>
        </is>
      </c>
      <c r="I186" t="n">
        <v>9.699999999999999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46253</v>
      </c>
      <c r="F187" t="inlineStr">
        <is>
          <t>VÄRMLANDS LÄN</t>
        </is>
      </c>
      <c r="G187" t="inlineStr">
        <is>
          <t>FILIPSTAD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46253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46253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46253</v>
      </c>
      <c r="F190" t="inlineStr">
        <is>
          <t>VÄRMLANDS LÄN</t>
        </is>
      </c>
      <c r="G190" t="inlineStr">
        <is>
          <t>FILIPSTAD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46253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46253</v>
      </c>
      <c r="F192" t="inlineStr">
        <is>
          <t>VÄRMLANDS LÄN</t>
        </is>
      </c>
      <c r="G192" t="inlineStr">
        <is>
          <t>FILIPSTAD</t>
        </is>
      </c>
      <c r="H192" t="inlineStr">
        <is>
          <t>Kommuner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45951</v>
      </c>
      <c r="E193" s="1" t="n">
        <v>46253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46122</v>
      </c>
      <c r="E194" s="1" t="n">
        <v>46253</v>
      </c>
      <c r="F194" t="inlineStr">
        <is>
          <t>VÄRMLANDS LÄN</t>
        </is>
      </c>
      <c r="G194" t="inlineStr">
        <is>
          <t>FILIPSTAD</t>
        </is>
      </c>
      <c r="H194" t="inlineStr">
        <is>
          <t>Kommuner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51790-2025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46253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46253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45229</v>
      </c>
      <c r="E197" s="1" t="n">
        <v>46253</v>
      </c>
      <c r="F197" t="inlineStr">
        <is>
          <t>VÄRMLANDS LÄN</t>
        </is>
      </c>
      <c r="G197" t="inlineStr">
        <is>
          <t>FILIPSTAD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45953</v>
      </c>
      <c r="E198" s="1" t="n">
        <v>46253</v>
      </c>
      <c r="F198" t="inlineStr">
        <is>
          <t>VÄRMLANDS LÄN</t>
        </is>
      </c>
      <c r="G198" t="inlineStr">
        <is>
          <t>FILIPSTAD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18533-2026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46253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46253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46253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46253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46127</v>
      </c>
      <c r="E203" s="1" t="n">
        <v>46253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46127</v>
      </c>
      <c r="E204" s="1" t="n">
        <v>46253</v>
      </c>
      <c r="F204" t="inlineStr">
        <is>
          <t>VÄRMLANDS LÄN</t>
        </is>
      </c>
      <c r="G204" t="inlineStr">
        <is>
          <t>FILIPSTAD</t>
        </is>
      </c>
      <c r="H204" t="inlineStr">
        <is>
          <t>Kommuner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46253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46126</v>
      </c>
      <c r="E206" s="1" t="n">
        <v>46253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46253</v>
      </c>
      <c r="F207" t="inlineStr">
        <is>
          <t>VÄRMLANDS LÄN</t>
        </is>
      </c>
      <c r="G207" t="inlineStr">
        <is>
          <t>FILIPSTAD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45152</v>
      </c>
      <c r="E208" s="1" t="n">
        <v>46253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45750</v>
      </c>
      <c r="E209" s="1" t="n">
        <v>46253</v>
      </c>
      <c r="F209" t="inlineStr">
        <is>
          <t>VÄRMLANDS LÄN</t>
        </is>
      </c>
      <c r="G209" t="inlineStr">
        <is>
          <t>FILIPSTAD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18969-2026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46253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18892-2026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46129</v>
      </c>
      <c r="E211" s="1" t="n">
        <v>46253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44684</v>
      </c>
      <c r="E212" s="1" t="n">
        <v>46253</v>
      </c>
      <c r="F212" t="inlineStr">
        <is>
          <t>VÄRMLANDS LÄN</t>
        </is>
      </c>
      <c r="G212" t="inlineStr">
        <is>
          <t>FILIPSTAD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46128</v>
      </c>
      <c r="E213" s="1" t="n">
        <v>46253</v>
      </c>
      <c r="F213" t="inlineStr">
        <is>
          <t>VÄRMLANDS LÄN</t>
        </is>
      </c>
      <c r="G213" t="inlineStr">
        <is>
          <t>FILIPSTAD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46253</v>
      </c>
      <c r="F214" t="inlineStr">
        <is>
          <t>VÄRMLANDS LÄN</t>
        </is>
      </c>
      <c r="G214" t="inlineStr">
        <is>
          <t>FILIPSTAD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53649-2025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46253</v>
      </c>
      <c r="F215" t="inlineStr">
        <is>
          <t>VÄRMLANDS LÄN</t>
        </is>
      </c>
      <c r="G215" t="inlineStr">
        <is>
          <t>FILIPSTAD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53655-2025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46253</v>
      </c>
      <c r="F216" t="inlineStr">
        <is>
          <t>VÄRMLANDS LÄN</t>
        </is>
      </c>
      <c r="G216" t="inlineStr">
        <is>
          <t>FILIPSTAD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46253</v>
      </c>
      <c r="F217" t="inlineStr">
        <is>
          <t>VÄRMLANDS LÄN</t>
        </is>
      </c>
      <c r="G217" t="inlineStr">
        <is>
          <t>FILIPSTAD</t>
        </is>
      </c>
      <c r="H217" t="inlineStr">
        <is>
          <t>Kyrkan</t>
        </is>
      </c>
      <c r="I217" t="n">
        <v>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19435-2026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46253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46134</v>
      </c>
      <c r="E219" s="1" t="n">
        <v>46253</v>
      </c>
      <c r="F219" t="inlineStr">
        <is>
          <t>VÄRMLANDS LÄN</t>
        </is>
      </c>
      <c r="G219" t="inlineStr">
        <is>
          <t>FILIPSTAD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46253</v>
      </c>
      <c r="F220" t="inlineStr">
        <is>
          <t>VÄRMLANDS LÄN</t>
        </is>
      </c>
      <c r="G220" t="inlineStr">
        <is>
          <t>FILIPSTAD</t>
        </is>
      </c>
      <c r="H220" t="inlineStr">
        <is>
          <t>Kyrkan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19361-2026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46133</v>
      </c>
      <c r="E221" s="1" t="n">
        <v>46253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46134</v>
      </c>
      <c r="E222" s="1" t="n">
        <v>46253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45202</v>
      </c>
      <c r="E223" s="1" t="n">
        <v>46253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46253</v>
      </c>
      <c r="F224" t="inlineStr">
        <is>
          <t>VÄRMLANDS LÄN</t>
        </is>
      </c>
      <c r="G224" t="inlineStr">
        <is>
          <t>FILIPSTAD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46546-2021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44445</v>
      </c>
      <c r="E225" s="1" t="n">
        <v>46253</v>
      </c>
      <c r="F225" t="inlineStr">
        <is>
          <t>VÄRMLANDS LÄN</t>
        </is>
      </c>
      <c r="G225" t="inlineStr">
        <is>
          <t>FILIPSTAD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36582-2025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45870</v>
      </c>
      <c r="E226" s="1" t="n">
        <v>46253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46253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20014-2026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46253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46253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46253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45882</v>
      </c>
      <c r="E231" s="1" t="n">
        <v>46253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46253</v>
      </c>
      <c r="F232" t="inlineStr">
        <is>
          <t>VÄRMLANDS LÄN</t>
        </is>
      </c>
      <c r="G232" t="inlineStr">
        <is>
          <t>FILIPSTAD</t>
        </is>
      </c>
      <c r="H232" t="inlineStr">
        <is>
          <t>Kyrkan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46136</v>
      </c>
      <c r="E233" s="1" t="n">
        <v>46253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55173-2025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45968</v>
      </c>
      <c r="E234" s="1" t="n">
        <v>46253</v>
      </c>
      <c r="F234" t="inlineStr">
        <is>
          <t>VÄRMLANDS LÄN</t>
        </is>
      </c>
      <c r="G234" t="inlineStr">
        <is>
          <t>FILIPSTAD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45968</v>
      </c>
      <c r="E235" s="1" t="n">
        <v>46253</v>
      </c>
      <c r="F235" t="inlineStr">
        <is>
          <t>VÄRMLANDS LÄN</t>
        </is>
      </c>
      <c r="G235" t="inlineStr">
        <is>
          <t>FILIPSTAD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18999-2024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45427</v>
      </c>
      <c r="E236" s="1" t="n">
        <v>46253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45088</v>
      </c>
      <c r="E237" s="1" t="n">
        <v>46253</v>
      </c>
      <c r="F237" t="inlineStr">
        <is>
          <t>VÄRMLANDS LÄN</t>
        </is>
      </c>
      <c r="G237" t="inlineStr">
        <is>
          <t>FILIPSTAD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43634-2021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44433</v>
      </c>
      <c r="E238" s="1" t="n">
        <v>46253</v>
      </c>
      <c r="F238" t="inlineStr">
        <is>
          <t>VÄRMLANDS LÄN</t>
        </is>
      </c>
      <c r="G238" t="inlineStr">
        <is>
          <t>FILIPSTAD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46253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19351-2025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45769</v>
      </c>
      <c r="E240" s="1" t="n">
        <v>46253</v>
      </c>
      <c r="F240" t="inlineStr">
        <is>
          <t>VÄRMLANDS LÄN</t>
        </is>
      </c>
      <c r="G240" t="inlineStr">
        <is>
          <t>FILIPSTAD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46253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46253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46253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55668-2025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46253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46253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46135</v>
      </c>
      <c r="E246" s="1" t="n">
        <v>46253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8.800000000000001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46253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45420</v>
      </c>
      <c r="E248" s="1" t="n">
        <v>46253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45088</v>
      </c>
      <c r="E249" s="1" t="n">
        <v>46253</v>
      </c>
      <c r="F249" t="inlineStr">
        <is>
          <t>VÄRMLANDS LÄN</t>
        </is>
      </c>
      <c r="G249" t="inlineStr">
        <is>
          <t>FILIPSTAD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46253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46253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46253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45974</v>
      </c>
      <c r="E253" s="1" t="n">
        <v>46253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56158-2025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46253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46253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56182-2025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45974</v>
      </c>
      <c r="E256" s="1" t="n">
        <v>46253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45974</v>
      </c>
      <c r="E257" s="1" t="n">
        <v>46253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45973</v>
      </c>
      <c r="E258" s="1" t="n">
        <v>46253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9.199999999999999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45973</v>
      </c>
      <c r="E259" s="1" t="n">
        <v>46253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46253</v>
      </c>
      <c r="F260" t="inlineStr">
        <is>
          <t>VÄRMLANDS LÄN</t>
        </is>
      </c>
      <c r="G260" t="inlineStr">
        <is>
          <t>FILIPSTAD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56008-2025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46253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56083-2025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45973</v>
      </c>
      <c r="E262" s="1" t="n">
        <v>46253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41521-2025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45901</v>
      </c>
      <c r="E263" s="1" t="n">
        <v>46253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46253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56045-2025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46253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46253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38866-2024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45547</v>
      </c>
      <c r="E267" s="1" t="n">
        <v>46253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22843-2025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45790</v>
      </c>
      <c r="E268" s="1" t="n">
        <v>46253</v>
      </c>
      <c r="F268" t="inlineStr">
        <is>
          <t>VÄRMLANDS LÄN</t>
        </is>
      </c>
      <c r="G268" t="inlineStr">
        <is>
          <t>FILIPSTAD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46253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18.8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46253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46253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45789</v>
      </c>
      <c r="E272" s="1" t="n">
        <v>46253</v>
      </c>
      <c r="F272" t="inlineStr">
        <is>
          <t>VÄRMLANDS LÄN</t>
        </is>
      </c>
      <c r="G272" t="inlineStr">
        <is>
          <t>FILIPSTAD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46253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45981</v>
      </c>
      <c r="E274" s="1" t="n">
        <v>46253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46253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46253</v>
      </c>
      <c r="F276" t="inlineStr">
        <is>
          <t>VÄRMLANDS LÄN</t>
        </is>
      </c>
      <c r="G276" t="inlineStr">
        <is>
          <t>FILIPSTAD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46253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45245</v>
      </c>
      <c r="E278" s="1" t="n">
        <v>46253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46253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59290-2025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45988</v>
      </c>
      <c r="E280" s="1" t="n">
        <v>46253</v>
      </c>
      <c r="F280" t="inlineStr">
        <is>
          <t>VÄRMLANDS LÄN</t>
        </is>
      </c>
      <c r="G280" t="inlineStr">
        <is>
          <t>FILIPSTAD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46253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46253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46253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46253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46253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45106</v>
      </c>
      <c r="E286" s="1" t="n">
        <v>46253</v>
      </c>
      <c r="F286" t="inlineStr">
        <is>
          <t>VÄRMLANDS LÄN</t>
        </is>
      </c>
      <c r="G286" t="inlineStr">
        <is>
          <t>FILIPSTAD</t>
        </is>
      </c>
      <c r="H286" t="inlineStr">
        <is>
          <t>Kyrkan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46253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46253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59423-2025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45989</v>
      </c>
      <c r="E289" s="1" t="n">
        <v>46253</v>
      </c>
      <c r="F289" t="inlineStr">
        <is>
          <t>VÄRMLANDS LÄN</t>
        </is>
      </c>
      <c r="G289" t="inlineStr">
        <is>
          <t>FILIPSTAD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59410-2025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45989</v>
      </c>
      <c r="E290" s="1" t="n">
        <v>46253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46253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8.9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46253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46253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45741</v>
      </c>
      <c r="E294" s="1" t="n">
        <v>46253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59929-2025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46253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45133</v>
      </c>
      <c r="E296" s="1" t="n">
        <v>46253</v>
      </c>
      <c r="F296" t="inlineStr">
        <is>
          <t>VÄRMLANDS LÄN</t>
        </is>
      </c>
      <c r="G296" t="inlineStr">
        <is>
          <t>FILIPSTAD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45996</v>
      </c>
      <c r="E297" s="1" t="n">
        <v>46253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45891</v>
      </c>
      <c r="E298" s="1" t="n">
        <v>46253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60550-2025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46253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46253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46253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46253</v>
      </c>
      <c r="F302" t="inlineStr">
        <is>
          <t>VÄRMLANDS LÄN</t>
        </is>
      </c>
      <c r="G302" t="inlineStr">
        <is>
          <t>FILIPSTAD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45835</v>
      </c>
      <c r="E303" s="1" t="n">
        <v>46253</v>
      </c>
      <c r="F303" t="inlineStr">
        <is>
          <t>VÄRMLANDS LÄN</t>
        </is>
      </c>
      <c r="G303" t="inlineStr">
        <is>
          <t>FILIPSTAD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46253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20801-2026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46253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46253</v>
      </c>
      <c r="F306" t="inlineStr">
        <is>
          <t>VÄRMLANDS LÄN</t>
        </is>
      </c>
      <c r="G306" t="inlineStr">
        <is>
          <t>FILIPSTAD</t>
        </is>
      </c>
      <c r="H306" t="inlineStr">
        <is>
          <t>Kommuner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46253</v>
      </c>
      <c r="F307" t="inlineStr">
        <is>
          <t>VÄRMLANDS LÄN</t>
        </is>
      </c>
      <c r="G307" t="inlineStr">
        <is>
          <t>FILIPSTAD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4819-2023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44957</v>
      </c>
      <c r="E308" s="1" t="n">
        <v>46253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61327-2025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46001</v>
      </c>
      <c r="E309" s="1" t="n">
        <v>46253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46253</v>
      </c>
      <c r="F310" t="inlineStr">
        <is>
          <t>VÄRMLANDS LÄN</t>
        </is>
      </c>
      <c r="G310" t="inlineStr">
        <is>
          <t>FILIPSTAD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46253</v>
      </c>
      <c r="F311" t="inlineStr">
        <is>
          <t>VÄRMLANDS LÄN</t>
        </is>
      </c>
      <c r="G311" t="inlineStr">
        <is>
          <t>FILIPSTAD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45393</v>
      </c>
      <c r="E312" s="1" t="n">
        <v>46253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46002</v>
      </c>
      <c r="E313" s="1" t="n">
        <v>46253</v>
      </c>
      <c r="F313" t="inlineStr">
        <is>
          <t>VÄRMLANDS LÄN</t>
        </is>
      </c>
      <c r="G313" t="inlineStr">
        <is>
          <t>FILIPSTAD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61417-2025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46001</v>
      </c>
      <c r="E314" s="1" t="n">
        <v>46253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9270-2023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44980</v>
      </c>
      <c r="E315" s="1" t="n">
        <v>46253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46002</v>
      </c>
      <c r="E316" s="1" t="n">
        <v>46253</v>
      </c>
      <c r="F316" t="inlineStr">
        <is>
          <t>VÄRMLANDS LÄN</t>
        </is>
      </c>
      <c r="G316" t="inlineStr">
        <is>
          <t>FILIPSTAD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46253</v>
      </c>
      <c r="F317" t="inlineStr">
        <is>
          <t>VÄRMLANDS LÄN</t>
        </is>
      </c>
      <c r="G317" t="inlineStr">
        <is>
          <t>FILIPSTAD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46002</v>
      </c>
      <c r="E318" s="1" t="n">
        <v>46253</v>
      </c>
      <c r="F318" t="inlineStr">
        <is>
          <t>VÄRMLANDS LÄN</t>
        </is>
      </c>
      <c r="G318" t="inlineStr">
        <is>
          <t>FILIPSTAD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46253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61492-2025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46001</v>
      </c>
      <c r="E320" s="1" t="n">
        <v>46253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20554-2025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45775</v>
      </c>
      <c r="E321" s="1" t="n">
        <v>46253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46001</v>
      </c>
      <c r="E322" s="1" t="n">
        <v>46253</v>
      </c>
      <c r="F322" t="inlineStr">
        <is>
          <t>VÄRMLANDS LÄN</t>
        </is>
      </c>
      <c r="G322" t="inlineStr">
        <is>
          <t>FILIPSTAD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46004</v>
      </c>
      <c r="E323" s="1" t="n">
        <v>46253</v>
      </c>
      <c r="F323" t="inlineStr">
        <is>
          <t>VÄRMLANDS LÄN</t>
        </is>
      </c>
      <c r="G323" t="inlineStr">
        <is>
          <t>FILIPSTAD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49602-2025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45939</v>
      </c>
      <c r="E324" s="1" t="n">
        <v>46253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46253</v>
      </c>
      <c r="F325" t="inlineStr">
        <is>
          <t>VÄRMLANDS LÄN</t>
        </is>
      </c>
      <c r="G325" t="inlineStr">
        <is>
          <t>FILIPSTAD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20919-2026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46142</v>
      </c>
      <c r="E326" s="1" t="n">
        <v>46253</v>
      </c>
      <c r="F326" t="inlineStr">
        <is>
          <t>VÄRMLANDS LÄN</t>
        </is>
      </c>
      <c r="G326" t="inlineStr">
        <is>
          <t>FILIPSTAD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46253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31676-2025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45834</v>
      </c>
      <c r="E328" s="1" t="n">
        <v>46253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46004</v>
      </c>
      <c r="E329" s="1" t="n">
        <v>46253</v>
      </c>
      <c r="F329" t="inlineStr">
        <is>
          <t>VÄRMLANDS LÄN</t>
        </is>
      </c>
      <c r="G329" t="inlineStr">
        <is>
          <t>FILIPSTAD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20874-2026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46142</v>
      </c>
      <c r="E330" s="1" t="n">
        <v>46253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61823-2025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46003</v>
      </c>
      <c r="E331" s="1" t="n">
        <v>46253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46253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62243-2025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46253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31358-2023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45114</v>
      </c>
      <c r="E334" s="1" t="n">
        <v>46253</v>
      </c>
      <c r="F334" t="inlineStr">
        <is>
          <t>VÄRMLANDS LÄN</t>
        </is>
      </c>
      <c r="G334" t="inlineStr">
        <is>
          <t>FILIPSTAD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45456</v>
      </c>
      <c r="E335" s="1" t="n">
        <v>46253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54127-2023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46253</v>
      </c>
      <c r="F336" t="inlineStr">
        <is>
          <t>VÄRMLANDS LÄN</t>
        </is>
      </c>
      <c r="G336" t="inlineStr">
        <is>
          <t>FILIPSTAD</t>
        </is>
      </c>
      <c r="I336" t="n">
        <v>15.5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16067-2026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46108</v>
      </c>
      <c r="E337" s="1" t="n">
        <v>46253</v>
      </c>
      <c r="F337" t="inlineStr">
        <is>
          <t>VÄRMLANDS LÄN</t>
        </is>
      </c>
      <c r="G337" t="inlineStr">
        <is>
          <t>FILIPSTAD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43059-2024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45567</v>
      </c>
      <c r="E338" s="1" t="n">
        <v>46253</v>
      </c>
      <c r="F338" t="inlineStr">
        <is>
          <t>VÄRMLANDS LÄN</t>
        </is>
      </c>
      <c r="G338" t="inlineStr">
        <is>
          <t>FILIPSTAD</t>
        </is>
      </c>
      <c r="H338" t="inlineStr">
        <is>
          <t>Kyrkan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45616</v>
      </c>
      <c r="E339" s="1" t="n">
        <v>46253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63186-2025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46010</v>
      </c>
      <c r="E340" s="1" t="n">
        <v>46253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17795-2024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45418</v>
      </c>
      <c r="E341" s="1" t="n">
        <v>46253</v>
      </c>
      <c r="F341" t="inlineStr">
        <is>
          <t>VÄRMLANDS LÄN</t>
        </is>
      </c>
      <c r="G341" t="inlineStr">
        <is>
          <t>FILIPSTAD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47890-2024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45588</v>
      </c>
      <c r="E342" s="1" t="n">
        <v>46253</v>
      </c>
      <c r="F342" t="inlineStr">
        <is>
          <t>VÄRMLANDS LÄN</t>
        </is>
      </c>
      <c r="G342" t="inlineStr">
        <is>
          <t>FILIPSTAD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46014</v>
      </c>
      <c r="E343" s="1" t="n">
        <v>46253</v>
      </c>
      <c r="F343" t="inlineStr">
        <is>
          <t>VÄRMLANDS LÄN</t>
        </is>
      </c>
      <c r="G343" t="inlineStr">
        <is>
          <t>FILIPSTAD</t>
        </is>
      </c>
      <c r="I343" t="n">
        <v>9.9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21542-2026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46148</v>
      </c>
      <c r="E344" s="1" t="n">
        <v>46253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12247-2022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44637</v>
      </c>
      <c r="E345" s="1" t="n">
        <v>46253</v>
      </c>
      <c r="F345" t="inlineStr">
        <is>
          <t>VÄRMLANDS LÄN</t>
        </is>
      </c>
      <c r="G345" t="inlineStr">
        <is>
          <t>FILIPSTAD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63629-2025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46014</v>
      </c>
      <c r="E346" s="1" t="n">
        <v>46253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20966-2024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45439</v>
      </c>
      <c r="E347" s="1" t="n">
        <v>46253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17763-2025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46253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46253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46253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46253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46253</v>
      </c>
      <c r="F352" t="inlineStr">
        <is>
          <t>VÄRMLANDS LÄN</t>
        </is>
      </c>
      <c r="G352" t="inlineStr">
        <is>
          <t>FILIPSTAD</t>
        </is>
      </c>
      <c r="I352" t="n">
        <v>10.8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1750-2025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45671</v>
      </c>
      <c r="E353" s="1" t="n">
        <v>46253</v>
      </c>
      <c r="F353" t="inlineStr">
        <is>
          <t>VÄRMLANDS LÄN</t>
        </is>
      </c>
      <c r="G353" t="inlineStr">
        <is>
          <t>FILIPSTAD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46253</v>
      </c>
      <c r="F354" t="inlineStr">
        <is>
          <t>VÄRMLANDS LÄN</t>
        </is>
      </c>
      <c r="G354" t="inlineStr">
        <is>
          <t>FILIPSTAD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22201-2026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46253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46253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22229-2026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46253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63411-2023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45274</v>
      </c>
      <c r="E358" s="1" t="n">
        <v>46253</v>
      </c>
      <c r="F358" t="inlineStr">
        <is>
          <t>VÄRMLANDS LÄN</t>
        </is>
      </c>
      <c r="G358" t="inlineStr">
        <is>
          <t>FILIPSTAD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46253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46253</v>
      </c>
      <c r="F360" t="inlineStr">
        <is>
          <t>VÄRMLANDS LÄN</t>
        </is>
      </c>
      <c r="G360" t="inlineStr">
        <is>
          <t>FILIPSTAD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46253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46253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46253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46153</v>
      </c>
      <c r="E364" s="1" t="n">
        <v>46253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22152-2026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46253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29474-2024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45484</v>
      </c>
      <c r="E366" s="1" t="n">
        <v>46253</v>
      </c>
      <c r="F366" t="inlineStr">
        <is>
          <t>VÄRMLANDS LÄN</t>
        </is>
      </c>
      <c r="G366" t="inlineStr">
        <is>
          <t>FILIPSTAD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63482-2021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46253</v>
      </c>
      <c r="F367" t="inlineStr">
        <is>
          <t>VÄRMLANDS LÄN</t>
        </is>
      </c>
      <c r="G367" t="inlineStr">
        <is>
          <t>FILIPSTAD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46155</v>
      </c>
      <c r="E368" s="1" t="n">
        <v>46253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58611-2025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45986</v>
      </c>
      <c r="E369" s="1" t="n">
        <v>46253</v>
      </c>
      <c r="F369" t="inlineStr">
        <is>
          <t>VÄRMLANDS LÄN</t>
        </is>
      </c>
      <c r="G369" t="inlineStr">
        <is>
          <t>FILIPSTAD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45665</v>
      </c>
      <c r="E370" s="1" t="n">
        <v>46253</v>
      </c>
      <c r="F370" t="inlineStr">
        <is>
          <t>VÄRMLANDS LÄN</t>
        </is>
      </c>
      <c r="G370" t="inlineStr">
        <is>
          <t>FILIPSTAD</t>
        </is>
      </c>
      <c r="I370" t="n">
        <v>11.7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70405-2021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44536</v>
      </c>
      <c r="E371" s="1" t="n">
        <v>46253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44596</v>
      </c>
      <c r="E372" s="1" t="n">
        <v>46253</v>
      </c>
      <c r="F372" t="inlineStr">
        <is>
          <t>VÄRMLANDS LÄN</t>
        </is>
      </c>
      <c r="G372" t="inlineStr">
        <is>
          <t>FILIPSTAD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23620-2023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45077</v>
      </c>
      <c r="E373" s="1" t="n">
        <v>46253</v>
      </c>
      <c r="F373" t="inlineStr">
        <is>
          <t>VÄRMLANDS LÄN</t>
        </is>
      </c>
      <c r="G373" t="inlineStr">
        <is>
          <t>FILIPSTAD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54735-2024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45618</v>
      </c>
      <c r="E374" s="1" t="n">
        <v>46253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46253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46253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46253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23529-2026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46253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23440-2026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46253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46253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46253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46253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45658</v>
      </c>
      <c r="E383" s="1" t="n">
        <v>46253</v>
      </c>
      <c r="F383" t="inlineStr">
        <is>
          <t>VÄRMLANDS LÄN</t>
        </is>
      </c>
      <c r="G383" t="inlineStr">
        <is>
          <t>FILIPSTAD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46253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49935-2025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45940</v>
      </c>
      <c r="E385" s="1" t="n">
        <v>46253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46253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46253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46253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46253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21608-2023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45063</v>
      </c>
      <c r="E390" s="1" t="n">
        <v>46253</v>
      </c>
      <c r="F390" t="inlineStr">
        <is>
          <t>VÄRMLANDS LÄN</t>
        </is>
      </c>
      <c r="G390" t="inlineStr">
        <is>
          <t>FILIPSTAD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23922-2026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46167</v>
      </c>
      <c r="E391" s="1" t="n">
        <v>46253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23931-2026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46253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9.1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46253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45638</v>
      </c>
      <c r="E394" s="1" t="n">
        <v>46253</v>
      </c>
      <c r="F394" t="inlineStr">
        <is>
          <t>VÄRMLANDS LÄN</t>
        </is>
      </c>
      <c r="G394" t="inlineStr">
        <is>
          <t>FILIPSTAD</t>
        </is>
      </c>
      <c r="H394" t="inlineStr">
        <is>
          <t>Kyrkan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46253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46253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24022-2026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46167</v>
      </c>
      <c r="E397" s="1" t="n">
        <v>46253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46253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46253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9.300000000000001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46212</v>
      </c>
      <c r="E400" s="1" t="n">
        <v>46253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24288-2026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46169</v>
      </c>
      <c r="E401" s="1" t="n">
        <v>46253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46169</v>
      </c>
      <c r="E402" s="1" t="n">
        <v>46253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46253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46253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46253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46253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46253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46253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54836-2023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45229</v>
      </c>
      <c r="E409" s="1" t="n">
        <v>46253</v>
      </c>
      <c r="F409" t="inlineStr">
        <is>
          <t>VÄRMLANDS LÄN</t>
        </is>
      </c>
      <c r="G409" t="inlineStr">
        <is>
          <t>FILIPSTAD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46253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46253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46253</v>
      </c>
      <c r="F412" t="inlineStr">
        <is>
          <t>VÄRMLANDS LÄN</t>
        </is>
      </c>
      <c r="G412" t="inlineStr">
        <is>
          <t>FILIPSTAD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32183-2025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45835</v>
      </c>
      <c r="E413" s="1" t="n">
        <v>46253</v>
      </c>
      <c r="F413" t="inlineStr">
        <is>
          <t>VÄRMLANDS LÄN</t>
        </is>
      </c>
      <c r="G413" t="inlineStr">
        <is>
          <t>FILIPSTAD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16063-2025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45749</v>
      </c>
      <c r="E414" s="1" t="n">
        <v>46253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25205-2026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46253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29825-2023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45107</v>
      </c>
      <c r="E416" s="1" t="n">
        <v>46253</v>
      </c>
      <c r="F416" t="inlineStr">
        <is>
          <t>VÄRMLANDS LÄN</t>
        </is>
      </c>
      <c r="G416" t="inlineStr">
        <is>
          <t>FILIPSTAD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31283-2026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46218</v>
      </c>
      <c r="E417" s="1" t="n">
        <v>46253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24886-2026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46253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46253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8.9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46253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8.5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31316-2026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46219</v>
      </c>
      <c r="E421" s="1" t="n">
        <v>46253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45686</v>
      </c>
      <c r="E422" s="1" t="n">
        <v>46253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27789-2022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44743</v>
      </c>
      <c r="E423" s="1" t="n">
        <v>46253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43484-2023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45184</v>
      </c>
      <c r="E424" s="1" t="n">
        <v>46253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45700</v>
      </c>
      <c r="E425" s="1" t="n">
        <v>46253</v>
      </c>
      <c r="F425" t="inlineStr">
        <is>
          <t>VÄRMLANDS LÄN</t>
        </is>
      </c>
      <c r="G425" t="inlineStr">
        <is>
          <t>FILIPSTAD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28161-2023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45093</v>
      </c>
      <c r="E426" s="1" t="n">
        <v>46253</v>
      </c>
      <c r="F426" t="inlineStr">
        <is>
          <t>VÄRMLANDS LÄN</t>
        </is>
      </c>
      <c r="G426" t="inlineStr">
        <is>
          <t>FILIPSTAD</t>
        </is>
      </c>
      <c r="H426" t="inlineStr">
        <is>
          <t>Kommuner</t>
        </is>
      </c>
      <c r="I426" t="n">
        <v>15.4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24054-2024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45456</v>
      </c>
      <c r="E427" s="1" t="n">
        <v>46253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25869-2026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46253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46253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46178</v>
      </c>
      <c r="E430" s="1" t="n">
        <v>46253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31537-2026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46223</v>
      </c>
      <c r="E431" s="1" t="n">
        <v>46253</v>
      </c>
      <c r="F431" t="inlineStr">
        <is>
          <t>VÄRMLANDS LÄN</t>
        </is>
      </c>
      <c r="G431" t="inlineStr">
        <is>
          <t>FILIPSTAD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19030-2022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44691</v>
      </c>
      <c r="E432" s="1" t="n">
        <v>46253</v>
      </c>
      <c r="F432" t="inlineStr">
        <is>
          <t>VÄRMLANDS LÄN</t>
        </is>
      </c>
      <c r="G432" t="inlineStr">
        <is>
          <t>FILIPSTAD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46223</v>
      </c>
      <c r="E433" s="1" t="n">
        <v>46253</v>
      </c>
      <c r="F433" t="inlineStr">
        <is>
          <t>VÄRMLANDS LÄN</t>
        </is>
      </c>
      <c r="G433" t="inlineStr">
        <is>
          <t>FILIPSTAD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25786-2026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46253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46226</v>
      </c>
      <c r="E435" s="1" t="n">
        <v>46253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26211-2026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46253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46226</v>
      </c>
      <c r="E437" s="1" t="n">
        <v>46253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26323-2026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46253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46226</v>
      </c>
      <c r="E439" s="1" t="n">
        <v>46253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20.1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46253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46182</v>
      </c>
      <c r="E441" s="1" t="n">
        <v>46253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45159</v>
      </c>
      <c r="E442" s="1" t="n">
        <v>46253</v>
      </c>
      <c r="F442" t="inlineStr">
        <is>
          <t>VÄRMLANDS LÄN</t>
        </is>
      </c>
      <c r="G442" t="inlineStr">
        <is>
          <t>FILIPSTAD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45180</v>
      </c>
      <c r="E443" s="1" t="n">
        <v>46253</v>
      </c>
      <c r="F443" t="inlineStr">
        <is>
          <t>VÄRMLANDS LÄN</t>
        </is>
      </c>
      <c r="G443" t="inlineStr">
        <is>
          <t>FILIPSTAD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16371-2024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45407</v>
      </c>
      <c r="E444" s="1" t="n">
        <v>46253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46253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26298-2026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46182</v>
      </c>
      <c r="E446" s="1" t="n">
        <v>46253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46253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31648-2026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46225</v>
      </c>
      <c r="E448" s="1" t="n">
        <v>46253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46253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46185</v>
      </c>
      <c r="E450" s="1" t="n">
        <v>46253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46227</v>
      </c>
      <c r="E451" s="1" t="n">
        <v>46253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46227</v>
      </c>
      <c r="E452" s="1" t="n">
        <v>46253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46187</v>
      </c>
      <c r="E453" s="1" t="n">
        <v>46253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46183</v>
      </c>
      <c r="E454" s="1" t="n">
        <v>46253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27078-2026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46186</v>
      </c>
      <c r="E455" s="1" t="n">
        <v>46253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27079-2026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46186</v>
      </c>
      <c r="E456" s="1" t="n">
        <v>46253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27300-2026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46253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45222</v>
      </c>
      <c r="E458" s="1" t="n">
        <v>46253</v>
      </c>
      <c r="F458" t="inlineStr">
        <is>
          <t>VÄRMLANDS LÄN</t>
        </is>
      </c>
      <c r="G458" t="inlineStr">
        <is>
          <t>FILIPSTAD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27372-2026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46253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39633-2023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45167</v>
      </c>
      <c r="E460" s="1" t="n">
        <v>46253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43635-2023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45186</v>
      </c>
      <c r="E461" s="1" t="n">
        <v>46253</v>
      </c>
      <c r="F461" t="inlineStr">
        <is>
          <t>VÄRMLANDS LÄN</t>
        </is>
      </c>
      <c r="G461" t="inlineStr">
        <is>
          <t>FILIPSTAD</t>
        </is>
      </c>
      <c r="I461" t="n">
        <v>15.3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46232</v>
      </c>
      <c r="E462" s="1" t="n">
        <v>46253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46231</v>
      </c>
      <c r="E463" s="1" t="n">
        <v>46253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31957-2026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46232</v>
      </c>
      <c r="E464" s="1" t="n">
        <v>46253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31963-2026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46232</v>
      </c>
      <c r="E465" s="1" t="n">
        <v>46253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8.699999999999999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16103-2025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45750</v>
      </c>
      <c r="E466" s="1" t="n">
        <v>46253</v>
      </c>
      <c r="F466" t="inlineStr">
        <is>
          <t>VÄRMLANDS LÄN</t>
        </is>
      </c>
      <c r="G466" t="inlineStr">
        <is>
          <t>FILIPSTAD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4620-2024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46253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36251-2022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44803</v>
      </c>
      <c r="E468" s="1" t="n">
        <v>46253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46191</v>
      </c>
      <c r="E469" s="1" t="n">
        <v>46253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32031-2026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46233</v>
      </c>
      <c r="E470" s="1" t="n">
        <v>46253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27595-2026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46190</v>
      </c>
      <c r="E471" s="1" t="n">
        <v>46253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33671-2022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44789</v>
      </c>
      <c r="E472" s="1" t="n">
        <v>46253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32035-2026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46233</v>
      </c>
      <c r="E473" s="1" t="n">
        <v>46253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46257-2022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44847</v>
      </c>
      <c r="E474" s="1" t="n">
        <v>46253</v>
      </c>
      <c r="F474" t="inlineStr">
        <is>
          <t>VÄRMLANDS LÄN</t>
        </is>
      </c>
      <c r="G474" t="inlineStr">
        <is>
          <t>FILIPSTAD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36827-2022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44805</v>
      </c>
      <c r="E475" s="1" t="n">
        <v>46253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37611-2022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44809</v>
      </c>
      <c r="E476" s="1" t="n">
        <v>46253</v>
      </c>
      <c r="F476" t="inlineStr">
        <is>
          <t>VÄRMLANDS LÄN</t>
        </is>
      </c>
      <c r="G476" t="inlineStr">
        <is>
          <t>FILIPSTAD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32008-2026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46233</v>
      </c>
      <c r="E477" s="1" t="n">
        <v>46253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32141-2026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46234</v>
      </c>
      <c r="E478" s="1" t="n">
        <v>46253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46253</v>
      </c>
      <c r="F479" t="inlineStr">
        <is>
          <t>VÄRMLANDS LÄN</t>
        </is>
      </c>
      <c r="G479" t="inlineStr">
        <is>
          <t>FILIPSTAD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27968-2026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46253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32248-2026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46237</v>
      </c>
      <c r="E481" s="1" t="n">
        <v>46253</v>
      </c>
      <c r="F481" t="inlineStr">
        <is>
          <t>VÄRMLANDS LÄN</t>
        </is>
      </c>
      <c r="G481" t="inlineStr">
        <is>
          <t>FILIPSTAD</t>
        </is>
      </c>
      <c r="I481" t="n">
        <v>13.4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46253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57244-2023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45245</v>
      </c>
      <c r="E483" s="1" t="n">
        <v>46253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46253</v>
      </c>
      <c r="F484" t="inlineStr">
        <is>
          <t>VÄRMLANDS LÄN</t>
        </is>
      </c>
      <c r="G484" t="inlineStr">
        <is>
          <t>FILIPSTAD</t>
        </is>
      </c>
      <c r="H484" t="inlineStr">
        <is>
          <t>Kommuner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45947</v>
      </c>
      <c r="E485" s="1" t="n">
        <v>46253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32563-2026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46239</v>
      </c>
      <c r="E486" s="1" t="n">
        <v>46253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46239</v>
      </c>
      <c r="E487" s="1" t="n">
        <v>46253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46240</v>
      </c>
      <c r="E488" s="1" t="n">
        <v>46253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46240</v>
      </c>
      <c r="E489" s="1" t="n">
        <v>46253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28516-2026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46197</v>
      </c>
      <c r="E490" s="1" t="n">
        <v>46253</v>
      </c>
      <c r="F490" t="inlineStr">
        <is>
          <t>VÄRMLANDS LÄN</t>
        </is>
      </c>
      <c r="G490" t="inlineStr">
        <is>
          <t>FILIPSTAD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46253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46197</v>
      </c>
      <c r="E492" s="1" t="n">
        <v>46253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46253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25338-2023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45087</v>
      </c>
      <c r="E494" s="1" t="n">
        <v>46253</v>
      </c>
      <c r="F494" t="inlineStr">
        <is>
          <t>VÄRMLANDS LÄN</t>
        </is>
      </c>
      <c r="G494" t="inlineStr">
        <is>
          <t>FILIPSTAD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46253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32978-2026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46244</v>
      </c>
      <c r="E496" s="1" t="n">
        <v>46253</v>
      </c>
      <c r="F496" t="inlineStr">
        <is>
          <t>VÄRMLANDS LÄN</t>
        </is>
      </c>
      <c r="G496" t="inlineStr">
        <is>
          <t>FILIPSTAD</t>
        </is>
      </c>
      <c r="I496" t="n">
        <v>7.5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46253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45177</v>
      </c>
      <c r="E498" s="1" t="n">
        <v>46253</v>
      </c>
      <c r="F498" t="inlineStr">
        <is>
          <t>VÄRMLANDS LÄN</t>
        </is>
      </c>
      <c r="G498" t="inlineStr">
        <is>
          <t>FILIPSTAD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46241</v>
      </c>
      <c r="E499" s="1" t="n">
        <v>46253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32972-2026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46253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46244</v>
      </c>
      <c r="E501" s="1" t="n">
        <v>46253</v>
      </c>
      <c r="F501" t="inlineStr">
        <is>
          <t>VÄRMLANDS LÄN</t>
        </is>
      </c>
      <c r="G501" t="inlineStr">
        <is>
          <t>FILIPSTAD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45139-2021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44439</v>
      </c>
      <c r="E502" s="1" t="n">
        <v>46253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46253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33130-2026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46245</v>
      </c>
      <c r="E504" s="1" t="n">
        <v>46253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46203</v>
      </c>
      <c r="E505" s="1" t="n">
        <v>46253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53034-2022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44876</v>
      </c>
      <c r="E506" s="1" t="n">
        <v>46253</v>
      </c>
      <c r="F506" t="inlineStr">
        <is>
          <t>VÄRMLANDS LÄN</t>
        </is>
      </c>
      <c r="G506" t="inlineStr">
        <is>
          <t>FILIPSTAD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33324-2026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46246</v>
      </c>
      <c r="E507" s="1" t="n">
        <v>46253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29376-2026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46253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29127-2026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46253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46202</v>
      </c>
      <c r="E510" s="1" t="n">
        <v>46253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53348-2023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45229</v>
      </c>
      <c r="E511" s="1" t="n">
        <v>46253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51985-2023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45223</v>
      </c>
      <c r="E512" s="1" t="n">
        <v>46253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6.7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33092-2026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46253</v>
      </c>
      <c r="F513" t="inlineStr">
        <is>
          <t>VÄRMLANDS LÄN</t>
        </is>
      </c>
      <c r="G513" t="inlineStr">
        <is>
          <t>FILIPSTAD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50904-2023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46253</v>
      </c>
      <c r="F514" t="inlineStr">
        <is>
          <t>VÄRMLANDS LÄN</t>
        </is>
      </c>
      <c r="G514" t="inlineStr">
        <is>
          <t>FILIPSTAD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46253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29010-2026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46253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29821-2026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46253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46247</v>
      </c>
      <c r="E518" s="1" t="n">
        <v>46253</v>
      </c>
      <c r="F518" t="inlineStr">
        <is>
          <t>VÄRMLANDS LÄN</t>
        </is>
      </c>
      <c r="G518" t="inlineStr">
        <is>
          <t>FILIPSTAD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29417-2026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46203</v>
      </c>
      <c r="E519" s="1" t="n">
        <v>46253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55397-2022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44887</v>
      </c>
      <c r="E520" s="1" t="n">
        <v>46253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46253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46203</v>
      </c>
      <c r="E522" s="1" t="n">
        <v>46253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8.199999999999999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6520-2023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44960</v>
      </c>
      <c r="E523" s="1" t="n">
        <v>46253</v>
      </c>
      <c r="F523" t="inlineStr">
        <is>
          <t>VÄRMLANDS LÄN</t>
        </is>
      </c>
      <c r="G523" t="inlineStr">
        <is>
          <t>FILIPSTAD</t>
        </is>
      </c>
      <c r="H523" t="inlineStr">
        <is>
          <t>Kommuner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46253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55978-2022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44889</v>
      </c>
      <c r="E525" s="1" t="n">
        <v>46253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29863-2026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46253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26.6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12509-2026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46253</v>
      </c>
      <c r="F527" t="inlineStr">
        <is>
          <t>VÄRMLANDS LÄN</t>
        </is>
      </c>
      <c r="G527" t="inlineStr">
        <is>
          <t>FILIPSTAD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46253</v>
      </c>
      <c r="F528" t="inlineStr">
        <is>
          <t>VÄRMLANDS LÄN</t>
        </is>
      </c>
      <c r="G528" t="inlineStr">
        <is>
          <t>FILIPSTAD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50856-2022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44867</v>
      </c>
      <c r="E529" s="1" t="n">
        <v>46253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61628-2022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44911</v>
      </c>
      <c r="E530" s="1" t="n">
        <v>46253</v>
      </c>
      <c r="F530" t="inlineStr">
        <is>
          <t>VÄRMLANDS LÄN</t>
        </is>
      </c>
      <c r="G530" t="inlineStr">
        <is>
          <t>FILIPSTAD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46251</v>
      </c>
      <c r="E531" s="1" t="n">
        <v>46253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33866-2026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46251</v>
      </c>
      <c r="E532" s="1" t="n">
        <v>46253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43264-2024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45568</v>
      </c>
      <c r="E533" s="1" t="n">
        <v>46253</v>
      </c>
      <c r="F533" t="inlineStr">
        <is>
          <t>VÄRMLANDS LÄN</t>
        </is>
      </c>
      <c r="G533" t="inlineStr">
        <is>
          <t>FILIPSTAD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46252</v>
      </c>
      <c r="E534" s="1" t="n">
        <v>46253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59296-2023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45253</v>
      </c>
      <c r="E535" s="1" t="n">
        <v>46253</v>
      </c>
      <c r="F535" t="inlineStr">
        <is>
          <t>VÄRMLANDS LÄN</t>
        </is>
      </c>
      <c r="G535" t="inlineStr">
        <is>
          <t>FILIPSTAD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46253</v>
      </c>
      <c r="F536" t="inlineStr">
        <is>
          <t>VÄRMLANDS LÄN</t>
        </is>
      </c>
      <c r="G536" t="inlineStr">
        <is>
          <t>FILIPSTAD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46213</v>
      </c>
      <c r="E537" s="1" t="n">
        <v>46253</v>
      </c>
      <c r="F537" t="inlineStr">
        <is>
          <t>VÄRMLANDS LÄN</t>
        </is>
      </c>
      <c r="G537" t="inlineStr">
        <is>
          <t>FILIPSTAD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46251</v>
      </c>
      <c r="E538" s="1" t="n">
        <v>46253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46253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46210</v>
      </c>
      <c r="E540" s="1" t="n">
        <v>46253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46251</v>
      </c>
      <c r="E541" s="1" t="n">
        <v>46253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11680-2023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44994</v>
      </c>
      <c r="E542" s="1" t="n">
        <v>46253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44384-2021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44435</v>
      </c>
      <c r="E543" s="1" t="n">
        <v>46253</v>
      </c>
      <c r="F543" t="inlineStr">
        <is>
          <t>VÄRMLANDS LÄN</t>
        </is>
      </c>
      <c r="G543" t="inlineStr">
        <is>
          <t>FILIPSTAD</t>
        </is>
      </c>
      <c r="I543" t="n">
        <v>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46253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30074-2026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46253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36680-2023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45153</v>
      </c>
      <c r="E546" s="1" t="n">
        <v>46253</v>
      </c>
      <c r="F546" t="inlineStr">
        <is>
          <t>VÄRMLANDS LÄN</t>
        </is>
      </c>
      <c r="G546" t="inlineStr">
        <is>
          <t>FILIPSTAD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5803-2023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44963</v>
      </c>
      <c r="E547" s="1" t="n">
        <v>46253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50776-2024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45602</v>
      </c>
      <c r="E548" s="1" t="n">
        <v>46253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51618-2022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44872</v>
      </c>
      <c r="E549" s="1" t="n">
        <v>46253</v>
      </c>
      <c r="F549" t="inlineStr">
        <is>
          <t>VÄRMLANDS LÄN</t>
        </is>
      </c>
      <c r="G549" t="inlineStr">
        <is>
          <t>FILIPSTAD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71971-2021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44544</v>
      </c>
      <c r="E550" s="1" t="n">
        <v>46253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31306-2023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45114</v>
      </c>
      <c r="E551" s="1" t="n">
        <v>46253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44981</v>
      </c>
      <c r="E552" s="1" t="n">
        <v>46253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54008-2021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44470</v>
      </c>
      <c r="E553" s="1" t="n">
        <v>46253</v>
      </c>
      <c r="F553" t="inlineStr">
        <is>
          <t>VÄRMLANDS LÄN</t>
        </is>
      </c>
      <c r="G553" t="inlineStr">
        <is>
          <t>FILIPSTAD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50786-2024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45602</v>
      </c>
      <c r="E554" s="1" t="n">
        <v>46253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5846-2023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44963</v>
      </c>
      <c r="E555" s="1" t="n">
        <v>46253</v>
      </c>
      <c r="F555" t="inlineStr">
        <is>
          <t>VÄRMLANDS LÄN</t>
        </is>
      </c>
      <c r="G555" t="inlineStr">
        <is>
          <t>FILIPSTAD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36809-2022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44805</v>
      </c>
      <c r="E556" s="1" t="n">
        <v>46253</v>
      </c>
      <c r="F556" t="inlineStr">
        <is>
          <t>VÄRMLANDS LÄN</t>
        </is>
      </c>
      <c r="G556" t="inlineStr">
        <is>
          <t>FILIPSTAD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45124</v>
      </c>
      <c r="E557" s="1" t="n">
        <v>46253</v>
      </c>
      <c r="F557" t="inlineStr">
        <is>
          <t>VÄRMLANDS LÄN</t>
        </is>
      </c>
      <c r="G557" t="inlineStr">
        <is>
          <t>FILIPSTAD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45124</v>
      </c>
      <c r="E558" s="1" t="n">
        <v>46253</v>
      </c>
      <c r="F558" t="inlineStr">
        <is>
          <t>VÄRMLANDS LÄN</t>
        </is>
      </c>
      <c r="G558" t="inlineStr">
        <is>
          <t>FILIPSTAD</t>
        </is>
      </c>
      <c r="I558" t="n">
        <v>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61741-2022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44911</v>
      </c>
      <c r="E559" s="1" t="n">
        <v>46253</v>
      </c>
      <c r="F559" t="inlineStr">
        <is>
          <t>VÄRMLANDS LÄN</t>
        </is>
      </c>
      <c r="G559" t="inlineStr">
        <is>
          <t>FILIPSTAD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25737-2023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45090</v>
      </c>
      <c r="E560" s="1" t="n">
        <v>46253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44579</v>
      </c>
      <c r="E561" s="1" t="n">
        <v>46253</v>
      </c>
      <c r="F561" t="inlineStr">
        <is>
          <t>VÄRMLANDS LÄN</t>
        </is>
      </c>
      <c r="G561" t="inlineStr">
        <is>
          <t>FILIPSTAD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15471-2024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45401</v>
      </c>
      <c r="E562" s="1" t="n">
        <v>46253</v>
      </c>
      <c r="F562" t="inlineStr">
        <is>
          <t>VÄRMLANDS LÄN</t>
        </is>
      </c>
      <c r="G562" t="inlineStr">
        <is>
          <t>FILIPSTAD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45516</v>
      </c>
      <c r="E563" s="1" t="n">
        <v>46253</v>
      </c>
      <c r="F563" t="inlineStr">
        <is>
          <t>VÄRMLANDS LÄN</t>
        </is>
      </c>
      <c r="G563" t="inlineStr">
        <is>
          <t>FILIPSTAD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5992-2023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44959</v>
      </c>
      <c r="E564" s="1" t="n">
        <v>46253</v>
      </c>
      <c r="F564" t="inlineStr">
        <is>
          <t>VÄRMLANDS LÄN</t>
        </is>
      </c>
      <c r="G564" t="inlineStr">
        <is>
          <t>FILIPSTAD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45655</v>
      </c>
      <c r="E565" s="1" t="n">
        <v>46253</v>
      </c>
      <c r="F565" t="inlineStr">
        <is>
          <t>VÄRMLANDS LÄN</t>
        </is>
      </c>
      <c r="G565" t="inlineStr">
        <is>
          <t>FILIPSTAD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17686-2023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45037</v>
      </c>
      <c r="E566" s="1" t="n">
        <v>46253</v>
      </c>
      <c r="F566" t="inlineStr">
        <is>
          <t>VÄRMLANDS LÄN</t>
        </is>
      </c>
      <c r="G566" t="inlineStr">
        <is>
          <t>FILIPSTAD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45327</v>
      </c>
      <c r="E567" s="1" t="n">
        <v>46253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9.300000000000001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45516-2024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45578</v>
      </c>
      <c r="E568" s="1" t="n">
        <v>46253</v>
      </c>
      <c r="F568" t="inlineStr">
        <is>
          <t>VÄRMLANDS LÄN</t>
        </is>
      </c>
      <c r="G568" t="inlineStr">
        <is>
          <t>FILIPSTAD</t>
        </is>
      </c>
      <c r="I568" t="n">
        <v>27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46680-2024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45583</v>
      </c>
      <c r="E569" s="1" t="n">
        <v>46253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22830-2023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45072</v>
      </c>
      <c r="E570" s="1" t="n">
        <v>46253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62013-2024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45655</v>
      </c>
      <c r="E571" s="1" t="n">
        <v>46253</v>
      </c>
      <c r="F571" t="inlineStr">
        <is>
          <t>VÄRMLANDS LÄN</t>
        </is>
      </c>
      <c r="G571" t="inlineStr">
        <is>
          <t>FILIPSTAD</t>
        </is>
      </c>
      <c r="I571" t="n">
        <v>26.5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48040-2023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45204</v>
      </c>
      <c r="E572" s="1" t="n">
        <v>46253</v>
      </c>
      <c r="F572" t="inlineStr">
        <is>
          <t>VÄRMLANDS LÄN</t>
        </is>
      </c>
      <c r="G572" t="inlineStr">
        <is>
          <t>FILIPSTAD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48908-2023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45195</v>
      </c>
      <c r="E573" s="1" t="n">
        <v>46253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1042-2023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44935</v>
      </c>
      <c r="E574" s="1" t="n">
        <v>46253</v>
      </c>
      <c r="F574" t="inlineStr">
        <is>
          <t>VÄRMLANDS LÄN</t>
        </is>
      </c>
      <c r="G574" t="inlineStr">
        <is>
          <t>FILIPSTAD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10306-2025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45720</v>
      </c>
      <c r="E575" s="1" t="n">
        <v>46253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45173</v>
      </c>
      <c r="E576" s="1" t="n">
        <v>46253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14582-2025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45742</v>
      </c>
      <c r="E577" s="1" t="n">
        <v>46253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56840-2024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45628</v>
      </c>
      <c r="E578" s="1" t="n">
        <v>46253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45712</v>
      </c>
      <c r="E579" s="1" t="n">
        <v>46253</v>
      </c>
      <c r="F579" t="inlineStr">
        <is>
          <t>VÄRMLANDS LÄN</t>
        </is>
      </c>
      <c r="G579" t="inlineStr">
        <is>
          <t>FILIPSTAD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45077</v>
      </c>
      <c r="E580" s="1" t="n">
        <v>46253</v>
      </c>
      <c r="F580" t="inlineStr">
        <is>
          <t>VÄRMLANDS LÄN</t>
        </is>
      </c>
      <c r="G580" t="inlineStr">
        <is>
          <t>FILIPSTAD</t>
        </is>
      </c>
      <c r="I580" t="n">
        <v>15.8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60524-2024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45643</v>
      </c>
      <c r="E581" s="1" t="n">
        <v>46253</v>
      </c>
      <c r="F581" t="inlineStr">
        <is>
          <t>VÄRMLANDS LÄN</t>
        </is>
      </c>
      <c r="G581" t="inlineStr">
        <is>
          <t>FILIPSTAD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14328-2025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46253</v>
      </c>
      <c r="F582" t="inlineStr">
        <is>
          <t>VÄRMLANDS LÄN</t>
        </is>
      </c>
      <c r="G582" t="inlineStr">
        <is>
          <t>FILIPSTAD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15228-2025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45744</v>
      </c>
      <c r="E583" s="1" t="n">
        <v>46253</v>
      </c>
      <c r="F583" t="inlineStr">
        <is>
          <t>VÄRMLANDS LÄN</t>
        </is>
      </c>
      <c r="G583" t="inlineStr">
        <is>
          <t>FILIPSTAD</t>
        </is>
      </c>
      <c r="H583" t="inlineStr">
        <is>
          <t>Kommuner</t>
        </is>
      </c>
      <c r="I583" t="n">
        <v>17.7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20661-2024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45436</v>
      </c>
      <c r="E584" s="1" t="n">
        <v>46253</v>
      </c>
      <c r="F584" t="inlineStr">
        <is>
          <t>VÄRMLANDS LÄN</t>
        </is>
      </c>
      <c r="G584" t="inlineStr">
        <is>
          <t>FILIPSTAD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34262-2024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45524</v>
      </c>
      <c r="E585" s="1" t="n">
        <v>46253</v>
      </c>
      <c r="F585" t="inlineStr">
        <is>
          <t>VÄRMLANDS LÄN</t>
        </is>
      </c>
      <c r="G585" t="inlineStr">
        <is>
          <t>FILIPSTAD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45299</v>
      </c>
      <c r="E586" s="1" t="n">
        <v>46253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45495</v>
      </c>
      <c r="E587" s="1" t="n">
        <v>46253</v>
      </c>
      <c r="F587" t="inlineStr">
        <is>
          <t>VÄRMLANDS LÄN</t>
        </is>
      </c>
      <c r="G587" t="inlineStr">
        <is>
          <t>FILIPSTAD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27139-2024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45471</v>
      </c>
      <c r="E588" s="1" t="n">
        <v>46253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45414</v>
      </c>
      <c r="E589" s="1" t="n">
        <v>46253</v>
      </c>
      <c r="F589" t="inlineStr">
        <is>
          <t>VÄRMLANDS LÄN</t>
        </is>
      </c>
      <c r="G589" t="inlineStr">
        <is>
          <t>FILIPSTAD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20875-2024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45439</v>
      </c>
      <c r="E590" s="1" t="n">
        <v>46253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45667</v>
      </c>
      <c r="E591" s="1" t="n">
        <v>46253</v>
      </c>
      <c r="F591" t="inlineStr">
        <is>
          <t>VÄRMLANDS LÄN</t>
        </is>
      </c>
      <c r="G591" t="inlineStr">
        <is>
          <t>FILIPSTAD</t>
        </is>
      </c>
      <c r="H591" t="inlineStr">
        <is>
          <t>Kommuner</t>
        </is>
      </c>
      <c r="I591" t="n">
        <v>6.9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47002-2024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45586</v>
      </c>
      <c r="E592" s="1" t="n">
        <v>46253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65167-2021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44515</v>
      </c>
      <c r="E593" s="1" t="n">
        <v>46253</v>
      </c>
      <c r="F593" t="inlineStr">
        <is>
          <t>VÄRMLANDS LÄN</t>
        </is>
      </c>
      <c r="G593" t="inlineStr">
        <is>
          <t>FILIPSTAD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45790</v>
      </c>
      <c r="E594" s="1" t="n">
        <v>46253</v>
      </c>
      <c r="F594" t="inlineStr">
        <is>
          <t>VÄRMLANDS LÄN</t>
        </is>
      </c>
      <c r="G594" t="inlineStr">
        <is>
          <t>FILIPSTAD</t>
        </is>
      </c>
      <c r="H594" t="inlineStr">
        <is>
          <t>Kyrkan</t>
        </is>
      </c>
      <c r="I594" t="n">
        <v>5.4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23266-2025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46253</v>
      </c>
      <c r="F595" t="inlineStr">
        <is>
          <t>VÄRMLANDS LÄN</t>
        </is>
      </c>
      <c r="G595" t="inlineStr">
        <is>
          <t>FILIPSTAD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45792</v>
      </c>
      <c r="E596" s="1" t="n">
        <v>46253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28357-2024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45477</v>
      </c>
      <c r="E597" s="1" t="n">
        <v>46253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48702-2024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45593</v>
      </c>
      <c r="E598" s="1" t="n">
        <v>46253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35304-2024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45530</v>
      </c>
      <c r="E599" s="1" t="n">
        <v>46253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23399-2025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45792</v>
      </c>
      <c r="E600" s="1" t="n">
        <v>46253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45667</v>
      </c>
      <c r="E601" s="1" t="n">
        <v>46253</v>
      </c>
      <c r="F601" t="inlineStr">
        <is>
          <t>VÄRMLANDS LÄN</t>
        </is>
      </c>
      <c r="G601" t="inlineStr">
        <is>
          <t>FILIPSTAD</t>
        </is>
      </c>
      <c r="H601" t="inlineStr">
        <is>
          <t>Kommuner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20844-2024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45439</v>
      </c>
      <c r="E602" s="1" t="n">
        <v>46253</v>
      </c>
      <c r="F602" t="inlineStr">
        <is>
          <t>VÄRMLANDS LÄN</t>
        </is>
      </c>
      <c r="G602" t="inlineStr">
        <is>
          <t>FILIPSTAD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45322</v>
      </c>
      <c r="E603" s="1" t="n">
        <v>46253</v>
      </c>
      <c r="F603" t="inlineStr">
        <is>
          <t>VÄRMLANDS LÄN</t>
        </is>
      </c>
      <c r="G603" t="inlineStr">
        <is>
          <t>FILIPSTAD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72118-2021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44543</v>
      </c>
      <c r="E604" s="1" t="n">
        <v>46253</v>
      </c>
      <c r="F604" t="inlineStr">
        <is>
          <t>VÄRMLANDS LÄN</t>
        </is>
      </c>
      <c r="G604" t="inlineStr">
        <is>
          <t>FILIPSTAD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45796</v>
      </c>
      <c r="E605" s="1" t="n">
        <v>46253</v>
      </c>
      <c r="F605" t="inlineStr">
        <is>
          <t>VÄRMLANDS LÄN</t>
        </is>
      </c>
      <c r="G605" t="inlineStr">
        <is>
          <t>FILIPSTAD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15396-2025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45747</v>
      </c>
      <c r="E606" s="1" t="n">
        <v>46253</v>
      </c>
      <c r="F606" t="inlineStr">
        <is>
          <t>VÄRMLANDS LÄN</t>
        </is>
      </c>
      <c r="G606" t="inlineStr">
        <is>
          <t>FILIPSTAD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23775-2025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45793</v>
      </c>
      <c r="E607" s="1" t="n">
        <v>46253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8712-2024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45355</v>
      </c>
      <c r="E608" s="1" t="n">
        <v>46253</v>
      </c>
      <c r="F608" t="inlineStr">
        <is>
          <t>VÄRMLANDS LÄN</t>
        </is>
      </c>
      <c r="G608" t="inlineStr">
        <is>
          <t>FILIPSTAD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65174-2021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44515</v>
      </c>
      <c r="E609" s="1" t="n">
        <v>46253</v>
      </c>
      <c r="F609" t="inlineStr">
        <is>
          <t>VÄRMLANDS LÄN</t>
        </is>
      </c>
      <c r="G609" t="inlineStr">
        <is>
          <t>FILIPSTAD</t>
        </is>
      </c>
      <c r="I609" t="n">
        <v>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15406-2025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45747</v>
      </c>
      <c r="E610" s="1" t="n">
        <v>46253</v>
      </c>
      <c r="F610" t="inlineStr">
        <is>
          <t>VÄRMLANDS LÄN</t>
        </is>
      </c>
      <c r="G610" t="inlineStr">
        <is>
          <t>FILIPSTAD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35799-2022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44801</v>
      </c>
      <c r="E611" s="1" t="n">
        <v>46253</v>
      </c>
      <c r="F611" t="inlineStr">
        <is>
          <t>VÄRMLANDS LÄN</t>
        </is>
      </c>
      <c r="G611" t="inlineStr">
        <is>
          <t>FILIPSTAD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47261-2024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45586</v>
      </c>
      <c r="E612" s="1" t="n">
        <v>46253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5757-2021</t>
        </is>
      </c>
      <c r="B613" t="inlineStr">
        <is>
          <t>samrådsanmälan</t>
        </is>
      </c>
      <c r="C613" t="inlineStr">
        <is>
          <t>Basväg</t>
        </is>
      </c>
      <c r="D613" s="1" t="n">
        <v>44438</v>
      </c>
      <c r="E613" s="1" t="n">
        <v>46253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1191-2021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44328</v>
      </c>
      <c r="E614" s="1" t="n">
        <v>46253</v>
      </c>
      <c r="F614" t="inlineStr">
        <is>
          <t>VÄRMLANDS LÄN</t>
        </is>
      </c>
      <c r="G614" t="inlineStr">
        <is>
          <t>FILIPSTAD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4134-2023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45247</v>
      </c>
      <c r="E615" s="1" t="n">
        <v>46253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4115-2023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45246</v>
      </c>
      <c r="E616" s="1" t="n">
        <v>46253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4137-2023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46253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4132-2023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46253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4130-2023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46253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4127-2023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46253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56.4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837-2023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44991</v>
      </c>
      <c r="E621" s="1" t="n">
        <v>46253</v>
      </c>
      <c r="F621" t="inlineStr">
        <is>
          <t>VÄRMLANDS LÄN</t>
        </is>
      </c>
      <c r="G621" t="inlineStr">
        <is>
          <t>FILIPSTAD</t>
        </is>
      </c>
      <c r="I621" t="n">
        <v>19.3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4129-2023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46253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3919-2023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45233</v>
      </c>
      <c r="E623" s="1" t="n">
        <v>46253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4135-2023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46253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6078-2021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44442</v>
      </c>
      <c r="E625" s="1" t="n">
        <v>46253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4126-2023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46253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294-2025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45687</v>
      </c>
      <c r="E627" s="1" t="n">
        <v>46253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186.4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4116-2023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45246</v>
      </c>
      <c r="E628" s="1" t="n">
        <v>46253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661-2025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45716</v>
      </c>
      <c r="E629" s="1" t="n">
        <v>46253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3429-2025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45995</v>
      </c>
      <c r="E630" s="1" t="n">
        <v>46253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3576-2025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46010</v>
      </c>
      <c r="E631" s="1" t="n">
        <v>46253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105-2026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46036</v>
      </c>
      <c r="E632" s="1" t="n">
        <v>46253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238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2026-08-19T01:45:01Z</dcterms:created>
  <dcterms:modified xmlns:dcterms="http://purl.org/dc/terms/" xmlns:xsi="http://www.w3.org/2001/XMLSchema-instance" xsi:type="dcterms:W3CDTF">2026-08-19T01:45:02Z</dcterms:modified>
</cp:coreProperties>
</file>