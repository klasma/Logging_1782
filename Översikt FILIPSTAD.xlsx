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46311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46311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46311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46311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46311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37620-2026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46276</v>
      </c>
      <c r="E15" s="1" t="n">
        <v>46311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4.1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Kandelabersvamp
Tretåig hackspett</t>
        </is>
      </c>
      <c r="W15">
        <f>HYPERLINK("https://klasma.github.io/Logging_1782/artfynd/A 37620-2026 artfynd.xlsx", "A 37620-2026")</f>
        <v/>
      </c>
      <c r="X15">
        <f>HYPERLINK("https://klasma.github.io/Logging_1782/kartor/A 37620-2026 karta.png", "A 37620-2026")</f>
        <v/>
      </c>
      <c r="Y15">
        <f>HYPERLINK("https://klasma.github.io/Logging_1782/kartor_geotiff/A 37620-2026 georefererad karta.tif", "A 37620-2026")</f>
        <v/>
      </c>
      <c r="AA15">
        <f>HYPERLINK("https://klasma.github.io/Logging_1782/klagomål/A 37620-2026 FSC-klagomål.docx", "A 37620-2026")</f>
        <v/>
      </c>
      <c r="AB15">
        <f>HYPERLINK("https://klasma.github.io/Logging_1782/klagomålsmail/A 37620-2026 FSC-klagomål mail.docx", "A 37620-2026")</f>
        <v/>
      </c>
      <c r="AC15">
        <f>HYPERLINK("https://klasma.github.io/Logging_1782/tillsyn/A 37620-2026 tillsynsbegäran.docx", "A 37620-2026")</f>
        <v/>
      </c>
      <c r="AD15">
        <f>HYPERLINK("https://klasma.github.io/Logging_1782/tillsynsmail/A 37620-2026 tillsynsbegäran mail.docx", "A 37620-2026")</f>
        <v/>
      </c>
      <c r="AE15">
        <f>HYPERLINK("https://klasma.github.io/Logging_1782/fåglar/A 37620-2026 prioriterade fågelarter.docx", "A 37620-2026")</f>
        <v/>
      </c>
    </row>
    <row r="16" ht="15" customHeight="1">
      <c r="A16" t="inlineStr">
        <is>
          <t>A 38667-2026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46283</v>
      </c>
      <c r="E16" s="1" t="n">
        <v>46311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10.7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0</v>
      </c>
      <c r="V16" s="2" t="inlineStr">
        <is>
          <t>Brunklöver
Tvåblad
Fläcknycklar</t>
        </is>
      </c>
      <c r="W16">
        <f>HYPERLINK("https://klasma.github.io/Logging_1782/artfynd/A 38667-2026 artfynd.xlsx", "A 38667-2026")</f>
        <v/>
      </c>
      <c r="X16">
        <f>HYPERLINK("https://klasma.github.io/Logging_1782/kartor/A 38667-2026 karta.png", "A 38667-2026")</f>
        <v/>
      </c>
      <c r="Y16">
        <f>HYPERLINK("https://klasma.github.io/Logging_1782/kartor_geotiff/A 38667-2026 georefererad karta.tif", "A 38667-2026")</f>
        <v/>
      </c>
      <c r="AA16">
        <f>HYPERLINK("https://klasma.github.io/Logging_1782/klagomål/A 38667-2026 FSC-klagomål.docx", "A 38667-2026")</f>
        <v/>
      </c>
      <c r="AB16">
        <f>HYPERLINK("https://klasma.github.io/Logging_1782/klagomålsmail/A 38667-2026 FSC-klagomål mail.docx", "A 38667-2026")</f>
        <v/>
      </c>
      <c r="AC16">
        <f>HYPERLINK("https://klasma.github.io/Logging_1782/tillsyn/A 38667-2026 tillsynsbegäran.docx", "A 38667-2026")</f>
        <v/>
      </c>
      <c r="AD16">
        <f>HYPERLINK("https://klasma.github.io/Logging_1782/tillsynsmail/A 38667-2026 tillsynsbegäran mail.docx", "A 38667-2026")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46311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A 34684-2026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7.2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Bårdlav
Stuplav
Fläcknycklar</t>
        </is>
      </c>
      <c r="W18">
        <f>HYPERLINK("https://klasma.github.io/Logging_1782/artfynd/A 34684-2026 artfynd.xlsx", "A 34684-2026")</f>
        <v/>
      </c>
      <c r="X18">
        <f>HYPERLINK("https://klasma.github.io/Logging_1782/kartor/A 34684-2026 karta.png", "A 34684-2026")</f>
        <v/>
      </c>
      <c r="Y18">
        <f>HYPERLINK("https://klasma.github.io/Logging_1782/kartor_geotiff/A 34684-2026 georefererad karta.tif", "A 34684-2026")</f>
        <v/>
      </c>
      <c r="AA18">
        <f>HYPERLINK("https://klasma.github.io/Logging_1782/klagomål/A 34684-2026 FSC-klagomål.docx", "A 34684-2026")</f>
        <v/>
      </c>
      <c r="AB18">
        <f>HYPERLINK("https://klasma.github.io/Logging_1782/klagomålsmail/A 34684-2026 FSC-klagomål mail.docx", "A 34684-2026")</f>
        <v/>
      </c>
      <c r="AC18">
        <f>HYPERLINK("https://klasma.github.io/Logging_1782/tillsyn/A 34684-2026 tillsynsbegäran.docx", "A 34684-2026")</f>
        <v/>
      </c>
      <c r="AD18">
        <f>HYPERLINK("https://klasma.github.io/Logging_1782/tillsynsmail/A 34684-2026 tillsynsbegäran mail.docx", "A 34684-2026")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46311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46311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46311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46311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46311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37534-2026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46311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8</v>
      </c>
      <c r="U25" t="n">
        <v>0</v>
      </c>
      <c r="V25" s="2" t="inlineStr">
        <is>
          <t>Garnlav
Spillkråka</t>
        </is>
      </c>
      <c r="W25">
        <f>HYPERLINK("https://klasma.github.io/Logging_1782/artfynd/A 37534-2026 artfynd.xlsx", "A 37534-2026")</f>
        <v/>
      </c>
      <c r="X25">
        <f>HYPERLINK("https://klasma.github.io/Logging_1782/kartor/A 37534-2026 karta.png", "A 37534-2026")</f>
        <v/>
      </c>
      <c r="Y25">
        <f>HYPERLINK("https://klasma.github.io/Logging_1782/kartor_geotiff/A 37534-2026 georefererad karta.tif", "A 37534-2026")</f>
        <v/>
      </c>
      <c r="AA25">
        <f>HYPERLINK("https://klasma.github.io/Logging_1782/klagomål/A 37534-2026 FSC-klagomål.docx", "A 37534-2026")</f>
        <v/>
      </c>
      <c r="AB25">
        <f>HYPERLINK("https://klasma.github.io/Logging_1782/klagomålsmail/A 37534-2026 FSC-klagomål mail.docx", "A 37534-2026")</f>
        <v/>
      </c>
      <c r="AC25">
        <f>HYPERLINK("https://klasma.github.io/Logging_1782/tillsyn/A 37534-2026 tillsynsbegäran.docx", "A 37534-2026")</f>
        <v/>
      </c>
      <c r="AD25">
        <f>HYPERLINK("https://klasma.github.io/Logging_1782/tillsynsmail/A 37534-2026 tillsynsbegäran mail.docx", "A 37534-2026")</f>
        <v/>
      </c>
      <c r="AE25">
        <f>HYPERLINK("https://klasma.github.io/Logging_1782/fåglar/A 37534-2026 prioriterade fågelarter.docx", "A 37534-2026")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46311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46311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46311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46311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46311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46311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46311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46311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18138-2022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44684</v>
      </c>
      <c r="E37" s="1" t="n">
        <v>46311</v>
      </c>
      <c r="F37" t="inlineStr">
        <is>
          <t>VÄRMLANDS LÄN</t>
        </is>
      </c>
      <c r="G37" t="inlineStr">
        <is>
          <t>FILIPSTAD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HYPERLINK("https://klasma.github.io/Logging_1782/artfynd/A 18138-2022 artfynd.xlsx", "A 18138-2022")</f>
        <v/>
      </c>
      <c r="X37">
        <f>HYPERLINK("https://klasma.github.io/Logging_1782/kartor/A 18138-2022 karta.png", "A 18138-2022")</f>
        <v/>
      </c>
      <c r="Y37">
        <f>HYPERLINK("https://klasma.github.io/Logging_1782/kartor_geotiff/A 18138-2022 georefererad karta.tif", "A 18138-2022")</f>
        <v/>
      </c>
      <c r="AA37">
        <f>HYPERLINK("https://klasma.github.io/Logging_1782/klagomål/A 18138-2022 FSC-klagomål.docx", "A 18138-2022")</f>
        <v/>
      </c>
      <c r="AB37">
        <f>HYPERLINK("https://klasma.github.io/Logging_1782/klagomålsmail/A 18138-2022 FSC-klagomål mail.docx", "A 18138-2022")</f>
        <v/>
      </c>
      <c r="AC37">
        <f>HYPERLINK("https://klasma.github.io/Logging_1782/tillsyn/A 18138-2022 tillsynsbegäran.docx", "A 18138-2022")</f>
        <v/>
      </c>
      <c r="AD37">
        <f>HYPERLINK("https://klasma.github.io/Logging_1782/tillsynsmail/A 18138-2022 tillsynsbegäran mail.docx", "A 18138-2022")</f>
        <v/>
      </c>
    </row>
    <row r="38" ht="15" customHeight="1">
      <c r="A38" t="inlineStr">
        <is>
          <t>A 30652-2025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46311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HYPERLINK("https://klasma.github.io/Logging_1782/artfynd/A 30652-2025 artfynd.xlsx", "A 30652-2025")</f>
        <v/>
      </c>
      <c r="X38">
        <f>HYPERLINK("https://klasma.github.io/Logging_1782/kartor/A 30652-2025 karta.png", "A 30652-2025")</f>
        <v/>
      </c>
      <c r="Y38">
        <f>HYPERLINK("https://klasma.github.io/Logging_1782/kartor_geotiff/A 30652-2025 georefererad karta.tif", "A 30652-2025")</f>
        <v/>
      </c>
      <c r="AA38">
        <f>HYPERLINK("https://klasma.github.io/Logging_1782/klagomål/A 30652-2025 FSC-klagomål.docx", "A 30652-2025")</f>
        <v/>
      </c>
      <c r="AB38">
        <f>HYPERLINK("https://klasma.github.io/Logging_1782/klagomålsmail/A 30652-2025 FSC-klagomål mail.docx", "A 30652-2025")</f>
        <v/>
      </c>
      <c r="AC38">
        <f>HYPERLINK("https://klasma.github.io/Logging_1782/tillsyn/A 30652-2025 tillsynsbegäran.docx", "A 30652-2025")</f>
        <v/>
      </c>
      <c r="AD38">
        <f>HYPERLINK("https://klasma.github.io/Logging_1782/tillsynsmail/A 30652-2025 tillsynsbegäran mail.docx", "A 30652-2025")</f>
        <v/>
      </c>
      <c r="AE38">
        <f>HYPERLINK("https://klasma.github.io/Logging_1782/fåglar/A 30652-2025 prioriterade fågelarter.docx", "A 30652-2025")</f>
        <v/>
      </c>
    </row>
    <row r="39" ht="15" customHeight="1">
      <c r="A39" t="inlineStr">
        <is>
          <t>A 38140-2024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HYPERLINK("https://klasma.github.io/Logging_1782/artfynd/A 38140-2024 artfynd.xlsx", "A 38140-2024")</f>
        <v/>
      </c>
      <c r="X39">
        <f>HYPERLINK("https://klasma.github.io/Logging_1782/kartor/A 38140-2024 karta.png", "A 38140-2024")</f>
        <v/>
      </c>
      <c r="Y39">
        <f>HYPERLINK("https://klasma.github.io/Logging_1782/kartor_geotiff/A 38140-2024 georefererad karta.tif", "A 38140-2024")</f>
        <v/>
      </c>
      <c r="AA39">
        <f>HYPERLINK("https://klasma.github.io/Logging_1782/klagomål/A 38140-2024 FSC-klagomål.docx", "A 38140-2024")</f>
        <v/>
      </c>
      <c r="AB39">
        <f>HYPERLINK("https://klasma.github.io/Logging_1782/klagomålsmail/A 38140-2024 FSC-klagomål mail.docx", "A 38140-2024")</f>
        <v/>
      </c>
      <c r="AC39">
        <f>HYPERLINK("https://klasma.github.io/Logging_1782/tillsyn/A 38140-2024 tillsynsbegäran.docx", "A 38140-2024")</f>
        <v/>
      </c>
      <c r="AD39">
        <f>HYPERLINK("https://klasma.github.io/Logging_1782/tillsynsmail/A 38140-2024 tillsynsbegäran mail.docx", "A 38140-2024")</f>
        <v/>
      </c>
    </row>
    <row r="40" ht="15" customHeight="1">
      <c r="A40" t="inlineStr">
        <is>
          <t>A 23046-2023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45075</v>
      </c>
      <c r="E40" s="1" t="n">
        <v>46311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HYPERLINK("https://klasma.github.io/Logging_1782/artfynd/A 23046-2023 artfynd.xlsx", "A 23046-2023")</f>
        <v/>
      </c>
      <c r="X40">
        <f>HYPERLINK("https://klasma.github.io/Logging_1782/kartor/A 23046-2023 karta.png", "A 23046-2023")</f>
        <v/>
      </c>
      <c r="Y40">
        <f>HYPERLINK("https://klasma.github.io/Logging_1782/kartor_geotiff/A 23046-2023 georefererad karta.tif", "A 23046-2023")</f>
        <v/>
      </c>
      <c r="Z40">
        <f>HYPERLINK("https://klasma.github.io/Logging_1782/knärot/A 23046-2023 karta knärot.png", "A 23046-2023")</f>
        <v/>
      </c>
      <c r="AA40">
        <f>HYPERLINK("https://klasma.github.io/Logging_1782/klagomål/A 23046-2023 FSC-klagomål.docx", "A 23046-2023")</f>
        <v/>
      </c>
      <c r="AB40">
        <f>HYPERLINK("https://klasma.github.io/Logging_1782/klagomålsmail/A 23046-2023 FSC-klagomål mail.docx", "A 23046-2023")</f>
        <v/>
      </c>
      <c r="AC40">
        <f>HYPERLINK("https://klasma.github.io/Logging_1782/tillsyn/A 23046-2023 tillsynsbegäran.docx", "A 23046-2023")</f>
        <v/>
      </c>
      <c r="AD40">
        <f>HYPERLINK("https://klasma.github.io/Logging_1782/tillsynsmail/A 23046-2023 tillsynsbegäran mail.docx", "A 23046-2023")</f>
        <v/>
      </c>
    </row>
    <row r="41" ht="15" customHeight="1">
      <c r="A41" t="inlineStr">
        <is>
          <t>A 17529-2026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46311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Ädellav</t>
        </is>
      </c>
      <c r="W41">
        <f>HYPERLINK("https://klasma.github.io/Logging_1782/artfynd/A 17529-2026 artfynd.xlsx", "A 17529-2026")</f>
        <v/>
      </c>
      <c r="X41">
        <f>HYPERLINK("https://klasma.github.io/Logging_1782/kartor/A 17529-2026 karta.png", "A 17529-2026")</f>
        <v/>
      </c>
      <c r="Y41">
        <f>HYPERLINK("https://klasma.github.io/Logging_1782/kartor_geotiff/A 17529-2026 georefererad karta.tif", "A 17529-2026")</f>
        <v/>
      </c>
      <c r="AA41">
        <f>HYPERLINK("https://klasma.github.io/Logging_1782/klagomål/A 17529-2026 FSC-klagomål.docx", "A 17529-2026")</f>
        <v/>
      </c>
      <c r="AB41">
        <f>HYPERLINK("https://klasma.github.io/Logging_1782/klagomålsmail/A 17529-2026 FSC-klagomål mail.docx", "A 17529-2026")</f>
        <v/>
      </c>
      <c r="AC41">
        <f>HYPERLINK("https://klasma.github.io/Logging_1782/tillsyn/A 17529-2026 tillsynsbegäran.docx", "A 17529-2026")</f>
        <v/>
      </c>
      <c r="AD41">
        <f>HYPERLINK("https://klasma.github.io/Logging_1782/tillsynsmail/A 17529-2026 tillsynsbegäran mail.docx", "A 17529-2026")</f>
        <v/>
      </c>
    </row>
    <row r="42" ht="15" customHeight="1">
      <c r="A42" t="inlineStr">
        <is>
          <t>A 874-2025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45665</v>
      </c>
      <c r="E42" s="1" t="n">
        <v>46311</v>
      </c>
      <c r="F42" t="inlineStr">
        <is>
          <t>VÄRMLANDS LÄN</t>
        </is>
      </c>
      <c r="G42" t="inlineStr">
        <is>
          <t>FILIPSTAD</t>
        </is>
      </c>
      <c r="H42" t="inlineStr">
        <is>
          <t>Kyrkan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Kamjordstjärna</t>
        </is>
      </c>
      <c r="W42">
        <f>HYPERLINK("https://klasma.github.io/Logging_1782/artfynd/A 874-2025 artfynd.xlsx", "A 874-2025")</f>
        <v/>
      </c>
      <c r="X42">
        <f>HYPERLINK("https://klasma.github.io/Logging_1782/kartor/A 874-2025 karta.png", "A 874-2025")</f>
        <v/>
      </c>
      <c r="Y42">
        <f>HYPERLINK("https://klasma.github.io/Logging_1782/kartor_geotiff/A 874-2025 georefererad karta.tif", "A 874-2025")</f>
        <v/>
      </c>
      <c r="AA42">
        <f>HYPERLINK("https://klasma.github.io/Logging_1782/klagomål/A 874-2025 FSC-klagomål.docx", "A 874-2025")</f>
        <v/>
      </c>
      <c r="AB42">
        <f>HYPERLINK("https://klasma.github.io/Logging_1782/klagomålsmail/A 874-2025 FSC-klagomål mail.docx", "A 874-2025")</f>
        <v/>
      </c>
      <c r="AC42">
        <f>HYPERLINK("https://klasma.github.io/Logging_1782/tillsyn/A 874-2025 tillsynsbegäran.docx", "A 874-2025")</f>
        <v/>
      </c>
      <c r="AD42">
        <f>HYPERLINK("https://klasma.github.io/Logging_1782/tillsynsmail/A 874-2025 tillsynsbegäran mail.docx", "A 874-2025")</f>
        <v/>
      </c>
    </row>
    <row r="43" ht="15" customHeight="1">
      <c r="A43" t="inlineStr">
        <is>
          <t>A 46978-2023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45195</v>
      </c>
      <c r="E43" s="1" t="n">
        <v>46311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HYPERLINK("https://klasma.github.io/Logging_1782/artfynd/A 46978-2023 artfynd.xlsx", "A 46978-2023")</f>
        <v/>
      </c>
      <c r="X43">
        <f>HYPERLINK("https://klasma.github.io/Logging_1782/kartor/A 46978-2023 karta.png", "A 46978-2023")</f>
        <v/>
      </c>
      <c r="Y43">
        <f>HYPERLINK("https://klasma.github.io/Logging_1782/kartor_geotiff/A 46978-2023 georefererad karta.tif", "A 46978-2023")</f>
        <v/>
      </c>
      <c r="AA43">
        <f>HYPERLINK("https://klasma.github.io/Logging_1782/klagomål/A 46978-2023 FSC-klagomål.docx", "A 46978-2023")</f>
        <v/>
      </c>
      <c r="AB43">
        <f>HYPERLINK("https://klasma.github.io/Logging_1782/klagomålsmail/A 46978-2023 FSC-klagomål mail.docx", "A 46978-2023")</f>
        <v/>
      </c>
      <c r="AC43">
        <f>HYPERLINK("https://klasma.github.io/Logging_1782/tillsyn/A 46978-2023 tillsynsbegäran.docx", "A 46978-2023")</f>
        <v/>
      </c>
      <c r="AD43">
        <f>HYPERLINK("https://klasma.github.io/Logging_1782/tillsynsmail/A 46978-2023 tillsynsbegäran mail.docx", "A 46978-2023")</f>
        <v/>
      </c>
    </row>
    <row r="44" ht="15" customHeight="1">
      <c r="A44" t="inlineStr">
        <is>
          <t>A 45781-2025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45923</v>
      </c>
      <c r="E44" s="1" t="n">
        <v>46311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Brunklöver</t>
        </is>
      </c>
      <c r="W44">
        <f>HYPERLINK("https://klasma.github.io/Logging_1782/artfynd/A 45781-2025 artfynd.xlsx", "A 45781-2025")</f>
        <v/>
      </c>
      <c r="X44">
        <f>HYPERLINK("https://klasma.github.io/Logging_1782/kartor/A 45781-2025 karta.png", "A 45781-2025")</f>
        <v/>
      </c>
      <c r="Y44">
        <f>HYPERLINK("https://klasma.github.io/Logging_1782/kartor_geotiff/A 45781-2025 georefererad karta.tif", "A 45781-2025")</f>
        <v/>
      </c>
      <c r="AA44">
        <f>HYPERLINK("https://klasma.github.io/Logging_1782/klagomål/A 45781-2025 FSC-klagomål.docx", "A 45781-2025")</f>
        <v/>
      </c>
      <c r="AB44">
        <f>HYPERLINK("https://klasma.github.io/Logging_1782/klagomålsmail/A 45781-2025 FSC-klagomål mail.docx", "A 45781-2025")</f>
        <v/>
      </c>
      <c r="AC44">
        <f>HYPERLINK("https://klasma.github.io/Logging_1782/tillsyn/A 45781-2025 tillsynsbegäran.docx", "A 45781-2025")</f>
        <v/>
      </c>
      <c r="AD44">
        <f>HYPERLINK("https://klasma.github.io/Logging_1782/tillsynsmail/A 45781-2025 tillsynsbegäran mail.docx", "A 45781-2025")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46311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46311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50776-2024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46311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15.5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HYPERLINK("https://klasma.github.io/Logging_1782/artfynd/A 50776-2024 artfynd.xlsx", "A 50776-2024")</f>
        <v/>
      </c>
      <c r="X47">
        <f>HYPERLINK("https://klasma.github.io/Logging_1782/kartor/A 50776-2024 karta.png", "A 50776-2024")</f>
        <v/>
      </c>
      <c r="Y47">
        <f>HYPERLINK("https://klasma.github.io/Logging_1782/kartor_geotiff/A 50776-2024 georefererad karta.tif", "A 50776-2024")</f>
        <v/>
      </c>
      <c r="AA47">
        <f>HYPERLINK("https://klasma.github.io/Logging_1782/klagomål/A 50776-2024 FSC-klagomål.docx", "A 50776-2024")</f>
        <v/>
      </c>
      <c r="AB47">
        <f>HYPERLINK("https://klasma.github.io/Logging_1782/klagomålsmail/A 50776-2024 FSC-klagomål mail.docx", "A 50776-2024")</f>
        <v/>
      </c>
      <c r="AC47">
        <f>HYPERLINK("https://klasma.github.io/Logging_1782/tillsyn/A 50776-2024 tillsynsbegäran.docx", "A 50776-2024")</f>
        <v/>
      </c>
      <c r="AD47">
        <f>HYPERLINK("https://klasma.github.io/Logging_1782/tillsynsmail/A 50776-2024 tillsynsbegäran mail.docx", "A 50776-2024")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46311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46311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58734-2025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45986</v>
      </c>
      <c r="E51" s="1" t="n">
        <v>46311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18.2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Tretåig hackspett</t>
        </is>
      </c>
      <c r="W51">
        <f>HYPERLINK("https://klasma.github.io/Logging_1782/artfynd/A 58734-2025 artfynd.xlsx", "A 58734-2025")</f>
        <v/>
      </c>
      <c r="X51">
        <f>HYPERLINK("https://klasma.github.io/Logging_1782/kartor/A 58734-2025 karta.png", "A 58734-2025")</f>
        <v/>
      </c>
      <c r="Y51">
        <f>HYPERLINK("https://klasma.github.io/Logging_1782/kartor_geotiff/A 58734-2025 georefererad karta.tif", "A 58734-2025")</f>
        <v/>
      </c>
      <c r="AA51">
        <f>HYPERLINK("https://klasma.github.io/Logging_1782/klagomål/A 58734-2025 FSC-klagomål.docx", "A 58734-2025")</f>
        <v/>
      </c>
      <c r="AB51">
        <f>HYPERLINK("https://klasma.github.io/Logging_1782/klagomålsmail/A 58734-2025 FSC-klagomål mail.docx", "A 58734-2025")</f>
        <v/>
      </c>
      <c r="AC51">
        <f>HYPERLINK("https://klasma.github.io/Logging_1782/tillsyn/A 58734-2025 tillsynsbegäran.docx", "A 58734-2025")</f>
        <v/>
      </c>
      <c r="AD51">
        <f>HYPERLINK("https://klasma.github.io/Logging_1782/tillsynsmail/A 58734-2025 tillsynsbegäran mail.docx", "A 58734-2025")</f>
        <v/>
      </c>
      <c r="AE51">
        <f>HYPERLINK("https://klasma.github.io/Logging_1782/fåglar/A 58734-2025 prioriterade fågelarter.docx", "A 58734-2025")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46311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1346-2025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45667</v>
      </c>
      <c r="E53" s="1" t="n">
        <v>46311</v>
      </c>
      <c r="F53" t="inlineStr">
        <is>
          <t>VÄRMLANDS LÄN</t>
        </is>
      </c>
      <c r="G53" t="inlineStr">
        <is>
          <t>FILIPSTAD</t>
        </is>
      </c>
      <c r="H53" t="inlineStr">
        <is>
          <t>Kommuner</t>
        </is>
      </c>
      <c r="I53" t="n">
        <v>6.9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Fläcknycklar</t>
        </is>
      </c>
      <c r="W53">
        <f>HYPERLINK("https://klasma.github.io/Logging_1782/artfynd/A 1346-2025 artfynd.xlsx", "A 1346-2025")</f>
        <v/>
      </c>
      <c r="X53">
        <f>HYPERLINK("https://klasma.github.io/Logging_1782/kartor/A 1346-2025 karta.png", "A 1346-2025")</f>
        <v/>
      </c>
      <c r="Y53">
        <f>HYPERLINK("https://klasma.github.io/Logging_1782/kartor_geotiff/A 1346-2025 georefererad karta.tif", "A 1346-2025")</f>
        <v/>
      </c>
      <c r="AA53">
        <f>HYPERLINK("https://klasma.github.io/Logging_1782/klagomål/A 1346-2025 FSC-klagomål.docx", "A 1346-2025")</f>
        <v/>
      </c>
      <c r="AB53">
        <f>HYPERLINK("https://klasma.github.io/Logging_1782/klagomålsmail/A 1346-2025 FSC-klagomål mail.docx", "A 1346-2025")</f>
        <v/>
      </c>
      <c r="AC53">
        <f>HYPERLINK("https://klasma.github.io/Logging_1782/tillsyn/A 1346-2025 tillsynsbegäran.docx", "A 1346-2025")</f>
        <v/>
      </c>
      <c r="AD53">
        <f>HYPERLINK("https://klasma.github.io/Logging_1782/tillsynsmail/A 1346-2025 tillsynsbegäran mail.docx", "A 1346-2025")</f>
        <v/>
      </c>
    </row>
    <row r="54" ht="15" customHeight="1">
      <c r="A54" t="inlineStr">
        <is>
          <t>A 11453-2025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45726</v>
      </c>
      <c r="E54" s="1" t="n">
        <v>46311</v>
      </c>
      <c r="F54" t="inlineStr">
        <is>
          <t>VÄRMLANDS LÄN</t>
        </is>
      </c>
      <c r="G54" t="inlineStr">
        <is>
          <t>FILIPSTAD</t>
        </is>
      </c>
      <c r="I54" t="n">
        <v>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Purpurknipprot</t>
        </is>
      </c>
      <c r="W54">
        <f>HYPERLINK("https://klasma.github.io/Logging_1782/artfynd/A 11453-2025 artfynd.xlsx", "A 11453-2025")</f>
        <v/>
      </c>
      <c r="X54">
        <f>HYPERLINK("https://klasma.github.io/Logging_1782/kartor/A 11453-2025 karta.png", "A 11453-2025")</f>
        <v/>
      </c>
      <c r="Y54">
        <f>HYPERLINK("https://klasma.github.io/Logging_1782/kartor_geotiff/A 11453-2025 georefererad karta.tif", "A 11453-2025")</f>
        <v/>
      </c>
      <c r="AA54">
        <f>HYPERLINK("https://klasma.github.io/Logging_1782/klagomål/A 11453-2025 FSC-klagomål.docx", "A 11453-2025")</f>
        <v/>
      </c>
      <c r="AB54">
        <f>HYPERLINK("https://klasma.github.io/Logging_1782/klagomålsmail/A 11453-2025 FSC-klagomål mail.docx", "A 11453-2025")</f>
        <v/>
      </c>
      <c r="AC54">
        <f>HYPERLINK("https://klasma.github.io/Logging_1782/tillsyn/A 11453-2025 tillsynsbegäran.docx", "A 11453-2025")</f>
        <v/>
      </c>
      <c r="AD54">
        <f>HYPERLINK("https://klasma.github.io/Logging_1782/tillsynsmail/A 11453-2025 tillsynsbegäran mail.docx", "A 11453-2025")</f>
        <v/>
      </c>
    </row>
    <row r="55" ht="15" customHeight="1">
      <c r="A55" t="inlineStr">
        <is>
          <t>A 4560-2025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45687</v>
      </c>
      <c r="E55" s="1" t="n">
        <v>46311</v>
      </c>
      <c r="F55" t="inlineStr">
        <is>
          <t>VÄRMLANDS LÄN</t>
        </is>
      </c>
      <c r="G55" t="inlineStr">
        <is>
          <t>FILIPSTAD</t>
        </is>
      </c>
      <c r="I55" t="n">
        <v>13.6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HYPERLINK("https://klasma.github.io/Logging_1782/artfynd/A 4560-2025 artfynd.xlsx", "A 4560-2025")</f>
        <v/>
      </c>
      <c r="X55">
        <f>HYPERLINK("https://klasma.github.io/Logging_1782/kartor/A 4560-2025 karta.png", "A 4560-2025")</f>
        <v/>
      </c>
      <c r="Y55">
        <f>HYPERLINK("https://klasma.github.io/Logging_1782/kartor_geotiff/A 4560-2025 georefererad karta.tif", "A 4560-2025")</f>
        <v/>
      </c>
      <c r="AA55">
        <f>HYPERLINK("https://klasma.github.io/Logging_1782/klagomål/A 4560-2025 FSC-klagomål.docx", "A 4560-2025")</f>
        <v/>
      </c>
      <c r="AB55">
        <f>HYPERLINK("https://klasma.github.io/Logging_1782/klagomålsmail/A 4560-2025 FSC-klagomål mail.docx", "A 4560-2025")</f>
        <v/>
      </c>
      <c r="AC55">
        <f>HYPERLINK("https://klasma.github.io/Logging_1782/tillsyn/A 4560-2025 tillsynsbegäran.docx", "A 4560-2025")</f>
        <v/>
      </c>
      <c r="AD55">
        <f>HYPERLINK("https://klasma.github.io/Logging_1782/tillsynsmail/A 4560-2025 tillsynsbegäran mail.docx", "A 4560-2025")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46311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46311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46311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46311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46311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46311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46311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46311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46311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46311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46311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46311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46311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46311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46311</v>
      </c>
      <c r="F78" t="inlineStr">
        <is>
          <t>VÄRMLANDS LÄN</t>
        </is>
      </c>
      <c r="G78" t="inlineStr">
        <is>
          <t>FILIPSTAD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45586</v>
      </c>
      <c r="E79" s="1" t="n">
        <v>46311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46311</v>
      </c>
      <c r="F80" t="inlineStr">
        <is>
          <t>VÄRMLANDS LÄN</t>
        </is>
      </c>
      <c r="G80" t="inlineStr">
        <is>
          <t>FILIPSTAD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46311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46311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9.9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26123-2025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45805</v>
      </c>
      <c r="E83" s="1" t="n">
        <v>46311</v>
      </c>
      <c r="F83" t="inlineStr">
        <is>
          <t>VÄRMLANDS LÄN</t>
        </is>
      </c>
      <c r="G83" t="inlineStr">
        <is>
          <t>FILIPSTAD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26116-2025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45805</v>
      </c>
      <c r="E84" s="1" t="n">
        <v>46311</v>
      </c>
      <c r="F84" t="inlineStr">
        <is>
          <t>VÄRMLANDS LÄN</t>
        </is>
      </c>
      <c r="G84" t="inlineStr">
        <is>
          <t>FILIPSTAD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46311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46311</v>
      </c>
      <c r="F86" t="inlineStr">
        <is>
          <t>VÄRMLANDS LÄN</t>
        </is>
      </c>
      <c r="G86" t="inlineStr">
        <is>
          <t>FILIPSTAD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46311</v>
      </c>
      <c r="F87" t="inlineStr">
        <is>
          <t>VÄRMLANDS LÄN</t>
        </is>
      </c>
      <c r="G87" t="inlineStr">
        <is>
          <t>FILIPSTAD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46311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46311</v>
      </c>
      <c r="F89" t="inlineStr">
        <is>
          <t>VÄRMLANDS LÄN</t>
        </is>
      </c>
      <c r="G89" t="inlineStr">
        <is>
          <t>FILIPSTAD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46311</v>
      </c>
      <c r="F90" t="inlineStr">
        <is>
          <t>VÄRMLANDS LÄN</t>
        </is>
      </c>
      <c r="G90" t="inlineStr">
        <is>
          <t>FILIPSTAD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26599-2024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45469</v>
      </c>
      <c r="E91" s="1" t="n">
        <v>46311</v>
      </c>
      <c r="F91" t="inlineStr">
        <is>
          <t>VÄRMLANDS LÄN</t>
        </is>
      </c>
      <c r="G91" t="inlineStr">
        <is>
          <t>FILIPSTAD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45202</v>
      </c>
      <c r="E92" s="1" t="n">
        <v>46311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46311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45342</v>
      </c>
      <c r="E94" s="1" t="n">
        <v>46311</v>
      </c>
      <c r="F94" t="inlineStr">
        <is>
          <t>VÄRMLANDS LÄN</t>
        </is>
      </c>
      <c r="G94" t="inlineStr">
        <is>
          <t>FILIPSTAD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14840-2023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45014</v>
      </c>
      <c r="E95" s="1" t="n">
        <v>46311</v>
      </c>
      <c r="F95" t="inlineStr">
        <is>
          <t>VÄRMLANDS LÄN</t>
        </is>
      </c>
      <c r="G95" t="inlineStr">
        <is>
          <t>FILIPSTAD</t>
        </is>
      </c>
      <c r="H95" t="inlineStr">
        <is>
          <t>Kyrkan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45427</v>
      </c>
      <c r="E96" s="1" t="n">
        <v>46311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45088</v>
      </c>
      <c r="E97" s="1" t="n">
        <v>46311</v>
      </c>
      <c r="F97" t="inlineStr">
        <is>
          <t>VÄRMLANDS LÄN</t>
        </is>
      </c>
      <c r="G97" t="inlineStr">
        <is>
          <t>FILIPSTAD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46311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45391</v>
      </c>
      <c r="E99" s="1" t="n">
        <v>46311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46311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46311</v>
      </c>
      <c r="F101" t="inlineStr">
        <is>
          <t>VÄRMLANDS LÄN</t>
        </is>
      </c>
      <c r="G101" t="inlineStr">
        <is>
          <t>FILIPSTAD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46311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46311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19351-2025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45769</v>
      </c>
      <c r="E104" s="1" t="n">
        <v>46311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46311</v>
      </c>
      <c r="F105" t="inlineStr">
        <is>
          <t>VÄRMLANDS LÄN</t>
        </is>
      </c>
      <c r="G105" t="inlineStr">
        <is>
          <t>FILIPSTAD</t>
        </is>
      </c>
      <c r="I105" t="n">
        <v>23.3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19159-2024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45428</v>
      </c>
      <c r="E106" s="1" t="n">
        <v>46311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46311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45827</v>
      </c>
      <c r="E108" s="1" t="n">
        <v>46311</v>
      </c>
      <c r="F108" t="inlineStr">
        <is>
          <t>VÄRMLANDS LÄN</t>
        </is>
      </c>
      <c r="G108" t="inlineStr">
        <is>
          <t>FILIPSTAD</t>
        </is>
      </c>
      <c r="H108" t="inlineStr">
        <is>
          <t>Kyrkan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31172-2025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45832</v>
      </c>
      <c r="E109" s="1" t="n">
        <v>46311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25376-2023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45088</v>
      </c>
      <c r="E110" s="1" t="n">
        <v>46311</v>
      </c>
      <c r="F110" t="inlineStr">
        <is>
          <t>VÄRMLANDS LÄN</t>
        </is>
      </c>
      <c r="G110" t="inlineStr">
        <is>
          <t>FILIPSTAD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45223</v>
      </c>
      <c r="E111" s="1" t="n">
        <v>46311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46311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46311</v>
      </c>
      <c r="F113" t="inlineStr">
        <is>
          <t>VÄRMLANDS LÄN</t>
        </is>
      </c>
      <c r="G113" t="inlineStr">
        <is>
          <t>FILIPSTAD</t>
        </is>
      </c>
      <c r="I113" t="n">
        <v>18.7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46311</v>
      </c>
      <c r="F114" t="inlineStr">
        <is>
          <t>VÄRMLANDS LÄN</t>
        </is>
      </c>
      <c r="G114" t="inlineStr">
        <is>
          <t>FILIPSTAD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45408</v>
      </c>
      <c r="E115" s="1" t="n">
        <v>46311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45384</v>
      </c>
      <c r="E116" s="1" t="n">
        <v>46311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46311</v>
      </c>
      <c r="F117" t="inlineStr">
        <is>
          <t>VÄRMLANDS LÄN</t>
        </is>
      </c>
      <c r="G117" t="inlineStr">
        <is>
          <t>FILIPSTAD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32032-2025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45835</v>
      </c>
      <c r="E118" s="1" t="n">
        <v>46311</v>
      </c>
      <c r="F118" t="inlineStr">
        <is>
          <t>VÄRMLANDS LÄN</t>
        </is>
      </c>
      <c r="G118" t="inlineStr">
        <is>
          <t>FILIPSTAD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46311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46311</v>
      </c>
      <c r="F120" t="inlineStr">
        <is>
          <t>VÄRMLANDS LÄN</t>
        </is>
      </c>
      <c r="G120" t="inlineStr">
        <is>
          <t>FILIPSTAD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46311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33407-2025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45841</v>
      </c>
      <c r="E122" s="1" t="n">
        <v>46311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46311</v>
      </c>
      <c r="F123" t="inlineStr">
        <is>
          <t>VÄRMLANDS LÄN</t>
        </is>
      </c>
      <c r="G123" t="inlineStr">
        <is>
          <t>FILIPSTAD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46311</v>
      </c>
      <c r="F124" t="inlineStr">
        <is>
          <t>VÄRMLANDS LÄN</t>
        </is>
      </c>
      <c r="G124" t="inlineStr">
        <is>
          <t>FILIPSTAD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46311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46311</v>
      </c>
      <c r="F126" t="inlineStr">
        <is>
          <t>VÄRMLANDS LÄN</t>
        </is>
      </c>
      <c r="G126" t="inlineStr">
        <is>
          <t>FILIPSTAD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46311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46311</v>
      </c>
      <c r="F128" t="inlineStr">
        <is>
          <t>VÄRMLANDS LÄN</t>
        </is>
      </c>
      <c r="G128" t="inlineStr">
        <is>
          <t>FILIPSTAD</t>
        </is>
      </c>
      <c r="I128" t="n">
        <v>13.2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45511</v>
      </c>
      <c r="E129" s="1" t="n">
        <v>46311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45106</v>
      </c>
      <c r="E130" s="1" t="n">
        <v>46311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45870</v>
      </c>
      <c r="E131" s="1" t="n">
        <v>46311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46311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32262-2023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45120</v>
      </c>
      <c r="E133" s="1" t="n">
        <v>46311</v>
      </c>
      <c r="F133" t="inlineStr">
        <is>
          <t>VÄRMLANDS LÄN</t>
        </is>
      </c>
      <c r="G133" t="inlineStr">
        <is>
          <t>FILIPSTAD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46311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45133</v>
      </c>
      <c r="E135" s="1" t="n">
        <v>46311</v>
      </c>
      <c r="F135" t="inlineStr">
        <is>
          <t>VÄRMLANDS LÄN</t>
        </is>
      </c>
      <c r="G135" t="inlineStr">
        <is>
          <t>FILIPSTAD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46311</v>
      </c>
      <c r="F136" t="inlineStr">
        <is>
          <t>VÄRMLANDS LÄN</t>
        </is>
      </c>
      <c r="G136" t="inlineStr">
        <is>
          <t>FILIPSTAD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44960</v>
      </c>
      <c r="E137" s="1" t="n">
        <v>46311</v>
      </c>
      <c r="F137" t="inlineStr">
        <is>
          <t>VÄRMLANDS LÄN</t>
        </is>
      </c>
      <c r="G137" t="inlineStr">
        <is>
          <t>FILIPSTAD</t>
        </is>
      </c>
      <c r="H137" t="inlineStr">
        <is>
          <t>Kommuner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45393</v>
      </c>
      <c r="E138" s="1" t="n">
        <v>46311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4819-2023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44957</v>
      </c>
      <c r="E139" s="1" t="n">
        <v>46311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46311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45393</v>
      </c>
      <c r="E141" s="1" t="n">
        <v>46311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9270-2023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44980</v>
      </c>
      <c r="E142" s="1" t="n">
        <v>46311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37945-2024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46311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46311</v>
      </c>
      <c r="F144" t="inlineStr">
        <is>
          <t>VÄRMLANDS LÄN</t>
        </is>
      </c>
      <c r="G144" t="inlineStr">
        <is>
          <t>FILIPSTAD</t>
        </is>
      </c>
      <c r="H144" t="inlineStr">
        <is>
          <t>Kommuner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46311</v>
      </c>
      <c r="F145" t="inlineStr">
        <is>
          <t>VÄRMLANDS LÄN</t>
        </is>
      </c>
      <c r="G145" t="inlineStr">
        <is>
          <t>FILIPSTAD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45114</v>
      </c>
      <c r="E146" s="1" t="n">
        <v>46311</v>
      </c>
      <c r="F146" t="inlineStr">
        <is>
          <t>VÄRMLANDS LÄN</t>
        </is>
      </c>
      <c r="G146" t="inlineStr">
        <is>
          <t>FILIPSTAD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46311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46311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45418</v>
      </c>
      <c r="E149" s="1" t="n">
        <v>46311</v>
      </c>
      <c r="F149" t="inlineStr">
        <is>
          <t>VÄRMLANDS LÄN</t>
        </is>
      </c>
      <c r="G149" t="inlineStr">
        <is>
          <t>FILIPSTAD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46311</v>
      </c>
      <c r="F150" t="inlineStr">
        <is>
          <t>VÄRMLANDS LÄN</t>
        </is>
      </c>
      <c r="G150" t="inlineStr">
        <is>
          <t>FILIPSTAD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46311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46098</v>
      </c>
      <c r="E152" s="1" t="n">
        <v>46311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46311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44637</v>
      </c>
      <c r="E154" s="1" t="n">
        <v>46311</v>
      </c>
      <c r="F154" t="inlineStr">
        <is>
          <t>VÄRMLANDS LÄN</t>
        </is>
      </c>
      <c r="G154" t="inlineStr">
        <is>
          <t>FILIPSTAD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46311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46311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46311</v>
      </c>
      <c r="F157" t="inlineStr">
        <is>
          <t>VÄRMLANDS LÄN</t>
        </is>
      </c>
      <c r="G157" t="inlineStr">
        <is>
          <t>FILIPSTAD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46311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46311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46311</v>
      </c>
      <c r="F160" t="inlineStr">
        <is>
          <t>VÄRMLANDS LÄN</t>
        </is>
      </c>
      <c r="G160" t="inlineStr">
        <is>
          <t>FILIPSTAD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46311</v>
      </c>
      <c r="F161" t="inlineStr">
        <is>
          <t>VÄRMLANDS LÄN</t>
        </is>
      </c>
      <c r="G161" t="inlineStr">
        <is>
          <t>FILIPSTAD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46107</v>
      </c>
      <c r="E162" s="1" t="n">
        <v>46311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46311</v>
      </c>
      <c r="F163" t="inlineStr">
        <is>
          <t>VÄRMLANDS LÄN</t>
        </is>
      </c>
      <c r="G163" t="inlineStr">
        <is>
          <t>FILIPSTAD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45578</v>
      </c>
      <c r="E164" s="1" t="n">
        <v>46311</v>
      </c>
      <c r="F164" t="inlineStr">
        <is>
          <t>VÄRMLANDS LÄN</t>
        </is>
      </c>
      <c r="G164" t="inlineStr">
        <is>
          <t>FILIPSTAD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46311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46107</v>
      </c>
      <c r="E166" s="1" t="n">
        <v>46311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46107</v>
      </c>
      <c r="E167" s="1" t="n">
        <v>46311</v>
      </c>
      <c r="F167" t="inlineStr">
        <is>
          <t>VÄRMLANDS LÄN</t>
        </is>
      </c>
      <c r="G167" t="inlineStr">
        <is>
          <t>FILIPSTAD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46311</v>
      </c>
      <c r="F168" t="inlineStr">
        <is>
          <t>VÄRMLANDS LÄN</t>
        </is>
      </c>
      <c r="G168" t="inlineStr">
        <is>
          <t>FILIPSTAD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46311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46311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16040-2026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46108</v>
      </c>
      <c r="E171" s="1" t="n">
        <v>46311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46311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45274</v>
      </c>
      <c r="E173" s="1" t="n">
        <v>46311</v>
      </c>
      <c r="F173" t="inlineStr">
        <is>
          <t>VÄRMLANDS LÄN</t>
        </is>
      </c>
      <c r="G173" t="inlineStr">
        <is>
          <t>FILIPSTAD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41718-2025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45902</v>
      </c>
      <c r="E174" s="1" t="n">
        <v>46311</v>
      </c>
      <c r="F174" t="inlineStr">
        <is>
          <t>VÄRMLANDS LÄN</t>
        </is>
      </c>
      <c r="G174" t="inlineStr">
        <is>
          <t>FILIPSTAD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46311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69015-2021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44530</v>
      </c>
      <c r="E176" s="1" t="n">
        <v>46311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46311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45484</v>
      </c>
      <c r="E178" s="1" t="n">
        <v>46311</v>
      </c>
      <c r="F178" t="inlineStr">
        <is>
          <t>VÄRMLANDS LÄN</t>
        </is>
      </c>
      <c r="G178" t="inlineStr">
        <is>
          <t>FILIPSTAD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46311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17326-2026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46311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63482-2021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44508</v>
      </c>
      <c r="E181" s="1" t="n">
        <v>46311</v>
      </c>
      <c r="F181" t="inlineStr">
        <is>
          <t>VÄRMLANDS LÄN</t>
        </is>
      </c>
      <c r="G181" t="inlineStr">
        <is>
          <t>FILIPSTAD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46311</v>
      </c>
      <c r="F182" t="inlineStr">
        <is>
          <t>VÄRMLANDS LÄN</t>
        </is>
      </c>
      <c r="G182" t="inlineStr">
        <is>
          <t>FILIPSTAD</t>
        </is>
      </c>
      <c r="I182" t="n">
        <v>9.699999999999999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46311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45202</v>
      </c>
      <c r="E184" s="1" t="n">
        <v>46311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46125</v>
      </c>
      <c r="E185" s="1" t="n">
        <v>46311</v>
      </c>
      <c r="F185" t="inlineStr">
        <is>
          <t>VÄRMLANDS LÄN</t>
        </is>
      </c>
      <c r="G185" t="inlineStr">
        <is>
          <t>FILIPSTAD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45665</v>
      </c>
      <c r="E186" s="1" t="n">
        <v>46311</v>
      </c>
      <c r="F186" t="inlineStr">
        <is>
          <t>VÄRMLANDS LÄN</t>
        </is>
      </c>
      <c r="G186" t="inlineStr">
        <is>
          <t>FILIPSTAD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46311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46311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46311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44951</v>
      </c>
      <c r="E190" s="1" t="n">
        <v>46311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46311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46311</v>
      </c>
      <c r="F192" t="inlineStr">
        <is>
          <t>VÄRMLANDS LÄN</t>
        </is>
      </c>
      <c r="G192" t="inlineStr">
        <is>
          <t>FILIPSTAD</t>
        </is>
      </c>
      <c r="H192" t="inlineStr">
        <is>
          <t>Kyrkan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46311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46311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46311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45152</v>
      </c>
      <c r="E196" s="1" t="n">
        <v>46311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46311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70405-2021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44536</v>
      </c>
      <c r="E198" s="1" t="n">
        <v>46311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46311</v>
      </c>
      <c r="F199" t="inlineStr">
        <is>
          <t>VÄRMLANDS LÄN</t>
        </is>
      </c>
      <c r="G199" t="inlineStr">
        <is>
          <t>FILIPSTAD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18826-2026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46311</v>
      </c>
      <c r="F200" t="inlineStr">
        <is>
          <t>VÄRMLANDS LÄN</t>
        </is>
      </c>
      <c r="G200" t="inlineStr">
        <is>
          <t>FILIPSTAD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44935</v>
      </c>
      <c r="E201" s="1" t="n">
        <v>46311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45618</v>
      </c>
      <c r="E202" s="1" t="n">
        <v>46311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46311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19676-2026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46311</v>
      </c>
      <c r="F205" t="inlineStr">
        <is>
          <t>VÄRMLANDS LÄN</t>
        </is>
      </c>
      <c r="G205" t="inlineStr">
        <is>
          <t>FILIPSTAD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46311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46134</v>
      </c>
      <c r="E207" s="1" t="n">
        <v>46311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46311</v>
      </c>
      <c r="F208" t="inlineStr">
        <is>
          <t>VÄRMLANDS LÄN</t>
        </is>
      </c>
      <c r="G208" t="inlineStr">
        <is>
          <t>FILIPSTAD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46311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46311</v>
      </c>
      <c r="F210" t="inlineStr">
        <is>
          <t>VÄRMLANDS LÄN</t>
        </is>
      </c>
      <c r="G210" t="inlineStr">
        <is>
          <t>FILIPSTAD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45658</v>
      </c>
      <c r="E211" s="1" t="n">
        <v>46311</v>
      </c>
      <c r="F211" t="inlineStr">
        <is>
          <t>VÄRMLANDS LÄN</t>
        </is>
      </c>
      <c r="G211" t="inlineStr">
        <is>
          <t>FILIPSTAD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46311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46311</v>
      </c>
      <c r="F213" t="inlineStr">
        <is>
          <t>VÄRMLANDS LÄN</t>
        </is>
      </c>
      <c r="G213" t="inlineStr">
        <is>
          <t>FILIPSTAD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46311</v>
      </c>
      <c r="F214" t="inlineStr">
        <is>
          <t>VÄRMLANDS LÄN</t>
        </is>
      </c>
      <c r="G214" t="inlineStr">
        <is>
          <t>FILIPSTAD</t>
        </is>
      </c>
      <c r="H214" t="inlineStr">
        <is>
          <t>Kyrkan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46311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44788</v>
      </c>
      <c r="E216" s="1" t="n">
        <v>46311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46135</v>
      </c>
      <c r="E217" s="1" t="n">
        <v>46311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45420</v>
      </c>
      <c r="E218" s="1" t="n">
        <v>46311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46311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46311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46311</v>
      </c>
      <c r="F221" t="inlineStr">
        <is>
          <t>VÄRMLANDS LÄN</t>
        </is>
      </c>
      <c r="G221" t="inlineStr">
        <is>
          <t>FILIPSTAD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46311</v>
      </c>
      <c r="F222" t="inlineStr">
        <is>
          <t>VÄRMLANDS LÄN</t>
        </is>
      </c>
      <c r="G222" t="inlineStr">
        <is>
          <t>FILIPSTAD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46311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46311</v>
      </c>
      <c r="F224" t="inlineStr">
        <is>
          <t>VÄRMLANDS LÄN</t>
        </is>
      </c>
      <c r="G224" t="inlineStr">
        <is>
          <t>FILIPSTAD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46311</v>
      </c>
      <c r="F225" t="inlineStr">
        <is>
          <t>VÄRMLANDS LÄN</t>
        </is>
      </c>
      <c r="G225" t="inlineStr">
        <is>
          <t>FILIPSTAD</t>
        </is>
      </c>
      <c r="H225" t="inlineStr">
        <is>
          <t>Kyrkan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46311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46311</v>
      </c>
      <c r="F227" t="inlineStr">
        <is>
          <t>VÄRMLANDS LÄN</t>
        </is>
      </c>
      <c r="G227" t="inlineStr">
        <is>
          <t>FILIPSTAD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46311</v>
      </c>
      <c r="F228" t="inlineStr">
        <is>
          <t>VÄRMLANDS LÄN</t>
        </is>
      </c>
      <c r="G228" t="inlineStr">
        <is>
          <t>FILIPSTAD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46311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29825-2023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45107</v>
      </c>
      <c r="E230" s="1" t="n">
        <v>46311</v>
      </c>
      <c r="F230" t="inlineStr">
        <is>
          <t>VÄRMLANDS LÄN</t>
        </is>
      </c>
      <c r="G230" t="inlineStr">
        <is>
          <t>FILIPSTAD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46311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46311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45686</v>
      </c>
      <c r="E233" s="1" t="n">
        <v>46311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44743</v>
      </c>
      <c r="E234" s="1" t="n">
        <v>46311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46311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46311</v>
      </c>
      <c r="F236" t="inlineStr">
        <is>
          <t>VÄRMLANDS LÄN</t>
        </is>
      </c>
      <c r="G236" t="inlineStr">
        <is>
          <t>FILIPSTAD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28161-2023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45093</v>
      </c>
      <c r="E237" s="1" t="n">
        <v>46311</v>
      </c>
      <c r="F237" t="inlineStr">
        <is>
          <t>VÄRMLANDS LÄN</t>
        </is>
      </c>
      <c r="G237" t="inlineStr">
        <is>
          <t>FILIPSTAD</t>
        </is>
      </c>
      <c r="H237" t="inlineStr">
        <is>
          <t>Kommuner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46311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46311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46311</v>
      </c>
      <c r="F240" t="inlineStr">
        <is>
          <t>VÄRMLANDS LÄN</t>
        </is>
      </c>
      <c r="G240" t="inlineStr">
        <is>
          <t>FILIPSTAD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46311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45456</v>
      </c>
      <c r="E242" s="1" t="n">
        <v>46311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45891</v>
      </c>
      <c r="E243" s="1" t="n">
        <v>46311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46311</v>
      </c>
      <c r="F244" t="inlineStr">
        <is>
          <t>VÄRMLANDS LÄN</t>
        </is>
      </c>
      <c r="G244" t="inlineStr">
        <is>
          <t>FILIPSTAD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44691</v>
      </c>
      <c r="E246" s="1" t="n">
        <v>46311</v>
      </c>
      <c r="F246" t="inlineStr">
        <is>
          <t>VÄRMLANDS LÄN</t>
        </is>
      </c>
      <c r="G246" t="inlineStr">
        <is>
          <t>FILIPSTAD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46141</v>
      </c>
      <c r="E247" s="1" t="n">
        <v>46311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46311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20554-2025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45775</v>
      </c>
      <c r="E249" s="1" t="n">
        <v>46311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46311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46311</v>
      </c>
      <c r="F251" t="inlineStr">
        <is>
          <t>VÄRMLANDS LÄN</t>
        </is>
      </c>
      <c r="G251" t="inlineStr">
        <is>
          <t>FILIPSTAD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45867</v>
      </c>
      <c r="E252" s="1" t="n">
        <v>46311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46311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46311</v>
      </c>
      <c r="F254" t="inlineStr">
        <is>
          <t>VÄRMLANDS LÄN</t>
        </is>
      </c>
      <c r="G254" t="inlineStr">
        <is>
          <t>FILIPSTAD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46311</v>
      </c>
      <c r="F255" t="inlineStr">
        <is>
          <t>VÄRMLANDS LÄN</t>
        </is>
      </c>
      <c r="G255" t="inlineStr">
        <is>
          <t>FILIPSTAD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46311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46311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46311</v>
      </c>
      <c r="F258" t="inlineStr">
        <is>
          <t>VÄRMLANDS LÄN</t>
        </is>
      </c>
      <c r="G258" t="inlineStr">
        <is>
          <t>FILIPSTAD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43571-2025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46311</v>
      </c>
      <c r="F259" t="inlineStr">
        <is>
          <t>VÄRMLANDS LÄN</t>
        </is>
      </c>
      <c r="G259" t="inlineStr">
        <is>
          <t>FILIPSTAD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22866-2023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45072</v>
      </c>
      <c r="E260" s="1" t="n">
        <v>46311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29473-2024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45484</v>
      </c>
      <c r="E261" s="1" t="n">
        <v>46311</v>
      </c>
      <c r="F261" t="inlineStr">
        <is>
          <t>VÄRMLANDS LÄN</t>
        </is>
      </c>
      <c r="G261" t="inlineStr">
        <is>
          <t>FILIPSTAD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21542-2026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46148</v>
      </c>
      <c r="E262" s="1" t="n">
        <v>46311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46311</v>
      </c>
      <c r="F263" t="inlineStr">
        <is>
          <t>VÄRMLANDS LÄN</t>
        </is>
      </c>
      <c r="G263" t="inlineStr">
        <is>
          <t>FILIPSTAD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46311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45186</v>
      </c>
      <c r="E265" s="1" t="n">
        <v>46311</v>
      </c>
      <c r="F265" t="inlineStr">
        <is>
          <t>VÄRMLANDS LÄN</t>
        </is>
      </c>
      <c r="G265" t="inlineStr">
        <is>
          <t>FILIPSTAD</t>
        </is>
      </c>
      <c r="I265" t="n">
        <v>15.3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46311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46311</v>
      </c>
      <c r="F268" t="inlineStr">
        <is>
          <t>VÄRMLANDS LÄN</t>
        </is>
      </c>
      <c r="G268" t="inlineStr">
        <is>
          <t>FILIPSTAD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16103-2025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45750</v>
      </c>
      <c r="E269" s="1" t="n">
        <v>46311</v>
      </c>
      <c r="F269" t="inlineStr">
        <is>
          <t>VÄRMLANDS LÄN</t>
        </is>
      </c>
      <c r="G269" t="inlineStr">
        <is>
          <t>FILIPSTAD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46311</v>
      </c>
      <c r="F270" t="inlineStr">
        <is>
          <t>VÄRMLANDS LÄN</t>
        </is>
      </c>
      <c r="G270" t="inlineStr">
        <is>
          <t>FILIPSTAD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46311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46311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46311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46311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46311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46311</v>
      </c>
      <c r="F276" t="inlineStr">
        <is>
          <t>VÄRMLANDS LÄN</t>
        </is>
      </c>
      <c r="G276" t="inlineStr">
        <is>
          <t>FILIPSTAD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46311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36251-2022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44803</v>
      </c>
      <c r="E280" s="1" t="n">
        <v>46311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46311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46311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44789</v>
      </c>
      <c r="E283" s="1" t="n">
        <v>46311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46257-2022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44847</v>
      </c>
      <c r="E284" s="1" t="n">
        <v>46311</v>
      </c>
      <c r="F284" t="inlineStr">
        <is>
          <t>VÄRMLANDS LÄN</t>
        </is>
      </c>
      <c r="G284" t="inlineStr">
        <is>
          <t>FILIPSTAD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36827-2022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44805</v>
      </c>
      <c r="E285" s="1" t="n">
        <v>46311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37611-2022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44809</v>
      </c>
      <c r="E286" s="1" t="n">
        <v>46311</v>
      </c>
      <c r="F286" t="inlineStr">
        <is>
          <t>VÄRMLANDS LÄN</t>
        </is>
      </c>
      <c r="G286" t="inlineStr">
        <is>
          <t>FILIPSTAD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44579</v>
      </c>
      <c r="E287" s="1" t="n">
        <v>46311</v>
      </c>
      <c r="F287" t="inlineStr">
        <is>
          <t>VÄRMLANDS LÄN</t>
        </is>
      </c>
      <c r="G287" t="inlineStr">
        <is>
          <t>FILIPSTAD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46311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46311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46311</v>
      </c>
      <c r="F290" t="inlineStr">
        <is>
          <t>VÄRMLANDS LÄN</t>
        </is>
      </c>
      <c r="G290" t="inlineStr">
        <is>
          <t>FILIPSTAD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45077</v>
      </c>
      <c r="E291" s="1" t="n">
        <v>46311</v>
      </c>
      <c r="F291" t="inlineStr">
        <is>
          <t>VÄRMLANDS LÄN</t>
        </is>
      </c>
      <c r="G291" t="inlineStr">
        <is>
          <t>FILIPSTAD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45087</v>
      </c>
      <c r="E292" s="1" t="n">
        <v>46311</v>
      </c>
      <c r="F292" t="inlineStr">
        <is>
          <t>VÄRMLANDS LÄN</t>
        </is>
      </c>
      <c r="G292" t="inlineStr">
        <is>
          <t>FILIPSTAD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46163</v>
      </c>
      <c r="E293" s="1" t="n">
        <v>46311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46311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46311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46311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46311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46311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49935-2025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45940</v>
      </c>
      <c r="E299" s="1" t="n">
        <v>46311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46311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46311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46311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46311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45177</v>
      </c>
      <c r="E304" s="1" t="n">
        <v>46311</v>
      </c>
      <c r="F304" t="inlineStr">
        <is>
          <t>VÄRMLANDS LÄN</t>
        </is>
      </c>
      <c r="G304" t="inlineStr">
        <is>
          <t>FILIPSTAD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46311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46311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46311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46311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46311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23886-2026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46311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46311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46311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46169</v>
      </c>
      <c r="E314" s="1" t="n">
        <v>46311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46169</v>
      </c>
      <c r="E315" s="1" t="n">
        <v>46311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46311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46170</v>
      </c>
      <c r="E317" s="1" t="n">
        <v>46311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46311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46311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46311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46311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46311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46311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46311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44876</v>
      </c>
      <c r="E325" s="1" t="n">
        <v>46311</v>
      </c>
      <c r="F325" t="inlineStr">
        <is>
          <t>VÄRMLANDS LÄN</t>
        </is>
      </c>
      <c r="G325" t="inlineStr">
        <is>
          <t>FILIPSTAD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46171</v>
      </c>
      <c r="E326" s="1" t="n">
        <v>46311</v>
      </c>
      <c r="F326" t="inlineStr">
        <is>
          <t>VÄRMLANDS LÄN</t>
        </is>
      </c>
      <c r="G326" t="inlineStr">
        <is>
          <t>FILIPSTAD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46311</v>
      </c>
      <c r="F327" t="inlineStr">
        <is>
          <t>VÄRMLANDS LÄN</t>
        </is>
      </c>
      <c r="G327" t="inlineStr">
        <is>
          <t>FILIPSTAD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46311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46311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46311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45218</v>
      </c>
      <c r="E331" s="1" t="n">
        <v>46311</v>
      </c>
      <c r="F331" t="inlineStr">
        <is>
          <t>VÄRMLANDS LÄN</t>
        </is>
      </c>
      <c r="G331" t="inlineStr">
        <is>
          <t>FILIPSTAD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46311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46311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46311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8.9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46311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46311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44960</v>
      </c>
      <c r="E337" s="1" t="n">
        <v>46311</v>
      </c>
      <c r="F337" t="inlineStr">
        <is>
          <t>VÄRMLANDS LÄN</t>
        </is>
      </c>
      <c r="G337" t="inlineStr">
        <is>
          <t>FILIPSTAD</t>
        </is>
      </c>
      <c r="H337" t="inlineStr">
        <is>
          <t>Kommuner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55978-2022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44889</v>
      </c>
      <c r="E338" s="1" t="n">
        <v>46311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46311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48103-2025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45933</v>
      </c>
      <c r="E340" s="1" t="n">
        <v>46311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50856-2022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44867</v>
      </c>
      <c r="E341" s="1" t="n">
        <v>46311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46311</v>
      </c>
      <c r="F342" t="inlineStr">
        <is>
          <t>VÄRMLANDS LÄN</t>
        </is>
      </c>
      <c r="G342" t="inlineStr">
        <is>
          <t>FILIPSTAD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46311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45568</v>
      </c>
      <c r="E344" s="1" t="n">
        <v>46311</v>
      </c>
      <c r="F344" t="inlineStr">
        <is>
          <t>VÄRMLANDS LÄN</t>
        </is>
      </c>
      <c r="G344" t="inlineStr">
        <is>
          <t>FILIPSTAD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46311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45253</v>
      </c>
      <c r="E346" s="1" t="n">
        <v>46311</v>
      </c>
      <c r="F346" t="inlineStr">
        <is>
          <t>VÄRMLANDS LÄN</t>
        </is>
      </c>
      <c r="G346" t="inlineStr">
        <is>
          <t>FILIPSTAD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25786-2026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46311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46311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46182</v>
      </c>
      <c r="E349" s="1" t="n">
        <v>46311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46311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46311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46311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46311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46311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46311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46311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44994</v>
      </c>
      <c r="E357" s="1" t="n">
        <v>46311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46187</v>
      </c>
      <c r="E358" s="1" t="n">
        <v>46311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46311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36680-2023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45153</v>
      </c>
      <c r="E360" s="1" t="n">
        <v>46311</v>
      </c>
      <c r="F360" t="inlineStr">
        <is>
          <t>VÄRMLANDS LÄN</t>
        </is>
      </c>
      <c r="G360" t="inlineStr">
        <is>
          <t>FILIPSTAD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46186</v>
      </c>
      <c r="E361" s="1" t="n">
        <v>46311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46311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5803-2023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44963</v>
      </c>
      <c r="E363" s="1" t="n">
        <v>46311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46311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46311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46311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46311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46311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51618-2022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44872</v>
      </c>
      <c r="E369" s="1" t="n">
        <v>46311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46311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45947</v>
      </c>
      <c r="E371" s="1" t="n">
        <v>46311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46311</v>
      </c>
      <c r="F372" t="inlineStr">
        <is>
          <t>VÄRMLANDS LÄN</t>
        </is>
      </c>
      <c r="G372" t="inlineStr">
        <is>
          <t>FILIPSTAD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46311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71971-2021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44544</v>
      </c>
      <c r="E374" s="1" t="n">
        <v>46311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31306-2023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46311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46311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9370-2023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44981</v>
      </c>
      <c r="E377" s="1" t="n">
        <v>46311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46311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46203</v>
      </c>
      <c r="E379" s="1" t="n">
        <v>46311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46202</v>
      </c>
      <c r="E380" s="1" t="n">
        <v>46311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46311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46311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46203</v>
      </c>
      <c r="E383" s="1" t="n">
        <v>46311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46311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46311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46311</v>
      </c>
      <c r="F386" t="inlineStr">
        <is>
          <t>VÄRMLANDS LÄN</t>
        </is>
      </c>
      <c r="G386" t="inlineStr">
        <is>
          <t>FILIPSTAD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36809-2022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44805</v>
      </c>
      <c r="E387" s="1" t="n">
        <v>46311</v>
      </c>
      <c r="F387" t="inlineStr">
        <is>
          <t>VÄRMLANDS LÄN</t>
        </is>
      </c>
      <c r="G387" t="inlineStr">
        <is>
          <t>FILIPSTAD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45124</v>
      </c>
      <c r="E388" s="1" t="n">
        <v>46311</v>
      </c>
      <c r="F388" t="inlineStr">
        <is>
          <t>VÄRMLANDS LÄN</t>
        </is>
      </c>
      <c r="G388" t="inlineStr">
        <is>
          <t>FILIPSTAD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45124</v>
      </c>
      <c r="E389" s="1" t="n">
        <v>46311</v>
      </c>
      <c r="F389" t="inlineStr">
        <is>
          <t>VÄRMLANDS LÄN</t>
        </is>
      </c>
      <c r="G389" t="inlineStr">
        <is>
          <t>FILIPSTAD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44911</v>
      </c>
      <c r="E390" s="1" t="n">
        <v>46311</v>
      </c>
      <c r="F390" t="inlineStr">
        <is>
          <t>VÄRMLANDS LÄN</t>
        </is>
      </c>
      <c r="G390" t="inlineStr">
        <is>
          <t>FILIPSTAD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46311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46311</v>
      </c>
      <c r="F392" t="inlineStr">
        <is>
          <t>VÄRMLANDS LÄN</t>
        </is>
      </c>
      <c r="G392" t="inlineStr">
        <is>
          <t>FILIPSTAD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46311</v>
      </c>
      <c r="F393" t="inlineStr">
        <is>
          <t>VÄRMLANDS LÄN</t>
        </is>
      </c>
      <c r="G393" t="inlineStr">
        <is>
          <t>FILIPSTAD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46311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46311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46311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25737-2023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45090</v>
      </c>
      <c r="E397" s="1" t="n">
        <v>46311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46311</v>
      </c>
      <c r="F398" t="inlineStr">
        <is>
          <t>VÄRMLANDS LÄN</t>
        </is>
      </c>
      <c r="G398" t="inlineStr">
        <is>
          <t>FILIPSTAD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46311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44579</v>
      </c>
      <c r="E400" s="1" t="n">
        <v>46311</v>
      </c>
      <c r="F400" t="inlineStr">
        <is>
          <t>VÄRMLANDS LÄN</t>
        </is>
      </c>
      <c r="G400" t="inlineStr">
        <is>
          <t>FILIPSTAD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46311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46311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45401</v>
      </c>
      <c r="E403" s="1" t="n">
        <v>46311</v>
      </c>
      <c r="F403" t="inlineStr">
        <is>
          <t>VÄRMLANDS LÄN</t>
        </is>
      </c>
      <c r="G403" t="inlineStr">
        <is>
          <t>FILIPSTAD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46219</v>
      </c>
      <c r="E404" s="1" t="n">
        <v>46311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32786-2024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45516</v>
      </c>
      <c r="E405" s="1" t="n">
        <v>46311</v>
      </c>
      <c r="F405" t="inlineStr">
        <is>
          <t>VÄRMLANDS LÄN</t>
        </is>
      </c>
      <c r="G405" t="inlineStr">
        <is>
          <t>FILIPSTAD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46218</v>
      </c>
      <c r="E406" s="1" t="n">
        <v>46311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62014-2024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45655</v>
      </c>
      <c r="E407" s="1" t="n">
        <v>46311</v>
      </c>
      <c r="F407" t="inlineStr">
        <is>
          <t>VÄRMLANDS LÄN</t>
        </is>
      </c>
      <c r="G407" t="inlineStr">
        <is>
          <t>FILIPSTAD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46311</v>
      </c>
      <c r="F408" t="inlineStr">
        <is>
          <t>VÄRMLANDS LÄN</t>
        </is>
      </c>
      <c r="G408" t="inlineStr">
        <is>
          <t>FILIPSTAD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46223</v>
      </c>
      <c r="E409" s="1" t="n">
        <v>46311</v>
      </c>
      <c r="F409" t="inlineStr">
        <is>
          <t>VÄRMLANDS LÄN</t>
        </is>
      </c>
      <c r="G409" t="inlineStr">
        <is>
          <t>FILIPSTAD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45037</v>
      </c>
      <c r="E410" s="1" t="n">
        <v>46311</v>
      </c>
      <c r="F410" t="inlineStr">
        <is>
          <t>VÄRMLANDS LÄN</t>
        </is>
      </c>
      <c r="G410" t="inlineStr">
        <is>
          <t>FILIPSTAD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31537-2026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46223</v>
      </c>
      <c r="E411" s="1" t="n">
        <v>46311</v>
      </c>
      <c r="F411" t="inlineStr">
        <is>
          <t>VÄRMLANDS LÄN</t>
        </is>
      </c>
      <c r="G411" t="inlineStr">
        <is>
          <t>FILIPSTAD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46225</v>
      </c>
      <c r="E412" s="1" t="n">
        <v>46311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46311</v>
      </c>
      <c r="F413" t="inlineStr">
        <is>
          <t>VÄRMLANDS LÄN</t>
        </is>
      </c>
      <c r="G413" t="inlineStr">
        <is>
          <t>FILIPSTAD</t>
        </is>
      </c>
      <c r="H413" t="inlineStr">
        <is>
          <t>Kyrkan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46226</v>
      </c>
      <c r="E414" s="1" t="n">
        <v>46311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46226</v>
      </c>
      <c r="E415" s="1" t="n">
        <v>46311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46226</v>
      </c>
      <c r="E416" s="1" t="n">
        <v>46311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46227</v>
      </c>
      <c r="E417" s="1" t="n">
        <v>46311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45959</v>
      </c>
      <c r="E418" s="1" t="n">
        <v>46311</v>
      </c>
      <c r="F418" t="inlineStr">
        <is>
          <t>VÄRMLANDS LÄN</t>
        </is>
      </c>
      <c r="G418" t="inlineStr">
        <is>
          <t>FILIPSTAD</t>
        </is>
      </c>
      <c r="H418" t="inlineStr">
        <is>
          <t>Kyrkan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46227</v>
      </c>
      <c r="E419" s="1" t="n">
        <v>46311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45327</v>
      </c>
      <c r="E420" s="1" t="n">
        <v>46311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9.300000000000001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46272</v>
      </c>
      <c r="E421" s="1" t="n">
        <v>46311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36818-2026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46272</v>
      </c>
      <c r="E422" s="1" t="n">
        <v>46311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46269</v>
      </c>
      <c r="E423" s="1" t="n">
        <v>46311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46272</v>
      </c>
      <c r="E424" s="1" t="n">
        <v>46311</v>
      </c>
      <c r="F424" t="inlineStr">
        <is>
          <t>VÄRMLANDS LÄN</t>
        </is>
      </c>
      <c r="G424" t="inlineStr">
        <is>
          <t>FILIPSTAD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46269</v>
      </c>
      <c r="E425" s="1" t="n">
        <v>46311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46272</v>
      </c>
      <c r="E426" s="1" t="n">
        <v>46311</v>
      </c>
      <c r="F426" t="inlineStr">
        <is>
          <t>VÄRMLANDS LÄN</t>
        </is>
      </c>
      <c r="G426" t="inlineStr">
        <is>
          <t>FILIPSTAD</t>
        </is>
      </c>
      <c r="I426" t="n">
        <v>11.6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46269</v>
      </c>
      <c r="E427" s="1" t="n">
        <v>46311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46269</v>
      </c>
      <c r="E428" s="1" t="n">
        <v>46311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46186</v>
      </c>
      <c r="E429" s="1" t="n">
        <v>46311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46231</v>
      </c>
      <c r="E430" s="1" t="n">
        <v>46311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45578</v>
      </c>
      <c r="E431" s="1" t="n">
        <v>46311</v>
      </c>
      <c r="F431" t="inlineStr">
        <is>
          <t>VÄRMLANDS LÄN</t>
        </is>
      </c>
      <c r="G431" t="inlineStr">
        <is>
          <t>FILIPSTAD</t>
        </is>
      </c>
      <c r="I431" t="n">
        <v>27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37249-2026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46311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46680-2024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45583</v>
      </c>
      <c r="E433" s="1" t="n">
        <v>46311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22830-2023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45072</v>
      </c>
      <c r="E434" s="1" t="n">
        <v>46311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54497-2025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46311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46311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46311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46269</v>
      </c>
      <c r="E438" s="1" t="n">
        <v>46311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45968</v>
      </c>
      <c r="E439" s="1" t="n">
        <v>46311</v>
      </c>
      <c r="F439" t="inlineStr">
        <is>
          <t>VÄRMLANDS LÄN</t>
        </is>
      </c>
      <c r="G439" t="inlineStr">
        <is>
          <t>FILIPSTAD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55175-2025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45968</v>
      </c>
      <c r="E440" s="1" t="n">
        <v>46311</v>
      </c>
      <c r="F440" t="inlineStr">
        <is>
          <t>VÄRMLANDS LÄN</t>
        </is>
      </c>
      <c r="G440" t="inlineStr">
        <is>
          <t>FILIPSTAD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46233</v>
      </c>
      <c r="E441" s="1" t="n">
        <v>46311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46232</v>
      </c>
      <c r="E442" s="1" t="n">
        <v>46311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46232</v>
      </c>
      <c r="E443" s="1" t="n">
        <v>46311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46232</v>
      </c>
      <c r="E444" s="1" t="n">
        <v>46311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32035-2026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46233</v>
      </c>
      <c r="E445" s="1" t="n">
        <v>46311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46276</v>
      </c>
      <c r="E446" s="1" t="n">
        <v>46311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45655</v>
      </c>
      <c r="E447" s="1" t="n">
        <v>46311</v>
      </c>
      <c r="F447" t="inlineStr">
        <is>
          <t>VÄRMLANDS LÄN</t>
        </is>
      </c>
      <c r="G447" t="inlineStr">
        <is>
          <t>FILIPSTAD</t>
        </is>
      </c>
      <c r="I447" t="n">
        <v>26.5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46311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45204</v>
      </c>
      <c r="E449" s="1" t="n">
        <v>46311</v>
      </c>
      <c r="F449" t="inlineStr">
        <is>
          <t>VÄRMLANDS LÄN</t>
        </is>
      </c>
      <c r="G449" t="inlineStr">
        <is>
          <t>FILIPSTAD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32249-2026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46237</v>
      </c>
      <c r="E450" s="1" t="n">
        <v>46311</v>
      </c>
      <c r="F450" t="inlineStr">
        <is>
          <t>VÄRMLANDS LÄN</t>
        </is>
      </c>
      <c r="G450" t="inlineStr">
        <is>
          <t>FILIPSTAD</t>
        </is>
      </c>
      <c r="H450" t="inlineStr">
        <is>
          <t>Kommuner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46311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46234</v>
      </c>
      <c r="E453" s="1" t="n">
        <v>46311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46311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46311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46237</v>
      </c>
      <c r="E456" s="1" t="n">
        <v>46311</v>
      </c>
      <c r="F456" t="inlineStr">
        <is>
          <t>VÄRMLANDS LÄN</t>
        </is>
      </c>
      <c r="G456" t="inlineStr">
        <is>
          <t>FILIPSTAD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44935</v>
      </c>
      <c r="E457" s="1" t="n">
        <v>46311</v>
      </c>
      <c r="F457" t="inlineStr">
        <is>
          <t>VÄRMLANDS LÄN</t>
        </is>
      </c>
      <c r="G457" t="inlineStr">
        <is>
          <t>FILIPSTAD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46233</v>
      </c>
      <c r="E458" s="1" t="n">
        <v>46311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56086-2025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46311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45720</v>
      </c>
      <c r="E460" s="1" t="n">
        <v>46311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46311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46311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46311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56184-2025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46311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46311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9.199999999999999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46311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46282</v>
      </c>
      <c r="E467" s="1" t="n">
        <v>46311</v>
      </c>
      <c r="F467" t="inlineStr">
        <is>
          <t>VÄRMLANDS LÄN</t>
        </is>
      </c>
      <c r="G467" t="inlineStr">
        <is>
          <t>FILIPSTAD</t>
        </is>
      </c>
      <c r="H467" t="inlineStr">
        <is>
          <t>Kyrkan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32572-2026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46239</v>
      </c>
      <c r="E468" s="1" t="n">
        <v>46311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41075-2023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45173</v>
      </c>
      <c r="E469" s="1" t="n">
        <v>46311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46311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56083-2025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45973</v>
      </c>
      <c r="E471" s="1" t="n">
        <v>46311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56045-2025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45973</v>
      </c>
      <c r="E472" s="1" t="n">
        <v>46311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46281</v>
      </c>
      <c r="E473" s="1" t="n">
        <v>46311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46239</v>
      </c>
      <c r="E474" s="1" t="n">
        <v>46311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46311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14582-2025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45742</v>
      </c>
      <c r="E476" s="1" t="n">
        <v>46311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46311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46311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46311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56840-2024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45628</v>
      </c>
      <c r="E480" s="1" t="n">
        <v>46311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38578-2026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46283</v>
      </c>
      <c r="E481" s="1" t="n">
        <v>46311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46311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8692-2025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45712</v>
      </c>
      <c r="E483" s="1" t="n">
        <v>46311</v>
      </c>
      <c r="F483" t="inlineStr">
        <is>
          <t>VÄRMLANDS LÄN</t>
        </is>
      </c>
      <c r="G483" t="inlineStr">
        <is>
          <t>FILIPSTAD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23618-2023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45077</v>
      </c>
      <c r="E484" s="1" t="n">
        <v>46311</v>
      </c>
      <c r="F484" t="inlineStr">
        <is>
          <t>VÄRMLANDS LÄN</t>
        </is>
      </c>
      <c r="G484" t="inlineStr">
        <is>
          <t>FILIPSTAD</t>
        </is>
      </c>
      <c r="I484" t="n">
        <v>15.8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46311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46311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46311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46311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60524-2024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45643</v>
      </c>
      <c r="E489" s="1" t="n">
        <v>46311</v>
      </c>
      <c r="F489" t="inlineStr">
        <is>
          <t>VÄRMLANDS LÄN</t>
        </is>
      </c>
      <c r="G489" t="inlineStr">
        <is>
          <t>FILIPSTAD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46311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46311</v>
      </c>
      <c r="F491" t="inlineStr">
        <is>
          <t>VÄRMLANDS LÄN</t>
        </is>
      </c>
      <c r="G491" t="inlineStr">
        <is>
          <t>FILIPSTAD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46311</v>
      </c>
      <c r="F492" t="inlineStr">
        <is>
          <t>VÄRMLANDS LÄN</t>
        </is>
      </c>
      <c r="G492" t="inlineStr">
        <is>
          <t>FILIPSTAD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46311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22.4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46129</v>
      </c>
      <c r="E494" s="1" t="n">
        <v>46311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46244</v>
      </c>
      <c r="E495" s="1" t="n">
        <v>46311</v>
      </c>
      <c r="F495" t="inlineStr">
        <is>
          <t>VÄRMLANDS LÄN</t>
        </is>
      </c>
      <c r="G495" t="inlineStr">
        <is>
          <t>FILIPSTAD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46311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15228-2025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45744</v>
      </c>
      <c r="E498" s="1" t="n">
        <v>46311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17.7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58019-2025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45982</v>
      </c>
      <c r="E499" s="1" t="n">
        <v>46311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28.4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46311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57872-2025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46311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46311</v>
      </c>
      <c r="F502" t="inlineStr">
        <is>
          <t>VÄRMLANDS LÄN</t>
        </is>
      </c>
      <c r="G502" t="inlineStr">
        <is>
          <t>FILIPSTAD</t>
        </is>
      </c>
      <c r="H502" t="inlineStr">
        <is>
          <t>Kyrkan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45436</v>
      </c>
      <c r="E503" s="1" t="n">
        <v>46311</v>
      </c>
      <c r="F503" t="inlineStr">
        <is>
          <t>VÄRMLANDS LÄN</t>
        </is>
      </c>
      <c r="G503" t="inlineStr">
        <is>
          <t>FILIPSTAD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46246</v>
      </c>
      <c r="E504" s="1" t="n">
        <v>46311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58211-2025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46311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34262-2024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45524</v>
      </c>
      <c r="E506" s="1" t="n">
        <v>46311</v>
      </c>
      <c r="F506" t="inlineStr">
        <is>
          <t>VÄRMLANDS LÄN</t>
        </is>
      </c>
      <c r="G506" t="inlineStr">
        <is>
          <t>FILIPSTAD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45299</v>
      </c>
      <c r="E507" s="1" t="n">
        <v>46311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46311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46311</v>
      </c>
      <c r="F509" t="inlineStr">
        <is>
          <t>VÄRMLANDS LÄN</t>
        </is>
      </c>
      <c r="G509" t="inlineStr">
        <is>
          <t>FILIPSTAD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46311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39893-2026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46290</v>
      </c>
      <c r="E511" s="1" t="n">
        <v>46311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46311</v>
      </c>
      <c r="F512" t="inlineStr">
        <is>
          <t>VÄRMLANDS LÄN</t>
        </is>
      </c>
      <c r="G512" t="inlineStr">
        <is>
          <t>FILIPSTAD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45989</v>
      </c>
      <c r="E513" s="1" t="n">
        <v>46311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40121-2026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46293</v>
      </c>
      <c r="E514" s="1" t="n">
        <v>46311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45992</v>
      </c>
      <c r="E515" s="1" t="n">
        <v>46311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46293</v>
      </c>
      <c r="E516" s="1" t="n">
        <v>46311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45992</v>
      </c>
      <c r="E517" s="1" t="n">
        <v>46311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59709-2025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45992</v>
      </c>
      <c r="E518" s="1" t="n">
        <v>46311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46311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45495</v>
      </c>
      <c r="E520" s="1" t="n">
        <v>46311</v>
      </c>
      <c r="F520" t="inlineStr">
        <is>
          <t>VÄRMLANDS LÄN</t>
        </is>
      </c>
      <c r="G520" t="inlineStr">
        <is>
          <t>FILIPSTAD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45989</v>
      </c>
      <c r="E521" s="1" t="n">
        <v>46311</v>
      </c>
      <c r="F521" t="inlineStr">
        <is>
          <t>VÄRMLANDS LÄN</t>
        </is>
      </c>
      <c r="G521" t="inlineStr">
        <is>
          <t>FILIPSTAD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59410-2025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45989</v>
      </c>
      <c r="E522" s="1" t="n">
        <v>46311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46311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59406-2025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45989</v>
      </c>
      <c r="E524" s="1" t="n">
        <v>46311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45414</v>
      </c>
      <c r="E525" s="1" t="n">
        <v>46311</v>
      </c>
      <c r="F525" t="inlineStr">
        <is>
          <t>VÄRMLANDS LÄN</t>
        </is>
      </c>
      <c r="G525" t="inlineStr">
        <is>
          <t>FILIPSTAD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45993</v>
      </c>
      <c r="E526" s="1" t="n">
        <v>46311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60653-2025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45996</v>
      </c>
      <c r="E527" s="1" t="n">
        <v>46311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45439</v>
      </c>
      <c r="E528" s="1" t="n">
        <v>46311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46311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45995</v>
      </c>
      <c r="E530" s="1" t="n">
        <v>46311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60396-2025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45995</v>
      </c>
      <c r="E531" s="1" t="n">
        <v>46311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61069-2025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46311</v>
      </c>
      <c r="F532" t="inlineStr">
        <is>
          <t>VÄRMLANDS LÄN</t>
        </is>
      </c>
      <c r="G532" t="inlineStr">
        <is>
          <t>FILIPSTAD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45586</v>
      </c>
      <c r="E533" s="1" t="n">
        <v>46311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61047-2025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46311</v>
      </c>
      <c r="F534" t="inlineStr">
        <is>
          <t>VÄRMLANDS LÄN</t>
        </is>
      </c>
      <c r="G534" t="inlineStr">
        <is>
          <t>FILIPSTAD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61327-2025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46001</v>
      </c>
      <c r="E535" s="1" t="n">
        <v>46311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61362-2025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46001</v>
      </c>
      <c r="E536" s="1" t="n">
        <v>46311</v>
      </c>
      <c r="F536" t="inlineStr">
        <is>
          <t>VÄRMLANDS LÄN</t>
        </is>
      </c>
      <c r="G536" t="inlineStr">
        <is>
          <t>FILIPSTAD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46311</v>
      </c>
      <c r="F537" t="inlineStr">
        <is>
          <t>VÄRMLANDS LÄN</t>
        </is>
      </c>
      <c r="G537" t="inlineStr">
        <is>
          <t>FILIPSTAD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46251</v>
      </c>
      <c r="E538" s="1" t="n">
        <v>46311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46002</v>
      </c>
      <c r="E539" s="1" t="n">
        <v>46311</v>
      </c>
      <c r="F539" t="inlineStr">
        <is>
          <t>VÄRMLANDS LÄN</t>
        </is>
      </c>
      <c r="G539" t="inlineStr">
        <is>
          <t>FILIPSTAD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46001</v>
      </c>
      <c r="E540" s="1" t="n">
        <v>46311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46311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46311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61719-2025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46002</v>
      </c>
      <c r="E543" s="1" t="n">
        <v>46311</v>
      </c>
      <c r="F543" t="inlineStr">
        <is>
          <t>VÄRMLANDS LÄN</t>
        </is>
      </c>
      <c r="G543" t="inlineStr">
        <is>
          <t>FILIPSTAD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46001</v>
      </c>
      <c r="E544" s="1" t="n">
        <v>46311</v>
      </c>
      <c r="F544" t="inlineStr">
        <is>
          <t>VÄRMLANDS LÄN</t>
        </is>
      </c>
      <c r="G544" t="inlineStr">
        <is>
          <t>FILIPSTAD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61793-2025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46002</v>
      </c>
      <c r="E545" s="1" t="n">
        <v>46311</v>
      </c>
      <c r="F545" t="inlineStr">
        <is>
          <t>VÄRMLANDS LÄN</t>
        </is>
      </c>
      <c r="G545" t="inlineStr">
        <is>
          <t>FILIPSTAD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61492-2025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46001</v>
      </c>
      <c r="E546" s="1" t="n">
        <v>46311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61391-2025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46001</v>
      </c>
      <c r="E547" s="1" t="n">
        <v>46311</v>
      </c>
      <c r="F547" t="inlineStr">
        <is>
          <t>VÄRMLANDS LÄN</t>
        </is>
      </c>
      <c r="G547" t="inlineStr">
        <is>
          <t>FILIPSTAD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46004</v>
      </c>
      <c r="E548" s="1" t="n">
        <v>46311</v>
      </c>
      <c r="F548" t="inlineStr">
        <is>
          <t>VÄRMLANDS LÄN</t>
        </is>
      </c>
      <c r="G548" t="inlineStr">
        <is>
          <t>FILIPSTAD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46003</v>
      </c>
      <c r="E549" s="1" t="n">
        <v>46311</v>
      </c>
      <c r="F549" t="inlineStr">
        <is>
          <t>VÄRMLANDS LÄN</t>
        </is>
      </c>
      <c r="G549" t="inlineStr">
        <is>
          <t>FILIPSTAD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46311</v>
      </c>
      <c r="F550" t="inlineStr">
        <is>
          <t>VÄRMLANDS LÄN</t>
        </is>
      </c>
      <c r="G550" t="inlineStr">
        <is>
          <t>FILIPSTAD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62033-2025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46004</v>
      </c>
      <c r="E551" s="1" t="n">
        <v>46311</v>
      </c>
      <c r="F551" t="inlineStr">
        <is>
          <t>VÄRMLANDS LÄN</t>
        </is>
      </c>
      <c r="G551" t="inlineStr">
        <is>
          <t>FILIPSTAD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46311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61823-2025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46003</v>
      </c>
      <c r="E553" s="1" t="n">
        <v>46311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62252-2025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46006</v>
      </c>
      <c r="E554" s="1" t="n">
        <v>46311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46311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46311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46294</v>
      </c>
      <c r="E557" s="1" t="n">
        <v>46311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40386-2026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46311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33857-2026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46311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54127-2023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45232</v>
      </c>
      <c r="E560" s="1" t="n">
        <v>46311</v>
      </c>
      <c r="F560" t="inlineStr">
        <is>
          <t>VÄRMLANDS LÄN</t>
        </is>
      </c>
      <c r="G560" t="inlineStr">
        <is>
          <t>FILIPSTAD</t>
        </is>
      </c>
      <c r="I560" t="n">
        <v>15.5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46311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46213</v>
      </c>
      <c r="E562" s="1" t="n">
        <v>46311</v>
      </c>
      <c r="F562" t="inlineStr">
        <is>
          <t>VÄRMLANDS LÄN</t>
        </is>
      </c>
      <c r="G562" t="inlineStr">
        <is>
          <t>FILIPSTAD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65167-2021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44515</v>
      </c>
      <c r="E563" s="1" t="n">
        <v>46311</v>
      </c>
      <c r="F563" t="inlineStr">
        <is>
          <t>VÄRMLANDS LÄN</t>
        </is>
      </c>
      <c r="G563" t="inlineStr">
        <is>
          <t>FILIPSTAD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63186-2025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46010</v>
      </c>
      <c r="E564" s="1" t="n">
        <v>46311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46311</v>
      </c>
      <c r="F565" t="inlineStr">
        <is>
          <t>VÄRMLANDS LÄN</t>
        </is>
      </c>
      <c r="G565" t="inlineStr">
        <is>
          <t>FILIPSTAD</t>
        </is>
      </c>
      <c r="H565" t="inlineStr">
        <is>
          <t>Kyrkan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46311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45791</v>
      </c>
      <c r="E567" s="1" t="n">
        <v>46311</v>
      </c>
      <c r="F567" t="inlineStr">
        <is>
          <t>VÄRMLANDS LÄN</t>
        </is>
      </c>
      <c r="G567" t="inlineStr">
        <is>
          <t>FILIPSTAD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28357-2024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45477</v>
      </c>
      <c r="E568" s="1" t="n">
        <v>46311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48702-2024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45593</v>
      </c>
      <c r="E569" s="1" t="n">
        <v>46311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46311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23399-2025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45792</v>
      </c>
      <c r="E571" s="1" t="n">
        <v>46311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63678-2025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46014</v>
      </c>
      <c r="E572" s="1" t="n">
        <v>46311</v>
      </c>
      <c r="F572" t="inlineStr">
        <is>
          <t>VÄRMLANDS LÄN</t>
        </is>
      </c>
      <c r="G572" t="inlineStr">
        <is>
          <t>FILIPSTAD</t>
        </is>
      </c>
      <c r="I572" t="n">
        <v>9.9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1350-2025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46311</v>
      </c>
      <c r="F573" t="inlineStr">
        <is>
          <t>VÄRMLANDS LÄN</t>
        </is>
      </c>
      <c r="G573" t="inlineStr">
        <is>
          <t>FILIPSTAD</t>
        </is>
      </c>
      <c r="H573" t="inlineStr">
        <is>
          <t>Kommuner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45439</v>
      </c>
      <c r="E574" s="1" t="n">
        <v>46311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46311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45322</v>
      </c>
      <c r="E576" s="1" t="n">
        <v>46311</v>
      </c>
      <c r="F576" t="inlineStr">
        <is>
          <t>VÄRMLANDS LÄN</t>
        </is>
      </c>
      <c r="G576" t="inlineStr">
        <is>
          <t>FILIPSTAD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72118-2021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44543</v>
      </c>
      <c r="E577" s="1" t="n">
        <v>46311</v>
      </c>
      <c r="F577" t="inlineStr">
        <is>
          <t>VÄRMLANDS LÄN</t>
        </is>
      </c>
      <c r="G577" t="inlineStr">
        <is>
          <t>FILIPSTAD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46311</v>
      </c>
      <c r="F578" t="inlineStr">
        <is>
          <t>VÄRMLANDS LÄN</t>
        </is>
      </c>
      <c r="G578" t="inlineStr">
        <is>
          <t>FILIPSTAD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46311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19.2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45796</v>
      </c>
      <c r="E580" s="1" t="n">
        <v>46311</v>
      </c>
      <c r="F580" t="inlineStr">
        <is>
          <t>VÄRMLANDS LÄN</t>
        </is>
      </c>
      <c r="G580" t="inlineStr">
        <is>
          <t>FILIPSTAD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46311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15396-2025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45747</v>
      </c>
      <c r="E582" s="1" t="n">
        <v>46311</v>
      </c>
      <c r="F582" t="inlineStr">
        <is>
          <t>VÄRMLANDS LÄN</t>
        </is>
      </c>
      <c r="G582" t="inlineStr">
        <is>
          <t>FILIPSTAD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46259</v>
      </c>
      <c r="E583" s="1" t="n">
        <v>46311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45793</v>
      </c>
      <c r="E584" s="1" t="n">
        <v>46311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45355</v>
      </c>
      <c r="E585" s="1" t="n">
        <v>46311</v>
      </c>
      <c r="F585" t="inlineStr">
        <is>
          <t>VÄRMLANDS LÄN</t>
        </is>
      </c>
      <c r="G585" t="inlineStr">
        <is>
          <t>FILIPSTAD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65174-2021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44515</v>
      </c>
      <c r="E586" s="1" t="n">
        <v>46311</v>
      </c>
      <c r="F586" t="inlineStr">
        <is>
          <t>VÄRMLANDS LÄN</t>
        </is>
      </c>
      <c r="G586" t="inlineStr">
        <is>
          <t>FILIPSTAD</t>
        </is>
      </c>
      <c r="I586" t="n">
        <v>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46311</v>
      </c>
      <c r="F587" t="inlineStr">
        <is>
          <t>VÄRMLANDS LÄN</t>
        </is>
      </c>
      <c r="G587" t="inlineStr">
        <is>
          <t>FILIPSTAD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41229-2026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46297</v>
      </c>
      <c r="E588" s="1" t="n">
        <v>46311</v>
      </c>
      <c r="F588" t="inlineStr">
        <is>
          <t>VÄRMLANDS LÄN</t>
        </is>
      </c>
      <c r="G588" t="inlineStr">
        <is>
          <t>FILIPSTAD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46311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44801</v>
      </c>
      <c r="E590" s="1" t="n">
        <v>46311</v>
      </c>
      <c r="F590" t="inlineStr">
        <is>
          <t>VÄRMLANDS LÄN</t>
        </is>
      </c>
      <c r="G590" t="inlineStr">
        <is>
          <t>FILIPSTAD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46311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58611-2025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45986</v>
      </c>
      <c r="E592" s="1" t="n">
        <v>46311</v>
      </c>
      <c r="F592" t="inlineStr">
        <is>
          <t>VÄRMLANDS LÄN</t>
        </is>
      </c>
      <c r="G592" t="inlineStr">
        <is>
          <t>FILIPSTAD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42117-2026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46304</v>
      </c>
      <c r="E593" s="1" t="n">
        <v>46311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46261</v>
      </c>
      <c r="E594" s="1" t="n">
        <v>46311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8.4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46311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46040</v>
      </c>
      <c r="E596" s="1" t="n">
        <v>46311</v>
      </c>
      <c r="F596" t="inlineStr">
        <is>
          <t>VÄRMLANDS LÄN</t>
        </is>
      </c>
      <c r="G596" t="inlineStr">
        <is>
          <t>FILIPSTAD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35423-2026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46311</v>
      </c>
      <c r="F597" t="inlineStr">
        <is>
          <t>VÄRMLANDS LÄN</t>
        </is>
      </c>
      <c r="G597" t="inlineStr">
        <is>
          <t>FILIPSTAD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46304</v>
      </c>
      <c r="E598" s="1" t="n">
        <v>46311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56037-2025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46311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50786-2024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45602</v>
      </c>
      <c r="E600" s="1" t="n">
        <v>46311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35641-2026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46311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46311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46264</v>
      </c>
      <c r="E603" s="1" t="n">
        <v>46311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46264</v>
      </c>
      <c r="E604" s="1" t="n">
        <v>46311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46265</v>
      </c>
      <c r="E605" s="1" t="n">
        <v>46311</v>
      </c>
      <c r="F605" t="inlineStr">
        <is>
          <t>VÄRMLANDS LÄN</t>
        </is>
      </c>
      <c r="G605" t="inlineStr">
        <is>
          <t>FILIPSTAD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46311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42582-2026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46308</v>
      </c>
      <c r="E607" s="1" t="n">
        <v>46311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29328-2026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46202</v>
      </c>
      <c r="E608" s="1" t="n">
        <v>46311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6593-2026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46311</v>
      </c>
      <c r="F609" t="inlineStr">
        <is>
          <t>VÄRMLANDS LÄN</t>
        </is>
      </c>
      <c r="G609" t="inlineStr">
        <is>
          <t>FILIPSTAD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46311</v>
      </c>
      <c r="F610" t="inlineStr">
        <is>
          <t>VÄRMLANDS LÄN</t>
        </is>
      </c>
      <c r="G610" t="inlineStr">
        <is>
          <t>FILIPSTAD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45931</v>
      </c>
      <c r="E611" s="1" t="n">
        <v>46311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35995-2026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46311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35927-2026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46266</v>
      </c>
      <c r="E613" s="1" t="n">
        <v>46311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27.4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36297-2026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46268</v>
      </c>
      <c r="E614" s="1" t="n">
        <v>46311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7430-2026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46059</v>
      </c>
      <c r="E615" s="1" t="n">
        <v>46311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46311</v>
      </c>
      <c r="F616" t="inlineStr">
        <is>
          <t>VÄRMLANDS LÄN</t>
        </is>
      </c>
      <c r="G616" t="inlineStr">
        <is>
          <t>FILIPSTAD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46266</v>
      </c>
      <c r="E617" s="1" t="n">
        <v>46311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46311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46311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46311</v>
      </c>
      <c r="F620" t="inlineStr">
        <is>
          <t>VÄRMLANDS LÄN</t>
        </is>
      </c>
      <c r="G620" t="inlineStr">
        <is>
          <t>FILIPSTAD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46087</v>
      </c>
      <c r="E621" s="1" t="n">
        <v>46311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12943-2026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46311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46311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46311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46311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46311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46311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46311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46311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46311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46311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46311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46311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46311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46311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46311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2026-10-16T02:19:38Z</dcterms:created>
  <dcterms:modified xmlns:dcterms="http://purl.org/dc/terms/" xmlns:xsi="http://www.w3.org/2001/XMLSchema-instance" xsi:type="dcterms:W3CDTF">2026-10-16T02:19:38Z</dcterms:modified>
</cp:coreProperties>
</file>