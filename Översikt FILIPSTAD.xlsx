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46275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46275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46275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46275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46275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46275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46275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46275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46275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46275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46275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28915-2026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46199</v>
      </c>
      <c r="E16" s="1" t="n">
        <v>46275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12.3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11</v>
      </c>
      <c r="U16" t="n">
        <v>11</v>
      </c>
      <c r="V16" s="2" t="inlineStr">
        <is>
          <t>Plattlummer
Stjärnstarr
Fläcknycklar</t>
        </is>
      </c>
      <c r="W16">
        <f>HYPERLINK("https://klasma.github.io/Logging_1782/artfynd/A 28915-2026 artfynd.xlsx", "A 28915-2026")</f>
        <v/>
      </c>
      <c r="X16">
        <f>HYPERLINK("https://klasma.github.io/Logging_1782/kartor/A 28915-2026 karta.png", "A 28915-2026")</f>
        <v/>
      </c>
      <c r="Y16">
        <f>HYPERLINK("https://klasma.github.io/Logging_1782/kartor_geotiff/A 28915-2026 georefererad karta.tif", "A 28915-2026")</f>
        <v/>
      </c>
      <c r="AA16">
        <f>HYPERLINK("https://klasma.github.io/Logging_1782/klagomål/A 28915-2026 FSC-klagomål.docx", "A 28915-2026")</f>
        <v/>
      </c>
      <c r="AB16">
        <f>HYPERLINK("https://klasma.github.io/Logging_1782/klagomålsmail/A 28915-2026 FSC-klagomål mail.docx", "A 28915-2026")</f>
        <v/>
      </c>
      <c r="AC16">
        <f>HYPERLINK("https://klasma.github.io/Logging_1782/tillsyn/A 28915-2026 tillsynsbegäran.docx", "A 28915-2026")</f>
        <v/>
      </c>
      <c r="AD16">
        <f>HYPERLINK("https://klasma.github.io/Logging_1782/tillsynsmail/A 28915-2026 tillsynsbegäran mail.docx", "A 28915-2026")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46275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36234-2026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46268</v>
      </c>
      <c r="E18" s="1" t="n">
        <v>46275</v>
      </c>
      <c r="F18" t="inlineStr">
        <is>
          <t>VÄRMLANDS LÄN</t>
        </is>
      </c>
      <c r="G18" t="inlineStr">
        <is>
          <t>FILIPSTAD</t>
        </is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Kattfot
Fläcknycklar
Nattviol</t>
        </is>
      </c>
      <c r="W18">
        <f>HYPERLINK("https://klasma.github.io/Logging_1782/artfynd/A 36234-2026 artfynd.xlsx", "A 36234-2026")</f>
        <v/>
      </c>
      <c r="X18">
        <f>HYPERLINK("https://klasma.github.io/Logging_1782/kartor/A 36234-2026 karta.png", "A 36234-2026")</f>
        <v/>
      </c>
      <c r="Y18">
        <f>HYPERLINK("https://klasma.github.io/Logging_1782/kartor_geotiff/A 36234-2026 georefererad karta.tif", "A 36234-2026")</f>
        <v/>
      </c>
      <c r="AA18">
        <f>HYPERLINK("https://klasma.github.io/Logging_1782/klagomål/A 36234-2026 FSC-klagomål.docx", "A 36234-2026")</f>
        <v/>
      </c>
      <c r="AB18">
        <f>HYPERLINK("https://klasma.github.io/Logging_1782/klagomålsmail/A 36234-2026 FSC-klagomål mail.docx", "A 36234-2026")</f>
        <v/>
      </c>
      <c r="AC18">
        <f>HYPERLINK("https://klasma.github.io/Logging_1782/tillsyn/A 36234-2026 tillsynsbegäran.docx", "A 36234-2026")</f>
        <v/>
      </c>
      <c r="AD18">
        <f>HYPERLINK("https://klasma.github.io/Logging_1782/tillsynsmail/A 36234-2026 tillsynsbegäran mail.docx", "A 36234-2026")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46275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46275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46275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46275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46275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46275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46275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A 32438-2026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46275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Dubbelnycklar
Ängsnycklar</t>
        </is>
      </c>
      <c r="W26">
        <f>HYPERLINK("https://klasma.github.io/Logging_1782/artfynd/A 32438-2026 artfynd.xlsx", "A 32438-2026")</f>
        <v/>
      </c>
      <c r="X26">
        <f>HYPERLINK("https://klasma.github.io/Logging_1782/kartor/A 32438-2026 karta.png", "A 32438-2026")</f>
        <v/>
      </c>
      <c r="Y26">
        <f>HYPERLINK("https://klasma.github.io/Logging_1782/kartor_geotiff/A 32438-2026 georefererad karta.tif", "A 32438-2026")</f>
        <v/>
      </c>
      <c r="AA26">
        <f>HYPERLINK("https://klasma.github.io/Logging_1782/klagomål/A 32438-2026 FSC-klagomål.docx", "A 32438-2026")</f>
        <v/>
      </c>
      <c r="AB26">
        <f>HYPERLINK("https://klasma.github.io/Logging_1782/klagomålsmail/A 32438-2026 FSC-klagomål mail.docx", "A 32438-2026")</f>
        <v/>
      </c>
      <c r="AC26">
        <f>HYPERLINK("https://klasma.github.io/Logging_1782/tillsyn/A 32438-2026 tillsynsbegäran.docx", "A 32438-2026")</f>
        <v/>
      </c>
      <c r="AD26">
        <f>HYPERLINK("https://klasma.github.io/Logging_1782/tillsynsmail/A 32438-2026 tillsynsbegäran mail.docx", "A 32438-2026")</f>
        <v/>
      </c>
    </row>
    <row r="27" ht="15" customHeight="1">
      <c r="A27" t="inlineStr">
        <is>
          <t>A 29469-2026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46203</v>
      </c>
      <c r="E27" s="1" t="n">
        <v>46275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21.6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Igelkott
Fläcknycklar</t>
        </is>
      </c>
      <c r="W27">
        <f>HYPERLINK("https://klasma.github.io/Logging_1782/artfynd/A 29469-2026 artfynd.xlsx", "A 29469-2026")</f>
        <v/>
      </c>
      <c r="X27">
        <f>HYPERLINK("https://klasma.github.io/Logging_1782/kartor/A 29469-2026 karta.png", "A 29469-2026")</f>
        <v/>
      </c>
      <c r="Y27">
        <f>HYPERLINK("https://klasma.github.io/Logging_1782/kartor_geotiff/A 29469-2026 georefererad karta.tif", "A 29469-2026")</f>
        <v/>
      </c>
      <c r="AA27">
        <f>HYPERLINK("https://klasma.github.io/Logging_1782/klagomål/A 29469-2026 FSC-klagomål.docx", "A 29469-2026")</f>
        <v/>
      </c>
      <c r="AB27">
        <f>HYPERLINK("https://klasma.github.io/Logging_1782/klagomålsmail/A 29469-2026 FSC-klagomål mail.docx", "A 29469-2026")</f>
        <v/>
      </c>
      <c r="AC27">
        <f>HYPERLINK("https://klasma.github.io/Logging_1782/tillsyn/A 29469-2026 tillsynsbegäran.docx", "A 29469-2026")</f>
        <v/>
      </c>
      <c r="AD27">
        <f>HYPERLINK("https://klasma.github.io/Logging_1782/tillsynsmail/A 29469-2026 tillsynsbegäran mail.docx", "A 29469-2026")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46275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63144-2021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44505</v>
      </c>
      <c r="E29" s="1" t="n">
        <v>46275</v>
      </c>
      <c r="F29" t="inlineStr">
        <is>
          <t>VÄRMLANDS LÄN</t>
        </is>
      </c>
      <c r="G29" t="inlineStr">
        <is>
          <t>FILIPSTAD</t>
        </is>
      </c>
      <c r="I29" t="n">
        <v>24.3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Kungsörn</t>
        </is>
      </c>
      <c r="W29">
        <f>HYPERLINK("https://klasma.github.io/Logging_1782/artfynd/A 63144-2021 artfynd.xlsx", "A 63144-2021")</f>
        <v/>
      </c>
      <c r="X29">
        <f>HYPERLINK("https://klasma.github.io/Logging_1782/kartor/A 63144-2021 karta.png", "A 63144-2021")</f>
        <v/>
      </c>
      <c r="Y29">
        <f>HYPERLINK("https://klasma.github.io/Logging_1782/kartor_geotiff/A 63144-2021 georefererad karta.tif", "A 63144-2021")</f>
        <v/>
      </c>
      <c r="AA29">
        <f>HYPERLINK("https://klasma.github.io/Logging_1782/klagomål/A 63144-2021 FSC-klagomål.docx", "A 63144-2021")</f>
        <v/>
      </c>
      <c r="AB29">
        <f>HYPERLINK("https://klasma.github.io/Logging_1782/klagomålsmail/A 63144-2021 FSC-klagomål mail.docx", "A 63144-2021")</f>
        <v/>
      </c>
      <c r="AC29">
        <f>HYPERLINK("https://klasma.github.io/Logging_1782/tillsyn/A 63144-2021 tillsynsbegäran.docx", "A 63144-2021")</f>
        <v/>
      </c>
      <c r="AD29">
        <f>HYPERLINK("https://klasma.github.io/Logging_1782/tillsynsmail/A 63144-2021 tillsynsbegäran mail.docx", "A 63144-2021")</f>
        <v/>
      </c>
      <c r="AE29">
        <f>HYPERLINK("https://klasma.github.io/Logging_1782/fåglar/A 63144-2021 prioriterade fågelarter.docx", "A 63144-2021")</f>
        <v/>
      </c>
    </row>
    <row r="30" ht="15" customHeight="1">
      <c r="A30" t="inlineStr">
        <is>
          <t>A 62572-2021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44503</v>
      </c>
      <c r="E30" s="1" t="n">
        <v>46275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46.9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HYPERLINK("https://klasma.github.io/Logging_1782/artfynd/A 62572-2021 artfynd.xlsx", "A 62572-2021")</f>
        <v/>
      </c>
      <c r="X30">
        <f>HYPERLINK("https://klasma.github.io/Logging_1782/kartor/A 62572-2021 karta.png", "A 62572-2021")</f>
        <v/>
      </c>
      <c r="Y30">
        <f>HYPERLINK("https://klasma.github.io/Logging_1782/kartor_geotiff/A 62572-2021 georefererad karta.tif", "A 62572-2021")</f>
        <v/>
      </c>
      <c r="AA30">
        <f>HYPERLINK("https://klasma.github.io/Logging_1782/klagomål/A 62572-2021 FSC-klagomål.docx", "A 62572-2021")</f>
        <v/>
      </c>
      <c r="AB30">
        <f>HYPERLINK("https://klasma.github.io/Logging_1782/klagomålsmail/A 62572-2021 FSC-klagomål mail.docx", "A 62572-2021")</f>
        <v/>
      </c>
      <c r="AC30">
        <f>HYPERLINK("https://klasma.github.io/Logging_1782/tillsyn/A 62572-2021 tillsynsbegäran.docx", "A 62572-2021")</f>
        <v/>
      </c>
      <c r="AD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44701</v>
      </c>
      <c r="E31" s="1" t="n">
        <v>46275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13.6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HYPERLINK("https://klasma.github.io/Logging_1782/artfynd/A 20754-2022 artfynd.xlsx", "A 20754-2022")</f>
        <v/>
      </c>
      <c r="X31">
        <f>HYPERLINK("https://klasma.github.io/Logging_1782/kartor/A 20754-2022 karta.png", "A 20754-2022")</f>
        <v/>
      </c>
      <c r="Y31">
        <f>HYPERLINK("https://klasma.github.io/Logging_1782/kartor_geotiff/A 20754-2022 georefererad karta.tif", "A 20754-2022")</f>
        <v/>
      </c>
      <c r="AA31">
        <f>HYPERLINK("https://klasma.github.io/Logging_1782/klagomål/A 20754-2022 FSC-klagomål.docx", "A 20754-2022")</f>
        <v/>
      </c>
      <c r="AB31">
        <f>HYPERLINK("https://klasma.github.io/Logging_1782/klagomålsmail/A 20754-2022 FSC-klagomål mail.docx", "A 20754-2022")</f>
        <v/>
      </c>
      <c r="AC31">
        <f>HYPERLINK("https://klasma.github.io/Logging_1782/tillsyn/A 20754-2022 tillsynsbegäran.docx", "A 20754-2022")</f>
        <v/>
      </c>
      <c r="AD31">
        <f>HYPERLINK("https://klasma.github.io/Logging_1782/tillsynsmail/A 20754-2022 tillsynsbegäran mail.docx", "A 20754-2022")</f>
        <v/>
      </c>
    </row>
    <row r="32" ht="15" customHeight="1">
      <c r="A32" t="inlineStr">
        <is>
          <t>A 10138-2024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45364</v>
      </c>
      <c r="E32" s="1" t="n">
        <v>46275</v>
      </c>
      <c r="F32" t="inlineStr">
        <is>
          <t>VÄRMLANDS LÄN</t>
        </is>
      </c>
      <c r="G32" t="inlineStr">
        <is>
          <t>FILIPSTAD</t>
        </is>
      </c>
      <c r="H32" t="inlineStr">
        <is>
          <t>Kommuner</t>
        </is>
      </c>
      <c r="I32" t="n">
        <v>6.8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Purpurknipprot</t>
        </is>
      </c>
      <c r="W32">
        <f>HYPERLINK("https://klasma.github.io/Logging_1782/artfynd/A 10138-2024 artfynd.xlsx", "A 10138-2024")</f>
        <v/>
      </c>
      <c r="X32">
        <f>HYPERLINK("https://klasma.github.io/Logging_1782/kartor/A 10138-2024 karta.png", "A 10138-2024")</f>
        <v/>
      </c>
      <c r="Y32">
        <f>HYPERLINK("https://klasma.github.io/Logging_1782/kartor_geotiff/A 10138-2024 georefererad karta.tif", "A 10138-2024")</f>
        <v/>
      </c>
      <c r="AA32">
        <f>HYPERLINK("https://klasma.github.io/Logging_1782/klagomål/A 10138-2024 FSC-klagomål.docx", "A 10138-2024")</f>
        <v/>
      </c>
      <c r="AB32">
        <f>HYPERLINK("https://klasma.github.io/Logging_1782/klagomålsmail/A 10138-2024 FSC-klagomål mail.docx", "A 10138-2024")</f>
        <v/>
      </c>
      <c r="AC32">
        <f>HYPERLINK("https://klasma.github.io/Logging_1782/tillsyn/A 10138-2024 tillsynsbegäran.docx", "A 10138-2024")</f>
        <v/>
      </c>
      <c r="AD32">
        <f>HYPERLINK("https://klasma.github.io/Logging_1782/tillsynsmail/A 10138-2024 tillsynsbegäran mail.docx", "A 10138-2024")</f>
        <v/>
      </c>
    </row>
    <row r="33" ht="15" customHeight="1">
      <c r="A33" t="inlineStr">
        <is>
          <t>A 46978-2023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45195</v>
      </c>
      <c r="E33" s="1" t="n">
        <v>46275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11.2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Nattviol</t>
        </is>
      </c>
      <c r="W33">
        <f>HYPERLINK("https://klasma.github.io/Logging_1782/artfynd/A 46978-2023 artfynd.xlsx", "A 46978-2023")</f>
        <v/>
      </c>
      <c r="X33">
        <f>HYPERLINK("https://klasma.github.io/Logging_1782/kartor/A 46978-2023 karta.png", "A 46978-2023")</f>
        <v/>
      </c>
      <c r="Y33">
        <f>HYPERLINK("https://klasma.github.io/Logging_1782/kartor_geotiff/A 46978-2023 georefererad karta.tif", "A 46978-2023")</f>
        <v/>
      </c>
      <c r="AA33">
        <f>HYPERLINK("https://klasma.github.io/Logging_1782/klagomål/A 46978-2023 FSC-klagomål.docx", "A 46978-2023")</f>
        <v/>
      </c>
      <c r="AB33">
        <f>HYPERLINK("https://klasma.github.io/Logging_1782/klagomålsmail/A 46978-2023 FSC-klagomål mail.docx", "A 46978-2023")</f>
        <v/>
      </c>
      <c r="AC33">
        <f>HYPERLINK("https://klasma.github.io/Logging_1782/tillsyn/A 46978-2023 tillsynsbegäran.docx", "A 46978-2023")</f>
        <v/>
      </c>
      <c r="AD33">
        <f>HYPERLINK("https://klasma.github.io/Logging_1782/tillsynsmail/A 46978-2023 tillsynsbegäran mail.docx", "A 46978-2023")</f>
        <v/>
      </c>
    </row>
    <row r="34" ht="15" customHeight="1">
      <c r="A34" t="inlineStr">
        <is>
          <t>A 38140-2024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46275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HYPERLINK("https://klasma.github.io/Logging_1782/artfynd/A 38140-2024 artfynd.xlsx", "A 38140-2024")</f>
        <v/>
      </c>
      <c r="X34">
        <f>HYPERLINK("https://klasma.github.io/Logging_1782/kartor/A 38140-2024 karta.png", "A 38140-2024")</f>
        <v/>
      </c>
      <c r="Y34">
        <f>HYPERLINK("https://klasma.github.io/Logging_1782/kartor_geotiff/A 38140-2024 georefererad karta.tif", "A 38140-2024")</f>
        <v/>
      </c>
      <c r="AA34">
        <f>HYPERLINK("https://klasma.github.io/Logging_1782/klagomål/A 38140-2024 FSC-klagomål.docx", "A 38140-2024")</f>
        <v/>
      </c>
      <c r="AB34">
        <f>HYPERLINK("https://klasma.github.io/Logging_1782/klagomålsmail/A 38140-2024 FSC-klagomål mail.docx", "A 38140-2024")</f>
        <v/>
      </c>
      <c r="AC34">
        <f>HYPERLINK("https://klasma.github.io/Logging_1782/tillsyn/A 38140-2024 tillsynsbegäran.docx", "A 38140-2024")</f>
        <v/>
      </c>
      <c r="AD34">
        <f>HYPERLINK("https://klasma.github.io/Logging_1782/tillsynsmail/A 38140-2024 tillsynsbegäran mail.docx", "A 38140-2024")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46275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5992-2023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44959</v>
      </c>
      <c r="E36" s="1" t="n">
        <v>46275</v>
      </c>
      <c r="F36" t="inlineStr">
        <is>
          <t>VÄRMLANDS LÄN</t>
        </is>
      </c>
      <c r="G36" t="inlineStr">
        <is>
          <t>FILIPSTAD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5992-2023 artfynd.xlsx", "A 5992-2023")</f>
        <v/>
      </c>
      <c r="X36">
        <f>HYPERLINK("https://klasma.github.io/Logging_1782/kartor/A 5992-2023 karta.png", "A 5992-2023")</f>
        <v/>
      </c>
      <c r="Y36">
        <f>HYPERLINK("https://klasma.github.io/Logging_1782/kartor_geotiff/A 5992-2023 georefererad karta.tif", "A 5992-2023")</f>
        <v/>
      </c>
      <c r="AA36">
        <f>HYPERLINK("https://klasma.github.io/Logging_1782/klagomål/A 5992-2023 FSC-klagomål.docx", "A 5992-2023")</f>
        <v/>
      </c>
      <c r="AB36">
        <f>HYPERLINK("https://klasma.github.io/Logging_1782/klagomålsmail/A 5992-2023 FSC-klagomål mail.docx", "A 5992-2023")</f>
        <v/>
      </c>
      <c r="AC36">
        <f>HYPERLINK("https://klasma.github.io/Logging_1782/tillsyn/A 5992-2023 tillsynsbegäran.docx", "A 5992-2023")</f>
        <v/>
      </c>
      <c r="AD36">
        <f>HYPERLINK("https://klasma.github.io/Logging_1782/tillsynsmail/A 5992-2023 tillsynsbegäran mail.docx", "A 5992-2023")</f>
        <v/>
      </c>
    </row>
    <row r="37" ht="15" customHeight="1">
      <c r="A37" t="inlineStr">
        <is>
          <t>A 23046-2023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45075</v>
      </c>
      <c r="E37" s="1" t="n">
        <v>46275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HYPERLINK("https://klasma.github.io/Logging_1782/artfynd/A 23046-2023 artfynd.xlsx", "A 23046-2023")</f>
        <v/>
      </c>
      <c r="X37">
        <f>HYPERLINK("https://klasma.github.io/Logging_1782/kartor/A 23046-2023 karta.png", "A 23046-2023")</f>
        <v/>
      </c>
      <c r="Y37">
        <f>HYPERLINK("https://klasma.github.io/Logging_1782/kartor_geotiff/A 23046-2023 georefererad karta.tif", "A 23046-2023")</f>
        <v/>
      </c>
      <c r="Z37">
        <f>HYPERLINK("https://klasma.github.io/Logging_1782/knärot/A 23046-2023 karta knärot.png", "A 23046-2023")</f>
        <v/>
      </c>
      <c r="AA37">
        <f>HYPERLINK("https://klasma.github.io/Logging_1782/klagomål/A 23046-2023 FSC-klagomål.docx", "A 23046-2023")</f>
        <v/>
      </c>
      <c r="AB37">
        <f>HYPERLINK("https://klasma.github.io/Logging_1782/klagomålsmail/A 23046-2023 FSC-klagomål mail.docx", "A 23046-2023")</f>
        <v/>
      </c>
      <c r="AC37">
        <f>HYPERLINK("https://klasma.github.io/Logging_1782/tillsyn/A 23046-2023 tillsynsbegäran.docx", "A 23046-2023")</f>
        <v/>
      </c>
      <c r="AD37">
        <f>HYPERLINK("https://klasma.github.io/Logging_1782/tillsynsmail/A 23046-2023 tillsynsbegäran mail.docx", "A 23046-2023")</f>
        <v/>
      </c>
    </row>
    <row r="38" ht="15" customHeight="1">
      <c r="A38" t="inlineStr">
        <is>
          <t>A 874-2025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46275</v>
      </c>
      <c r="F38" t="inlineStr">
        <is>
          <t>VÄRMLANDS LÄN</t>
        </is>
      </c>
      <c r="G38" t="inlineStr">
        <is>
          <t>FILIPSTAD</t>
        </is>
      </c>
      <c r="H38" t="inlineStr">
        <is>
          <t>Kyrkan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Kamjordstjärna</t>
        </is>
      </c>
      <c r="W38">
        <f>HYPERLINK("https://klasma.github.io/Logging_1782/artfynd/A 874-2025 artfynd.xlsx", "A 874-2025")</f>
        <v/>
      </c>
      <c r="X38">
        <f>HYPERLINK("https://klasma.github.io/Logging_1782/kartor/A 874-2025 karta.png", "A 874-2025")</f>
        <v/>
      </c>
      <c r="Y38">
        <f>HYPERLINK("https://klasma.github.io/Logging_1782/kartor_geotiff/A 874-2025 georefererad karta.tif", "A 874-2025")</f>
        <v/>
      </c>
      <c r="AA38">
        <f>HYPERLINK("https://klasma.github.io/Logging_1782/klagomål/A 874-2025 FSC-klagomål.docx", "A 874-2025")</f>
        <v/>
      </c>
      <c r="AB38">
        <f>HYPERLINK("https://klasma.github.io/Logging_1782/klagomålsmail/A 874-2025 FSC-klagomål mail.docx", "A 874-2025")</f>
        <v/>
      </c>
      <c r="AC38">
        <f>HYPERLINK("https://klasma.github.io/Logging_1782/tillsyn/A 874-2025 tillsynsbegäran.docx", "A 874-2025")</f>
        <v/>
      </c>
      <c r="AD38">
        <f>HYPERLINK("https://klasma.github.io/Logging_1782/tillsynsmail/A 874-2025 tillsynsbegäran mail.docx", "A 874-2025")</f>
        <v/>
      </c>
    </row>
    <row r="39" ht="15" customHeight="1">
      <c r="A39" t="inlineStr">
        <is>
          <t>A 1346-2025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45667</v>
      </c>
      <c r="E39" s="1" t="n">
        <v>46275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HYPERLINK("https://klasma.github.io/Logging_1782/artfynd/A 1346-2025 artfynd.xlsx", "A 1346-2025")</f>
        <v/>
      </c>
      <c r="X39">
        <f>HYPERLINK("https://klasma.github.io/Logging_1782/kartor/A 1346-2025 karta.png", "A 1346-2025")</f>
        <v/>
      </c>
      <c r="Y39">
        <f>HYPERLINK("https://klasma.github.io/Logging_1782/kartor_geotiff/A 1346-2025 georefererad karta.tif", "A 1346-2025")</f>
        <v/>
      </c>
      <c r="AA39">
        <f>HYPERLINK("https://klasma.github.io/Logging_1782/klagomål/A 1346-2025 FSC-klagomål.docx", "A 1346-2025")</f>
        <v/>
      </c>
      <c r="AB39">
        <f>HYPERLINK("https://klasma.github.io/Logging_1782/klagomålsmail/A 1346-2025 FSC-klagomål mail.docx", "A 1346-2025")</f>
        <v/>
      </c>
      <c r="AC39">
        <f>HYPERLINK("https://klasma.github.io/Logging_1782/tillsyn/A 1346-2025 tillsynsbegäran.docx", "A 1346-2025")</f>
        <v/>
      </c>
      <c r="AD39">
        <f>HYPERLINK("https://klasma.github.io/Logging_1782/tillsynsmail/A 1346-2025 tillsynsbegäran mail.docx", "A 1346-2025")</f>
        <v/>
      </c>
    </row>
    <row r="40" ht="15" customHeight="1">
      <c r="A40" t="inlineStr">
        <is>
          <t>A 25916-2025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45804</v>
      </c>
      <c r="E40" s="1" t="n">
        <v>46275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26.4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HYPERLINK("https://klasma.github.io/Logging_1782/artfynd/A 25916-2025 artfynd.xlsx", "A 25916-2025")</f>
        <v/>
      </c>
      <c r="X40">
        <f>HYPERLINK("https://klasma.github.io/Logging_1782/kartor/A 25916-2025 karta.png", "A 25916-2025")</f>
        <v/>
      </c>
      <c r="Y40">
        <f>HYPERLINK("https://klasma.github.io/Logging_1782/kartor_geotiff/A 25916-2025 georefererad karta.tif", "A 25916-2025")</f>
        <v/>
      </c>
      <c r="AA40">
        <f>HYPERLINK("https://klasma.github.io/Logging_1782/klagomål/A 25916-2025 FSC-klagomål.docx", "A 25916-2025")</f>
        <v/>
      </c>
      <c r="AB40">
        <f>HYPERLINK("https://klasma.github.io/Logging_1782/klagomålsmail/A 25916-2025 FSC-klagomål mail.docx", "A 25916-2025")</f>
        <v/>
      </c>
      <c r="AC40">
        <f>HYPERLINK("https://klasma.github.io/Logging_1782/tillsyn/A 25916-2025 tillsynsbegäran.docx", "A 25916-2025")</f>
        <v/>
      </c>
      <c r="AD40">
        <f>HYPERLINK("https://klasma.github.io/Logging_1782/tillsynsmail/A 25916-2025 tillsynsbegäran mail.docx", "A 25916-2025")</f>
        <v/>
      </c>
    </row>
    <row r="41" ht="15" customHeight="1">
      <c r="A41" t="inlineStr">
        <is>
          <t>A 11453-2025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46275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Purpurknipprot</t>
        </is>
      </c>
      <c r="W41">
        <f>HYPERLINK("https://klasma.github.io/Logging_1782/artfynd/A 11453-2025 artfynd.xlsx", "A 11453-2025")</f>
        <v/>
      </c>
      <c r="X41">
        <f>HYPERLINK("https://klasma.github.io/Logging_1782/kartor/A 11453-2025 karta.png", "A 11453-2025")</f>
        <v/>
      </c>
      <c r="Y41">
        <f>HYPERLINK("https://klasma.github.io/Logging_1782/kartor_geotiff/A 11453-2025 georefererad karta.tif", "A 11453-2025")</f>
        <v/>
      </c>
      <c r="AA41">
        <f>HYPERLINK("https://klasma.github.io/Logging_1782/klagomål/A 11453-2025 FSC-klagomål.docx", "A 11453-2025")</f>
        <v/>
      </c>
      <c r="AB41">
        <f>HYPERLINK("https://klasma.github.io/Logging_1782/klagomålsmail/A 11453-2025 FSC-klagomål mail.docx", "A 11453-2025")</f>
        <v/>
      </c>
      <c r="AC41">
        <f>HYPERLINK("https://klasma.github.io/Logging_1782/tillsyn/A 11453-2025 tillsynsbegäran.docx", "A 11453-2025")</f>
        <v/>
      </c>
      <c r="AD41">
        <f>HYPERLINK("https://klasma.github.io/Logging_1782/tillsynsmail/A 11453-2025 tillsynsbegäran mail.docx", "A 11453-2025")</f>
        <v/>
      </c>
    </row>
    <row r="42" ht="15" customHeight="1">
      <c r="A42" t="inlineStr">
        <is>
          <t>A 30652-2025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45831</v>
      </c>
      <c r="E42" s="1" t="n">
        <v>46275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4.3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HYPERLINK("https://klasma.github.io/Logging_1782/artfynd/A 30652-2025 artfynd.xlsx", "A 30652-2025")</f>
        <v/>
      </c>
      <c r="X42">
        <f>HYPERLINK("https://klasma.github.io/Logging_1782/kartor/A 30652-2025 karta.png", "A 30652-2025")</f>
        <v/>
      </c>
      <c r="Y42">
        <f>HYPERLINK("https://klasma.github.io/Logging_1782/kartor_geotiff/A 30652-2025 georefererad karta.tif", "A 30652-2025")</f>
        <v/>
      </c>
      <c r="AA42">
        <f>HYPERLINK("https://klasma.github.io/Logging_1782/klagomål/A 30652-2025 FSC-klagomål.docx", "A 30652-2025")</f>
        <v/>
      </c>
      <c r="AB42">
        <f>HYPERLINK("https://klasma.github.io/Logging_1782/klagomålsmail/A 30652-2025 FSC-klagomål mail.docx", "A 30652-2025")</f>
        <v/>
      </c>
      <c r="AC42">
        <f>HYPERLINK("https://klasma.github.io/Logging_1782/tillsyn/A 30652-2025 tillsynsbegäran.docx", "A 30652-2025")</f>
        <v/>
      </c>
      <c r="AD42">
        <f>HYPERLINK("https://klasma.github.io/Logging_1782/tillsynsmail/A 30652-2025 tillsynsbegäran mail.docx", "A 30652-2025")</f>
        <v/>
      </c>
      <c r="AE42">
        <f>HYPERLINK("https://klasma.github.io/Logging_1782/fåglar/A 30652-2025 prioriterade fågelarter.docx", "A 30652-2025")</f>
        <v/>
      </c>
    </row>
    <row r="43" ht="15" customHeight="1">
      <c r="A43" t="inlineStr">
        <is>
          <t>A 45781-2025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45923</v>
      </c>
      <c r="E43" s="1" t="n">
        <v>46275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Brunklöver</t>
        </is>
      </c>
      <c r="W43">
        <f>HYPERLINK("https://klasma.github.io/Logging_1782/artfynd/A 45781-2025 artfynd.xlsx", "A 45781-2025")</f>
        <v/>
      </c>
      <c r="X43">
        <f>HYPERLINK("https://klasma.github.io/Logging_1782/kartor/A 45781-2025 karta.png", "A 45781-2025")</f>
        <v/>
      </c>
      <c r="Y43">
        <f>HYPERLINK("https://klasma.github.io/Logging_1782/kartor_geotiff/A 45781-2025 georefererad karta.tif", "A 45781-2025")</f>
        <v/>
      </c>
      <c r="AA43">
        <f>HYPERLINK("https://klasma.github.io/Logging_1782/klagomål/A 45781-2025 FSC-klagomål.docx", "A 45781-2025")</f>
        <v/>
      </c>
      <c r="AB43">
        <f>HYPERLINK("https://klasma.github.io/Logging_1782/klagomålsmail/A 45781-2025 FSC-klagomål mail.docx", "A 45781-2025")</f>
        <v/>
      </c>
      <c r="AC43">
        <f>HYPERLINK("https://klasma.github.io/Logging_1782/tillsyn/A 45781-2025 tillsynsbegäran.docx", "A 45781-2025")</f>
        <v/>
      </c>
      <c r="AD43">
        <f>HYPERLINK("https://klasma.github.io/Logging_1782/tillsynsmail/A 45781-2025 tillsynsbegäran mail.docx", "A 45781-2025")</f>
        <v/>
      </c>
    </row>
    <row r="44" ht="15" customHeight="1">
      <c r="A44" t="inlineStr">
        <is>
          <t>A 51522-2022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44869</v>
      </c>
      <c r="E44" s="1" t="n">
        <v>46275</v>
      </c>
      <c r="F44" t="inlineStr">
        <is>
          <t>VÄRMLANDS LÄN</t>
        </is>
      </c>
      <c r="G44" t="inlineStr">
        <is>
          <t>FILIPSTAD</t>
        </is>
      </c>
      <c r="I44" t="n">
        <v>4.1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HYPERLINK("https://klasma.github.io/Logging_1782/artfynd/A 51522-2022 artfynd.xlsx", "A 51522-2022")</f>
        <v/>
      </c>
      <c r="X44">
        <f>HYPERLINK("https://klasma.github.io/Logging_1782/kartor/A 51522-2022 karta.png", "A 51522-2022")</f>
        <v/>
      </c>
      <c r="Y44">
        <f>HYPERLINK("https://klasma.github.io/Logging_1782/kartor_geotiff/A 51522-2022 georefererad karta.tif", "A 51522-2022")</f>
        <v/>
      </c>
      <c r="AA44">
        <f>HYPERLINK("https://klasma.github.io/Logging_1782/klagomål/A 51522-2022 FSC-klagomål.docx", "A 51522-2022")</f>
        <v/>
      </c>
      <c r="AB44">
        <f>HYPERLINK("https://klasma.github.io/Logging_1782/klagomålsmail/A 51522-2022 FSC-klagomål mail.docx", "A 51522-2022")</f>
        <v/>
      </c>
      <c r="AC44">
        <f>HYPERLINK("https://klasma.github.io/Logging_1782/tillsyn/A 51522-2022 tillsynsbegäran.docx", "A 51522-2022")</f>
        <v/>
      </c>
      <c r="AD44">
        <f>HYPERLINK("https://klasma.github.io/Logging_1782/tillsynsmail/A 51522-2022 tillsynsbegäran mail.docx", "A 51522-2022")</f>
        <v/>
      </c>
    </row>
    <row r="45" ht="15" customHeight="1">
      <c r="A45" t="inlineStr">
        <is>
          <t>A 50776-2024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45602</v>
      </c>
      <c r="E45" s="1" t="n">
        <v>46275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HYPERLINK("https://klasma.github.io/Logging_1782/artfynd/A 50776-2024 artfynd.xlsx", "A 50776-2024")</f>
        <v/>
      </c>
      <c r="X45">
        <f>HYPERLINK("https://klasma.github.io/Logging_1782/kartor/A 50776-2024 karta.png", "A 50776-2024")</f>
        <v/>
      </c>
      <c r="Y45">
        <f>HYPERLINK("https://klasma.github.io/Logging_1782/kartor_geotiff/A 50776-2024 georefererad karta.tif", "A 50776-2024")</f>
        <v/>
      </c>
      <c r="AA45">
        <f>HYPERLINK("https://klasma.github.io/Logging_1782/klagomål/A 50776-2024 FSC-klagomål.docx", "A 50776-2024")</f>
        <v/>
      </c>
      <c r="AB45">
        <f>HYPERLINK("https://klasma.github.io/Logging_1782/klagomålsmail/A 50776-2024 FSC-klagomål mail.docx", "A 50776-2024")</f>
        <v/>
      </c>
      <c r="AC45">
        <f>HYPERLINK("https://klasma.github.io/Logging_1782/tillsyn/A 50776-2024 tillsynsbegäran.docx", "A 50776-2024")</f>
        <v/>
      </c>
      <c r="AD45">
        <f>HYPERLINK("https://klasma.github.io/Logging_1782/tillsynsmail/A 50776-2024 tillsynsbegäran mail.docx", "A 50776-2024")</f>
        <v/>
      </c>
    </row>
    <row r="46" ht="15" customHeight="1">
      <c r="A46" t="inlineStr">
        <is>
          <t>A 58734-2025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46275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18.2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Tretåig hackspett</t>
        </is>
      </c>
      <c r="W46">
        <f>HYPERLINK("https://klasma.github.io/Logging_1782/artfynd/A 58734-2025 artfynd.xlsx", "A 58734-2025")</f>
        <v/>
      </c>
      <c r="X46">
        <f>HYPERLINK("https://klasma.github.io/Logging_1782/kartor/A 58734-2025 karta.png", "A 58734-2025")</f>
        <v/>
      </c>
      <c r="Y46">
        <f>HYPERLINK("https://klasma.github.io/Logging_1782/kartor_geotiff/A 58734-2025 georefererad karta.tif", "A 58734-2025")</f>
        <v/>
      </c>
      <c r="AA46">
        <f>HYPERLINK("https://klasma.github.io/Logging_1782/klagomål/A 58734-2025 FSC-klagomål.docx", "A 58734-2025")</f>
        <v/>
      </c>
      <c r="AB46">
        <f>HYPERLINK("https://klasma.github.io/Logging_1782/klagomålsmail/A 58734-2025 FSC-klagomål mail.docx", "A 58734-2025")</f>
        <v/>
      </c>
      <c r="AC46">
        <f>HYPERLINK("https://klasma.github.io/Logging_1782/tillsyn/A 58734-2025 tillsynsbegäran.docx", "A 58734-2025")</f>
        <v/>
      </c>
      <c r="AD46">
        <f>HYPERLINK("https://klasma.github.io/Logging_1782/tillsynsmail/A 58734-2025 tillsynsbegäran mail.docx", "A 58734-2025")</f>
        <v/>
      </c>
      <c r="AE46">
        <f>HYPERLINK("https://klasma.github.io/Logging_1782/fåglar/A 58734-2025 prioriterade fågelarter.docx", "A 58734-2025")</f>
        <v/>
      </c>
    </row>
    <row r="47" ht="15" customHeight="1">
      <c r="A47" t="inlineStr">
        <is>
          <t>A 4560-2025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45687</v>
      </c>
      <c r="E47" s="1" t="n">
        <v>46275</v>
      </c>
      <c r="F47" t="inlineStr">
        <is>
          <t>VÄRMLANDS LÄN</t>
        </is>
      </c>
      <c r="G47" t="inlineStr">
        <is>
          <t>FILIPSTAD</t>
        </is>
      </c>
      <c r="I47" t="n">
        <v>13.6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HYPERLINK("https://klasma.github.io/Logging_1782/artfynd/A 4560-2025 artfynd.xlsx", "A 4560-2025")</f>
        <v/>
      </c>
      <c r="X47">
        <f>HYPERLINK("https://klasma.github.io/Logging_1782/kartor/A 4560-2025 karta.png", "A 4560-2025")</f>
        <v/>
      </c>
      <c r="Y47">
        <f>HYPERLINK("https://klasma.github.io/Logging_1782/kartor_geotiff/A 4560-2025 georefererad karta.tif", "A 4560-2025")</f>
        <v/>
      </c>
      <c r="AA47">
        <f>HYPERLINK("https://klasma.github.io/Logging_1782/klagomål/A 4560-2025 FSC-klagomål.docx", "A 4560-2025")</f>
        <v/>
      </c>
      <c r="AB47">
        <f>HYPERLINK("https://klasma.github.io/Logging_1782/klagomålsmail/A 4560-2025 FSC-klagomål mail.docx", "A 4560-2025")</f>
        <v/>
      </c>
      <c r="AC47">
        <f>HYPERLINK("https://klasma.github.io/Logging_1782/tillsyn/A 4560-2025 tillsynsbegäran.docx", "A 4560-2025")</f>
        <v/>
      </c>
      <c r="AD47">
        <f>HYPERLINK("https://klasma.github.io/Logging_1782/tillsynsmail/A 4560-2025 tillsynsbegäran mail.docx", "A 4560-2025")</f>
        <v/>
      </c>
    </row>
    <row r="48" ht="15" customHeight="1">
      <c r="A48" t="inlineStr">
        <is>
          <t>A 17529-2026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46275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Ädellav</t>
        </is>
      </c>
      <c r="W48">
        <f>HYPERLINK("https://klasma.github.io/Logging_1782/artfynd/A 17529-2026 artfynd.xlsx", "A 17529-2026")</f>
        <v/>
      </c>
      <c r="X48">
        <f>HYPERLINK("https://klasma.github.io/Logging_1782/kartor/A 17529-2026 karta.png", "A 17529-2026")</f>
        <v/>
      </c>
      <c r="Y48">
        <f>HYPERLINK("https://klasma.github.io/Logging_1782/kartor_geotiff/A 17529-2026 georefererad karta.tif", "A 17529-2026")</f>
        <v/>
      </c>
      <c r="AA48">
        <f>HYPERLINK("https://klasma.github.io/Logging_1782/klagomål/A 17529-2026 FSC-klagomål.docx", "A 17529-2026")</f>
        <v/>
      </c>
      <c r="AB48">
        <f>HYPERLINK("https://klasma.github.io/Logging_1782/klagomålsmail/A 17529-2026 FSC-klagomål mail.docx", "A 17529-2026")</f>
        <v/>
      </c>
      <c r="AC48">
        <f>HYPERLINK("https://klasma.github.io/Logging_1782/tillsyn/A 17529-2026 tillsynsbegäran.docx", "A 17529-2026")</f>
        <v/>
      </c>
      <c r="AD48">
        <f>HYPERLINK("https://klasma.github.io/Logging_1782/tillsynsmail/A 17529-2026 tillsynsbegäran mail.docx", "A 17529-2026")</f>
        <v/>
      </c>
    </row>
    <row r="49" ht="15" customHeight="1">
      <c r="A49" t="inlineStr">
        <is>
          <t>A 25862-2026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46275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3.5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Talltaggsvamp</t>
        </is>
      </c>
      <c r="W49">
        <f>HYPERLINK("https://klasma.github.io/Logging_1782/artfynd/A 25862-2026 artfynd.xlsx", "A 25862-2026")</f>
        <v/>
      </c>
      <c r="X49">
        <f>HYPERLINK("https://klasma.github.io/Logging_1782/kartor/A 25862-2026 karta.png", "A 25862-2026")</f>
        <v/>
      </c>
      <c r="Y49">
        <f>HYPERLINK("https://klasma.github.io/Logging_1782/kartor_geotiff/A 25862-2026 georefererad karta.tif", "A 25862-2026")</f>
        <v/>
      </c>
      <c r="AA49">
        <f>HYPERLINK("https://klasma.github.io/Logging_1782/klagomål/A 25862-2026 FSC-klagomål.docx", "A 25862-2026")</f>
        <v/>
      </c>
      <c r="AB49">
        <f>HYPERLINK("https://klasma.github.io/Logging_1782/klagomålsmail/A 25862-2026 FSC-klagomål mail.docx", "A 25862-2026")</f>
        <v/>
      </c>
      <c r="AC49">
        <f>HYPERLINK("https://klasma.github.io/Logging_1782/tillsyn/A 25862-2026 tillsynsbegäran.docx", "A 25862-2026")</f>
        <v/>
      </c>
      <c r="AD49">
        <f>HYPERLINK("https://klasma.github.io/Logging_1782/tillsynsmail/A 25862-2026 tillsynsbegäran mail.docx", "A 25862-2026")</f>
        <v/>
      </c>
    </row>
    <row r="50" ht="15" customHeight="1">
      <c r="A50" t="inlineStr">
        <is>
          <t>A 28989-2026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46275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7.2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28989-2026 artfynd.xlsx", "A 28989-2026")</f>
        <v/>
      </c>
      <c r="X50">
        <f>HYPERLINK("https://klasma.github.io/Logging_1782/kartor/A 28989-2026 karta.png", "A 28989-2026")</f>
        <v/>
      </c>
      <c r="Y50">
        <f>HYPERLINK("https://klasma.github.io/Logging_1782/kartor_geotiff/A 28989-2026 georefererad karta.tif", "A 28989-2026")</f>
        <v/>
      </c>
      <c r="AA50">
        <f>HYPERLINK("https://klasma.github.io/Logging_1782/klagomål/A 28989-2026 FSC-klagomål.docx", "A 28989-2026")</f>
        <v/>
      </c>
      <c r="AB50">
        <f>HYPERLINK("https://klasma.github.io/Logging_1782/klagomålsmail/A 28989-2026 FSC-klagomål mail.docx", "A 28989-2026")</f>
        <v/>
      </c>
      <c r="AC50">
        <f>HYPERLINK("https://klasma.github.io/Logging_1782/tillsyn/A 28989-2026 tillsynsbegäran.docx", "A 28989-2026")</f>
        <v/>
      </c>
      <c r="AD50">
        <f>HYPERLINK("https://klasma.github.io/Logging_1782/tillsynsmail/A 28989-2026 tillsynsbegäran mail.docx", "A 28989-2026")</f>
        <v/>
      </c>
    </row>
    <row r="51" ht="15" customHeight="1">
      <c r="A51" t="inlineStr">
        <is>
          <t>A 30988-2026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46213</v>
      </c>
      <c r="E51" s="1" t="n">
        <v>46275</v>
      </c>
      <c r="F51" t="inlineStr">
        <is>
          <t>VÄRMLANDS LÄN</t>
        </is>
      </c>
      <c r="G51" t="inlineStr">
        <is>
          <t>FILIPSTAD</t>
        </is>
      </c>
      <c r="I51" t="n">
        <v>2.4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Skuggblåslav</t>
        </is>
      </c>
      <c r="W51">
        <f>HYPERLINK("https://klasma.github.io/Logging_1782/artfynd/A 30988-2026 artfynd.xlsx", "A 30988-2026")</f>
        <v/>
      </c>
      <c r="X51">
        <f>HYPERLINK("https://klasma.github.io/Logging_1782/kartor/A 30988-2026 karta.png", "A 30988-2026")</f>
        <v/>
      </c>
      <c r="Y51">
        <f>HYPERLINK("https://klasma.github.io/Logging_1782/kartor_geotiff/A 30988-2026 georefererad karta.tif", "A 30988-2026")</f>
        <v/>
      </c>
      <c r="AA51">
        <f>HYPERLINK("https://klasma.github.io/Logging_1782/klagomål/A 30988-2026 FSC-klagomål.docx", "A 30988-2026")</f>
        <v/>
      </c>
      <c r="AB51">
        <f>HYPERLINK("https://klasma.github.io/Logging_1782/klagomålsmail/A 30988-2026 FSC-klagomål mail.docx", "A 30988-2026")</f>
        <v/>
      </c>
      <c r="AC51">
        <f>HYPERLINK("https://klasma.github.io/Logging_1782/tillsyn/A 30988-2026 tillsynsbegäran.docx", "A 30988-2026")</f>
        <v/>
      </c>
      <c r="AD51">
        <f>HYPERLINK("https://klasma.github.io/Logging_1782/tillsynsmail/A 30988-2026 tillsynsbegäran mail.docx", "A 30988-2026")</f>
        <v/>
      </c>
    </row>
    <row r="52" ht="15" customHeight="1">
      <c r="A52" t="inlineStr">
        <is>
          <t>A 31257-2026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46218</v>
      </c>
      <c r="E52" s="1" t="n">
        <v>46275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10.2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Gräsull</t>
        </is>
      </c>
      <c r="W52">
        <f>HYPERLINK("https://klasma.github.io/Logging_1782/artfynd/A 31257-2026 artfynd.xlsx", "A 31257-2026")</f>
        <v/>
      </c>
      <c r="X52">
        <f>HYPERLINK("https://klasma.github.io/Logging_1782/kartor/A 31257-2026 karta.png", "A 31257-2026")</f>
        <v/>
      </c>
      <c r="Y52">
        <f>HYPERLINK("https://klasma.github.io/Logging_1782/kartor_geotiff/A 31257-2026 georefererad karta.tif", "A 31257-2026")</f>
        <v/>
      </c>
      <c r="AA52">
        <f>HYPERLINK("https://klasma.github.io/Logging_1782/klagomål/A 31257-2026 FSC-klagomål.docx", "A 31257-2026")</f>
        <v/>
      </c>
      <c r="AB52">
        <f>HYPERLINK("https://klasma.github.io/Logging_1782/klagomålsmail/A 31257-2026 FSC-klagomål mail.docx", "A 31257-2026")</f>
        <v/>
      </c>
      <c r="AC52">
        <f>HYPERLINK("https://klasma.github.io/Logging_1782/tillsyn/A 31257-2026 tillsynsbegäran.docx", "A 31257-2026")</f>
        <v/>
      </c>
      <c r="AD52">
        <f>HYPERLINK("https://klasma.github.io/Logging_1782/tillsynsmail/A 31257-2026 tillsynsbegäran mail.docx", "A 31257-2026")</f>
        <v/>
      </c>
    </row>
    <row r="53" ht="15" customHeight="1">
      <c r="A53" t="inlineStr">
        <is>
          <t>S 264-2022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44578</v>
      </c>
      <c r="E53" s="1" t="n">
        <v>46275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398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Slaguggla</t>
        </is>
      </c>
      <c r="W53">
        <f>HYPERLINK("https://klasma.github.io/Logging_1782/artfynd/S 264-2022 artfynd.xlsx", "S 264-2022")</f>
        <v/>
      </c>
      <c r="X53">
        <f>HYPERLINK("https://klasma.github.io/Logging_1782/kartor/S 264-2022 karta.png", "S 264-2022")</f>
        <v/>
      </c>
      <c r="Y53">
        <f>HYPERLINK("https://klasma.github.io/Logging_1782/kartor_geotiff/S 264-2022 georefererad karta.tif", "S 264-2022")</f>
        <v/>
      </c>
      <c r="AA53">
        <f>HYPERLINK("https://klasma.github.io/Logging_1782/klagomål/S 264-2022 FSC-klagomål.docx", "S 264-2022")</f>
        <v/>
      </c>
      <c r="AB53">
        <f>HYPERLINK("https://klasma.github.io/Logging_1782/klagomålsmail/S 264-2022 FSC-klagomål mail.docx", "S 264-2022")</f>
        <v/>
      </c>
      <c r="AC53">
        <f>HYPERLINK("https://klasma.github.io/Logging_1782/tillsyn/S 264-2022 tillsynsbegäran.docx", "S 264-2022")</f>
        <v/>
      </c>
      <c r="AD53">
        <f>HYPERLINK("https://klasma.github.io/Logging_1782/tillsynsmail/S 264-2022 tillsynsbegäran mail.docx", "S 264-2022")</f>
        <v/>
      </c>
      <c r="AE53">
        <f>HYPERLINK("https://klasma.github.io/Logging_1782/fåglar/S 264-2022 prioriterade fågelarter.docx", "S 264-2022")</f>
        <v/>
      </c>
    </row>
    <row r="54" ht="15" customHeight="1">
      <c r="A54" t="inlineStr">
        <is>
          <t>S 383-2025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45691</v>
      </c>
      <c r="E54" s="1" t="n">
        <v>46275</v>
      </c>
      <c r="F54" t="inlineStr">
        <is>
          <t>VÄRMLANDS LÄN</t>
        </is>
      </c>
      <c r="G54" t="inlineStr">
        <is>
          <t>FILIPSTAD</t>
        </is>
      </c>
      <c r="I54" t="n">
        <v>18.6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Skrovlig taggsvamp</t>
        </is>
      </c>
      <c r="W54">
        <f>HYPERLINK("https://klasma.github.io/Logging_1782/artfynd/S 383-2025 artfynd.xlsx", "S 383-2025")</f>
        <v/>
      </c>
      <c r="X54">
        <f>HYPERLINK("https://klasma.github.io/Logging_1782/kartor/S 383-2025 karta.png", "S 383-2025")</f>
        <v/>
      </c>
      <c r="Y54">
        <f>HYPERLINK("https://klasma.github.io/Logging_1782/kartor_geotiff/S 383-2025 georefererad karta.tif", "S 383-2025")</f>
        <v/>
      </c>
      <c r="AA54">
        <f>HYPERLINK("https://klasma.github.io/Logging_1782/klagomål/S 383-2025 FSC-klagomål.docx", "S 383-2025")</f>
        <v/>
      </c>
      <c r="AB54">
        <f>HYPERLINK("https://klasma.github.io/Logging_1782/klagomålsmail/S 383-2025 FSC-klagomål mail.docx", "S 383-2025")</f>
        <v/>
      </c>
      <c r="AC54">
        <f>HYPERLINK("https://klasma.github.io/Logging_1782/tillsyn/S 383-2025 tillsynsbegäran.docx", "S 383-2025")</f>
        <v/>
      </c>
      <c r="AD54">
        <f>HYPERLINK("https://klasma.github.io/Logging_1782/tillsynsmail/S 383-2025 tillsynsbegäran mail.docx", "S 383-2025")</f>
        <v/>
      </c>
    </row>
    <row r="55" ht="15" customHeight="1">
      <c r="A55" t="inlineStr">
        <is>
          <t>A 8482-2022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46275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44467</v>
      </c>
      <c r="E56" s="1" t="n">
        <v>46275</v>
      </c>
      <c r="F56" t="inlineStr">
        <is>
          <t>VÄRMLANDS LÄN</t>
        </is>
      </c>
      <c r="G56" t="inlineStr">
        <is>
          <t>FILIPSTAD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46275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44460</v>
      </c>
      <c r="E58" s="1" t="n">
        <v>46275</v>
      </c>
      <c r="F58" t="inlineStr">
        <is>
          <t>VÄRMLANDS LÄN</t>
        </is>
      </c>
      <c r="G58" t="inlineStr">
        <is>
          <t>FILIPSTAD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46275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46275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46275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46275</v>
      </c>
      <c r="F63" t="inlineStr">
        <is>
          <t>VÄRMLANDS LÄN</t>
        </is>
      </c>
      <c r="G63" t="inlineStr">
        <is>
          <t>FILIPSTAD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46275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46275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44651</v>
      </c>
      <c r="E66" s="1" t="n">
        <v>46275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46275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46275</v>
      </c>
      <c r="F68" t="inlineStr">
        <is>
          <t>VÄRMLANDS LÄN</t>
        </is>
      </c>
      <c r="G68" t="inlineStr">
        <is>
          <t>FILIPSTAD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46275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46275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46275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22356-2022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44713</v>
      </c>
      <c r="E72" s="1" t="n">
        <v>46275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57090-2021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46275</v>
      </c>
      <c r="F73" t="inlineStr">
        <is>
          <t>VÄRMLANDS LÄN</t>
        </is>
      </c>
      <c r="G73" t="inlineStr">
        <is>
          <t>FILIPSTAD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32680-2022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46275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30.5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46275</v>
      </c>
      <c r="F75" t="inlineStr">
        <is>
          <t>VÄRMLANDS LÄN</t>
        </is>
      </c>
      <c r="G75" t="inlineStr">
        <is>
          <t>FILIPSTAD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44651</v>
      </c>
      <c r="E76" s="1" t="n">
        <v>46275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46275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46275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46275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43633-2024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45569</v>
      </c>
      <c r="E80" s="1" t="n">
        <v>46275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45223</v>
      </c>
      <c r="E81" s="1" t="n">
        <v>46275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45471</v>
      </c>
      <c r="E82" s="1" t="n">
        <v>46275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45408</v>
      </c>
      <c r="E83" s="1" t="n">
        <v>46275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46275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53690-2022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44880</v>
      </c>
      <c r="E85" s="1" t="n">
        <v>46275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57087-2021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44482</v>
      </c>
      <c r="E86" s="1" t="n">
        <v>46275</v>
      </c>
      <c r="F86" t="inlineStr">
        <is>
          <t>VÄRMLANDS LÄN</t>
        </is>
      </c>
      <c r="G86" t="inlineStr">
        <is>
          <t>FILIPSTAD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46275</v>
      </c>
      <c r="F87" t="inlineStr">
        <is>
          <t>VÄRMLANDS LÄN</t>
        </is>
      </c>
      <c r="G87" t="inlineStr">
        <is>
          <t>FILIPSTAD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22866-2023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45072</v>
      </c>
      <c r="E88" s="1" t="n">
        <v>46275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46275</v>
      </c>
      <c r="F89" t="inlineStr">
        <is>
          <t>VÄRMLANDS LÄN</t>
        </is>
      </c>
      <c r="G89" t="inlineStr">
        <is>
          <t>FILIPSTAD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45230</v>
      </c>
      <c r="E90" s="1" t="n">
        <v>46275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46275</v>
      </c>
      <c r="F91" t="inlineStr">
        <is>
          <t>VÄRMLANDS LÄN</t>
        </is>
      </c>
      <c r="G91" t="inlineStr">
        <is>
          <t>FILIPSTAD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29473-2024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45484</v>
      </c>
      <c r="E92" s="1" t="n">
        <v>46275</v>
      </c>
      <c r="F92" t="inlineStr">
        <is>
          <t>VÄRMLANDS LÄN</t>
        </is>
      </c>
      <c r="G92" t="inlineStr">
        <is>
          <t>FILIPSTAD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46275</v>
      </c>
      <c r="F93" t="inlineStr">
        <is>
          <t>VÄRMLANDS LÄN</t>
        </is>
      </c>
      <c r="G93" t="inlineStr">
        <is>
          <t>FILIPSTAD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45418</v>
      </c>
      <c r="E94" s="1" t="n">
        <v>46275</v>
      </c>
      <c r="F94" t="inlineStr">
        <is>
          <t>VÄRMLANDS LÄN</t>
        </is>
      </c>
      <c r="G94" t="inlineStr">
        <is>
          <t>FILIPSTAD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54836-2023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46275</v>
      </c>
      <c r="F95" t="inlineStr">
        <is>
          <t>VÄRMLANDS LÄN</t>
        </is>
      </c>
      <c r="G95" t="inlineStr">
        <is>
          <t>FILIPSTAD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46275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46275</v>
      </c>
      <c r="F97" t="inlineStr">
        <is>
          <t>VÄRMLANDS LÄN</t>
        </is>
      </c>
      <c r="G97" t="inlineStr">
        <is>
          <t>FILIPSTAD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46275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46275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46275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46275</v>
      </c>
      <c r="F101" t="inlineStr">
        <is>
          <t>VÄRMLANDS LÄN</t>
        </is>
      </c>
      <c r="G101" t="inlineStr">
        <is>
          <t>FILIPSTAD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45463</v>
      </c>
      <c r="E102" s="1" t="n">
        <v>46275</v>
      </c>
      <c r="F102" t="inlineStr">
        <is>
          <t>VÄRMLANDS LÄN</t>
        </is>
      </c>
      <c r="G102" t="inlineStr">
        <is>
          <t>FILIPSTAD</t>
        </is>
      </c>
      <c r="I102" t="n">
        <v>13.2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45342</v>
      </c>
      <c r="E103" s="1" t="n">
        <v>46275</v>
      </c>
      <c r="F103" t="inlineStr">
        <is>
          <t>VÄRMLANDS LÄN</t>
        </is>
      </c>
      <c r="G103" t="inlineStr">
        <is>
          <t>FILIPSTAD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46275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46275</v>
      </c>
      <c r="F105" t="inlineStr">
        <is>
          <t>VÄRMLANDS LÄN</t>
        </is>
      </c>
      <c r="G105" t="inlineStr">
        <is>
          <t>FILIPSTAD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46275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46275</v>
      </c>
      <c r="F107" t="inlineStr">
        <is>
          <t>VÄRMLANDS LÄN</t>
        </is>
      </c>
      <c r="G107" t="inlineStr">
        <is>
          <t>FILIPSTAD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46275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46275</v>
      </c>
      <c r="F109" t="inlineStr">
        <is>
          <t>VÄRMLANDS LÄN</t>
        </is>
      </c>
      <c r="G109" t="inlineStr">
        <is>
          <t>FILIPSTAD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46275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45428</v>
      </c>
      <c r="E111" s="1" t="n">
        <v>46275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46275</v>
      </c>
      <c r="F112" t="inlineStr">
        <is>
          <t>VÄRMLANDS LÄN</t>
        </is>
      </c>
      <c r="G112" t="inlineStr">
        <is>
          <t>FILIPSTAD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46275</v>
      </c>
      <c r="F113" t="inlineStr">
        <is>
          <t>VÄRMLANDS LÄN</t>
        </is>
      </c>
      <c r="G113" t="inlineStr">
        <is>
          <t>FILIPSTAD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46275</v>
      </c>
      <c r="F114" t="inlineStr">
        <is>
          <t>VÄRMLANDS LÄN</t>
        </is>
      </c>
      <c r="G114" t="inlineStr">
        <is>
          <t>FILIPSTAD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45750</v>
      </c>
      <c r="E115" s="1" t="n">
        <v>46275</v>
      </c>
      <c r="F115" t="inlineStr">
        <is>
          <t>VÄRMLANDS LÄN</t>
        </is>
      </c>
      <c r="G115" t="inlineStr">
        <is>
          <t>FILIPSTAD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46275</v>
      </c>
      <c r="F116" t="inlineStr">
        <is>
          <t>VÄRMLANDS LÄN</t>
        </is>
      </c>
      <c r="G116" t="inlineStr">
        <is>
          <t>FILIPSTAD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44579</v>
      </c>
      <c r="E117" s="1" t="n">
        <v>46275</v>
      </c>
      <c r="F117" t="inlineStr">
        <is>
          <t>VÄRMLANDS LÄN</t>
        </is>
      </c>
      <c r="G117" t="inlineStr">
        <is>
          <t>FILIPSTAD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46275</v>
      </c>
      <c r="F118" t="inlineStr">
        <is>
          <t>VÄRMLANDS LÄN</t>
        </is>
      </c>
      <c r="G118" t="inlineStr">
        <is>
          <t>FILIPSTAD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29825-2023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45107</v>
      </c>
      <c r="E119" s="1" t="n">
        <v>46275</v>
      </c>
      <c r="F119" t="inlineStr">
        <is>
          <t>VÄRMLANDS LÄN</t>
        </is>
      </c>
      <c r="G119" t="inlineStr">
        <is>
          <t>FILIPSTAD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46275</v>
      </c>
      <c r="F120" t="inlineStr">
        <is>
          <t>VÄRMLANDS LÄN</t>
        </is>
      </c>
      <c r="G120" t="inlineStr">
        <is>
          <t>FILIPSTAD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45516</v>
      </c>
      <c r="E121" s="1" t="n">
        <v>46275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45393</v>
      </c>
      <c r="E122" s="1" t="n">
        <v>46275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45655</v>
      </c>
      <c r="E123" s="1" t="n">
        <v>46275</v>
      </c>
      <c r="F123" t="inlineStr">
        <is>
          <t>VÄRMLANDS LÄN</t>
        </is>
      </c>
      <c r="G123" t="inlineStr">
        <is>
          <t>FILIPSTAD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46275</v>
      </c>
      <c r="F124" t="inlineStr">
        <is>
          <t>VÄRMLANDS LÄN</t>
        </is>
      </c>
      <c r="G124" t="inlineStr">
        <is>
          <t>FILIPSTAD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46275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46275</v>
      </c>
      <c r="F126" t="inlineStr">
        <is>
          <t>VÄRMLANDS LÄN</t>
        </is>
      </c>
      <c r="G126" t="inlineStr">
        <is>
          <t>FILIPSTAD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45327</v>
      </c>
      <c r="E127" s="1" t="n">
        <v>46275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45674</v>
      </c>
      <c r="E128" s="1" t="n">
        <v>46275</v>
      </c>
      <c r="F128" t="inlineStr">
        <is>
          <t>VÄRMLANDS LÄN</t>
        </is>
      </c>
      <c r="G128" t="inlineStr">
        <is>
          <t>FILIPSTAD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45014</v>
      </c>
      <c r="E129" s="1" t="n">
        <v>46275</v>
      </c>
      <c r="F129" t="inlineStr">
        <is>
          <t>VÄRMLANDS LÄN</t>
        </is>
      </c>
      <c r="G129" t="inlineStr">
        <is>
          <t>FILIPSTAD</t>
        </is>
      </c>
      <c r="H129" t="inlineStr">
        <is>
          <t>Kyrkan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45427</v>
      </c>
      <c r="E130" s="1" t="n">
        <v>46275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45088</v>
      </c>
      <c r="E131" s="1" t="n">
        <v>46275</v>
      </c>
      <c r="F131" t="inlineStr">
        <is>
          <t>VÄRMLANDS LÄN</t>
        </is>
      </c>
      <c r="G131" t="inlineStr">
        <is>
          <t>FILIPSTAD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46275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19351-2025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45769</v>
      </c>
      <c r="E133" s="1" t="n">
        <v>46275</v>
      </c>
      <c r="F133" t="inlineStr">
        <is>
          <t>VÄRMLANDS LÄN</t>
        </is>
      </c>
      <c r="G133" t="inlineStr">
        <is>
          <t>FILIPSTAD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45578</v>
      </c>
      <c r="E134" s="1" t="n">
        <v>46275</v>
      </c>
      <c r="F134" t="inlineStr">
        <is>
          <t>VÄRMLANDS LÄN</t>
        </is>
      </c>
      <c r="G134" t="inlineStr">
        <is>
          <t>FILIPSTAD</t>
        </is>
      </c>
      <c r="I134" t="n">
        <v>27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46275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22830-2023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45072</v>
      </c>
      <c r="E136" s="1" t="n">
        <v>46275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45088</v>
      </c>
      <c r="E137" s="1" t="n">
        <v>46275</v>
      </c>
      <c r="F137" t="inlineStr">
        <is>
          <t>VÄRMLANDS LÄN</t>
        </is>
      </c>
      <c r="G137" t="inlineStr">
        <is>
          <t>FILIPSTAD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45063</v>
      </c>
      <c r="E138" s="1" t="n">
        <v>46275</v>
      </c>
      <c r="F138" t="inlineStr">
        <is>
          <t>VÄRMLANDS LÄN</t>
        </is>
      </c>
      <c r="G138" t="inlineStr">
        <is>
          <t>FILIPSTAD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45664</v>
      </c>
      <c r="E139" s="1" t="n">
        <v>46275</v>
      </c>
      <c r="F139" t="inlineStr">
        <is>
          <t>VÄRMLANDS LÄN</t>
        </is>
      </c>
      <c r="G139" t="inlineStr">
        <is>
          <t>FILIPSTAD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45418</v>
      </c>
      <c r="E140" s="1" t="n">
        <v>46275</v>
      </c>
      <c r="F140" t="inlineStr">
        <is>
          <t>VÄRMLANDS LÄN</t>
        </is>
      </c>
      <c r="G140" t="inlineStr">
        <is>
          <t>FILIPSTAD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46275</v>
      </c>
      <c r="F141" t="inlineStr">
        <is>
          <t>VÄRMLANDS LÄN</t>
        </is>
      </c>
      <c r="G141" t="inlineStr">
        <is>
          <t>FILIPSTAD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46275</v>
      </c>
      <c r="F142" t="inlineStr">
        <is>
          <t>VÄRMLANDS LÄN</t>
        </is>
      </c>
      <c r="G142" t="inlineStr">
        <is>
          <t>FILIPSTAD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45655</v>
      </c>
      <c r="E143" s="1" t="n">
        <v>46275</v>
      </c>
      <c r="F143" t="inlineStr">
        <is>
          <t>VÄRMLANDS LÄN</t>
        </is>
      </c>
      <c r="G143" t="inlineStr">
        <is>
          <t>FILIPSTAD</t>
        </is>
      </c>
      <c r="I143" t="n">
        <v>26.5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46275</v>
      </c>
      <c r="F144" t="inlineStr">
        <is>
          <t>VÄRMLANDS LÄN</t>
        </is>
      </c>
      <c r="G144" t="inlineStr">
        <is>
          <t>FILIPSTAD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46275</v>
      </c>
      <c r="F145" t="inlineStr">
        <is>
          <t>VÄRMLANDS LÄN</t>
        </is>
      </c>
      <c r="G145" t="inlineStr">
        <is>
          <t>FILIPSTAD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46275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45686</v>
      </c>
      <c r="E147" s="1" t="n">
        <v>46275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46275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46275</v>
      </c>
      <c r="F149" t="inlineStr">
        <is>
          <t>VÄRMLANDS LÄN</t>
        </is>
      </c>
      <c r="G149" t="inlineStr">
        <is>
          <t>FILIPSTAD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45184</v>
      </c>
      <c r="E150" s="1" t="n">
        <v>46275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46275</v>
      </c>
      <c r="F151" t="inlineStr">
        <is>
          <t>VÄRMLANDS LÄN</t>
        </is>
      </c>
      <c r="G151" t="inlineStr">
        <is>
          <t>FILIPSTAD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28161-2023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45093</v>
      </c>
      <c r="E152" s="1" t="n">
        <v>46275</v>
      </c>
      <c r="F152" t="inlineStr">
        <is>
          <t>VÄRMLANDS LÄN</t>
        </is>
      </c>
      <c r="G152" t="inlineStr">
        <is>
          <t>FILIPSTAD</t>
        </is>
      </c>
      <c r="H152" t="inlineStr">
        <is>
          <t>Kommuner</t>
        </is>
      </c>
      <c r="I152" t="n">
        <v>15.4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46275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69015-2021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46275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45173</v>
      </c>
      <c r="E155" s="1" t="n">
        <v>46275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46275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46275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45587</v>
      </c>
      <c r="E158" s="1" t="n">
        <v>46275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46275</v>
      </c>
      <c r="F159" t="inlineStr">
        <is>
          <t>VÄRMLANDS LÄN</t>
        </is>
      </c>
      <c r="G159" t="inlineStr">
        <is>
          <t>FILIPSTAD</t>
        </is>
      </c>
      <c r="H159" t="inlineStr">
        <is>
          <t>Kyrkan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45106</v>
      </c>
      <c r="E160" s="1" t="n">
        <v>46275</v>
      </c>
      <c r="F160" t="inlineStr">
        <is>
          <t>VÄRMLANDS LÄN</t>
        </is>
      </c>
      <c r="G160" t="inlineStr">
        <is>
          <t>FILIPSTAD</t>
        </is>
      </c>
      <c r="H160" t="inlineStr">
        <is>
          <t>Kyrkan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14582-2025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45742</v>
      </c>
      <c r="E161" s="1" t="n">
        <v>46275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56840-2024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45628</v>
      </c>
      <c r="E162" s="1" t="n">
        <v>46275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62787-2023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46275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1170-2023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44935</v>
      </c>
      <c r="E164" s="1" t="n">
        <v>46275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46275</v>
      </c>
      <c r="F165" t="inlineStr">
        <is>
          <t>VÄRMLANDS LÄN</t>
        </is>
      </c>
      <c r="G165" t="inlineStr">
        <is>
          <t>FILIPSTAD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46275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23618-2023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45077</v>
      </c>
      <c r="E167" s="1" t="n">
        <v>46275</v>
      </c>
      <c r="F167" t="inlineStr">
        <is>
          <t>VÄRMLANDS LÄN</t>
        </is>
      </c>
      <c r="G167" t="inlineStr">
        <is>
          <t>FILIPSTAD</t>
        </is>
      </c>
      <c r="I167" t="n">
        <v>15.8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45133</v>
      </c>
      <c r="E168" s="1" t="n">
        <v>46275</v>
      </c>
      <c r="F168" t="inlineStr">
        <is>
          <t>VÄRMLANDS LÄN</t>
        </is>
      </c>
      <c r="G168" t="inlineStr">
        <is>
          <t>FILIPSTAD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46275</v>
      </c>
      <c r="F169" t="inlineStr">
        <is>
          <t>VÄRMLANDS LÄN</t>
        </is>
      </c>
      <c r="G169" t="inlineStr">
        <is>
          <t>FILIPSTAD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45740</v>
      </c>
      <c r="E170" s="1" t="n">
        <v>46275</v>
      </c>
      <c r="F170" t="inlineStr">
        <is>
          <t>VÄRMLANDS LÄN</t>
        </is>
      </c>
      <c r="G170" t="inlineStr">
        <is>
          <t>FILIPSTAD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44960</v>
      </c>
      <c r="E171" s="1" t="n">
        <v>46275</v>
      </c>
      <c r="F171" t="inlineStr">
        <is>
          <t>VÄRMLANDS LÄN</t>
        </is>
      </c>
      <c r="G171" t="inlineStr">
        <is>
          <t>FILIPSTAD</t>
        </is>
      </c>
      <c r="H171" t="inlineStr">
        <is>
          <t>Kommuner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44957</v>
      </c>
      <c r="E172" s="1" t="n">
        <v>46275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14275-2024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45393</v>
      </c>
      <c r="E173" s="1" t="n">
        <v>46275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9270-2023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44980</v>
      </c>
      <c r="E174" s="1" t="n">
        <v>46275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46275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46275</v>
      </c>
      <c r="F176" t="inlineStr">
        <is>
          <t>VÄRMLANDS LÄN</t>
        </is>
      </c>
      <c r="G176" t="inlineStr">
        <is>
          <t>FILIPSTAD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45544</v>
      </c>
      <c r="E177" s="1" t="n">
        <v>46275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45744</v>
      </c>
      <c r="E178" s="1" t="n">
        <v>46275</v>
      </c>
      <c r="F178" t="inlineStr">
        <is>
          <t>VÄRMLANDS LÄN</t>
        </is>
      </c>
      <c r="G178" t="inlineStr">
        <is>
          <t>FILIPSTAD</t>
        </is>
      </c>
      <c r="H178" t="inlineStr">
        <is>
          <t>Kommuner</t>
        </is>
      </c>
      <c r="I178" t="n">
        <v>17.7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45114</v>
      </c>
      <c r="E179" s="1" t="n">
        <v>46275</v>
      </c>
      <c r="F179" t="inlineStr">
        <is>
          <t>VÄRMLANDS LÄN</t>
        </is>
      </c>
      <c r="G179" t="inlineStr">
        <is>
          <t>FILIPSTAD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44788</v>
      </c>
      <c r="E180" s="1" t="n">
        <v>46275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46275</v>
      </c>
      <c r="F181" t="inlineStr">
        <is>
          <t>VÄRMLANDS LÄN</t>
        </is>
      </c>
      <c r="G181" t="inlineStr">
        <is>
          <t>FILIPSTAD</t>
        </is>
      </c>
      <c r="H181" t="inlineStr">
        <is>
          <t>Kyrkan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45616</v>
      </c>
      <c r="E182" s="1" t="n">
        <v>46275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20661-2024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46275</v>
      </c>
      <c r="F183" t="inlineStr">
        <is>
          <t>VÄRMLANDS LÄN</t>
        </is>
      </c>
      <c r="G183" t="inlineStr">
        <is>
          <t>FILIPSTAD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44691</v>
      </c>
      <c r="E184" s="1" t="n">
        <v>46275</v>
      </c>
      <c r="F184" t="inlineStr">
        <is>
          <t>VÄRMLANDS LÄN</t>
        </is>
      </c>
      <c r="G184" t="inlineStr">
        <is>
          <t>FILIPSTAD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46275</v>
      </c>
      <c r="F185" t="inlineStr">
        <is>
          <t>VÄRMLANDS LÄN</t>
        </is>
      </c>
      <c r="G185" t="inlineStr">
        <is>
          <t>FILIPSTAD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46275</v>
      </c>
      <c r="F186" t="inlineStr">
        <is>
          <t>VÄRMLANDS LÄN</t>
        </is>
      </c>
      <c r="G186" t="inlineStr">
        <is>
          <t>FILIPSTAD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45588</v>
      </c>
      <c r="E187" s="1" t="n">
        <v>46275</v>
      </c>
      <c r="F187" t="inlineStr">
        <is>
          <t>VÄRMLANDS LÄN</t>
        </is>
      </c>
      <c r="G187" t="inlineStr">
        <is>
          <t>FILIPSTAD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46275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44637</v>
      </c>
      <c r="E189" s="1" t="n">
        <v>46275</v>
      </c>
      <c r="F189" t="inlineStr">
        <is>
          <t>VÄRMLANDS LÄN</t>
        </is>
      </c>
      <c r="G189" t="inlineStr">
        <is>
          <t>FILIPSTAD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20966-2024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46275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46275</v>
      </c>
      <c r="F191" t="inlineStr">
        <is>
          <t>VÄRMLANDS LÄN</t>
        </is>
      </c>
      <c r="G191" t="inlineStr">
        <is>
          <t>FILIPSTAD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45567</v>
      </c>
      <c r="E192" s="1" t="n">
        <v>46275</v>
      </c>
      <c r="F192" t="inlineStr">
        <is>
          <t>VÄRMLANDS LÄN</t>
        </is>
      </c>
      <c r="G192" t="inlineStr">
        <is>
          <t>FILIPSTAD</t>
        </is>
      </c>
      <c r="H192" t="inlineStr">
        <is>
          <t>Kyrkan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46275</v>
      </c>
      <c r="F193" t="inlineStr">
        <is>
          <t>VÄRMLANDS LÄN</t>
        </is>
      </c>
      <c r="G193" t="inlineStr">
        <is>
          <t>FILIPSTAD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45495</v>
      </c>
      <c r="E194" s="1" t="n">
        <v>46275</v>
      </c>
      <c r="F194" t="inlineStr">
        <is>
          <t>VÄRMLANDS LÄN</t>
        </is>
      </c>
      <c r="G194" t="inlineStr">
        <is>
          <t>FILIPSTAD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46275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45414</v>
      </c>
      <c r="E196" s="1" t="n">
        <v>46275</v>
      </c>
      <c r="F196" t="inlineStr">
        <is>
          <t>VÄRMLANDS LÄN</t>
        </is>
      </c>
      <c r="G196" t="inlineStr">
        <is>
          <t>FILIPSTAD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46275</v>
      </c>
      <c r="F197" t="inlineStr">
        <is>
          <t>VÄRMLANDS LÄN</t>
        </is>
      </c>
      <c r="G197" t="inlineStr">
        <is>
          <t>FILIPSTAD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46275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45484</v>
      </c>
      <c r="E199" s="1" t="n">
        <v>46275</v>
      </c>
      <c r="F199" t="inlineStr">
        <is>
          <t>VÄRMLANDS LÄN</t>
        </is>
      </c>
      <c r="G199" t="inlineStr">
        <is>
          <t>FILIPSTAD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46275</v>
      </c>
      <c r="F200" t="inlineStr">
        <is>
          <t>VÄRMLANDS LÄN</t>
        </is>
      </c>
      <c r="G200" t="inlineStr">
        <is>
          <t>FILIPSTAD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46275</v>
      </c>
      <c r="F201" t="inlineStr">
        <is>
          <t>VÄRMLANDS LÄN</t>
        </is>
      </c>
      <c r="G201" t="inlineStr">
        <is>
          <t>FILIPSTAD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46275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16371-2024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45407</v>
      </c>
      <c r="E203" s="1" t="n">
        <v>46275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63482-2021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44508</v>
      </c>
      <c r="E204" s="1" t="n">
        <v>46275</v>
      </c>
      <c r="F204" t="inlineStr">
        <is>
          <t>VÄRMLANDS LÄN</t>
        </is>
      </c>
      <c r="G204" t="inlineStr">
        <is>
          <t>FILIPSTAD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46275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46275</v>
      </c>
      <c r="F206" t="inlineStr">
        <is>
          <t>VÄRMLANDS LÄN</t>
        </is>
      </c>
      <c r="G206" t="inlineStr">
        <is>
          <t>FILIPSTAD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46275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44515</v>
      </c>
      <c r="E208" s="1" t="n">
        <v>46275</v>
      </c>
      <c r="F208" t="inlineStr">
        <is>
          <t>VÄRMLANDS LÄN</t>
        </is>
      </c>
      <c r="G208" t="inlineStr">
        <is>
          <t>FILIPSTAD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46275</v>
      </c>
      <c r="F209" t="inlineStr">
        <is>
          <t>VÄRMLANDS LÄN</t>
        </is>
      </c>
      <c r="G209" t="inlineStr">
        <is>
          <t>FILIPSTAD</t>
        </is>
      </c>
      <c r="H209" t="inlineStr">
        <is>
          <t>Kyrkan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70405-2021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46275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46275</v>
      </c>
      <c r="F211" t="inlineStr">
        <is>
          <t>VÄRMLANDS LÄN</t>
        </is>
      </c>
      <c r="G211" t="inlineStr">
        <is>
          <t>FILIPSTAD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46275</v>
      </c>
      <c r="F212" t="inlineStr">
        <is>
          <t>VÄRMLANDS LÄN</t>
        </is>
      </c>
      <c r="G212" t="inlineStr">
        <is>
          <t>FILIPSTAD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45792</v>
      </c>
      <c r="E213" s="1" t="n">
        <v>46275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46275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45593</v>
      </c>
      <c r="E215" s="1" t="n">
        <v>46275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46275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23399-2025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45792</v>
      </c>
      <c r="E217" s="1" t="n">
        <v>46275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45618</v>
      </c>
      <c r="E218" s="1" t="n">
        <v>46275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46275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46275</v>
      </c>
      <c r="F220" t="inlineStr">
        <is>
          <t>VÄRMLANDS LÄN</t>
        </is>
      </c>
      <c r="G220" t="inlineStr">
        <is>
          <t>FILIPSTAD</t>
        </is>
      </c>
      <c r="H220" t="inlineStr">
        <is>
          <t>Kommuner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45439</v>
      </c>
      <c r="E221" s="1" t="n">
        <v>46275</v>
      </c>
      <c r="F221" t="inlineStr">
        <is>
          <t>VÄRMLANDS LÄN</t>
        </is>
      </c>
      <c r="G221" t="inlineStr">
        <is>
          <t>FILIPSTAD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45322</v>
      </c>
      <c r="E222" s="1" t="n">
        <v>46275</v>
      </c>
      <c r="F222" t="inlineStr">
        <is>
          <t>VÄRMLANDS LÄN</t>
        </is>
      </c>
      <c r="G222" t="inlineStr">
        <is>
          <t>FILIPSTAD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72118-2021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44543</v>
      </c>
      <c r="E223" s="1" t="n">
        <v>46275</v>
      </c>
      <c r="F223" t="inlineStr">
        <is>
          <t>VÄRMLANDS LÄN</t>
        </is>
      </c>
      <c r="G223" t="inlineStr">
        <is>
          <t>FILIPSTAD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45796</v>
      </c>
      <c r="E224" s="1" t="n">
        <v>46275</v>
      </c>
      <c r="F224" t="inlineStr">
        <is>
          <t>VÄRMLANDS LÄN</t>
        </is>
      </c>
      <c r="G224" t="inlineStr">
        <is>
          <t>FILIPSTAD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45747</v>
      </c>
      <c r="E225" s="1" t="n">
        <v>46275</v>
      </c>
      <c r="F225" t="inlineStr">
        <is>
          <t>VÄRMLANDS LÄN</t>
        </is>
      </c>
      <c r="G225" t="inlineStr">
        <is>
          <t>FILIPSTAD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26123-2025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45805</v>
      </c>
      <c r="E226" s="1" t="n">
        <v>46275</v>
      </c>
      <c r="F226" t="inlineStr">
        <is>
          <t>VÄRMLANDS LÄN</t>
        </is>
      </c>
      <c r="G226" t="inlineStr">
        <is>
          <t>FILIPSTAD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26116-2025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45805</v>
      </c>
      <c r="E227" s="1" t="n">
        <v>46275</v>
      </c>
      <c r="F227" t="inlineStr">
        <is>
          <t>VÄRMLANDS LÄN</t>
        </is>
      </c>
      <c r="G227" t="inlineStr">
        <is>
          <t>FILIPSTAD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46275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46275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45355</v>
      </c>
      <c r="E230" s="1" t="n">
        <v>46275</v>
      </c>
      <c r="F230" t="inlineStr">
        <is>
          <t>VÄRMLANDS LÄN</t>
        </is>
      </c>
      <c r="G230" t="inlineStr">
        <is>
          <t>FILIPSTAD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65174-2021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46275</v>
      </c>
      <c r="F231" t="inlineStr">
        <is>
          <t>VÄRMLANDS LÄN</t>
        </is>
      </c>
      <c r="G231" t="inlineStr">
        <is>
          <t>FILIPSTAD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45470</v>
      </c>
      <c r="E232" s="1" t="n">
        <v>46275</v>
      </c>
      <c r="F232" t="inlineStr">
        <is>
          <t>VÄRMLANDS LÄN</t>
        </is>
      </c>
      <c r="G232" t="inlineStr">
        <is>
          <t>FILIPSTAD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46275</v>
      </c>
      <c r="F233" t="inlineStr">
        <is>
          <t>VÄRMLANDS LÄN</t>
        </is>
      </c>
      <c r="G233" t="inlineStr">
        <is>
          <t>FILIPSTAD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45658</v>
      </c>
      <c r="E234" s="1" t="n">
        <v>46275</v>
      </c>
      <c r="F234" t="inlineStr">
        <is>
          <t>VÄRMLANDS LÄN</t>
        </is>
      </c>
      <c r="G234" t="inlineStr">
        <is>
          <t>FILIPSTAD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35799-2022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44801</v>
      </c>
      <c r="E235" s="1" t="n">
        <v>46275</v>
      </c>
      <c r="F235" t="inlineStr">
        <is>
          <t>VÄRMLANDS LÄN</t>
        </is>
      </c>
      <c r="G235" t="inlineStr">
        <is>
          <t>FILIPSTAD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45063</v>
      </c>
      <c r="E236" s="1" t="n">
        <v>46275</v>
      </c>
      <c r="F236" t="inlineStr">
        <is>
          <t>VÄRMLANDS LÄN</t>
        </is>
      </c>
      <c r="G236" t="inlineStr">
        <is>
          <t>FILIPSTAD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46275</v>
      </c>
      <c r="F237" t="inlineStr">
        <is>
          <t>VÄRMLANDS LÄN</t>
        </is>
      </c>
      <c r="G237" t="inlineStr">
        <is>
          <t>FILIPSTAD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26599-2024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45469</v>
      </c>
      <c r="E238" s="1" t="n">
        <v>46275</v>
      </c>
      <c r="F238" t="inlineStr">
        <is>
          <t>VÄRMLANDS LÄN</t>
        </is>
      </c>
      <c r="G238" t="inlineStr">
        <is>
          <t>FILIPSTAD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47261-2024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46275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46275</v>
      </c>
      <c r="F240" t="inlineStr">
        <is>
          <t>VÄRMLANDS LÄN</t>
        </is>
      </c>
      <c r="G240" t="inlineStr">
        <is>
          <t>FILIPSTAD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46275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45825</v>
      </c>
      <c r="E242" s="1" t="n">
        <v>46275</v>
      </c>
      <c r="F242" t="inlineStr">
        <is>
          <t>VÄRMLANDS LÄN</t>
        </is>
      </c>
      <c r="G242" t="inlineStr">
        <is>
          <t>FILIPSTAD</t>
        </is>
      </c>
      <c r="H242" t="inlineStr">
        <is>
          <t>Kyrkan</t>
        </is>
      </c>
      <c r="I242" t="n">
        <v>9.199999999999999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46275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46275</v>
      </c>
      <c r="F244" t="inlineStr">
        <is>
          <t>VÄRMLANDS LÄN</t>
        </is>
      </c>
      <c r="G244" t="inlineStr">
        <is>
          <t>FILIPSTAD</t>
        </is>
      </c>
      <c r="I244" t="n">
        <v>23.3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46275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43635-2023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45186</v>
      </c>
      <c r="E246" s="1" t="n">
        <v>46275</v>
      </c>
      <c r="F246" t="inlineStr">
        <is>
          <t>VÄRMLANDS LÄN</t>
        </is>
      </c>
      <c r="G246" t="inlineStr">
        <is>
          <t>FILIPSTAD</t>
        </is>
      </c>
      <c r="I246" t="n">
        <v>15.3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41718-2025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45902</v>
      </c>
      <c r="E247" s="1" t="n">
        <v>46275</v>
      </c>
      <c r="F247" t="inlineStr">
        <is>
          <t>VÄRMLANDS LÄN</t>
        </is>
      </c>
      <c r="G247" t="inlineStr">
        <is>
          <t>FILIPSTAD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46275</v>
      </c>
      <c r="F248" t="inlineStr">
        <is>
          <t>VÄRMLANDS LÄN</t>
        </is>
      </c>
      <c r="G248" t="inlineStr">
        <is>
          <t>FILIPSTAD</t>
        </is>
      </c>
      <c r="H248" t="inlineStr">
        <is>
          <t>Kyrkan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16103-2025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45750</v>
      </c>
      <c r="E249" s="1" t="n">
        <v>46275</v>
      </c>
      <c r="F249" t="inlineStr">
        <is>
          <t>VÄRMLANDS LÄN</t>
        </is>
      </c>
      <c r="G249" t="inlineStr">
        <is>
          <t>FILIPSTAD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31172-2025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45832</v>
      </c>
      <c r="E250" s="1" t="n">
        <v>46275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46275</v>
      </c>
      <c r="F251" t="inlineStr">
        <is>
          <t>VÄRMLANDS LÄN</t>
        </is>
      </c>
      <c r="G251" t="inlineStr">
        <is>
          <t>FILIPSTAD</t>
        </is>
      </c>
      <c r="I251" t="n">
        <v>18.7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46275</v>
      </c>
      <c r="F252" t="inlineStr">
        <is>
          <t>VÄRMLANDS LÄN</t>
        </is>
      </c>
      <c r="G252" t="inlineStr">
        <is>
          <t>FILIPSTAD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36251-2022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44803</v>
      </c>
      <c r="E253" s="1" t="n">
        <v>46275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32032-2025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45835</v>
      </c>
      <c r="E254" s="1" t="n">
        <v>46275</v>
      </c>
      <c r="F254" t="inlineStr">
        <is>
          <t>VÄRMLANDS LÄN</t>
        </is>
      </c>
      <c r="G254" t="inlineStr">
        <is>
          <t>FILIPSTAD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46275</v>
      </c>
      <c r="F255" t="inlineStr">
        <is>
          <t>VÄRMLANDS LÄN</t>
        </is>
      </c>
      <c r="G255" t="inlineStr">
        <is>
          <t>FILIPSTAD</t>
        </is>
      </c>
      <c r="H255" t="inlineStr">
        <is>
          <t>Kyrkan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46275</v>
      </c>
      <c r="F256" t="inlineStr">
        <is>
          <t>VÄRMLANDS LÄN</t>
        </is>
      </c>
      <c r="G256" t="inlineStr">
        <is>
          <t>FILIPSTAD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43571-2025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46275</v>
      </c>
      <c r="F257" t="inlineStr">
        <is>
          <t>VÄRMLANDS LÄN</t>
        </is>
      </c>
      <c r="G257" t="inlineStr">
        <is>
          <t>FILIPSTAD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33407-2025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45841</v>
      </c>
      <c r="E258" s="1" t="n">
        <v>46275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46275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46257-2022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44847</v>
      </c>
      <c r="E260" s="1" t="n">
        <v>46275</v>
      </c>
      <c r="F260" t="inlineStr">
        <is>
          <t>VÄRMLANDS LÄN</t>
        </is>
      </c>
      <c r="G260" t="inlineStr">
        <is>
          <t>FILIPSTAD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36827-2022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44805</v>
      </c>
      <c r="E261" s="1" t="n">
        <v>46275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37611-2022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44809</v>
      </c>
      <c r="E262" s="1" t="n">
        <v>46275</v>
      </c>
      <c r="F262" t="inlineStr">
        <is>
          <t>VÄRMLANDS LÄN</t>
        </is>
      </c>
      <c r="G262" t="inlineStr">
        <is>
          <t>FILIPSTAD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45826</v>
      </c>
      <c r="E263" s="1" t="n">
        <v>46275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46275</v>
      </c>
      <c r="F264" t="inlineStr">
        <is>
          <t>VÄRMLANDS LÄN</t>
        </is>
      </c>
      <c r="G264" t="inlineStr">
        <is>
          <t>FILIPSTAD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46275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46275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45929</v>
      </c>
      <c r="E267" s="1" t="n">
        <v>46275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46275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36582-2025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45870</v>
      </c>
      <c r="E269" s="1" t="n">
        <v>46275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45932</v>
      </c>
      <c r="E270" s="1" t="n">
        <v>46275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46275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48103-2025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45933</v>
      </c>
      <c r="E272" s="1" t="n">
        <v>46275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45087</v>
      </c>
      <c r="E273" s="1" t="n">
        <v>46275</v>
      </c>
      <c r="F273" t="inlineStr">
        <is>
          <t>VÄRMLANDS LÄN</t>
        </is>
      </c>
      <c r="G273" t="inlineStr">
        <is>
          <t>FILIPSTAD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46275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45177</v>
      </c>
      <c r="E275" s="1" t="n">
        <v>46275</v>
      </c>
      <c r="F275" t="inlineStr">
        <is>
          <t>VÄRMLANDS LÄN</t>
        </is>
      </c>
      <c r="G275" t="inlineStr">
        <is>
          <t>FILIPSTAD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46275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46275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52329-2025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46275</v>
      </c>
      <c r="F278" t="inlineStr">
        <is>
          <t>VÄRMLANDS LÄN</t>
        </is>
      </c>
      <c r="G278" t="inlineStr">
        <is>
          <t>FILIPSTAD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53034-2022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44876</v>
      </c>
      <c r="E279" s="1" t="n">
        <v>46275</v>
      </c>
      <c r="F279" t="inlineStr">
        <is>
          <t>VÄRMLANDS LÄN</t>
        </is>
      </c>
      <c r="G279" t="inlineStr">
        <is>
          <t>FILIPSTAD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46275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45229</v>
      </c>
      <c r="E281" s="1" t="n">
        <v>46275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46275</v>
      </c>
      <c r="F282" t="inlineStr">
        <is>
          <t>VÄRMLANDS LÄN</t>
        </is>
      </c>
      <c r="G282" t="inlineStr">
        <is>
          <t>FILIPSTAD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51985-2023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46275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46275</v>
      </c>
      <c r="F284" t="inlineStr">
        <is>
          <t>VÄRMLANDS LÄN</t>
        </is>
      </c>
      <c r="G284" t="inlineStr">
        <is>
          <t>FILIPSTAD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46275</v>
      </c>
      <c r="F285" t="inlineStr">
        <is>
          <t>VÄRMLANDS LÄN</t>
        </is>
      </c>
      <c r="G285" t="inlineStr">
        <is>
          <t>FILIPSTAD</t>
        </is>
      </c>
      <c r="H285" t="inlineStr">
        <is>
          <t>Kyrkan</t>
        </is>
      </c>
      <c r="I285" t="n">
        <v>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46275</v>
      </c>
      <c r="F286" t="inlineStr">
        <is>
          <t>VÄRMLANDS LÄN</t>
        </is>
      </c>
      <c r="G286" t="inlineStr">
        <is>
          <t>FILIPSTAD</t>
        </is>
      </c>
      <c r="H286" t="inlineStr">
        <is>
          <t>Kyrkan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46275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46275</v>
      </c>
      <c r="F288" t="inlineStr">
        <is>
          <t>VÄRMLANDS LÄN</t>
        </is>
      </c>
      <c r="G288" t="inlineStr">
        <is>
          <t>FILIPSTAD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54497-2025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46275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55978-2022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44889</v>
      </c>
      <c r="E290" s="1" t="n">
        <v>46275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46275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50856-2022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44867</v>
      </c>
      <c r="E292" s="1" t="n">
        <v>46275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45968</v>
      </c>
      <c r="E293" s="1" t="n">
        <v>46275</v>
      </c>
      <c r="F293" t="inlineStr">
        <is>
          <t>VÄRMLANDS LÄN</t>
        </is>
      </c>
      <c r="G293" t="inlineStr">
        <is>
          <t>FILIPSTAD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45968</v>
      </c>
      <c r="E294" s="1" t="n">
        <v>46275</v>
      </c>
      <c r="F294" t="inlineStr">
        <is>
          <t>VÄRMLANDS LÄN</t>
        </is>
      </c>
      <c r="G294" t="inlineStr">
        <is>
          <t>FILIPSTAD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61628-2022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46275</v>
      </c>
      <c r="F295" t="inlineStr">
        <is>
          <t>VÄRMLANDS LÄN</t>
        </is>
      </c>
      <c r="G295" t="inlineStr">
        <is>
          <t>FILIPSTAD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43264-2024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46275</v>
      </c>
      <c r="F296" t="inlineStr">
        <is>
          <t>VÄRMLANDS LÄN</t>
        </is>
      </c>
      <c r="G296" t="inlineStr">
        <is>
          <t>FILIPSTAD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46275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45253</v>
      </c>
      <c r="E298" s="1" t="n">
        <v>46275</v>
      </c>
      <c r="F298" t="inlineStr">
        <is>
          <t>VÄRMLANDS LÄN</t>
        </is>
      </c>
      <c r="G298" t="inlineStr">
        <is>
          <t>FILIPSTAD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46275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46275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46275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56037-2025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46275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45974</v>
      </c>
      <c r="E303" s="1" t="n">
        <v>46275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46275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56167-2025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45974</v>
      </c>
      <c r="E305" s="1" t="n">
        <v>46275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56182-2025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46275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56184-2025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45974</v>
      </c>
      <c r="E307" s="1" t="n">
        <v>46275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56062-2025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46275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9.199999999999999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46275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56008-2025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46275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46275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56032-2025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46275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56045-2025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46275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46275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46275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18.8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36680-2023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45153</v>
      </c>
      <c r="E316" s="1" t="n">
        <v>46275</v>
      </c>
      <c r="F316" t="inlineStr">
        <is>
          <t>VÄRMLANDS LÄN</t>
        </is>
      </c>
      <c r="G316" t="inlineStr">
        <is>
          <t>FILIPSTAD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5803-2023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44963</v>
      </c>
      <c r="E317" s="1" t="n">
        <v>46275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46275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28.4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46275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46275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46275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44872</v>
      </c>
      <c r="E322" s="1" t="n">
        <v>46275</v>
      </c>
      <c r="F322" t="inlineStr">
        <is>
          <t>VÄRMLANDS LÄN</t>
        </is>
      </c>
      <c r="G322" t="inlineStr">
        <is>
          <t>FILIPSTAD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46275</v>
      </c>
      <c r="F323" t="inlineStr">
        <is>
          <t>VÄRMLANDS LÄN</t>
        </is>
      </c>
      <c r="G323" t="inlineStr">
        <is>
          <t>FILIPSTAD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45989</v>
      </c>
      <c r="E324" s="1" t="n">
        <v>46275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46275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46275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46275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71971-2021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44544</v>
      </c>
      <c r="E328" s="1" t="n">
        <v>46275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45989</v>
      </c>
      <c r="E329" s="1" t="n">
        <v>46275</v>
      </c>
      <c r="F329" t="inlineStr">
        <is>
          <t>VÄRMLANDS LÄN</t>
        </is>
      </c>
      <c r="G329" t="inlineStr">
        <is>
          <t>FILIPSTAD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46275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46275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45114</v>
      </c>
      <c r="E332" s="1" t="n">
        <v>46275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59929-2025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46275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45996</v>
      </c>
      <c r="E334" s="1" t="n">
        <v>46275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60550-2025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45995</v>
      </c>
      <c r="E335" s="1" t="n">
        <v>46275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46275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60396-2025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46275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44981</v>
      </c>
      <c r="E338" s="1" t="n">
        <v>46275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46275</v>
      </c>
      <c r="F339" t="inlineStr">
        <is>
          <t>VÄRMLANDS LÄN</t>
        </is>
      </c>
      <c r="G339" t="inlineStr">
        <is>
          <t>FILIPSTAD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46275</v>
      </c>
      <c r="F340" t="inlineStr">
        <is>
          <t>VÄRMLANDS LÄN</t>
        </is>
      </c>
      <c r="G340" t="inlineStr">
        <is>
          <t>FILIPSTAD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61327-2025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46001</v>
      </c>
      <c r="E341" s="1" t="n">
        <v>46275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46275</v>
      </c>
      <c r="F342" t="inlineStr">
        <is>
          <t>VÄRMLANDS LÄN</t>
        </is>
      </c>
      <c r="G342" t="inlineStr">
        <is>
          <t>FILIPSTAD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46275</v>
      </c>
      <c r="F343" t="inlineStr">
        <is>
          <t>VÄRMLANDS LÄN</t>
        </is>
      </c>
      <c r="G343" t="inlineStr">
        <is>
          <t>FILIPSTAD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46002</v>
      </c>
      <c r="E344" s="1" t="n">
        <v>46275</v>
      </c>
      <c r="F344" t="inlineStr">
        <is>
          <t>VÄRMLANDS LÄN</t>
        </is>
      </c>
      <c r="G344" t="inlineStr">
        <is>
          <t>FILIPSTAD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46275</v>
      </c>
      <c r="F345" t="inlineStr">
        <is>
          <t>VÄRMLANDS LÄN</t>
        </is>
      </c>
      <c r="G345" t="inlineStr">
        <is>
          <t>FILIPSTAD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61417-2025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46001</v>
      </c>
      <c r="E346" s="1" t="n">
        <v>46275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46002</v>
      </c>
      <c r="E347" s="1" t="n">
        <v>46275</v>
      </c>
      <c r="F347" t="inlineStr">
        <is>
          <t>VÄRMLANDS LÄN</t>
        </is>
      </c>
      <c r="G347" t="inlineStr">
        <is>
          <t>FILIPSTAD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46275</v>
      </c>
      <c r="F348" t="inlineStr">
        <is>
          <t>VÄRMLANDS LÄN</t>
        </is>
      </c>
      <c r="G348" t="inlineStr">
        <is>
          <t>FILIPSTAD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46275</v>
      </c>
      <c r="F349" t="inlineStr">
        <is>
          <t>VÄRMLANDS LÄN</t>
        </is>
      </c>
      <c r="G349" t="inlineStr">
        <is>
          <t>FILIPSTAD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46275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61492-2025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46001</v>
      </c>
      <c r="E351" s="1" t="n">
        <v>46275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61391-2025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46275</v>
      </c>
      <c r="F352" t="inlineStr">
        <is>
          <t>VÄRMLANDS LÄN</t>
        </is>
      </c>
      <c r="G352" t="inlineStr">
        <is>
          <t>FILIPSTAD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46004</v>
      </c>
      <c r="E353" s="1" t="n">
        <v>46275</v>
      </c>
      <c r="F353" t="inlineStr">
        <is>
          <t>VÄRMLANDS LÄN</t>
        </is>
      </c>
      <c r="G353" t="inlineStr">
        <is>
          <t>FILIPSTAD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62021-2025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46003</v>
      </c>
      <c r="E354" s="1" t="n">
        <v>46275</v>
      </c>
      <c r="F354" t="inlineStr">
        <is>
          <t>VÄRMLANDS LÄN</t>
        </is>
      </c>
      <c r="G354" t="inlineStr">
        <is>
          <t>FILIPSTAD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44963</v>
      </c>
      <c r="E355" s="1" t="n">
        <v>46275</v>
      </c>
      <c r="F355" t="inlineStr">
        <is>
          <t>VÄRMLANDS LÄN</t>
        </is>
      </c>
      <c r="G355" t="inlineStr">
        <is>
          <t>FILIPSTAD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46004</v>
      </c>
      <c r="E356" s="1" t="n">
        <v>46275</v>
      </c>
      <c r="F356" t="inlineStr">
        <is>
          <t>VÄRMLANDS LÄN</t>
        </is>
      </c>
      <c r="G356" t="inlineStr">
        <is>
          <t>FILIPSTAD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36809-2022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44805</v>
      </c>
      <c r="E357" s="1" t="n">
        <v>46275</v>
      </c>
      <c r="F357" t="inlineStr">
        <is>
          <t>VÄRMLANDS LÄN</t>
        </is>
      </c>
      <c r="G357" t="inlineStr">
        <is>
          <t>FILIPSTAD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33967-2023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45124</v>
      </c>
      <c r="E358" s="1" t="n">
        <v>46275</v>
      </c>
      <c r="F358" t="inlineStr">
        <is>
          <t>VÄRMLANDS LÄN</t>
        </is>
      </c>
      <c r="G358" t="inlineStr">
        <is>
          <t>FILIPSTAD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45124</v>
      </c>
      <c r="E359" s="1" t="n">
        <v>46275</v>
      </c>
      <c r="F359" t="inlineStr">
        <is>
          <t>VÄRMLANDS LÄN</t>
        </is>
      </c>
      <c r="G359" t="inlineStr">
        <is>
          <t>FILIPSTAD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61741-2022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44911</v>
      </c>
      <c r="E360" s="1" t="n">
        <v>46275</v>
      </c>
      <c r="F360" t="inlineStr">
        <is>
          <t>VÄRMLANDS LÄN</t>
        </is>
      </c>
      <c r="G360" t="inlineStr">
        <is>
          <t>FILIPSTAD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61823-2025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46003</v>
      </c>
      <c r="E361" s="1" t="n">
        <v>46275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62252-2025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46275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62243-2025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46006</v>
      </c>
      <c r="E363" s="1" t="n">
        <v>46275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45232</v>
      </c>
      <c r="E364" s="1" t="n">
        <v>46275</v>
      </c>
      <c r="F364" t="inlineStr">
        <is>
          <t>VÄRMLANDS LÄN</t>
        </is>
      </c>
      <c r="G364" t="inlineStr">
        <is>
          <t>FILIPSTAD</t>
        </is>
      </c>
      <c r="I364" t="n">
        <v>15.5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46010</v>
      </c>
      <c r="E365" s="1" t="n">
        <v>46275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25737-2023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45090</v>
      </c>
      <c r="E366" s="1" t="n">
        <v>46275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46014</v>
      </c>
      <c r="E367" s="1" t="n">
        <v>46275</v>
      </c>
      <c r="F367" t="inlineStr">
        <is>
          <t>VÄRMLANDS LÄN</t>
        </is>
      </c>
      <c r="G367" t="inlineStr">
        <is>
          <t>FILIPSTAD</t>
        </is>
      </c>
      <c r="I367" t="n">
        <v>9.9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45758</v>
      </c>
      <c r="E368" s="1" t="n">
        <v>46275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45986</v>
      </c>
      <c r="E369" s="1" t="n">
        <v>46275</v>
      </c>
      <c r="F369" t="inlineStr">
        <is>
          <t>VÄRMLANDS LÄN</t>
        </is>
      </c>
      <c r="G369" t="inlineStr">
        <is>
          <t>FILIPSTAD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46040</v>
      </c>
      <c r="E370" s="1" t="n">
        <v>46275</v>
      </c>
      <c r="F370" t="inlineStr">
        <is>
          <t>VÄRMLANDS LÄN</t>
        </is>
      </c>
      <c r="G370" t="inlineStr">
        <is>
          <t>FILIPSTAD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46275</v>
      </c>
      <c r="F371" t="inlineStr">
        <is>
          <t>VÄRMLANDS LÄN</t>
        </is>
      </c>
      <c r="G371" t="inlineStr">
        <is>
          <t>FILIPSTAD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46275</v>
      </c>
      <c r="F372" t="inlineStr">
        <is>
          <t>VÄRMLANDS LÄN</t>
        </is>
      </c>
      <c r="G372" t="inlineStr">
        <is>
          <t>FILIPSTAD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46275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46064</v>
      </c>
      <c r="E374" s="1" t="n">
        <v>46275</v>
      </c>
      <c r="F374" t="inlineStr">
        <is>
          <t>VÄRMLANDS LÄN</t>
        </is>
      </c>
      <c r="G374" t="inlineStr">
        <is>
          <t>FILIPSTAD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46275</v>
      </c>
      <c r="F375" t="inlineStr">
        <is>
          <t>VÄRMLANDS LÄN</t>
        </is>
      </c>
      <c r="G375" t="inlineStr">
        <is>
          <t>FILIPSTAD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46275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46275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46092</v>
      </c>
      <c r="E378" s="1" t="n">
        <v>46275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46275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46275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46275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46275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46275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46098</v>
      </c>
      <c r="E384" s="1" t="n">
        <v>46275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13955-2026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46275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46100</v>
      </c>
      <c r="E386" s="1" t="n">
        <v>46275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46275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46275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15848-2026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46275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15619-2026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46275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46107</v>
      </c>
      <c r="E391" s="1" t="n">
        <v>46275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46275</v>
      </c>
      <c r="F392" t="inlineStr">
        <is>
          <t>VÄRMLANDS LÄN</t>
        </is>
      </c>
      <c r="G392" t="inlineStr">
        <is>
          <t>FILIPSTAD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15644-2026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46275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46275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16009-2026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46108</v>
      </c>
      <c r="E395" s="1" t="n">
        <v>46275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16040-2026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46108</v>
      </c>
      <c r="E396" s="1" t="n">
        <v>46275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46275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46275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46119</v>
      </c>
      <c r="E399" s="1" t="n">
        <v>46275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46275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46275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46275</v>
      </c>
      <c r="F402" t="inlineStr">
        <is>
          <t>VÄRMLANDS LÄN</t>
        </is>
      </c>
      <c r="G402" t="inlineStr">
        <is>
          <t>FILIPSTAD</t>
        </is>
      </c>
      <c r="I402" t="n">
        <v>9.699999999999999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46275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17931-2026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46275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46275</v>
      </c>
      <c r="F405" t="inlineStr">
        <is>
          <t>VÄRMLANDS LÄN</t>
        </is>
      </c>
      <c r="G405" t="inlineStr">
        <is>
          <t>FILIPSTAD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17900-2026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46275</v>
      </c>
      <c r="F406" t="inlineStr">
        <is>
          <t>VÄRMLANDS LÄN</t>
        </is>
      </c>
      <c r="G406" t="inlineStr">
        <is>
          <t>FILIPSTAD</t>
        </is>
      </c>
      <c r="H406" t="inlineStr">
        <is>
          <t>Kommuner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17914-2026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46275</v>
      </c>
      <c r="F407" t="inlineStr">
        <is>
          <t>VÄRMLANDS LÄN</t>
        </is>
      </c>
      <c r="G407" t="inlineStr">
        <is>
          <t>FILIPSTAD</t>
        </is>
      </c>
      <c r="H407" t="inlineStr">
        <is>
          <t>Kommuner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46275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46275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46275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46275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46275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46275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46275</v>
      </c>
      <c r="F414" t="inlineStr">
        <is>
          <t>VÄRMLANDS LÄN</t>
        </is>
      </c>
      <c r="G414" t="inlineStr">
        <is>
          <t>FILIPSTAD</t>
        </is>
      </c>
      <c r="H414" t="inlineStr">
        <is>
          <t>Kommuner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46275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45152</v>
      </c>
      <c r="E416" s="1" t="n">
        <v>46275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46275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46129</v>
      </c>
      <c r="E418" s="1" t="n">
        <v>46275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46128</v>
      </c>
      <c r="E419" s="1" t="n">
        <v>46275</v>
      </c>
      <c r="F419" t="inlineStr">
        <is>
          <t>VÄRMLANDS LÄN</t>
        </is>
      </c>
      <c r="G419" t="inlineStr">
        <is>
          <t>FILIPSTAD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19435-2026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46275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46275</v>
      </c>
      <c r="F421" t="inlineStr">
        <is>
          <t>VÄRMLANDS LÄN</t>
        </is>
      </c>
      <c r="G421" t="inlineStr">
        <is>
          <t>FILIPSTAD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46275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46275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19669-2026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46134</v>
      </c>
      <c r="E424" s="1" t="n">
        <v>46275</v>
      </c>
      <c r="F424" t="inlineStr">
        <is>
          <t>VÄRMLANDS LÄN</t>
        </is>
      </c>
      <c r="G424" t="inlineStr">
        <is>
          <t>FILIPSTAD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46275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38075-2025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45882</v>
      </c>
      <c r="E426" s="1" t="n">
        <v>46275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20045-2026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46136</v>
      </c>
      <c r="E427" s="1" t="n">
        <v>46275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46275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19882-2026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46275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8.800000000000001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45420</v>
      </c>
      <c r="E430" s="1" t="n">
        <v>46275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45896</v>
      </c>
      <c r="E431" s="1" t="n">
        <v>46275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45901</v>
      </c>
      <c r="E432" s="1" t="n">
        <v>46275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57456-2022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44896</v>
      </c>
      <c r="E433" s="1" t="n">
        <v>46275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22843-2025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45790</v>
      </c>
      <c r="E434" s="1" t="n">
        <v>46275</v>
      </c>
      <c r="F434" t="inlineStr">
        <is>
          <t>VÄRMLANDS LÄN</t>
        </is>
      </c>
      <c r="G434" t="inlineStr">
        <is>
          <t>FILIPSTAD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46140</v>
      </c>
      <c r="E435" s="1" t="n">
        <v>46275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28687-2025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46275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22558-2025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45789</v>
      </c>
      <c r="E437" s="1" t="n">
        <v>46275</v>
      </c>
      <c r="F437" t="inlineStr">
        <is>
          <t>VÄRMLANDS LÄN</t>
        </is>
      </c>
      <c r="G437" t="inlineStr">
        <is>
          <t>FILIPSTAD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54080-2025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45964</v>
      </c>
      <c r="E438" s="1" t="n">
        <v>46275</v>
      </c>
      <c r="F438" t="inlineStr">
        <is>
          <t>VÄRMLANDS LÄN</t>
        </is>
      </c>
      <c r="G438" t="inlineStr">
        <is>
          <t>FILIPSTAD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33379-2025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46275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37733-2025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46275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7.6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33449-2025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45841</v>
      </c>
      <c r="E441" s="1" t="n">
        <v>46275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46275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45891</v>
      </c>
      <c r="E443" s="1" t="n">
        <v>46275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45835</v>
      </c>
      <c r="E444" s="1" t="n">
        <v>46275</v>
      </c>
      <c r="F444" t="inlineStr">
        <is>
          <t>VÄRMLANDS LÄN</t>
        </is>
      </c>
      <c r="G444" t="inlineStr">
        <is>
          <t>FILIPSTAD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46275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46275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20554-2025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45775</v>
      </c>
      <c r="E447" s="1" t="n">
        <v>46275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45939</v>
      </c>
      <c r="E448" s="1" t="n">
        <v>46275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20919-2026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46275</v>
      </c>
      <c r="F449" t="inlineStr">
        <is>
          <t>VÄRMLANDS LÄN</t>
        </is>
      </c>
      <c r="G449" t="inlineStr">
        <is>
          <t>FILIPSTAD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36272-2025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46275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46275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46275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24139-2024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45456</v>
      </c>
      <c r="E453" s="1" t="n">
        <v>46275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46108</v>
      </c>
      <c r="E454" s="1" t="n">
        <v>46275</v>
      </c>
      <c r="F454" t="inlineStr">
        <is>
          <t>VÄRMLANDS LÄN</t>
        </is>
      </c>
      <c r="G454" t="inlineStr">
        <is>
          <t>FILIPSTAD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46275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46275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46275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46275</v>
      </c>
      <c r="F458" t="inlineStr">
        <is>
          <t>VÄRMLANDS LÄN</t>
        </is>
      </c>
      <c r="G458" t="inlineStr">
        <is>
          <t>FILIPSTAD</t>
        </is>
      </c>
      <c r="I458" t="n">
        <v>10.8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46275</v>
      </c>
      <c r="F459" t="inlineStr">
        <is>
          <t>VÄRMLANDS LÄN</t>
        </is>
      </c>
      <c r="G459" t="inlineStr">
        <is>
          <t>FILIPSTAD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46275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46275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46275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46275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46275</v>
      </c>
      <c r="F464" t="inlineStr">
        <is>
          <t>VÄRMLANDS LÄN</t>
        </is>
      </c>
      <c r="G464" t="inlineStr">
        <is>
          <t>FILIPSTAD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46275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46275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22051-2026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46275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22220-2026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46275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22152-2026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46275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46275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23620-2023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45077</v>
      </c>
      <c r="E471" s="1" t="n">
        <v>46275</v>
      </c>
      <c r="F471" t="inlineStr">
        <is>
          <t>VÄRMLANDS LÄN</t>
        </is>
      </c>
      <c r="G471" t="inlineStr">
        <is>
          <t>FILIPSTAD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46163</v>
      </c>
      <c r="E472" s="1" t="n">
        <v>46275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8.699999999999999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23576-2026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46275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46275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23440-2026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46275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46275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46275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23514-2026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46275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46275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49935-2025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45940</v>
      </c>
      <c r="E480" s="1" t="n">
        <v>46275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46275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23934-2026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46167</v>
      </c>
      <c r="E482" s="1" t="n">
        <v>46275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23959-2026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46275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23952-2026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46275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46275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46275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46275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46275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23886-2026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46275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46275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46275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46275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9.300000000000001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46275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46169</v>
      </c>
      <c r="E494" s="1" t="n">
        <v>46275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46275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46275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46275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46275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24529-2026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46275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46275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24452-2026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46275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24453-2026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46275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46275</v>
      </c>
      <c r="F503" t="inlineStr">
        <is>
          <t>VÄRMLANDS LÄN</t>
        </is>
      </c>
      <c r="G503" t="inlineStr">
        <is>
          <t>FILIPSTAD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45835</v>
      </c>
      <c r="E504" s="1" t="n">
        <v>46275</v>
      </c>
      <c r="F504" t="inlineStr">
        <is>
          <t>VÄRMLANDS LÄN</t>
        </is>
      </c>
      <c r="G504" t="inlineStr">
        <is>
          <t>FILIPSTAD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16063-2025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45749</v>
      </c>
      <c r="E505" s="1" t="n">
        <v>46275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46275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46275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46275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8.9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46275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8.5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46275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46275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25769-2026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46275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25786-2026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46275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46275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46275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46275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26227-2026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46275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46183</v>
      </c>
      <c r="E518" s="1" t="n">
        <v>46275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26298-2026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46275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46275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46275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27007-2026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46275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46187</v>
      </c>
      <c r="E523" s="1" t="n">
        <v>46275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46275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46186</v>
      </c>
      <c r="E525" s="1" t="n">
        <v>46275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27300-2026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46275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27372-2026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46275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7.4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27774-2026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46275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46275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46275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46233</v>
      </c>
      <c r="E531" s="1" t="n">
        <v>46275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46275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32141-2026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46234</v>
      </c>
      <c r="E533" s="1" t="n">
        <v>46275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46275</v>
      </c>
      <c r="F534" t="inlineStr">
        <is>
          <t>VÄRMLANDS LÄN</t>
        </is>
      </c>
      <c r="G534" t="inlineStr">
        <is>
          <t>FILIPSTAD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27968-2026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46275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46275</v>
      </c>
      <c r="F536" t="inlineStr">
        <is>
          <t>VÄRMLANDS LÄN</t>
        </is>
      </c>
      <c r="G536" t="inlineStr">
        <is>
          <t>FILIPSTAD</t>
        </is>
      </c>
      <c r="I536" t="n">
        <v>13.4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46275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46275</v>
      </c>
      <c r="F538" t="inlineStr">
        <is>
          <t>VÄRMLANDS LÄN</t>
        </is>
      </c>
      <c r="G538" t="inlineStr">
        <is>
          <t>FILIPSTAD</t>
        </is>
      </c>
      <c r="H538" t="inlineStr">
        <is>
          <t>Kommuner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51031-2025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45947</v>
      </c>
      <c r="E539" s="1" t="n">
        <v>46275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46239</v>
      </c>
      <c r="E540" s="1" t="n">
        <v>46275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46239</v>
      </c>
      <c r="E541" s="1" t="n">
        <v>46275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46275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46240</v>
      </c>
      <c r="E543" s="1" t="n">
        <v>46275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46275</v>
      </c>
      <c r="F544" t="inlineStr">
        <is>
          <t>VÄRMLANDS LÄN</t>
        </is>
      </c>
      <c r="G544" t="inlineStr">
        <is>
          <t>FILIPSTAD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32601-2026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46240</v>
      </c>
      <c r="E545" s="1" t="n">
        <v>46275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46275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32588-2026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46240</v>
      </c>
      <c r="E547" s="1" t="n">
        <v>46275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46239</v>
      </c>
      <c r="E548" s="1" t="n">
        <v>46275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32978-2026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46275</v>
      </c>
      <c r="F549" t="inlineStr">
        <is>
          <t>VÄRMLANDS LÄN</t>
        </is>
      </c>
      <c r="G549" t="inlineStr">
        <is>
          <t>FILIPSTAD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46244</v>
      </c>
      <c r="E550" s="1" t="n">
        <v>46275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32783-2026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46241</v>
      </c>
      <c r="E551" s="1" t="n">
        <v>46275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46275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32980-2026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46275</v>
      </c>
      <c r="F553" t="inlineStr">
        <is>
          <t>VÄRMLANDS LÄN</t>
        </is>
      </c>
      <c r="G553" t="inlineStr">
        <is>
          <t>FILIPSTAD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46275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46275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46275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33324-2026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46246</v>
      </c>
      <c r="E557" s="1" t="n">
        <v>46275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46275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46275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29328-2026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46202</v>
      </c>
      <c r="E560" s="1" t="n">
        <v>46275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46275</v>
      </c>
      <c r="F561" t="inlineStr">
        <is>
          <t>VÄRMLANDS LÄN</t>
        </is>
      </c>
      <c r="G561" t="inlineStr">
        <is>
          <t>FILIPSTAD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46275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46275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46275</v>
      </c>
      <c r="F564" t="inlineStr">
        <is>
          <t>VÄRMLANDS LÄN</t>
        </is>
      </c>
      <c r="G564" t="inlineStr">
        <is>
          <t>FILIPSTAD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46275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29591-2026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46275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46275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46247</v>
      </c>
      <c r="E568" s="1" t="n">
        <v>46275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46275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46275</v>
      </c>
      <c r="F570" t="inlineStr">
        <is>
          <t>VÄRMLANDS LÄN</t>
        </is>
      </c>
      <c r="G570" t="inlineStr">
        <is>
          <t>FILIPSTAD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29814-2026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46275</v>
      </c>
      <c r="F571" t="inlineStr">
        <is>
          <t>VÄRMLANDS LÄN</t>
        </is>
      </c>
      <c r="G571" t="inlineStr">
        <is>
          <t>FILIPSTAD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46275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46275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46252</v>
      </c>
      <c r="E574" s="1" t="n">
        <v>46275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46213</v>
      </c>
      <c r="E575" s="1" t="n">
        <v>46275</v>
      </c>
      <c r="F575" t="inlineStr">
        <is>
          <t>VÄRMLANDS LÄN</t>
        </is>
      </c>
      <c r="G575" t="inlineStr">
        <is>
          <t>FILIPSTAD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46275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46252</v>
      </c>
      <c r="E577" s="1" t="n">
        <v>46275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33857-2026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46251</v>
      </c>
      <c r="E578" s="1" t="n">
        <v>46275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46275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30074-2026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46275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30540-2026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46210</v>
      </c>
      <c r="E581" s="1" t="n">
        <v>46275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34493-2026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46255</v>
      </c>
      <c r="E582" s="1" t="n">
        <v>46275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19.2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34539-2026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46275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46275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46275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34982-2026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46259</v>
      </c>
      <c r="E586" s="1" t="n">
        <v>46275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46259</v>
      </c>
      <c r="E587" s="1" t="n">
        <v>46275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46261</v>
      </c>
      <c r="E588" s="1" t="n">
        <v>46275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35423-2026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46275</v>
      </c>
      <c r="F589" t="inlineStr">
        <is>
          <t>VÄRMLANDS LÄN</t>
        </is>
      </c>
      <c r="G589" t="inlineStr">
        <is>
          <t>FILIPSTAD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46275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46275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46218</v>
      </c>
      <c r="E592" s="1" t="n">
        <v>46275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46261</v>
      </c>
      <c r="E593" s="1" t="n">
        <v>46275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46266</v>
      </c>
      <c r="E594" s="1" t="n">
        <v>46275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46264</v>
      </c>
      <c r="E595" s="1" t="n">
        <v>46275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46266</v>
      </c>
      <c r="E596" s="1" t="n">
        <v>46275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27426-2026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46275</v>
      </c>
      <c r="F597" t="inlineStr">
        <is>
          <t>VÄRMLANDS LÄN</t>
        </is>
      </c>
      <c r="G597" t="inlineStr">
        <is>
          <t>FILIPSTAD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31548-2026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46223</v>
      </c>
      <c r="E598" s="1" t="n">
        <v>46275</v>
      </c>
      <c r="F598" t="inlineStr">
        <is>
          <t>VÄRMLANDS LÄN</t>
        </is>
      </c>
      <c r="G598" t="inlineStr">
        <is>
          <t>FILIPSTAD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35821-2026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46265</v>
      </c>
      <c r="E599" s="1" t="n">
        <v>46275</v>
      </c>
      <c r="F599" t="inlineStr">
        <is>
          <t>VÄRMLANDS LÄN</t>
        </is>
      </c>
      <c r="G599" t="inlineStr">
        <is>
          <t>FILIPSTAD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46266</v>
      </c>
      <c r="E600" s="1" t="n">
        <v>46275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35641-2026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46275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46264</v>
      </c>
      <c r="E602" s="1" t="n">
        <v>46275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35995-2026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46266</v>
      </c>
      <c r="E603" s="1" t="n">
        <v>46275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31537-2026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46223</v>
      </c>
      <c r="E604" s="1" t="n">
        <v>46275</v>
      </c>
      <c r="F604" t="inlineStr">
        <is>
          <t>VÄRMLANDS LÄN</t>
        </is>
      </c>
      <c r="G604" t="inlineStr">
        <is>
          <t>FILIPSTAD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46267</v>
      </c>
      <c r="E605" s="1" t="n">
        <v>46275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46225</v>
      </c>
      <c r="E606" s="1" t="n">
        <v>46275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46268</v>
      </c>
      <c r="E607" s="1" t="n">
        <v>46275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46226</v>
      </c>
      <c r="E608" s="1" t="n">
        <v>46275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46226</v>
      </c>
      <c r="E609" s="1" t="n">
        <v>46275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31706-2026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46226</v>
      </c>
      <c r="E610" s="1" t="n">
        <v>46275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31726-2026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46227</v>
      </c>
      <c r="E611" s="1" t="n">
        <v>46275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46227</v>
      </c>
      <c r="E612" s="1" t="n">
        <v>46275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46275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36818-2026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46272</v>
      </c>
      <c r="E614" s="1" t="n">
        <v>46275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46275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36490-2026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46275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46275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36508-2026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46269</v>
      </c>
      <c r="E618" s="1" t="n">
        <v>46275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18.6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46275</v>
      </c>
      <c r="F619" t="inlineStr">
        <is>
          <t>VÄRMLANDS LÄN</t>
        </is>
      </c>
      <c r="G619" t="inlineStr">
        <is>
          <t>FILIPSTAD</t>
        </is>
      </c>
      <c r="I619" t="n">
        <v>11.6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46269</v>
      </c>
      <c r="E620" s="1" t="n">
        <v>46275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46269</v>
      </c>
      <c r="E621" s="1" t="n">
        <v>46275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46186</v>
      </c>
      <c r="E622" s="1" t="n">
        <v>46275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46231</v>
      </c>
      <c r="E623" s="1" t="n">
        <v>46275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46232</v>
      </c>
      <c r="E624" s="1" t="n">
        <v>46275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8.699999999999999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37249-2026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46274</v>
      </c>
      <c r="E625" s="1" t="n">
        <v>46275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36871-2026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46272</v>
      </c>
      <c r="E626" s="1" t="n">
        <v>46275</v>
      </c>
      <c r="F626" t="inlineStr">
        <is>
          <t>VÄRMLANDS LÄN</t>
        </is>
      </c>
      <c r="G626" t="inlineStr">
        <is>
          <t>FILIPSTAD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31950-2026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46232</v>
      </c>
      <c r="E627" s="1" t="n">
        <v>46275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31957-2026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46232</v>
      </c>
      <c r="E628" s="1" t="n">
        <v>46275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36955-2026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46273</v>
      </c>
      <c r="E629" s="1" t="n">
        <v>46275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46275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46275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46275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46275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46275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46275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46275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46275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46275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46275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46275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46275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46275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46275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46275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46275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46275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46275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46275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2026-09-10T02:13:05Z</dcterms:created>
  <dcterms:modified xmlns:dcterms="http://purl.org/dc/terms/" xmlns:xsi="http://www.w3.org/2001/XMLSchema-instance" xsi:type="dcterms:W3CDTF">2026-09-10T02:13:06Z</dcterms:modified>
</cp:coreProperties>
</file>