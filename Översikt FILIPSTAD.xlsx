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46281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46281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46281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46281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46281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46281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46281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46281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46281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46281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46281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46281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46281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46281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46281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46281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63625-2023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45275</v>
      </c>
      <c r="E18" s="1" t="n">
        <v>46281</v>
      </c>
      <c r="F18" t="inlineStr">
        <is>
          <t>VÄRMLANDS LÄN</t>
        </is>
      </c>
      <c r="G18" t="inlineStr">
        <is>
          <t>FILIPSTAD</t>
        </is>
      </c>
      <c r="I18" t="n">
        <v>1.9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Smalfotad taggsvamp
Vaddporing
Utter</t>
        </is>
      </c>
      <c r="W18">
        <f>HYPERLINK("https://klasma.github.io/Logging_1782/artfynd/A 63625-2023 artfynd.xlsx", "A 63625-2023")</f>
        <v/>
      </c>
      <c r="X18">
        <f>HYPERLINK("https://klasma.github.io/Logging_1782/kartor/A 63625-2023 karta.png", "A 63625-2023")</f>
        <v/>
      </c>
      <c r="Y18">
        <f>HYPERLINK("https://klasma.github.io/Logging_1782/kartor_geotiff/A 63625-2023 georefererad karta.tif", "A 63625-2023")</f>
        <v/>
      </c>
      <c r="AA18">
        <f>HYPERLINK("https://klasma.github.io/Logging_1782/klagomål/A 63625-2023 FSC-klagomål.docx", "A 63625-2023")</f>
        <v/>
      </c>
      <c r="AB18">
        <f>HYPERLINK("https://klasma.github.io/Logging_1782/klagomålsmail/A 63625-2023 FSC-klagomål mail.docx", "A 63625-2023")</f>
        <v/>
      </c>
      <c r="AC18">
        <f>HYPERLINK("https://klasma.github.io/Logging_1782/tillsyn/A 63625-2023 tillsynsbegäran.docx", "A 63625-2023")</f>
        <v/>
      </c>
      <c r="AD18">
        <f>HYPERLINK("https://klasma.github.io/Logging_1782/tillsynsmail/A 63625-2023 tillsynsbegäran mail.docx", "A 63625-2023")</f>
        <v/>
      </c>
    </row>
    <row r="19" ht="15" customHeight="1">
      <c r="A19" t="inlineStr">
        <is>
          <t>A 37620-2026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46276</v>
      </c>
      <c r="E19" s="1" t="n">
        <v>46281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4.1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Kandelabersvamp
Tretåig hackspett</t>
        </is>
      </c>
      <c r="W19">
        <f>HYPERLINK("https://klasma.github.io/Logging_1782/artfynd/A 37620-2026 artfynd.xlsx", "A 37620-2026")</f>
        <v/>
      </c>
      <c r="X19">
        <f>HYPERLINK("https://klasma.github.io/Logging_1782/kartor/A 37620-2026 karta.png", "A 37620-2026")</f>
        <v/>
      </c>
      <c r="Y19">
        <f>HYPERLINK("https://klasma.github.io/Logging_1782/kartor_geotiff/A 37620-2026 georefererad karta.tif", "A 37620-2026")</f>
        <v/>
      </c>
      <c r="AA19">
        <f>HYPERLINK("https://klasma.github.io/Logging_1782/klagomål/A 37620-2026 FSC-klagomål.docx", "A 37620-2026")</f>
        <v/>
      </c>
      <c r="AB19">
        <f>HYPERLINK("https://klasma.github.io/Logging_1782/klagomålsmail/A 37620-2026 FSC-klagomål mail.docx", "A 37620-2026")</f>
        <v/>
      </c>
      <c r="AC19">
        <f>HYPERLINK("https://klasma.github.io/Logging_1782/tillsyn/A 37620-2026 tillsynsbegäran.docx", "A 37620-2026")</f>
        <v/>
      </c>
      <c r="AD19">
        <f>HYPERLINK("https://klasma.github.io/Logging_1782/tillsynsmail/A 37620-2026 tillsynsbegäran mail.docx", "A 37620-2026")</f>
        <v/>
      </c>
      <c r="AE19">
        <f>HYPERLINK("https://klasma.github.io/Logging_1782/fåglar/A 37620-2026 prioriterade fågelarter.docx", "A 37620-2026")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46281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4620-2024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45328</v>
      </c>
      <c r="E21" s="1" t="n">
        <v>46281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2.9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Tvåblad
Brudsporre</t>
        </is>
      </c>
      <c r="W21">
        <f>HYPERLINK("https://klasma.github.io/Logging_1782/artfynd/A 4620-2024 artfynd.xlsx", "A 4620-2024")</f>
        <v/>
      </c>
      <c r="X21">
        <f>HYPERLINK("https://klasma.github.io/Logging_1782/kartor/A 4620-2024 karta.png", "A 4620-2024")</f>
        <v/>
      </c>
      <c r="Y21">
        <f>HYPERLINK("https://klasma.github.io/Logging_1782/kartor_geotiff/A 4620-2024 georefererad karta.tif", "A 4620-2024")</f>
        <v/>
      </c>
      <c r="AA21">
        <f>HYPERLINK("https://klasma.github.io/Logging_1782/klagomål/A 4620-2024 FSC-klagomål.docx", "A 4620-2024")</f>
        <v/>
      </c>
      <c r="AB21">
        <f>HYPERLINK("https://klasma.github.io/Logging_1782/klagomålsmail/A 4620-2024 FSC-klagomål mail.docx", "A 4620-2024")</f>
        <v/>
      </c>
      <c r="AC21">
        <f>HYPERLINK("https://klasma.github.io/Logging_1782/tillsyn/A 4620-2024 tillsynsbegäran.docx", "A 4620-2024")</f>
        <v/>
      </c>
      <c r="AD21">
        <f>HYPERLINK("https://klasma.github.io/Logging_1782/tillsynsmail/A 4620-2024 tillsynsbegäran mail.docx", "A 4620-2024")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46281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46281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32438-2026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46281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Dubbelnycklar
Ängsnycklar</t>
        </is>
      </c>
      <c r="W24">
        <f>HYPERLINK("https://klasma.github.io/Logging_1782/artfynd/A 32438-2026 artfynd.xlsx", "A 32438-2026")</f>
        <v/>
      </c>
      <c r="X24">
        <f>HYPERLINK("https://klasma.github.io/Logging_1782/kartor/A 32438-2026 karta.png", "A 32438-2026")</f>
        <v/>
      </c>
      <c r="Y24">
        <f>HYPERLINK("https://klasma.github.io/Logging_1782/kartor_geotiff/A 32438-2026 georefererad karta.tif", "A 32438-2026")</f>
        <v/>
      </c>
      <c r="AA24">
        <f>HYPERLINK("https://klasma.github.io/Logging_1782/klagomål/A 32438-2026 FSC-klagomål.docx", "A 32438-2026")</f>
        <v/>
      </c>
      <c r="AB24">
        <f>HYPERLINK("https://klasma.github.io/Logging_1782/klagomålsmail/A 32438-2026 FSC-klagomål mail.docx", "A 32438-2026")</f>
        <v/>
      </c>
      <c r="AC24">
        <f>HYPERLINK("https://klasma.github.io/Logging_1782/tillsyn/A 32438-2026 tillsynsbegäran.docx", "A 32438-2026")</f>
        <v/>
      </c>
      <c r="AD24">
        <f>HYPERLINK("https://klasma.github.io/Logging_1782/tillsynsmail/A 32438-2026 tillsynsbegäran mail.docx", "A 32438-2026")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46281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33583-2026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46248</v>
      </c>
      <c r="E26" s="1" t="n">
        <v>46281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16.4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Bårdlav
Stuplav</t>
        </is>
      </c>
      <c r="W26">
        <f>HYPERLINK("https://klasma.github.io/Logging_1782/artfynd/A 33583-2026 artfynd.xlsx", "A 33583-2026")</f>
        <v/>
      </c>
      <c r="X26">
        <f>HYPERLINK("https://klasma.github.io/Logging_1782/kartor/A 33583-2026 karta.png", "A 33583-2026")</f>
        <v/>
      </c>
      <c r="Y26">
        <f>HYPERLINK("https://klasma.github.io/Logging_1782/kartor_geotiff/A 33583-2026 georefererad karta.tif", "A 33583-2026")</f>
        <v/>
      </c>
      <c r="AA26">
        <f>HYPERLINK("https://klasma.github.io/Logging_1782/klagomål/A 33583-2026 FSC-klagomål.docx", "A 33583-2026")</f>
        <v/>
      </c>
      <c r="AB26">
        <f>HYPERLINK("https://klasma.github.io/Logging_1782/klagomålsmail/A 33583-2026 FSC-klagomål mail.docx", "A 33583-2026")</f>
        <v/>
      </c>
      <c r="AC26">
        <f>HYPERLINK("https://klasma.github.io/Logging_1782/tillsyn/A 33583-2026 tillsynsbegäran.docx", "A 33583-2026")</f>
        <v/>
      </c>
      <c r="AD26">
        <f>HYPERLINK("https://klasma.github.io/Logging_1782/tillsynsmail/A 33583-2026 tillsynsbegäran mail.docx", "A 33583-2026")</f>
        <v/>
      </c>
    </row>
    <row r="27" ht="15" customHeight="1">
      <c r="A27" t="inlineStr">
        <is>
          <t>A 16139-2025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45750</v>
      </c>
      <c r="E27" s="1" t="n">
        <v>46281</v>
      </c>
      <c r="F27" t="inlineStr">
        <is>
          <t>VÄRMLANDS LÄN</t>
        </is>
      </c>
      <c r="G27" t="inlineStr">
        <is>
          <t>FILIPSTAD</t>
        </is>
      </c>
      <c r="I27" t="n">
        <v>18.2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Bronshjon</t>
        </is>
      </c>
      <c r="W27">
        <f>HYPERLINK("https://klasma.github.io/Logging_1782/artfynd/A 16139-2025 artfynd.xlsx", "A 16139-2025")</f>
        <v/>
      </c>
      <c r="X27">
        <f>HYPERLINK("https://klasma.github.io/Logging_1782/kartor/A 16139-2025 karta.png", "A 16139-2025")</f>
        <v/>
      </c>
      <c r="Y27">
        <f>HYPERLINK("https://klasma.github.io/Logging_1782/kartor_geotiff/A 16139-2025 georefererad karta.tif", "A 16139-2025")</f>
        <v/>
      </c>
      <c r="AA27">
        <f>HYPERLINK("https://klasma.github.io/Logging_1782/klagomål/A 16139-2025 FSC-klagomål.docx", "A 16139-2025")</f>
        <v/>
      </c>
      <c r="AB27">
        <f>HYPERLINK("https://klasma.github.io/Logging_1782/klagomålsmail/A 16139-2025 FSC-klagomål mail.docx", "A 16139-2025")</f>
        <v/>
      </c>
      <c r="AC27">
        <f>HYPERLINK("https://klasma.github.io/Logging_1782/tillsyn/A 16139-2025 tillsynsbegäran.docx", "A 16139-2025")</f>
        <v/>
      </c>
      <c r="AD27">
        <f>HYPERLINK("https://klasma.github.io/Logging_1782/tillsynsmail/A 16139-2025 tillsynsbegäran mail.docx", "A 16139-2025")</f>
        <v/>
      </c>
    </row>
    <row r="28" ht="15" customHeight="1">
      <c r="A28" t="inlineStr">
        <is>
          <t>A 37534-2026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46276</v>
      </c>
      <c r="E28" s="1" t="n">
        <v>46281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8</v>
      </c>
      <c r="U28" t="n">
        <v>0</v>
      </c>
      <c r="V28" s="2" t="inlineStr">
        <is>
          <t>Garnlav
Spillkråka</t>
        </is>
      </c>
      <c r="W28">
        <f>HYPERLINK("https://klasma.github.io/Logging_1782/artfynd/A 37534-2026 artfynd.xlsx", "A 37534-2026")</f>
        <v/>
      </c>
      <c r="X28">
        <f>HYPERLINK("https://klasma.github.io/Logging_1782/kartor/A 37534-2026 karta.png", "A 37534-2026")</f>
        <v/>
      </c>
      <c r="Y28">
        <f>HYPERLINK("https://klasma.github.io/Logging_1782/kartor_geotiff/A 37534-2026 georefererad karta.tif", "A 37534-2026")</f>
        <v/>
      </c>
      <c r="AA28">
        <f>HYPERLINK("https://klasma.github.io/Logging_1782/klagomål/A 37534-2026 FSC-klagomål.docx", "A 37534-2026")</f>
        <v/>
      </c>
      <c r="AB28">
        <f>HYPERLINK("https://klasma.github.io/Logging_1782/klagomålsmail/A 37534-2026 FSC-klagomål mail.docx", "A 37534-2026")</f>
        <v/>
      </c>
      <c r="AC28">
        <f>HYPERLINK("https://klasma.github.io/Logging_1782/tillsyn/A 37534-2026 tillsynsbegäran.docx", "A 37534-2026")</f>
        <v/>
      </c>
      <c r="AD28">
        <f>HYPERLINK("https://klasma.github.io/Logging_1782/tillsynsmail/A 37534-2026 tillsynsbegäran mail.docx", "A 37534-2026")</f>
        <v/>
      </c>
      <c r="AE28">
        <f>HYPERLINK("https://klasma.github.io/Logging_1782/fåglar/A 37534-2026 prioriterade fågelarter.docx", "A 37534-2026")</f>
        <v/>
      </c>
    </row>
    <row r="29" ht="15" customHeight="1">
      <c r="A29" t="inlineStr">
        <is>
          <t>A 19945-2023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45054</v>
      </c>
      <c r="E29" s="1" t="n">
        <v>46281</v>
      </c>
      <c r="F29" t="inlineStr">
        <is>
          <t>VÄRMLANDS LÄN</t>
        </is>
      </c>
      <c r="G29" t="inlineStr">
        <is>
          <t>FILIPSTAD</t>
        </is>
      </c>
      <c r="I29" t="n">
        <v>3.3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3</v>
      </c>
      <c r="V29" s="2" t="inlineStr">
        <is>
          <t>Guckusko
Kransrams</t>
        </is>
      </c>
      <c r="W29">
        <f>HYPERLINK("https://klasma.github.io/Logging_1782/artfynd/A 19945-2023 artfynd.xlsx", "A 19945-2023")</f>
        <v/>
      </c>
      <c r="X29">
        <f>HYPERLINK("https://klasma.github.io/Logging_1782/kartor/A 19945-2023 karta.png", "A 19945-2023")</f>
        <v/>
      </c>
      <c r="Y29">
        <f>HYPERLINK("https://klasma.github.io/Logging_1782/kartor_geotiff/A 19945-2023 georefererad karta.tif", "A 19945-2023")</f>
        <v/>
      </c>
      <c r="AA29">
        <f>HYPERLINK("https://klasma.github.io/Logging_1782/klagomål/A 19945-2023 FSC-klagomål.docx", "A 19945-2023")</f>
        <v/>
      </c>
      <c r="AB29">
        <f>HYPERLINK("https://klasma.github.io/Logging_1782/klagomålsmail/A 19945-2023 FSC-klagomål mail.docx", "A 19945-2023")</f>
        <v/>
      </c>
      <c r="AC29">
        <f>HYPERLINK("https://klasma.github.io/Logging_1782/tillsyn/A 19945-2023 tillsynsbegäran.docx", "A 19945-2023")</f>
        <v/>
      </c>
      <c r="AD29">
        <f>HYPERLINK("https://klasma.github.io/Logging_1782/tillsynsmail/A 19945-2023 tillsynsbegäran mail.docx", "A 19945-2023")</f>
        <v/>
      </c>
    </row>
    <row r="30" ht="15" customHeight="1">
      <c r="A30" t="inlineStr">
        <is>
          <t>A 17274-2024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45414</v>
      </c>
      <c r="E30" s="1" t="n">
        <v>46281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5.8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Dropptaggsvamp
Talltita</t>
        </is>
      </c>
      <c r="W30">
        <f>HYPERLINK("https://klasma.github.io/Logging_1782/artfynd/A 17274-2024 artfynd.xlsx", "A 17274-2024")</f>
        <v/>
      </c>
      <c r="X30">
        <f>HYPERLINK("https://klasma.github.io/Logging_1782/kartor/A 17274-2024 karta.png", "A 17274-2024")</f>
        <v/>
      </c>
      <c r="Y30">
        <f>HYPERLINK("https://klasma.github.io/Logging_1782/kartor_geotiff/A 17274-2024 georefererad karta.tif", "A 17274-2024")</f>
        <v/>
      </c>
      <c r="AA30">
        <f>HYPERLINK("https://klasma.github.io/Logging_1782/klagomål/A 17274-2024 FSC-klagomål.docx", "A 17274-2024")</f>
        <v/>
      </c>
      <c r="AB30">
        <f>HYPERLINK("https://klasma.github.io/Logging_1782/klagomålsmail/A 17274-2024 FSC-klagomål mail.docx", "A 17274-2024")</f>
        <v/>
      </c>
      <c r="AC30">
        <f>HYPERLINK("https://klasma.github.io/Logging_1782/tillsyn/A 17274-2024 tillsynsbegäran.docx", "A 17274-2024")</f>
        <v/>
      </c>
      <c r="AD30">
        <f>HYPERLINK("https://klasma.github.io/Logging_1782/tillsynsmail/A 17274-2024 tillsynsbegäran mail.docx", "A 17274-2024")</f>
        <v/>
      </c>
      <c r="AE30">
        <f>HYPERLINK("https://klasma.github.io/Logging_1782/fåglar/A 17274-2024 prioriterade fågelarter.docx", "A 17274-2024")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46281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46281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46281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10138-2024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45364</v>
      </c>
      <c r="E34" s="1" t="n">
        <v>46281</v>
      </c>
      <c r="F34" t="inlineStr">
        <is>
          <t>VÄRMLANDS LÄN</t>
        </is>
      </c>
      <c r="G34" t="inlineStr">
        <is>
          <t>FILIPSTAD</t>
        </is>
      </c>
      <c r="H34" t="inlineStr">
        <is>
          <t>Kommuner</t>
        </is>
      </c>
      <c r="I34" t="n">
        <v>6.8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Purpurknipprot</t>
        </is>
      </c>
      <c r="W34">
        <f>HYPERLINK("https://klasma.github.io/Logging_1782/artfynd/A 10138-2024 artfynd.xlsx", "A 10138-2024")</f>
        <v/>
      </c>
      <c r="X34">
        <f>HYPERLINK("https://klasma.github.io/Logging_1782/kartor/A 10138-2024 karta.png", "A 10138-2024")</f>
        <v/>
      </c>
      <c r="Y34">
        <f>HYPERLINK("https://klasma.github.io/Logging_1782/kartor_geotiff/A 10138-2024 georefererad karta.tif", "A 10138-2024")</f>
        <v/>
      </c>
      <c r="AA34">
        <f>HYPERLINK("https://klasma.github.io/Logging_1782/klagomål/A 10138-2024 FSC-klagomål.docx", "A 10138-2024")</f>
        <v/>
      </c>
      <c r="AB34">
        <f>HYPERLINK("https://klasma.github.io/Logging_1782/klagomålsmail/A 10138-2024 FSC-klagomål mail.docx", "A 10138-2024")</f>
        <v/>
      </c>
      <c r="AC34">
        <f>HYPERLINK("https://klasma.github.io/Logging_1782/tillsyn/A 10138-2024 tillsynsbegäran.docx", "A 10138-2024")</f>
        <v/>
      </c>
      <c r="AD34">
        <f>HYPERLINK("https://klasma.github.io/Logging_1782/tillsynsmail/A 10138-2024 tillsynsbegäran mail.docx", "A 10138-2024")</f>
        <v/>
      </c>
    </row>
    <row r="35" ht="15" customHeight="1">
      <c r="A35" t="inlineStr">
        <is>
          <t>A 38140-2024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46281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Dropptaggsvamp</t>
        </is>
      </c>
      <c r="W35">
        <f>HYPERLINK("https://klasma.github.io/Logging_1782/artfynd/A 38140-2024 artfynd.xlsx", "A 38140-2024")</f>
        <v/>
      </c>
      <c r="X35">
        <f>HYPERLINK("https://klasma.github.io/Logging_1782/kartor/A 38140-2024 karta.png", "A 38140-2024")</f>
        <v/>
      </c>
      <c r="Y35">
        <f>HYPERLINK("https://klasma.github.io/Logging_1782/kartor_geotiff/A 38140-2024 georefererad karta.tif", "A 38140-2024")</f>
        <v/>
      </c>
      <c r="AA35">
        <f>HYPERLINK("https://klasma.github.io/Logging_1782/klagomål/A 38140-2024 FSC-klagomål.docx", "A 38140-2024")</f>
        <v/>
      </c>
      <c r="AB35">
        <f>HYPERLINK("https://klasma.github.io/Logging_1782/klagomålsmail/A 38140-2024 FSC-klagomål mail.docx", "A 38140-2024")</f>
        <v/>
      </c>
      <c r="AC35">
        <f>HYPERLINK("https://klasma.github.io/Logging_1782/tillsyn/A 38140-2024 tillsynsbegäran.docx", "A 38140-2024")</f>
        <v/>
      </c>
      <c r="AD35">
        <f>HYPERLINK("https://klasma.github.io/Logging_1782/tillsynsmail/A 38140-2024 tillsynsbegäran mail.docx", "A 38140-2024")</f>
        <v/>
      </c>
    </row>
    <row r="36" ht="15" customHeight="1">
      <c r="A36" t="inlineStr">
        <is>
          <t>A 23046-2023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46281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HYPERLINK("https://klasma.github.io/Logging_1782/artfynd/A 23046-2023 artfynd.xlsx", "A 23046-2023")</f>
        <v/>
      </c>
      <c r="X36">
        <f>HYPERLINK("https://klasma.github.io/Logging_1782/kartor/A 23046-2023 karta.png", "A 23046-2023")</f>
        <v/>
      </c>
      <c r="Y36">
        <f>HYPERLINK("https://klasma.github.io/Logging_1782/kartor_geotiff/A 23046-2023 georefererad karta.tif", "A 23046-2023")</f>
        <v/>
      </c>
      <c r="Z36">
        <f>HYPERLINK("https://klasma.github.io/Logging_1782/knärot/A 23046-2023 karta knärot.png", "A 23046-2023")</f>
        <v/>
      </c>
      <c r="AA36">
        <f>HYPERLINK("https://klasma.github.io/Logging_1782/klagomål/A 23046-2023 FSC-klagomål.docx", "A 23046-2023")</f>
        <v/>
      </c>
      <c r="AB36">
        <f>HYPERLINK("https://klasma.github.io/Logging_1782/klagomålsmail/A 23046-2023 FSC-klagomål mail.docx", "A 23046-2023")</f>
        <v/>
      </c>
      <c r="AC36">
        <f>HYPERLINK("https://klasma.github.io/Logging_1782/tillsyn/A 23046-2023 tillsynsbegäran.docx", "A 23046-2023")</f>
        <v/>
      </c>
      <c r="AD36">
        <f>HYPERLINK("https://klasma.github.io/Logging_1782/tillsynsmail/A 23046-2023 tillsynsbegäran mail.docx", "A 23046-2023")</f>
        <v/>
      </c>
    </row>
    <row r="37" ht="15" customHeight="1">
      <c r="A37" t="inlineStr">
        <is>
          <t>A 17529-2026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46281</v>
      </c>
      <c r="F37" t="inlineStr">
        <is>
          <t>VÄRMLANDS LÄN</t>
        </is>
      </c>
      <c r="G37" t="inlineStr">
        <is>
          <t>FILIPSTAD</t>
        </is>
      </c>
      <c r="I37" t="n">
        <v>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Ädellav</t>
        </is>
      </c>
      <c r="W37">
        <f>HYPERLINK("https://klasma.github.io/Logging_1782/artfynd/A 17529-2026 artfynd.xlsx", "A 17529-2026")</f>
        <v/>
      </c>
      <c r="X37">
        <f>HYPERLINK("https://klasma.github.io/Logging_1782/kartor/A 17529-2026 karta.png", "A 17529-2026")</f>
        <v/>
      </c>
      <c r="Y37">
        <f>HYPERLINK("https://klasma.github.io/Logging_1782/kartor_geotiff/A 17529-2026 georefererad karta.tif", "A 17529-2026")</f>
        <v/>
      </c>
      <c r="AA37">
        <f>HYPERLINK("https://klasma.github.io/Logging_1782/klagomål/A 17529-2026 FSC-klagomål.docx", "A 17529-2026")</f>
        <v/>
      </c>
      <c r="AB37">
        <f>HYPERLINK("https://klasma.github.io/Logging_1782/klagomålsmail/A 17529-2026 FSC-klagomål mail.docx", "A 17529-2026")</f>
        <v/>
      </c>
      <c r="AC37">
        <f>HYPERLINK("https://klasma.github.io/Logging_1782/tillsyn/A 17529-2026 tillsynsbegäran.docx", "A 17529-2026")</f>
        <v/>
      </c>
      <c r="AD37">
        <f>HYPERLINK("https://klasma.github.io/Logging_1782/tillsynsmail/A 17529-2026 tillsynsbegäran mail.docx", "A 17529-2026")</f>
        <v/>
      </c>
    </row>
    <row r="38" ht="15" customHeight="1">
      <c r="A38" t="inlineStr">
        <is>
          <t>A 45781-2025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45923</v>
      </c>
      <c r="E38" s="1" t="n">
        <v>46281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Brunklöver</t>
        </is>
      </c>
      <c r="W38">
        <f>HYPERLINK("https://klasma.github.io/Logging_1782/artfynd/A 45781-2025 artfynd.xlsx", "A 45781-2025")</f>
        <v/>
      </c>
      <c r="X38">
        <f>HYPERLINK("https://klasma.github.io/Logging_1782/kartor/A 45781-2025 karta.png", "A 45781-2025")</f>
        <v/>
      </c>
      <c r="Y38">
        <f>HYPERLINK("https://klasma.github.io/Logging_1782/kartor_geotiff/A 45781-2025 georefererad karta.tif", "A 45781-2025")</f>
        <v/>
      </c>
      <c r="AA38">
        <f>HYPERLINK("https://klasma.github.io/Logging_1782/klagomål/A 45781-2025 FSC-klagomål.docx", "A 45781-2025")</f>
        <v/>
      </c>
      <c r="AB38">
        <f>HYPERLINK("https://klasma.github.io/Logging_1782/klagomålsmail/A 45781-2025 FSC-klagomål mail.docx", "A 45781-2025")</f>
        <v/>
      </c>
      <c r="AC38">
        <f>HYPERLINK("https://klasma.github.io/Logging_1782/tillsyn/A 45781-2025 tillsynsbegäran.docx", "A 45781-2025")</f>
        <v/>
      </c>
      <c r="AD38">
        <f>HYPERLINK("https://klasma.github.io/Logging_1782/tillsynsmail/A 45781-2025 tillsynsbegäran mail.docx", "A 45781-2025")</f>
        <v/>
      </c>
    </row>
    <row r="39" ht="15" customHeight="1">
      <c r="A39" t="inlineStr">
        <is>
          <t>A 51522-2022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44869</v>
      </c>
      <c r="E39" s="1" t="n">
        <v>46281</v>
      </c>
      <c r="F39" t="inlineStr">
        <is>
          <t>VÄRMLANDS LÄN</t>
        </is>
      </c>
      <c r="G39" t="inlineStr">
        <is>
          <t>FILIPSTAD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HYPERLINK("https://klasma.github.io/Logging_1782/artfynd/A 51522-2022 artfynd.xlsx", "A 51522-2022")</f>
        <v/>
      </c>
      <c r="X39">
        <f>HYPERLINK("https://klasma.github.io/Logging_1782/kartor/A 51522-2022 karta.png", "A 51522-2022")</f>
        <v/>
      </c>
      <c r="Y39">
        <f>HYPERLINK("https://klasma.github.io/Logging_1782/kartor_geotiff/A 51522-2022 georefererad karta.tif", "A 51522-2022")</f>
        <v/>
      </c>
      <c r="AA39">
        <f>HYPERLINK("https://klasma.github.io/Logging_1782/klagomål/A 51522-2022 FSC-klagomål.docx", "A 51522-2022")</f>
        <v/>
      </c>
      <c r="AB39">
        <f>HYPERLINK("https://klasma.github.io/Logging_1782/klagomålsmail/A 51522-2022 FSC-klagomål mail.docx", "A 51522-2022")</f>
        <v/>
      </c>
      <c r="AC39">
        <f>HYPERLINK("https://klasma.github.io/Logging_1782/tillsyn/A 51522-2022 tillsynsbegäran.docx", "A 51522-2022")</f>
        <v/>
      </c>
      <c r="AD39">
        <f>HYPERLINK("https://klasma.github.io/Logging_1782/tillsynsmail/A 51522-2022 tillsynsbegäran mail.docx", "A 51522-2022")</f>
        <v/>
      </c>
    </row>
    <row r="40" ht="15" customHeight="1">
      <c r="A40" t="inlineStr">
        <is>
          <t>A 58734-2025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46281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18.2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Tretåig hackspett</t>
        </is>
      </c>
      <c r="W40">
        <f>HYPERLINK("https://klasma.github.io/Logging_1782/artfynd/A 58734-2025 artfynd.xlsx", "A 58734-2025")</f>
        <v/>
      </c>
      <c r="X40">
        <f>HYPERLINK("https://klasma.github.io/Logging_1782/kartor/A 58734-2025 karta.png", "A 58734-2025")</f>
        <v/>
      </c>
      <c r="Y40">
        <f>HYPERLINK("https://klasma.github.io/Logging_1782/kartor_geotiff/A 58734-2025 georefererad karta.tif", "A 58734-2025")</f>
        <v/>
      </c>
      <c r="AA40">
        <f>HYPERLINK("https://klasma.github.io/Logging_1782/klagomål/A 58734-2025 FSC-klagomål.docx", "A 58734-2025")</f>
        <v/>
      </c>
      <c r="AB40">
        <f>HYPERLINK("https://klasma.github.io/Logging_1782/klagomålsmail/A 58734-2025 FSC-klagomål mail.docx", "A 58734-2025")</f>
        <v/>
      </c>
      <c r="AC40">
        <f>HYPERLINK("https://klasma.github.io/Logging_1782/tillsyn/A 58734-2025 tillsynsbegäran.docx", "A 58734-2025")</f>
        <v/>
      </c>
      <c r="AD40">
        <f>HYPERLINK("https://klasma.github.io/Logging_1782/tillsynsmail/A 58734-2025 tillsynsbegäran mail.docx", "A 58734-2025")</f>
        <v/>
      </c>
      <c r="AE40">
        <f>HYPERLINK("https://klasma.github.io/Logging_1782/fåglar/A 58734-2025 prioriterade fågelarter.docx", "A 58734-2025")</f>
        <v/>
      </c>
    </row>
    <row r="41" ht="15" customHeight="1">
      <c r="A41" t="inlineStr">
        <is>
          <t>A 50776-2024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45602</v>
      </c>
      <c r="E41" s="1" t="n">
        <v>46281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15.5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Nattviol</t>
        </is>
      </c>
      <c r="W41">
        <f>HYPERLINK("https://klasma.github.io/Logging_1782/artfynd/A 50776-2024 artfynd.xlsx", "A 50776-2024")</f>
        <v/>
      </c>
      <c r="X41">
        <f>HYPERLINK("https://klasma.github.io/Logging_1782/kartor/A 50776-2024 karta.png", "A 50776-2024")</f>
        <v/>
      </c>
      <c r="Y41">
        <f>HYPERLINK("https://klasma.github.io/Logging_1782/kartor_geotiff/A 50776-2024 georefererad karta.tif", "A 50776-2024")</f>
        <v/>
      </c>
      <c r="AA41">
        <f>HYPERLINK("https://klasma.github.io/Logging_1782/klagomål/A 50776-2024 FSC-klagomål.docx", "A 50776-2024")</f>
        <v/>
      </c>
      <c r="AB41">
        <f>HYPERLINK("https://klasma.github.io/Logging_1782/klagomålsmail/A 50776-2024 FSC-klagomål mail.docx", "A 50776-2024")</f>
        <v/>
      </c>
      <c r="AC41">
        <f>HYPERLINK("https://klasma.github.io/Logging_1782/tillsyn/A 50776-2024 tillsynsbegäran.docx", "A 50776-2024")</f>
        <v/>
      </c>
      <c r="AD41">
        <f>HYPERLINK("https://klasma.github.io/Logging_1782/tillsynsmail/A 50776-2024 tillsynsbegäran mail.docx", "A 50776-2024")</f>
        <v/>
      </c>
    </row>
    <row r="42" ht="15" customHeight="1">
      <c r="A42" t="inlineStr">
        <is>
          <t>A 46978-2023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45195</v>
      </c>
      <c r="E42" s="1" t="n">
        <v>46281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Nattviol</t>
        </is>
      </c>
      <c r="W42">
        <f>HYPERLINK("https://klasma.github.io/Logging_1782/artfynd/A 46978-2023 artfynd.xlsx", "A 46978-2023")</f>
        <v/>
      </c>
      <c r="X42">
        <f>HYPERLINK("https://klasma.github.io/Logging_1782/kartor/A 46978-2023 karta.png", "A 46978-2023")</f>
        <v/>
      </c>
      <c r="Y42">
        <f>HYPERLINK("https://klasma.github.io/Logging_1782/kartor_geotiff/A 46978-2023 georefererad karta.tif", "A 46978-2023")</f>
        <v/>
      </c>
      <c r="AA42">
        <f>HYPERLINK("https://klasma.github.io/Logging_1782/klagomål/A 46978-2023 FSC-klagomål.docx", "A 46978-2023")</f>
        <v/>
      </c>
      <c r="AB42">
        <f>HYPERLINK("https://klasma.github.io/Logging_1782/klagomålsmail/A 46978-2023 FSC-klagomål mail.docx", "A 46978-2023")</f>
        <v/>
      </c>
      <c r="AC42">
        <f>HYPERLINK("https://klasma.github.io/Logging_1782/tillsyn/A 46978-2023 tillsynsbegäran.docx", "A 46978-2023")</f>
        <v/>
      </c>
      <c r="AD42">
        <f>HYPERLINK("https://klasma.github.io/Logging_1782/tillsynsmail/A 46978-2023 tillsynsbegäran mail.docx", "A 46978-2023")</f>
        <v/>
      </c>
    </row>
    <row r="43" ht="15" customHeight="1">
      <c r="A43" t="inlineStr">
        <is>
          <t>A 4560-2025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45687</v>
      </c>
      <c r="E43" s="1" t="n">
        <v>46281</v>
      </c>
      <c r="F43" t="inlineStr">
        <is>
          <t>VÄRMLANDS LÄN</t>
        </is>
      </c>
      <c r="G43" t="inlineStr">
        <is>
          <t>FILIPSTAD</t>
        </is>
      </c>
      <c r="I43" t="n">
        <v>13.6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Skrovlig taggsvamp</t>
        </is>
      </c>
      <c r="W43">
        <f>HYPERLINK("https://klasma.github.io/Logging_1782/artfynd/A 4560-2025 artfynd.xlsx", "A 4560-2025")</f>
        <v/>
      </c>
      <c r="X43">
        <f>HYPERLINK("https://klasma.github.io/Logging_1782/kartor/A 4560-2025 karta.png", "A 4560-2025")</f>
        <v/>
      </c>
      <c r="Y43">
        <f>HYPERLINK("https://klasma.github.io/Logging_1782/kartor_geotiff/A 4560-2025 georefererad karta.tif", "A 4560-2025")</f>
        <v/>
      </c>
      <c r="AA43">
        <f>HYPERLINK("https://klasma.github.io/Logging_1782/klagomål/A 4560-2025 FSC-klagomål.docx", "A 4560-2025")</f>
        <v/>
      </c>
      <c r="AB43">
        <f>HYPERLINK("https://klasma.github.io/Logging_1782/klagomålsmail/A 4560-2025 FSC-klagomål mail.docx", "A 4560-2025")</f>
        <v/>
      </c>
      <c r="AC43">
        <f>HYPERLINK("https://klasma.github.io/Logging_1782/tillsyn/A 4560-2025 tillsynsbegäran.docx", "A 4560-2025")</f>
        <v/>
      </c>
      <c r="AD43">
        <f>HYPERLINK("https://klasma.github.io/Logging_1782/tillsynsmail/A 4560-2025 tillsynsbegäran mail.docx", "A 4560-2025")</f>
        <v/>
      </c>
    </row>
    <row r="44" ht="15" customHeight="1">
      <c r="A44" t="inlineStr">
        <is>
          <t>A 18138-2022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44684</v>
      </c>
      <c r="E44" s="1" t="n">
        <v>46281</v>
      </c>
      <c r="F44" t="inlineStr">
        <is>
          <t>VÄRMLANDS LÄN</t>
        </is>
      </c>
      <c r="G44" t="inlineStr">
        <is>
          <t>FILIPSTAD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HYPERLINK("https://klasma.github.io/Logging_1782/artfynd/A 18138-2022 artfynd.xlsx", "A 18138-2022")</f>
        <v/>
      </c>
      <c r="X44">
        <f>HYPERLINK("https://klasma.github.io/Logging_1782/kartor/A 18138-2022 karta.png", "A 18138-2022")</f>
        <v/>
      </c>
      <c r="Y44">
        <f>HYPERLINK("https://klasma.github.io/Logging_1782/kartor_geotiff/A 18138-2022 georefererad karta.tif", "A 18138-2022")</f>
        <v/>
      </c>
      <c r="AA44">
        <f>HYPERLINK("https://klasma.github.io/Logging_1782/klagomål/A 18138-2022 FSC-klagomål.docx", "A 18138-2022")</f>
        <v/>
      </c>
      <c r="AB44">
        <f>HYPERLINK("https://klasma.github.io/Logging_1782/klagomålsmail/A 18138-2022 FSC-klagomål mail.docx", "A 18138-2022")</f>
        <v/>
      </c>
      <c r="AC44">
        <f>HYPERLINK("https://klasma.github.io/Logging_1782/tillsyn/A 18138-2022 tillsynsbegäran.docx", "A 18138-2022")</f>
        <v/>
      </c>
      <c r="AD44">
        <f>HYPERLINK("https://klasma.github.io/Logging_1782/tillsynsmail/A 18138-2022 tillsynsbegäran mail.docx", "A 18138-2022")</f>
        <v/>
      </c>
    </row>
    <row r="45" ht="15" customHeight="1">
      <c r="A45" t="inlineStr">
        <is>
          <t>A 25862-2026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46281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Talltaggsvamp</t>
        </is>
      </c>
      <c r="W45">
        <f>HYPERLINK("https://klasma.github.io/Logging_1782/artfynd/A 25862-2026 artfynd.xlsx", "A 25862-2026")</f>
        <v/>
      </c>
      <c r="X45">
        <f>HYPERLINK("https://klasma.github.io/Logging_1782/kartor/A 25862-2026 karta.png", "A 25862-2026")</f>
        <v/>
      </c>
      <c r="Y45">
        <f>HYPERLINK("https://klasma.github.io/Logging_1782/kartor_geotiff/A 25862-2026 georefererad karta.tif", "A 25862-2026")</f>
        <v/>
      </c>
      <c r="AA45">
        <f>HYPERLINK("https://klasma.github.io/Logging_1782/klagomål/A 25862-2026 FSC-klagomål.docx", "A 25862-2026")</f>
        <v/>
      </c>
      <c r="AB45">
        <f>HYPERLINK("https://klasma.github.io/Logging_1782/klagomålsmail/A 25862-2026 FSC-klagomål mail.docx", "A 25862-2026")</f>
        <v/>
      </c>
      <c r="AC45">
        <f>HYPERLINK("https://klasma.github.io/Logging_1782/tillsyn/A 25862-2026 tillsynsbegäran.docx", "A 25862-2026")</f>
        <v/>
      </c>
      <c r="AD45">
        <f>HYPERLINK("https://klasma.github.io/Logging_1782/tillsynsmail/A 25862-2026 tillsynsbegäran mail.docx", "A 25862-2026")</f>
        <v/>
      </c>
    </row>
    <row r="46" ht="15" customHeight="1">
      <c r="A46" t="inlineStr">
        <is>
          <t>A 5992-2023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44959</v>
      </c>
      <c r="E46" s="1" t="n">
        <v>46281</v>
      </c>
      <c r="F46" t="inlineStr">
        <is>
          <t>VÄRMLANDS LÄN</t>
        </is>
      </c>
      <c r="G46" t="inlineStr">
        <is>
          <t>FILIPSTAD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HYPERLINK("https://klasma.github.io/Logging_1782/artfynd/A 5992-2023 artfynd.xlsx", "A 5992-2023")</f>
        <v/>
      </c>
      <c r="X46">
        <f>HYPERLINK("https://klasma.github.io/Logging_1782/kartor/A 5992-2023 karta.png", "A 5992-2023")</f>
        <v/>
      </c>
      <c r="Y46">
        <f>HYPERLINK("https://klasma.github.io/Logging_1782/kartor_geotiff/A 5992-2023 georefererad karta.tif", "A 5992-2023")</f>
        <v/>
      </c>
      <c r="AA46">
        <f>HYPERLINK("https://klasma.github.io/Logging_1782/klagomål/A 5992-2023 FSC-klagomål.docx", "A 5992-2023")</f>
        <v/>
      </c>
      <c r="AB46">
        <f>HYPERLINK("https://klasma.github.io/Logging_1782/klagomålsmail/A 5992-2023 FSC-klagomål mail.docx", "A 5992-2023")</f>
        <v/>
      </c>
      <c r="AC46">
        <f>HYPERLINK("https://klasma.github.io/Logging_1782/tillsyn/A 5992-2023 tillsynsbegäran.docx", "A 5992-2023")</f>
        <v/>
      </c>
      <c r="AD46">
        <f>HYPERLINK("https://klasma.github.io/Logging_1782/tillsynsmail/A 5992-2023 tillsynsbegäran mail.docx", "A 5992-2023")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46281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30988-2026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46213</v>
      </c>
      <c r="E48" s="1" t="n">
        <v>46281</v>
      </c>
      <c r="F48" t="inlineStr">
        <is>
          <t>VÄRMLANDS LÄN</t>
        </is>
      </c>
      <c r="G48" t="inlineStr">
        <is>
          <t>FILIPSTAD</t>
        </is>
      </c>
      <c r="I48" t="n">
        <v>2.4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Skuggblåslav</t>
        </is>
      </c>
      <c r="W48">
        <f>HYPERLINK("https://klasma.github.io/Logging_1782/artfynd/A 30988-2026 artfynd.xlsx", "A 30988-2026")</f>
        <v/>
      </c>
      <c r="X48">
        <f>HYPERLINK("https://klasma.github.io/Logging_1782/kartor/A 30988-2026 karta.png", "A 30988-2026")</f>
        <v/>
      </c>
      <c r="Y48">
        <f>HYPERLINK("https://klasma.github.io/Logging_1782/kartor_geotiff/A 30988-2026 georefererad karta.tif", "A 30988-2026")</f>
        <v/>
      </c>
      <c r="AA48">
        <f>HYPERLINK("https://klasma.github.io/Logging_1782/klagomål/A 30988-2026 FSC-klagomål.docx", "A 30988-2026")</f>
        <v/>
      </c>
      <c r="AB48">
        <f>HYPERLINK("https://klasma.github.io/Logging_1782/klagomålsmail/A 30988-2026 FSC-klagomål mail.docx", "A 30988-2026")</f>
        <v/>
      </c>
      <c r="AC48">
        <f>HYPERLINK("https://klasma.github.io/Logging_1782/tillsyn/A 30988-2026 tillsynsbegäran.docx", "A 30988-2026")</f>
        <v/>
      </c>
      <c r="AD48">
        <f>HYPERLINK("https://klasma.github.io/Logging_1782/tillsynsmail/A 30988-2026 tillsynsbegäran mail.docx", "A 30988-2026")</f>
        <v/>
      </c>
    </row>
    <row r="49" ht="15" customHeight="1">
      <c r="A49" t="inlineStr">
        <is>
          <t>A 31257-2026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46281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10.2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Gräsull</t>
        </is>
      </c>
      <c r="W49">
        <f>HYPERLINK("https://klasma.github.io/Logging_1782/artfynd/A 31257-2026 artfynd.xlsx", "A 31257-2026")</f>
        <v/>
      </c>
      <c r="X49">
        <f>HYPERLINK("https://klasma.github.io/Logging_1782/kartor/A 31257-2026 karta.png", "A 31257-2026")</f>
        <v/>
      </c>
      <c r="Y49">
        <f>HYPERLINK("https://klasma.github.io/Logging_1782/kartor_geotiff/A 31257-2026 georefererad karta.tif", "A 31257-2026")</f>
        <v/>
      </c>
      <c r="AA49">
        <f>HYPERLINK("https://klasma.github.io/Logging_1782/klagomål/A 31257-2026 FSC-klagomål.docx", "A 31257-2026")</f>
        <v/>
      </c>
      <c r="AB49">
        <f>HYPERLINK("https://klasma.github.io/Logging_1782/klagomålsmail/A 31257-2026 FSC-klagomål mail.docx", "A 31257-2026")</f>
        <v/>
      </c>
      <c r="AC49">
        <f>HYPERLINK("https://klasma.github.io/Logging_1782/tillsyn/A 31257-2026 tillsynsbegäran.docx", "A 31257-2026")</f>
        <v/>
      </c>
      <c r="AD49">
        <f>HYPERLINK("https://klasma.github.io/Logging_1782/tillsynsmail/A 31257-2026 tillsynsbegäran mail.docx", "A 31257-2026")</f>
        <v/>
      </c>
    </row>
    <row r="50" ht="15" customHeight="1">
      <c r="A50" t="inlineStr">
        <is>
          <t>A 874-2025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45665</v>
      </c>
      <c r="E50" s="1" t="n">
        <v>46281</v>
      </c>
      <c r="F50" t="inlineStr">
        <is>
          <t>VÄRMLANDS LÄN</t>
        </is>
      </c>
      <c r="G50" t="inlineStr">
        <is>
          <t>FILIPSTAD</t>
        </is>
      </c>
      <c r="H50" t="inlineStr">
        <is>
          <t>Kyrkan</t>
        </is>
      </c>
      <c r="I50" t="n">
        <v>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Kamjordstjärna</t>
        </is>
      </c>
      <c r="W50">
        <f>HYPERLINK("https://klasma.github.io/Logging_1782/artfynd/A 874-2025 artfynd.xlsx", "A 874-2025")</f>
        <v/>
      </c>
      <c r="X50">
        <f>HYPERLINK("https://klasma.github.io/Logging_1782/kartor/A 874-2025 karta.png", "A 874-2025")</f>
        <v/>
      </c>
      <c r="Y50">
        <f>HYPERLINK("https://klasma.github.io/Logging_1782/kartor_geotiff/A 874-2025 georefererad karta.tif", "A 874-2025")</f>
        <v/>
      </c>
      <c r="AA50">
        <f>HYPERLINK("https://klasma.github.io/Logging_1782/klagomål/A 874-2025 FSC-klagomål.docx", "A 874-2025")</f>
        <v/>
      </c>
      <c r="AB50">
        <f>HYPERLINK("https://klasma.github.io/Logging_1782/klagomålsmail/A 874-2025 FSC-klagomål mail.docx", "A 874-2025")</f>
        <v/>
      </c>
      <c r="AC50">
        <f>HYPERLINK("https://klasma.github.io/Logging_1782/tillsyn/A 874-2025 tillsynsbegäran.docx", "A 874-2025")</f>
        <v/>
      </c>
      <c r="AD50">
        <f>HYPERLINK("https://klasma.github.io/Logging_1782/tillsynsmail/A 874-2025 tillsynsbegäran mail.docx", "A 874-2025")</f>
        <v/>
      </c>
    </row>
    <row r="51" ht="15" customHeight="1">
      <c r="A51" t="inlineStr">
        <is>
          <t>A 1346-2025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45667</v>
      </c>
      <c r="E51" s="1" t="n">
        <v>46281</v>
      </c>
      <c r="F51" t="inlineStr">
        <is>
          <t>VÄRMLANDS LÄN</t>
        </is>
      </c>
      <c r="G51" t="inlineStr">
        <is>
          <t>FILIPSTAD</t>
        </is>
      </c>
      <c r="H51" t="inlineStr">
        <is>
          <t>Kommuner</t>
        </is>
      </c>
      <c r="I51" t="n">
        <v>6.9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Fläcknycklar</t>
        </is>
      </c>
      <c r="W51">
        <f>HYPERLINK("https://klasma.github.io/Logging_1782/artfynd/A 1346-2025 artfynd.xlsx", "A 1346-2025")</f>
        <v/>
      </c>
      <c r="X51">
        <f>HYPERLINK("https://klasma.github.io/Logging_1782/kartor/A 1346-2025 karta.png", "A 1346-2025")</f>
        <v/>
      </c>
      <c r="Y51">
        <f>HYPERLINK("https://klasma.github.io/Logging_1782/kartor_geotiff/A 1346-2025 georefererad karta.tif", "A 1346-2025")</f>
        <v/>
      </c>
      <c r="AA51">
        <f>HYPERLINK("https://klasma.github.io/Logging_1782/klagomål/A 1346-2025 FSC-klagomål.docx", "A 1346-2025")</f>
        <v/>
      </c>
      <c r="AB51">
        <f>HYPERLINK("https://klasma.github.io/Logging_1782/klagomålsmail/A 1346-2025 FSC-klagomål mail.docx", "A 1346-2025")</f>
        <v/>
      </c>
      <c r="AC51">
        <f>HYPERLINK("https://klasma.github.io/Logging_1782/tillsyn/A 1346-2025 tillsynsbegäran.docx", "A 1346-2025")</f>
        <v/>
      </c>
      <c r="AD51">
        <f>HYPERLINK("https://klasma.github.io/Logging_1782/tillsynsmail/A 1346-2025 tillsynsbegäran mail.docx", "A 1346-2025")</f>
        <v/>
      </c>
    </row>
    <row r="52" ht="15" customHeight="1">
      <c r="A52" t="inlineStr">
        <is>
          <t>A 11453-2025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45726</v>
      </c>
      <c r="E52" s="1" t="n">
        <v>46281</v>
      </c>
      <c r="F52" t="inlineStr">
        <is>
          <t>VÄRMLANDS LÄN</t>
        </is>
      </c>
      <c r="G52" t="inlineStr">
        <is>
          <t>FILIPSTAD</t>
        </is>
      </c>
      <c r="I52" t="n">
        <v>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Purpurknipprot</t>
        </is>
      </c>
      <c r="W52">
        <f>HYPERLINK("https://klasma.github.io/Logging_1782/artfynd/A 11453-2025 artfynd.xlsx", "A 11453-2025")</f>
        <v/>
      </c>
      <c r="X52">
        <f>HYPERLINK("https://klasma.github.io/Logging_1782/kartor/A 11453-2025 karta.png", "A 11453-2025")</f>
        <v/>
      </c>
      <c r="Y52">
        <f>HYPERLINK("https://klasma.github.io/Logging_1782/kartor_geotiff/A 11453-2025 georefererad karta.tif", "A 11453-2025")</f>
        <v/>
      </c>
      <c r="AA52">
        <f>HYPERLINK("https://klasma.github.io/Logging_1782/klagomål/A 11453-2025 FSC-klagomål.docx", "A 11453-2025")</f>
        <v/>
      </c>
      <c r="AB52">
        <f>HYPERLINK("https://klasma.github.io/Logging_1782/klagomålsmail/A 11453-2025 FSC-klagomål mail.docx", "A 11453-2025")</f>
        <v/>
      </c>
      <c r="AC52">
        <f>HYPERLINK("https://klasma.github.io/Logging_1782/tillsyn/A 11453-2025 tillsynsbegäran.docx", "A 11453-2025")</f>
        <v/>
      </c>
      <c r="AD52">
        <f>HYPERLINK("https://klasma.github.io/Logging_1782/tillsynsmail/A 11453-2025 tillsynsbegäran mail.docx", "A 11453-2025")</f>
        <v/>
      </c>
    </row>
    <row r="53" ht="15" customHeight="1">
      <c r="A53" t="inlineStr">
        <is>
          <t>A 25916-2025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45804</v>
      </c>
      <c r="E53" s="1" t="n">
        <v>46281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26.4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HYPERLINK("https://klasma.github.io/Logging_1782/artfynd/A 25916-2025 artfynd.xlsx", "A 25916-2025")</f>
        <v/>
      </c>
      <c r="X53">
        <f>HYPERLINK("https://klasma.github.io/Logging_1782/kartor/A 25916-2025 karta.png", "A 25916-2025")</f>
        <v/>
      </c>
      <c r="Y53">
        <f>HYPERLINK("https://klasma.github.io/Logging_1782/kartor_geotiff/A 25916-2025 georefererad karta.tif", "A 25916-2025")</f>
        <v/>
      </c>
      <c r="AA53">
        <f>HYPERLINK("https://klasma.github.io/Logging_1782/klagomål/A 25916-2025 FSC-klagomål.docx", "A 25916-2025")</f>
        <v/>
      </c>
      <c r="AB53">
        <f>HYPERLINK("https://klasma.github.io/Logging_1782/klagomålsmail/A 25916-2025 FSC-klagomål mail.docx", "A 25916-2025")</f>
        <v/>
      </c>
      <c r="AC53">
        <f>HYPERLINK("https://klasma.github.io/Logging_1782/tillsyn/A 25916-2025 tillsynsbegäran.docx", "A 25916-2025")</f>
        <v/>
      </c>
      <c r="AD53">
        <f>HYPERLINK("https://klasma.github.io/Logging_1782/tillsynsmail/A 25916-2025 tillsynsbegäran mail.docx", "A 25916-2025")</f>
        <v/>
      </c>
    </row>
    <row r="54" ht="15" customHeight="1">
      <c r="A54" t="inlineStr">
        <is>
          <t>A 30652-2025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45831</v>
      </c>
      <c r="E54" s="1" t="n">
        <v>46281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4.3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HYPERLINK("https://klasma.github.io/Logging_1782/artfynd/A 30652-2025 artfynd.xlsx", "A 30652-2025")</f>
        <v/>
      </c>
      <c r="X54">
        <f>HYPERLINK("https://klasma.github.io/Logging_1782/kartor/A 30652-2025 karta.png", "A 30652-2025")</f>
        <v/>
      </c>
      <c r="Y54">
        <f>HYPERLINK("https://klasma.github.io/Logging_1782/kartor_geotiff/A 30652-2025 georefererad karta.tif", "A 30652-2025")</f>
        <v/>
      </c>
      <c r="AA54">
        <f>HYPERLINK("https://klasma.github.io/Logging_1782/klagomål/A 30652-2025 FSC-klagomål.docx", "A 30652-2025")</f>
        <v/>
      </c>
      <c r="AB54">
        <f>HYPERLINK("https://klasma.github.io/Logging_1782/klagomålsmail/A 30652-2025 FSC-klagomål mail.docx", "A 30652-2025")</f>
        <v/>
      </c>
      <c r="AC54">
        <f>HYPERLINK("https://klasma.github.io/Logging_1782/tillsyn/A 30652-2025 tillsynsbegäran.docx", "A 30652-2025")</f>
        <v/>
      </c>
      <c r="AD54">
        <f>HYPERLINK("https://klasma.github.io/Logging_1782/tillsynsmail/A 30652-2025 tillsynsbegäran mail.docx", "A 30652-2025")</f>
        <v/>
      </c>
      <c r="AE54">
        <f>HYPERLINK("https://klasma.github.io/Logging_1782/fåglar/A 30652-2025 prioriterade fågelarter.docx", "A 30652-2025")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46281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46281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46281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46281</v>
      </c>
      <c r="F58" t="inlineStr">
        <is>
          <t>VÄRMLANDS LÄN</t>
        </is>
      </c>
      <c r="G58" t="inlineStr">
        <is>
          <t>FILIPSTAD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46281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44460</v>
      </c>
      <c r="E60" s="1" t="n">
        <v>46281</v>
      </c>
      <c r="F60" t="inlineStr">
        <is>
          <t>VÄRMLANDS LÄN</t>
        </is>
      </c>
      <c r="G60" t="inlineStr">
        <is>
          <t>FILIPSTAD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46281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46281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46281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46281</v>
      </c>
      <c r="F64" t="inlineStr">
        <is>
          <t>VÄRMLANDS LÄN</t>
        </is>
      </c>
      <c r="G64" t="inlineStr">
        <is>
          <t>FILIPSTAD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44651</v>
      </c>
      <c r="E65" s="1" t="n">
        <v>46281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18.7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44456</v>
      </c>
      <c r="E66" s="1" t="n">
        <v>46281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46281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44482</v>
      </c>
      <c r="E68" s="1" t="n">
        <v>46281</v>
      </c>
      <c r="F68" t="inlineStr">
        <is>
          <t>VÄRMLANDS LÄN</t>
        </is>
      </c>
      <c r="G68" t="inlineStr">
        <is>
          <t>FILIPSTAD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23063-2022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44719</v>
      </c>
      <c r="E69" s="1" t="n">
        <v>46281</v>
      </c>
      <c r="F69" t="inlineStr">
        <is>
          <t>VÄRMLANDS LÄN</t>
        </is>
      </c>
      <c r="G69" t="inlineStr">
        <is>
          <t>FILIPSTAD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46281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32680-2022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44783</v>
      </c>
      <c r="E71" s="1" t="n">
        <v>46281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30.5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46281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44799</v>
      </c>
      <c r="E73" s="1" t="n">
        <v>46281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19626-2022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44694</v>
      </c>
      <c r="E74" s="1" t="n">
        <v>46281</v>
      </c>
      <c r="F74" t="inlineStr">
        <is>
          <t>VÄRMLANDS LÄN</t>
        </is>
      </c>
      <c r="G74" t="inlineStr">
        <is>
          <t>FILIPSTAD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46281</v>
      </c>
      <c r="F75" t="inlineStr">
        <is>
          <t>VÄRMLANDS LÄN</t>
        </is>
      </c>
      <c r="G75" t="inlineStr">
        <is>
          <t>FILIPSTAD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14074-2022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44651</v>
      </c>
      <c r="E76" s="1" t="n">
        <v>46281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66376-2021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46281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9.800000000000001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19030-2022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44691</v>
      </c>
      <c r="E78" s="1" t="n">
        <v>46281</v>
      </c>
      <c r="F78" t="inlineStr">
        <is>
          <t>VÄRMLANDS LÄN</t>
        </is>
      </c>
      <c r="G78" t="inlineStr">
        <is>
          <t>FILIPSTAD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57588-2023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46281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14582-2022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44655</v>
      </c>
      <c r="E80" s="1" t="n">
        <v>46281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45700</v>
      </c>
      <c r="E81" s="1" t="n">
        <v>46281</v>
      </c>
      <c r="F81" t="inlineStr">
        <is>
          <t>VÄRMLANDS LÄN</t>
        </is>
      </c>
      <c r="G81" t="inlineStr">
        <is>
          <t>FILIPSTAD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47536-2023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45203</v>
      </c>
      <c r="E82" s="1" t="n">
        <v>46281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44467</v>
      </c>
      <c r="E83" s="1" t="n">
        <v>46281</v>
      </c>
      <c r="F83" t="inlineStr">
        <is>
          <t>VÄRMLANDS LÄN</t>
        </is>
      </c>
      <c r="G83" t="inlineStr">
        <is>
          <t>FILIPSTAD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44511</v>
      </c>
      <c r="E84" s="1" t="n">
        <v>46281</v>
      </c>
      <c r="F84" t="inlineStr">
        <is>
          <t>VÄRMLANDS LÄN</t>
        </is>
      </c>
      <c r="G84" t="inlineStr">
        <is>
          <t>FILIPSTAD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6860-2024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45342</v>
      </c>
      <c r="E85" s="1" t="n">
        <v>46281</v>
      </c>
      <c r="F85" t="inlineStr">
        <is>
          <t>VÄRMLANDS LÄN</t>
        </is>
      </c>
      <c r="G85" t="inlineStr">
        <is>
          <t>FILIPSTAD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45159</v>
      </c>
      <c r="E86" s="1" t="n">
        <v>46281</v>
      </c>
      <c r="F86" t="inlineStr">
        <is>
          <t>VÄRMLANDS LÄN</t>
        </is>
      </c>
      <c r="G86" t="inlineStr">
        <is>
          <t>FILIPSTAD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43233-2023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45180</v>
      </c>
      <c r="E87" s="1" t="n">
        <v>46281</v>
      </c>
      <c r="F87" t="inlineStr">
        <is>
          <t>VÄRMLANDS LÄN</t>
        </is>
      </c>
      <c r="G87" t="inlineStr">
        <is>
          <t>FILIPSTAD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45407</v>
      </c>
      <c r="E88" s="1" t="n">
        <v>46281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57087-2021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46281</v>
      </c>
      <c r="F89" t="inlineStr">
        <is>
          <t>VÄRMLANDS LÄN</t>
        </is>
      </c>
      <c r="G89" t="inlineStr">
        <is>
          <t>FILIPSTAD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44598</v>
      </c>
      <c r="E90" s="1" t="n">
        <v>46281</v>
      </c>
      <c r="F90" t="inlineStr">
        <is>
          <t>VÄRMLANDS LÄN</t>
        </is>
      </c>
      <c r="G90" t="inlineStr">
        <is>
          <t>FILIPSTAD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13918-2024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45391</v>
      </c>
      <c r="E91" s="1" t="n">
        <v>46281</v>
      </c>
      <c r="F91" t="inlineStr">
        <is>
          <t>VÄRMLANDS LÄN</t>
        </is>
      </c>
      <c r="G91" t="inlineStr">
        <is>
          <t>FILIPSTAD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45453</v>
      </c>
      <c r="E92" s="1" t="n">
        <v>46281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45096</v>
      </c>
      <c r="E93" s="1" t="n">
        <v>46281</v>
      </c>
      <c r="F93" t="inlineStr">
        <is>
          <t>VÄRMLANDS LÄN</t>
        </is>
      </c>
      <c r="G93" t="inlineStr">
        <is>
          <t>FILIPSTAD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45428</v>
      </c>
      <c r="E94" s="1" t="n">
        <v>46281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46281</v>
      </c>
      <c r="F95" t="inlineStr">
        <is>
          <t>VÄRMLANDS LÄN</t>
        </is>
      </c>
      <c r="G95" t="inlineStr">
        <is>
          <t>FILIPSTAD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45230</v>
      </c>
      <c r="E96" s="1" t="n">
        <v>46281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45223</v>
      </c>
      <c r="E97" s="1" t="n">
        <v>46281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27107-2024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45471</v>
      </c>
      <c r="E98" s="1" t="n">
        <v>46281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38175-2025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45882</v>
      </c>
      <c r="E99" s="1" t="n">
        <v>46281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45408</v>
      </c>
      <c r="E100" s="1" t="n">
        <v>46281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46281</v>
      </c>
      <c r="F101" t="inlineStr">
        <is>
          <t>VÄRMLANDS LÄN</t>
        </is>
      </c>
      <c r="G101" t="inlineStr">
        <is>
          <t>FILIPSTAD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46281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43635-2023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45186</v>
      </c>
      <c r="E103" s="1" t="n">
        <v>46281</v>
      </c>
      <c r="F103" t="inlineStr">
        <is>
          <t>VÄRMLANDS LÄN</t>
        </is>
      </c>
      <c r="G103" t="inlineStr">
        <is>
          <t>FILIPSTAD</t>
        </is>
      </c>
      <c r="I103" t="n">
        <v>15.3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12837-2024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45384</v>
      </c>
      <c r="E104" s="1" t="n">
        <v>46281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16103-2025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45750</v>
      </c>
      <c r="E105" s="1" t="n">
        <v>46281</v>
      </c>
      <c r="F105" t="inlineStr">
        <is>
          <t>VÄRMLANDS LÄN</t>
        </is>
      </c>
      <c r="G105" t="inlineStr">
        <is>
          <t>FILIPSTAD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53690-2022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44880</v>
      </c>
      <c r="E106" s="1" t="n">
        <v>46281</v>
      </c>
      <c r="F106" t="inlineStr">
        <is>
          <t>VÄRMLANDS LÄN</t>
        </is>
      </c>
      <c r="G106" t="inlineStr">
        <is>
          <t>FILIPSTAD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36251-2022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44803</v>
      </c>
      <c r="E107" s="1" t="n">
        <v>46281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51266-2021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44461</v>
      </c>
      <c r="E108" s="1" t="n">
        <v>46281</v>
      </c>
      <c r="F108" t="inlineStr">
        <is>
          <t>VÄRMLANDS LÄN</t>
        </is>
      </c>
      <c r="G108" t="inlineStr">
        <is>
          <t>FILIPSTAD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45267</v>
      </c>
      <c r="E109" s="1" t="n">
        <v>46281</v>
      </c>
      <c r="F109" t="inlineStr">
        <is>
          <t>VÄRMLANDS LÄN</t>
        </is>
      </c>
      <c r="G109" t="inlineStr">
        <is>
          <t>FILIPSTAD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46281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46257-2022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44847</v>
      </c>
      <c r="E111" s="1" t="n">
        <v>46281</v>
      </c>
      <c r="F111" t="inlineStr">
        <is>
          <t>VÄRMLANDS LÄN</t>
        </is>
      </c>
      <c r="G111" t="inlineStr">
        <is>
          <t>FILIPSTAD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44805</v>
      </c>
      <c r="E112" s="1" t="n">
        <v>46281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46281</v>
      </c>
      <c r="F113" t="inlineStr">
        <is>
          <t>VÄRMLANDS LÄN</t>
        </is>
      </c>
      <c r="G113" t="inlineStr">
        <is>
          <t>FILIPSTAD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45257</v>
      </c>
      <c r="E114" s="1" t="n">
        <v>46281</v>
      </c>
      <c r="F114" t="inlineStr">
        <is>
          <t>VÄRMLANDS LÄN</t>
        </is>
      </c>
      <c r="G114" t="inlineStr">
        <is>
          <t>FILIPSTAD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17788-2024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45418</v>
      </c>
      <c r="E115" s="1" t="n">
        <v>46281</v>
      </c>
      <c r="F115" t="inlineStr">
        <is>
          <t>VÄRMLANDS LÄN</t>
        </is>
      </c>
      <c r="G115" t="inlineStr">
        <is>
          <t>FILIPSTAD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57244-2023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45245</v>
      </c>
      <c r="E116" s="1" t="n">
        <v>46281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25338-2023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45087</v>
      </c>
      <c r="E117" s="1" t="n">
        <v>46281</v>
      </c>
      <c r="F117" t="inlineStr">
        <is>
          <t>VÄRMLANDS LÄN</t>
        </is>
      </c>
      <c r="G117" t="inlineStr">
        <is>
          <t>FILIPSTAD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45244</v>
      </c>
      <c r="E118" s="1" t="n">
        <v>46281</v>
      </c>
      <c r="F118" t="inlineStr">
        <is>
          <t>VÄRMLANDS LÄN</t>
        </is>
      </c>
      <c r="G118" t="inlineStr">
        <is>
          <t>FILIPSTAD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25468-2024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45463</v>
      </c>
      <c r="E119" s="1" t="n">
        <v>46281</v>
      </c>
      <c r="F119" t="inlineStr">
        <is>
          <t>VÄRMLANDS LÄN</t>
        </is>
      </c>
      <c r="G119" t="inlineStr">
        <is>
          <t>FILIPSTAD</t>
        </is>
      </c>
      <c r="I119" t="n">
        <v>13.2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32185-2024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45511</v>
      </c>
      <c r="E120" s="1" t="n">
        <v>46281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12216-2026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46087</v>
      </c>
      <c r="E121" s="1" t="n">
        <v>46281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32262-2023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45120</v>
      </c>
      <c r="E122" s="1" t="n">
        <v>46281</v>
      </c>
      <c r="F122" t="inlineStr">
        <is>
          <t>VÄRMLANDS LÄN</t>
        </is>
      </c>
      <c r="G122" t="inlineStr">
        <is>
          <t>FILIPSTAD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27400-2024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45474</v>
      </c>
      <c r="E123" s="1" t="n">
        <v>46281</v>
      </c>
      <c r="F123" t="inlineStr">
        <is>
          <t>VÄRMLANDS LÄN</t>
        </is>
      </c>
      <c r="G123" t="inlineStr">
        <is>
          <t>FILIPSTAD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46092</v>
      </c>
      <c r="E124" s="1" t="n">
        <v>46281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12955-2026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46092</v>
      </c>
      <c r="E125" s="1" t="n">
        <v>46281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46094</v>
      </c>
      <c r="E126" s="1" t="n">
        <v>46281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13520-2026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46094</v>
      </c>
      <c r="E127" s="1" t="n">
        <v>46281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13387-2026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46094</v>
      </c>
      <c r="E128" s="1" t="n">
        <v>46281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13553-2026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46094</v>
      </c>
      <c r="E129" s="1" t="n">
        <v>46281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8.9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14268-2024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45393</v>
      </c>
      <c r="E130" s="1" t="n">
        <v>46281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13393-2026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46094</v>
      </c>
      <c r="E131" s="1" t="n">
        <v>46281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13863-2026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46098</v>
      </c>
      <c r="E132" s="1" t="n">
        <v>46281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13955-2026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46098</v>
      </c>
      <c r="E133" s="1" t="n">
        <v>46281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41718-2025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45902</v>
      </c>
      <c r="E134" s="1" t="n">
        <v>46281</v>
      </c>
      <c r="F134" t="inlineStr">
        <is>
          <t>VÄRMLANDS LÄN</t>
        </is>
      </c>
      <c r="G134" t="inlineStr">
        <is>
          <t>FILIPSTAD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14379-2026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46281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44588</v>
      </c>
      <c r="E136" s="1" t="n">
        <v>46281</v>
      </c>
      <c r="F136" t="inlineStr">
        <is>
          <t>VÄRMLANDS LÄN</t>
        </is>
      </c>
      <c r="G136" t="inlineStr">
        <is>
          <t>FILIPSTAD</t>
        </is>
      </c>
      <c r="H136" t="inlineStr">
        <is>
          <t>Kommuner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14315-2026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46099</v>
      </c>
      <c r="E137" s="1" t="n">
        <v>46281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46105</v>
      </c>
      <c r="E138" s="1" t="n">
        <v>46281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45674</v>
      </c>
      <c r="E139" s="1" t="n">
        <v>46281</v>
      </c>
      <c r="F139" t="inlineStr">
        <is>
          <t>VÄRMLANDS LÄN</t>
        </is>
      </c>
      <c r="G139" t="inlineStr">
        <is>
          <t>FILIPSTAD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46281</v>
      </c>
      <c r="F140" t="inlineStr">
        <is>
          <t>VÄRMLANDS LÄN</t>
        </is>
      </c>
      <c r="G140" t="inlineStr">
        <is>
          <t>FILIPSTAD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15848-2026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46107</v>
      </c>
      <c r="E141" s="1" t="n">
        <v>46281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45911</v>
      </c>
      <c r="E142" s="1" t="n">
        <v>46281</v>
      </c>
      <c r="F142" t="inlineStr">
        <is>
          <t>VÄRMLANDS LÄN</t>
        </is>
      </c>
      <c r="G142" t="inlineStr">
        <is>
          <t>FILIPSTAD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46281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46107</v>
      </c>
      <c r="E144" s="1" t="n">
        <v>46281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15889-2026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46107</v>
      </c>
      <c r="E145" s="1" t="n">
        <v>46281</v>
      </c>
      <c r="F145" t="inlineStr">
        <is>
          <t>VÄRMLANDS LÄN</t>
        </is>
      </c>
      <c r="G145" t="inlineStr">
        <is>
          <t>FILIPSTAD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15644-2026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46281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46281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16009-2026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46108</v>
      </c>
      <c r="E148" s="1" t="n">
        <v>46281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16040-2026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46108</v>
      </c>
      <c r="E149" s="1" t="n">
        <v>46281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16050-2026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46108</v>
      </c>
      <c r="E150" s="1" t="n">
        <v>46281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45177</v>
      </c>
      <c r="E151" s="1" t="n">
        <v>46281</v>
      </c>
      <c r="F151" t="inlineStr">
        <is>
          <t>VÄRMLANDS LÄN</t>
        </is>
      </c>
      <c r="G151" t="inlineStr">
        <is>
          <t>FILIPSTAD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46281</v>
      </c>
      <c r="F152" t="inlineStr">
        <is>
          <t>VÄRMLANDS LÄN</t>
        </is>
      </c>
      <c r="G152" t="inlineStr">
        <is>
          <t>FILIPSTAD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17794-2024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45418</v>
      </c>
      <c r="E153" s="1" t="n">
        <v>46281</v>
      </c>
      <c r="F153" t="inlineStr">
        <is>
          <t>VÄRMLANDS LÄN</t>
        </is>
      </c>
      <c r="G153" t="inlineStr">
        <is>
          <t>FILIPSTAD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46114</v>
      </c>
      <c r="E154" s="1" t="n">
        <v>46281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46281</v>
      </c>
      <c r="F155" t="inlineStr">
        <is>
          <t>VÄRMLANDS LÄN</t>
        </is>
      </c>
      <c r="G155" t="inlineStr">
        <is>
          <t>FILIPSTAD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45578</v>
      </c>
      <c r="E156" s="1" t="n">
        <v>46281</v>
      </c>
      <c r="F156" t="inlineStr">
        <is>
          <t>VÄRMLANDS LÄN</t>
        </is>
      </c>
      <c r="G156" t="inlineStr">
        <is>
          <t>FILIPSTAD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17292-2026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46119</v>
      </c>
      <c r="E157" s="1" t="n">
        <v>46281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46281</v>
      </c>
      <c r="F158" t="inlineStr">
        <is>
          <t>VÄRMLANDS LÄN</t>
        </is>
      </c>
      <c r="G158" t="inlineStr">
        <is>
          <t>FILIPSTAD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17278-2026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46119</v>
      </c>
      <c r="E159" s="1" t="n">
        <v>46281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46119</v>
      </c>
      <c r="E160" s="1" t="n">
        <v>46281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17531-2026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46120</v>
      </c>
      <c r="E161" s="1" t="n">
        <v>46281</v>
      </c>
      <c r="F161" t="inlineStr">
        <is>
          <t>VÄRMLANDS LÄN</t>
        </is>
      </c>
      <c r="G161" t="inlineStr">
        <is>
          <t>FILIPSTAD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45924</v>
      </c>
      <c r="E162" s="1" t="n">
        <v>46281</v>
      </c>
      <c r="F162" t="inlineStr">
        <is>
          <t>VÄRMLANDS LÄN</t>
        </is>
      </c>
      <c r="G162" t="inlineStr">
        <is>
          <t>FILIPSTAD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17845-2026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46122</v>
      </c>
      <c r="E163" s="1" t="n">
        <v>46281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53034-2022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44876</v>
      </c>
      <c r="E164" s="1" t="n">
        <v>46281</v>
      </c>
      <c r="F164" t="inlineStr">
        <is>
          <t>VÄRMLANDS LÄN</t>
        </is>
      </c>
      <c r="G164" t="inlineStr">
        <is>
          <t>FILIPSTAD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46122</v>
      </c>
      <c r="E165" s="1" t="n">
        <v>46281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46125</v>
      </c>
      <c r="E166" s="1" t="n">
        <v>46281</v>
      </c>
      <c r="F166" t="inlineStr">
        <is>
          <t>VÄRMLANDS LÄN</t>
        </is>
      </c>
      <c r="G166" t="inlineStr">
        <is>
          <t>FILIPSTAD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69015-2021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44530</v>
      </c>
      <c r="E167" s="1" t="n">
        <v>46281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12.7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45925</v>
      </c>
      <c r="E168" s="1" t="n">
        <v>46281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17900-2026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46122</v>
      </c>
      <c r="E169" s="1" t="n">
        <v>46281</v>
      </c>
      <c r="F169" t="inlineStr">
        <is>
          <t>VÄRMLANDS LÄN</t>
        </is>
      </c>
      <c r="G169" t="inlineStr">
        <is>
          <t>FILIPSTAD</t>
        </is>
      </c>
      <c r="H169" t="inlineStr">
        <is>
          <t>Kommuner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46122</v>
      </c>
      <c r="E170" s="1" t="n">
        <v>46281</v>
      </c>
      <c r="F170" t="inlineStr">
        <is>
          <t>VÄRMLANDS LÄN</t>
        </is>
      </c>
      <c r="G170" t="inlineStr">
        <is>
          <t>FILIPSTAD</t>
        </is>
      </c>
      <c r="H170" t="inlineStr">
        <is>
          <t>Kommuner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46127</v>
      </c>
      <c r="E171" s="1" t="n">
        <v>46281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46281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46906-2025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45929</v>
      </c>
      <c r="E173" s="1" t="n">
        <v>46281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46281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44951</v>
      </c>
      <c r="E175" s="1" t="n">
        <v>46281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18443-2026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46127</v>
      </c>
      <c r="E176" s="1" t="n">
        <v>46281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18530-2026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46127</v>
      </c>
      <c r="E177" s="1" t="n">
        <v>46281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18445-2026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46127</v>
      </c>
      <c r="E178" s="1" t="n">
        <v>46281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46281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18542-2026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46127</v>
      </c>
      <c r="E180" s="1" t="n">
        <v>46281</v>
      </c>
      <c r="F180" t="inlineStr">
        <is>
          <t>VÄRMLANDS LÄN</t>
        </is>
      </c>
      <c r="G180" t="inlineStr">
        <is>
          <t>FILIPSTAD</t>
        </is>
      </c>
      <c r="H180" t="inlineStr">
        <is>
          <t>Kommuner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18376-2026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46126</v>
      </c>
      <c r="E181" s="1" t="n">
        <v>46281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45931</v>
      </c>
      <c r="E182" s="1" t="n">
        <v>46281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36377-2023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45152</v>
      </c>
      <c r="E183" s="1" t="n">
        <v>46281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45932</v>
      </c>
      <c r="E184" s="1" t="n">
        <v>46281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46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47633-2025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46281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46129</v>
      </c>
      <c r="E186" s="1" t="n">
        <v>46281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12.9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46129</v>
      </c>
      <c r="E187" s="1" t="n">
        <v>46281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45229</v>
      </c>
      <c r="E188" s="1" t="n">
        <v>46281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48103-2025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45933</v>
      </c>
      <c r="E189" s="1" t="n">
        <v>46281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18826-2026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46128</v>
      </c>
      <c r="E190" s="1" t="n">
        <v>46281</v>
      </c>
      <c r="F190" t="inlineStr">
        <is>
          <t>VÄRMLANDS LÄN</t>
        </is>
      </c>
      <c r="G190" t="inlineStr">
        <is>
          <t>FILIPSTAD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45223</v>
      </c>
      <c r="E191" s="1" t="n">
        <v>46281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50904-2023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45218</v>
      </c>
      <c r="E192" s="1" t="n">
        <v>46281</v>
      </c>
      <c r="F192" t="inlineStr">
        <is>
          <t>VÄRMLANDS LÄN</t>
        </is>
      </c>
      <c r="G192" t="inlineStr">
        <is>
          <t>FILIPSTAD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45579</v>
      </c>
      <c r="E193" s="1" t="n">
        <v>46281</v>
      </c>
      <c r="F193" t="inlineStr">
        <is>
          <t>VÄRMLANDS LÄN</t>
        </is>
      </c>
      <c r="G193" t="inlineStr">
        <is>
          <t>FILIPSTAD</t>
        </is>
      </c>
      <c r="H193" t="inlineStr">
        <is>
          <t>Kyrkan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19435-2026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46133</v>
      </c>
      <c r="E194" s="1" t="n">
        <v>46281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19676-2026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46134</v>
      </c>
      <c r="E195" s="1" t="n">
        <v>46281</v>
      </c>
      <c r="F195" t="inlineStr">
        <is>
          <t>VÄRMLANDS LÄN</t>
        </is>
      </c>
      <c r="G195" t="inlineStr">
        <is>
          <t>FILIPSTAD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19361-2026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46133</v>
      </c>
      <c r="E196" s="1" t="n">
        <v>46281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46134</v>
      </c>
      <c r="E197" s="1" t="n">
        <v>46281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55397-2022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46281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19669-2026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46134</v>
      </c>
      <c r="E199" s="1" t="n">
        <v>46281</v>
      </c>
      <c r="F199" t="inlineStr">
        <is>
          <t>VÄRMLANDS LÄN</t>
        </is>
      </c>
      <c r="G199" t="inlineStr">
        <is>
          <t>FILIPSTAD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1170-2023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44935</v>
      </c>
      <c r="E200" s="1" t="n">
        <v>46281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20040-2026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46136</v>
      </c>
      <c r="E201" s="1" t="n">
        <v>46281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38075-2025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45882</v>
      </c>
      <c r="E202" s="1" t="n">
        <v>46281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46281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44960</v>
      </c>
      <c r="E204" s="1" t="n">
        <v>46281</v>
      </c>
      <c r="F204" t="inlineStr">
        <is>
          <t>VÄRMLANDS LÄN</t>
        </is>
      </c>
      <c r="G204" t="inlineStr">
        <is>
          <t>FILIPSTAD</t>
        </is>
      </c>
      <c r="H204" t="inlineStr">
        <is>
          <t>Kommuner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20050-2026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46136</v>
      </c>
      <c r="E205" s="1" t="n">
        <v>46281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19882-2026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46135</v>
      </c>
      <c r="E206" s="1" t="n">
        <v>46281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8.800000000000001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51572-2025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46281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18210-2024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45420</v>
      </c>
      <c r="E208" s="1" t="n">
        <v>46281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45951</v>
      </c>
      <c r="E209" s="1" t="n">
        <v>46281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45364</v>
      </c>
      <c r="E210" s="1" t="n">
        <v>46281</v>
      </c>
      <c r="F210" t="inlineStr">
        <is>
          <t>VÄRMLANDS LÄN</t>
        </is>
      </c>
      <c r="G210" t="inlineStr">
        <is>
          <t>FILIPSTAD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46281</v>
      </c>
      <c r="F211" t="inlineStr">
        <is>
          <t>VÄRMLANDS LÄN</t>
        </is>
      </c>
      <c r="G211" t="inlineStr">
        <is>
          <t>FILIPSTAD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46281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52518-2025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45954</v>
      </c>
      <c r="E213" s="1" t="n">
        <v>46281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45901</v>
      </c>
      <c r="E214" s="1" t="n">
        <v>46281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44788</v>
      </c>
      <c r="E215" s="1" t="n">
        <v>46281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57456-2022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44896</v>
      </c>
      <c r="E216" s="1" t="n">
        <v>46281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45790</v>
      </c>
      <c r="E217" s="1" t="n">
        <v>46281</v>
      </c>
      <c r="F217" t="inlineStr">
        <is>
          <t>VÄRMLANDS LÄN</t>
        </is>
      </c>
      <c r="G217" t="inlineStr">
        <is>
          <t>FILIPSTAD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53649-2025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45960</v>
      </c>
      <c r="E218" s="1" t="n">
        <v>46281</v>
      </c>
      <c r="F218" t="inlineStr">
        <is>
          <t>VÄRMLANDS LÄN</t>
        </is>
      </c>
      <c r="G218" t="inlineStr">
        <is>
          <t>FILIPSTAD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46140</v>
      </c>
      <c r="E219" s="1" t="n">
        <v>46281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45959</v>
      </c>
      <c r="E220" s="1" t="n">
        <v>46281</v>
      </c>
      <c r="F220" t="inlineStr">
        <is>
          <t>VÄRMLANDS LÄN</t>
        </is>
      </c>
      <c r="G220" t="inlineStr">
        <is>
          <t>FILIPSTAD</t>
        </is>
      </c>
      <c r="H220" t="inlineStr">
        <is>
          <t>Kyrkan</t>
        </is>
      </c>
      <c r="I220" t="n">
        <v>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46281</v>
      </c>
      <c r="F221" t="inlineStr">
        <is>
          <t>VÄRMLANDS LÄN</t>
        </is>
      </c>
      <c r="G221" t="inlineStr">
        <is>
          <t>FILIPSTAD</t>
        </is>
      </c>
      <c r="H221" t="inlineStr">
        <is>
          <t>Kyrkan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28687-2025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46281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45789</v>
      </c>
      <c r="E223" s="1" t="n">
        <v>46281</v>
      </c>
      <c r="F223" t="inlineStr">
        <is>
          <t>VÄRMLANDS LÄN</t>
        </is>
      </c>
      <c r="G223" t="inlineStr">
        <is>
          <t>FILIPSTAD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55978-2022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44889</v>
      </c>
      <c r="E224" s="1" t="n">
        <v>46281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45617</v>
      </c>
      <c r="E225" s="1" t="n">
        <v>46281</v>
      </c>
      <c r="F225" t="inlineStr">
        <is>
          <t>VÄRMLANDS LÄN</t>
        </is>
      </c>
      <c r="G225" t="inlineStr">
        <is>
          <t>FILIPSTAD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46281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45567</v>
      </c>
      <c r="E227" s="1" t="n">
        <v>46281</v>
      </c>
      <c r="F227" t="inlineStr">
        <is>
          <t>VÄRMLANDS LÄN</t>
        </is>
      </c>
      <c r="G227" t="inlineStr">
        <is>
          <t>FILIPSTAD</t>
        </is>
      </c>
      <c r="H227" t="inlineStr">
        <is>
          <t>Kyrkan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46281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45968</v>
      </c>
      <c r="E229" s="1" t="n">
        <v>46281</v>
      </c>
      <c r="F229" t="inlineStr">
        <is>
          <t>VÄRMLANDS LÄN</t>
        </is>
      </c>
      <c r="G229" t="inlineStr">
        <is>
          <t>FILIPSTAD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55175-2025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45968</v>
      </c>
      <c r="E230" s="1" t="n">
        <v>46281</v>
      </c>
      <c r="F230" t="inlineStr">
        <is>
          <t>VÄRMLANDS LÄN</t>
        </is>
      </c>
      <c r="G230" t="inlineStr">
        <is>
          <t>FILIPSTAD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54080-2025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46281</v>
      </c>
      <c r="F231" t="inlineStr">
        <is>
          <t>VÄRMLANDS LÄN</t>
        </is>
      </c>
      <c r="G231" t="inlineStr">
        <is>
          <t>FILIPSTAD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33379-2025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46281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55514-2025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46281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55579-2025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46281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55668-2025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45972</v>
      </c>
      <c r="E235" s="1" t="n">
        <v>46281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46281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46281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56201-2025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45974</v>
      </c>
      <c r="E238" s="1" t="n">
        <v>46281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56158-2025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45974</v>
      </c>
      <c r="E239" s="1" t="n">
        <v>46281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56167-2025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46281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46281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56184-2025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45974</v>
      </c>
      <c r="E242" s="1" t="n">
        <v>46281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56062-2025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46281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9.199999999999999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56028-2025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46281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37733-2025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45880</v>
      </c>
      <c r="E245" s="1" t="n">
        <v>46281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7.6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45973</v>
      </c>
      <c r="E246" s="1" t="n">
        <v>46281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8.199999999999999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45973</v>
      </c>
      <c r="E247" s="1" t="n">
        <v>46281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33449-2025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45841</v>
      </c>
      <c r="E248" s="1" t="n">
        <v>46281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46281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56045-2025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46281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50856-2022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44867</v>
      </c>
      <c r="E251" s="1" t="n">
        <v>46281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61628-2022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44911</v>
      </c>
      <c r="E252" s="1" t="n">
        <v>46281</v>
      </c>
      <c r="F252" t="inlineStr">
        <is>
          <t>VÄRMLANDS LÄN</t>
        </is>
      </c>
      <c r="G252" t="inlineStr">
        <is>
          <t>FILIPSTAD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43264-2024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45568</v>
      </c>
      <c r="E253" s="1" t="n">
        <v>46281</v>
      </c>
      <c r="F253" t="inlineStr">
        <is>
          <t>VÄRMLANDS LÄN</t>
        </is>
      </c>
      <c r="G253" t="inlineStr">
        <is>
          <t>FILIPSTAD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46281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45978</v>
      </c>
      <c r="E255" s="1" t="n">
        <v>46281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18.8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45253</v>
      </c>
      <c r="E256" s="1" t="n">
        <v>46281</v>
      </c>
      <c r="F256" t="inlineStr">
        <is>
          <t>VÄRMLANDS LÄN</t>
        </is>
      </c>
      <c r="G256" t="inlineStr">
        <is>
          <t>FILIPSTAD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39896-2025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45891</v>
      </c>
      <c r="E257" s="1" t="n">
        <v>46281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44998</v>
      </c>
      <c r="E258" s="1" t="n">
        <v>46281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58019-2025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45982</v>
      </c>
      <c r="E259" s="1" t="n">
        <v>46281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28.4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20663-2024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45436</v>
      </c>
      <c r="E260" s="1" t="n">
        <v>46281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57872-2025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45981</v>
      </c>
      <c r="E261" s="1" t="n">
        <v>46281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32059-2025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45835</v>
      </c>
      <c r="E262" s="1" t="n">
        <v>46281</v>
      </c>
      <c r="F262" t="inlineStr">
        <is>
          <t>VÄRMLANDS LÄN</t>
        </is>
      </c>
      <c r="G262" t="inlineStr">
        <is>
          <t>FILIPSTAD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20661-2026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46141</v>
      </c>
      <c r="E263" s="1" t="n">
        <v>46281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46141</v>
      </c>
      <c r="E264" s="1" t="n">
        <v>46281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58211-2025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45985</v>
      </c>
      <c r="E265" s="1" t="n">
        <v>46281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46281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45988</v>
      </c>
      <c r="E267" s="1" t="n">
        <v>46281</v>
      </c>
      <c r="F267" t="inlineStr">
        <is>
          <t>VÄRMLANDS LÄN</t>
        </is>
      </c>
      <c r="G267" t="inlineStr">
        <is>
          <t>FILIPSTAD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20554-2025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45775</v>
      </c>
      <c r="E268" s="1" t="n">
        <v>46281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46281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20919-2026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46142</v>
      </c>
      <c r="E270" s="1" t="n">
        <v>46281</v>
      </c>
      <c r="F270" t="inlineStr">
        <is>
          <t>VÄRMLANDS LÄN</t>
        </is>
      </c>
      <c r="G270" t="inlineStr">
        <is>
          <t>FILIPSTAD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45867</v>
      </c>
      <c r="E271" s="1" t="n">
        <v>46281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45834</v>
      </c>
      <c r="E272" s="1" t="n">
        <v>46281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45569</v>
      </c>
      <c r="E273" s="1" t="n">
        <v>46281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46281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46142</v>
      </c>
      <c r="E275" s="1" t="n">
        <v>46281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7.9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59712-2025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46281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59707-2025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45992</v>
      </c>
      <c r="E277" s="1" t="n">
        <v>46281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46281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44994</v>
      </c>
      <c r="E279" s="1" t="n">
        <v>46281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24139-2024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45456</v>
      </c>
      <c r="E280" s="1" t="n">
        <v>46281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16067-2026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46108</v>
      </c>
      <c r="E281" s="1" t="n">
        <v>46281</v>
      </c>
      <c r="F281" t="inlineStr">
        <is>
          <t>VÄRMLANDS LÄN</t>
        </is>
      </c>
      <c r="G281" t="inlineStr">
        <is>
          <t>FILIPSTAD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36680-2023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45153</v>
      </c>
      <c r="E282" s="1" t="n">
        <v>46281</v>
      </c>
      <c r="F282" t="inlineStr">
        <is>
          <t>VÄRMLANDS LÄN</t>
        </is>
      </c>
      <c r="G282" t="inlineStr">
        <is>
          <t>FILIPSTAD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59423-2025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45989</v>
      </c>
      <c r="E283" s="1" t="n">
        <v>46281</v>
      </c>
      <c r="F283" t="inlineStr">
        <is>
          <t>VÄRMLANDS LÄN</t>
        </is>
      </c>
      <c r="G283" t="inlineStr">
        <is>
          <t>FILIPSTAD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46281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46281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59929-2025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45993</v>
      </c>
      <c r="E286" s="1" t="n">
        <v>46281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5803-2023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44963</v>
      </c>
      <c r="E287" s="1" t="n">
        <v>46281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45996</v>
      </c>
      <c r="E288" s="1" t="n">
        <v>46281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45995</v>
      </c>
      <c r="E289" s="1" t="n">
        <v>46281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45995</v>
      </c>
      <c r="E290" s="1" t="n">
        <v>46281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60396-2025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46281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21542-2026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46281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22866-2023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45072</v>
      </c>
      <c r="E293" s="1" t="n">
        <v>46281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29473-2024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45484</v>
      </c>
      <c r="E294" s="1" t="n">
        <v>46281</v>
      </c>
      <c r="F294" t="inlineStr">
        <is>
          <t>VÄRMLANDS LÄN</t>
        </is>
      </c>
      <c r="G294" t="inlineStr">
        <is>
          <t>FILIPSTAD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46000</v>
      </c>
      <c r="E295" s="1" t="n">
        <v>46281</v>
      </c>
      <c r="F295" t="inlineStr">
        <is>
          <t>VÄRMLANDS LÄN</t>
        </is>
      </c>
      <c r="G295" t="inlineStr">
        <is>
          <t>FILIPSTAD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46281</v>
      </c>
      <c r="F296" t="inlineStr">
        <is>
          <t>VÄRMLANDS LÄN</t>
        </is>
      </c>
      <c r="G296" t="inlineStr">
        <is>
          <t>FILIPSTAD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61327-2025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46001</v>
      </c>
      <c r="E297" s="1" t="n">
        <v>46281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46281</v>
      </c>
      <c r="F298" t="inlineStr">
        <is>
          <t>VÄRMLANDS LÄN</t>
        </is>
      </c>
      <c r="G298" t="inlineStr">
        <is>
          <t>FILIPSTAD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61482-2025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46001</v>
      </c>
      <c r="E299" s="1" t="n">
        <v>46281</v>
      </c>
      <c r="F299" t="inlineStr">
        <is>
          <t>VÄRMLANDS LÄN</t>
        </is>
      </c>
      <c r="G299" t="inlineStr">
        <is>
          <t>FILIPSTAD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61717-2025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46002</v>
      </c>
      <c r="E300" s="1" t="n">
        <v>46281</v>
      </c>
      <c r="F300" t="inlineStr">
        <is>
          <t>VÄRMLANDS LÄN</t>
        </is>
      </c>
      <c r="G300" t="inlineStr">
        <is>
          <t>FILIPSTAD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61417-2025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46001</v>
      </c>
      <c r="E301" s="1" t="n">
        <v>46281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46002</v>
      </c>
      <c r="E302" s="1" t="n">
        <v>46281</v>
      </c>
      <c r="F302" t="inlineStr">
        <is>
          <t>VÄRMLANDS LÄN</t>
        </is>
      </c>
      <c r="G302" t="inlineStr">
        <is>
          <t>FILIPSTAD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61566-2025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46281</v>
      </c>
      <c r="F303" t="inlineStr">
        <is>
          <t>VÄRMLANDS LÄN</t>
        </is>
      </c>
      <c r="G303" t="inlineStr">
        <is>
          <t>FILIPSTAD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46281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22112-2026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46281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22136-2026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46153</v>
      </c>
      <c r="E306" s="1" t="n">
        <v>46281</v>
      </c>
      <c r="F306" t="inlineStr">
        <is>
          <t>VÄRMLANDS LÄN</t>
        </is>
      </c>
      <c r="G306" t="inlineStr">
        <is>
          <t>FILIPSTAD</t>
        </is>
      </c>
      <c r="I306" t="n">
        <v>10.8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46002</v>
      </c>
      <c r="E307" s="1" t="n">
        <v>46281</v>
      </c>
      <c r="F307" t="inlineStr">
        <is>
          <t>VÄRMLANDS LÄN</t>
        </is>
      </c>
      <c r="G307" t="inlineStr">
        <is>
          <t>FILIPSTAD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46281</v>
      </c>
      <c r="F308" t="inlineStr">
        <is>
          <t>VÄRMLANDS LÄN</t>
        </is>
      </c>
      <c r="G308" t="inlineStr">
        <is>
          <t>FILIPSTAD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61492-2025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46001</v>
      </c>
      <c r="E309" s="1" t="n">
        <v>46281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22201-2026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46281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61391-2025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46281</v>
      </c>
      <c r="F311" t="inlineStr">
        <is>
          <t>VÄRMLANDS LÄN</t>
        </is>
      </c>
      <c r="G311" t="inlineStr">
        <is>
          <t>FILIPSTAD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46153</v>
      </c>
      <c r="E312" s="1" t="n">
        <v>46281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22229-2026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46281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46004</v>
      </c>
      <c r="E314" s="1" t="n">
        <v>46281</v>
      </c>
      <c r="F314" t="inlineStr">
        <is>
          <t>VÄRMLANDS LÄN</t>
        </is>
      </c>
      <c r="G314" t="inlineStr">
        <is>
          <t>FILIPSTAD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46281</v>
      </c>
      <c r="F315" t="inlineStr">
        <is>
          <t>VÄRMLANDS LÄN</t>
        </is>
      </c>
      <c r="G315" t="inlineStr">
        <is>
          <t>FILIPSTAD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10338-2025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45720</v>
      </c>
      <c r="E316" s="1" t="n">
        <v>46281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46004</v>
      </c>
      <c r="E317" s="1" t="n">
        <v>46281</v>
      </c>
      <c r="F317" t="inlineStr">
        <is>
          <t>VÄRMLANDS LÄN</t>
        </is>
      </c>
      <c r="G317" t="inlineStr">
        <is>
          <t>FILIPSTAD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46281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46281</v>
      </c>
      <c r="F319" t="inlineStr">
        <is>
          <t>VÄRMLANDS LÄN</t>
        </is>
      </c>
      <c r="G319" t="inlineStr">
        <is>
          <t>FILIPSTAD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61823-2025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46003</v>
      </c>
      <c r="E320" s="1" t="n">
        <v>46281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62252-2025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46281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62243-2025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46281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46281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46281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22051-2026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46153</v>
      </c>
      <c r="E325" s="1" t="n">
        <v>46281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46281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22152-2026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46281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54127-2023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45232</v>
      </c>
      <c r="E328" s="1" t="n">
        <v>46281</v>
      </c>
      <c r="F328" t="inlineStr">
        <is>
          <t>VÄRMLANDS LÄN</t>
        </is>
      </c>
      <c r="G328" t="inlineStr">
        <is>
          <t>FILIPSTAD</t>
        </is>
      </c>
      <c r="I328" t="n">
        <v>15.5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46010</v>
      </c>
      <c r="E329" s="1" t="n">
        <v>46281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46155</v>
      </c>
      <c r="E330" s="1" t="n">
        <v>46281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44579</v>
      </c>
      <c r="E331" s="1" t="n">
        <v>46281</v>
      </c>
      <c r="F331" t="inlineStr">
        <is>
          <t>VÄRMLANDS LÄN</t>
        </is>
      </c>
      <c r="G331" t="inlineStr">
        <is>
          <t>FILIPSTAD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46014</v>
      </c>
      <c r="E332" s="1" t="n">
        <v>46281</v>
      </c>
      <c r="F332" t="inlineStr">
        <is>
          <t>VÄRMLANDS LÄN</t>
        </is>
      </c>
      <c r="G332" t="inlineStr">
        <is>
          <t>FILIPSTAD</t>
        </is>
      </c>
      <c r="I332" t="n">
        <v>9.9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19705-2025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45771</v>
      </c>
      <c r="E333" s="1" t="n">
        <v>46281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46281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54828-2023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45229</v>
      </c>
      <c r="E335" s="1" t="n">
        <v>46281</v>
      </c>
      <c r="F335" t="inlineStr">
        <is>
          <t>VÄRMLANDS LÄN</t>
        </is>
      </c>
      <c r="G335" t="inlineStr">
        <is>
          <t>FILIPSTAD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51618-2022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44872</v>
      </c>
      <c r="E336" s="1" t="n">
        <v>46281</v>
      </c>
      <c r="F336" t="inlineStr">
        <is>
          <t>VÄRMLANDS LÄN</t>
        </is>
      </c>
      <c r="G336" t="inlineStr">
        <is>
          <t>FILIPSTAD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6728-2025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45700</v>
      </c>
      <c r="E337" s="1" t="n">
        <v>46281</v>
      </c>
      <c r="F337" t="inlineStr">
        <is>
          <t>VÄRMLANDS LÄN</t>
        </is>
      </c>
      <c r="G337" t="inlineStr">
        <is>
          <t>FILIPSTAD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23620-2023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45077</v>
      </c>
      <c r="E338" s="1" t="n">
        <v>46281</v>
      </c>
      <c r="F338" t="inlineStr">
        <is>
          <t>VÄRMLANDS LÄN</t>
        </is>
      </c>
      <c r="G338" t="inlineStr">
        <is>
          <t>FILIPSTAD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45750</v>
      </c>
      <c r="E339" s="1" t="n">
        <v>46281</v>
      </c>
      <c r="F339" t="inlineStr">
        <is>
          <t>VÄRMLANDS LÄN</t>
        </is>
      </c>
      <c r="G339" t="inlineStr">
        <is>
          <t>FILIPSTAD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46281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8.699999999999999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46281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46281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20.3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14459-2023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45012</v>
      </c>
      <c r="E343" s="1" t="n">
        <v>46281</v>
      </c>
      <c r="F343" t="inlineStr">
        <is>
          <t>VÄRMLANDS LÄN</t>
        </is>
      </c>
      <c r="G343" t="inlineStr">
        <is>
          <t>FILIPSTAD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23440-2026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46281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23555-2026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46281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23500-2026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46163</v>
      </c>
      <c r="E346" s="1" t="n">
        <v>46281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46281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23943-2026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46281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49935-2025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45940</v>
      </c>
      <c r="E349" s="1" t="n">
        <v>46281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47455-2023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45202</v>
      </c>
      <c r="E350" s="1" t="n">
        <v>46281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24027-2026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46281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46281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23959-2026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46281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58611-2025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45986</v>
      </c>
      <c r="E354" s="1" t="n">
        <v>46281</v>
      </c>
      <c r="F354" t="inlineStr">
        <is>
          <t>VÄRMLANDS LÄN</t>
        </is>
      </c>
      <c r="G354" t="inlineStr">
        <is>
          <t>FILIPSTAD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23952-2026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46281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23922-2026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46281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23931-2026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46281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9.1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46281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24026-2026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46281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23886-2026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46281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24022-2026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46167</v>
      </c>
      <c r="E361" s="1" t="n">
        <v>46281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46281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23970-2026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46281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9.300000000000001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24288-2026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46169</v>
      </c>
      <c r="E364" s="1" t="n">
        <v>46281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24260-2026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46169</v>
      </c>
      <c r="E365" s="1" t="n">
        <v>46281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11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24291-2026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46169</v>
      </c>
      <c r="E366" s="1" t="n">
        <v>46281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14840-2023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45014</v>
      </c>
      <c r="E367" s="1" t="n">
        <v>46281</v>
      </c>
      <c r="F367" t="inlineStr">
        <is>
          <t>VÄRMLANDS LÄN</t>
        </is>
      </c>
      <c r="G367" t="inlineStr">
        <is>
          <t>FILIPSTAD</t>
        </is>
      </c>
      <c r="H367" t="inlineStr">
        <is>
          <t>Kyrkan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18999-2024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45427</v>
      </c>
      <c r="E368" s="1" t="n">
        <v>46281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24514-2026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46281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24519-2026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46281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46281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46281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46281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46040</v>
      </c>
      <c r="E374" s="1" t="n">
        <v>46281</v>
      </c>
      <c r="F374" t="inlineStr">
        <is>
          <t>VÄRMLANDS LÄN</t>
        </is>
      </c>
      <c r="G374" t="inlineStr">
        <is>
          <t>FILIPSTAD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24452-2026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46170</v>
      </c>
      <c r="E375" s="1" t="n">
        <v>46281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24453-2026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46170</v>
      </c>
      <c r="E376" s="1" t="n">
        <v>46281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24745-2026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46171</v>
      </c>
      <c r="E377" s="1" t="n">
        <v>46281</v>
      </c>
      <c r="F377" t="inlineStr">
        <is>
          <t>VÄRMLANDS LÄN</t>
        </is>
      </c>
      <c r="G377" t="inlineStr">
        <is>
          <t>FILIPSTAD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71971-2021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44544</v>
      </c>
      <c r="E378" s="1" t="n">
        <v>46281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32183-2025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45835</v>
      </c>
      <c r="E379" s="1" t="n">
        <v>46281</v>
      </c>
      <c r="F379" t="inlineStr">
        <is>
          <t>VÄRMLANDS LÄN</t>
        </is>
      </c>
      <c r="G379" t="inlineStr">
        <is>
          <t>FILIPSTAD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16063-2025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45749</v>
      </c>
      <c r="E380" s="1" t="n">
        <v>46281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25375-2023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45088</v>
      </c>
      <c r="E381" s="1" t="n">
        <v>46281</v>
      </c>
      <c r="F381" t="inlineStr">
        <is>
          <t>VÄRMLANDS LÄN</t>
        </is>
      </c>
      <c r="G381" t="inlineStr">
        <is>
          <t>FILIPSTAD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39566-2023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45167</v>
      </c>
      <c r="E382" s="1" t="n">
        <v>46281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19351-2025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45769</v>
      </c>
      <c r="E383" s="1" t="n">
        <v>46281</v>
      </c>
      <c r="F383" t="inlineStr">
        <is>
          <t>VÄRMLANDS LÄN</t>
        </is>
      </c>
      <c r="G383" t="inlineStr">
        <is>
          <t>FILIPSTAD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25205-2026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46281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31306-2023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45114</v>
      </c>
      <c r="E385" s="1" t="n">
        <v>46281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24886-2026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46174</v>
      </c>
      <c r="E386" s="1" t="n">
        <v>46281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25203-2026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46175</v>
      </c>
      <c r="E387" s="1" t="n">
        <v>46281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8.9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46281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45088</v>
      </c>
      <c r="E389" s="1" t="n">
        <v>46281</v>
      </c>
      <c r="F389" t="inlineStr">
        <is>
          <t>VÄRMLANDS LÄN</t>
        </is>
      </c>
      <c r="G389" t="inlineStr">
        <is>
          <t>FILIPSTAD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21593-2023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45063</v>
      </c>
      <c r="E390" s="1" t="n">
        <v>46281</v>
      </c>
      <c r="F390" t="inlineStr">
        <is>
          <t>VÄRMLANDS LÄN</t>
        </is>
      </c>
      <c r="G390" t="inlineStr">
        <is>
          <t>FILIPSTAD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25869-2026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46178</v>
      </c>
      <c r="E391" s="1" t="n">
        <v>46281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6593-2026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46281</v>
      </c>
      <c r="F392" t="inlineStr">
        <is>
          <t>VÄRMLANDS LÄN</t>
        </is>
      </c>
      <c r="G392" t="inlineStr">
        <is>
          <t>FILIPSTAD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6600-2026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46281</v>
      </c>
      <c r="F393" t="inlineStr">
        <is>
          <t>VÄRMLANDS LÄN</t>
        </is>
      </c>
      <c r="G393" t="inlineStr">
        <is>
          <t>FILIPSTAD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9370-2023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44981</v>
      </c>
      <c r="E394" s="1" t="n">
        <v>46281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8.1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26107-2026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46181</v>
      </c>
      <c r="E395" s="1" t="n">
        <v>46281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25769-2026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46281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7430-2026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46059</v>
      </c>
      <c r="E397" s="1" t="n">
        <v>46281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25786-2026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46178</v>
      </c>
      <c r="E398" s="1" t="n">
        <v>46281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46182</v>
      </c>
      <c r="E399" s="1" t="n">
        <v>46281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26323-2026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46182</v>
      </c>
      <c r="E400" s="1" t="n">
        <v>46281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26229-2026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46182</v>
      </c>
      <c r="E401" s="1" t="n">
        <v>46281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8139-2026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46281</v>
      </c>
      <c r="F402" t="inlineStr">
        <is>
          <t>VÄRMLANDS LÄN</t>
        </is>
      </c>
      <c r="G402" t="inlineStr">
        <is>
          <t>FILIPSTAD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26227-2026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46281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46183</v>
      </c>
      <c r="E404" s="1" t="n">
        <v>46281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26298-2026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46182</v>
      </c>
      <c r="E405" s="1" t="n">
        <v>46281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25976-2026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46181</v>
      </c>
      <c r="E406" s="1" t="n">
        <v>46281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26343-2026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46182</v>
      </c>
      <c r="E407" s="1" t="n">
        <v>46281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57212-2023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45245</v>
      </c>
      <c r="E408" s="1" t="n">
        <v>46281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27007-2026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46185</v>
      </c>
      <c r="E409" s="1" t="n">
        <v>46281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27085-2026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46187</v>
      </c>
      <c r="E410" s="1" t="n">
        <v>46281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29426-2023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45106</v>
      </c>
      <c r="E411" s="1" t="n">
        <v>46281</v>
      </c>
      <c r="F411" t="inlineStr">
        <is>
          <t>VÄRMLANDS LÄN</t>
        </is>
      </c>
      <c r="G411" t="inlineStr">
        <is>
          <t>FILIPSTAD</t>
        </is>
      </c>
      <c r="H411" t="inlineStr">
        <is>
          <t>Kyrkan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26549-2026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46183</v>
      </c>
      <c r="E412" s="1" t="n">
        <v>46281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46186</v>
      </c>
      <c r="E413" s="1" t="n">
        <v>46281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46281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10279-2026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46281</v>
      </c>
      <c r="F415" t="inlineStr">
        <is>
          <t>VÄRMLANDS LÄN</t>
        </is>
      </c>
      <c r="G415" t="inlineStr">
        <is>
          <t>FILIPSTAD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62787-2023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45271</v>
      </c>
      <c r="E416" s="1" t="n">
        <v>46281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45741</v>
      </c>
      <c r="E417" s="1" t="n">
        <v>46281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27372-2026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46281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45133</v>
      </c>
      <c r="E419" s="1" t="n">
        <v>46281</v>
      </c>
      <c r="F419" t="inlineStr">
        <is>
          <t>VÄRMLANDS LÄN</t>
        </is>
      </c>
      <c r="G419" t="inlineStr">
        <is>
          <t>FILIPSTAD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54008-2021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44470</v>
      </c>
      <c r="E420" s="1" t="n">
        <v>46281</v>
      </c>
      <c r="F420" t="inlineStr">
        <is>
          <t>VÄRMLANDS LÄN</t>
        </is>
      </c>
      <c r="G420" t="inlineStr">
        <is>
          <t>FILIPSTAD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50786-2024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45602</v>
      </c>
      <c r="E421" s="1" t="n">
        <v>46281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46191</v>
      </c>
      <c r="E422" s="1" t="n">
        <v>46281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44960</v>
      </c>
      <c r="E423" s="1" t="n">
        <v>46281</v>
      </c>
      <c r="F423" t="inlineStr">
        <is>
          <t>VÄRMLANDS LÄN</t>
        </is>
      </c>
      <c r="G423" t="inlineStr">
        <is>
          <t>FILIPSTAD</t>
        </is>
      </c>
      <c r="H423" t="inlineStr">
        <is>
          <t>Kommuner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46281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4819-2023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44957</v>
      </c>
      <c r="E425" s="1" t="n">
        <v>46281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44963</v>
      </c>
      <c r="E426" s="1" t="n">
        <v>46281</v>
      </c>
      <c r="F426" t="inlineStr">
        <is>
          <t>VÄRMLANDS LÄN</t>
        </is>
      </c>
      <c r="G426" t="inlineStr">
        <is>
          <t>FILIPSTAD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14275-2024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45393</v>
      </c>
      <c r="E427" s="1" t="n">
        <v>46281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36809-2022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44805</v>
      </c>
      <c r="E428" s="1" t="n">
        <v>46281</v>
      </c>
      <c r="F428" t="inlineStr">
        <is>
          <t>VÄRMLANDS LÄN</t>
        </is>
      </c>
      <c r="G428" t="inlineStr">
        <is>
          <t>FILIPSTAD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33967-2023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45124</v>
      </c>
      <c r="E429" s="1" t="n">
        <v>46281</v>
      </c>
      <c r="F429" t="inlineStr">
        <is>
          <t>VÄRMLANDS LÄN</t>
        </is>
      </c>
      <c r="G429" t="inlineStr">
        <is>
          <t>FILIPSTAD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33973-2023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45124</v>
      </c>
      <c r="E430" s="1" t="n">
        <v>46281</v>
      </c>
      <c r="F430" t="inlineStr">
        <is>
          <t>VÄRMLANDS LÄN</t>
        </is>
      </c>
      <c r="G430" t="inlineStr">
        <is>
          <t>FILIPSTAD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61741-2022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44911</v>
      </c>
      <c r="E431" s="1" t="n">
        <v>46281</v>
      </c>
      <c r="F431" t="inlineStr">
        <is>
          <t>VÄRMLANDS LÄN</t>
        </is>
      </c>
      <c r="G431" t="inlineStr">
        <is>
          <t>FILIPSTAD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9270-2023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44980</v>
      </c>
      <c r="E432" s="1" t="n">
        <v>46281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46281</v>
      </c>
      <c r="F433" t="inlineStr">
        <is>
          <t>VÄRMLANDS LÄN</t>
        </is>
      </c>
      <c r="G433" t="inlineStr">
        <is>
          <t>FILIPSTAD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27968-2026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46281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6.3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45544</v>
      </c>
      <c r="E435" s="1" t="n">
        <v>46281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28094-2026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46195</v>
      </c>
      <c r="E436" s="1" t="n">
        <v>46281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23.8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51031-2025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45947</v>
      </c>
      <c r="E437" s="1" t="n">
        <v>46281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32563-2026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46239</v>
      </c>
      <c r="E438" s="1" t="n">
        <v>46281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32572-2026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46239</v>
      </c>
      <c r="E439" s="1" t="n">
        <v>46281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32600-2026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46240</v>
      </c>
      <c r="E440" s="1" t="n">
        <v>46281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46240</v>
      </c>
      <c r="E441" s="1" t="n">
        <v>46281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28516-2026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46281</v>
      </c>
      <c r="F442" t="inlineStr">
        <is>
          <t>VÄRMLANDS LÄN</t>
        </is>
      </c>
      <c r="G442" t="inlineStr">
        <is>
          <t>FILIPSTAD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32601-2026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46240</v>
      </c>
      <c r="E443" s="1" t="n">
        <v>46281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28419-2026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46197</v>
      </c>
      <c r="E444" s="1" t="n">
        <v>46281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32588-2026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46240</v>
      </c>
      <c r="E445" s="1" t="n">
        <v>46281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25737-2023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45090</v>
      </c>
      <c r="E446" s="1" t="n">
        <v>46281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45114</v>
      </c>
      <c r="E447" s="1" t="n">
        <v>46281</v>
      </c>
      <c r="F447" t="inlineStr">
        <is>
          <t>VÄRMLANDS LÄN</t>
        </is>
      </c>
      <c r="G447" t="inlineStr">
        <is>
          <t>FILIPSTAD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32442-2026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46239</v>
      </c>
      <c r="E448" s="1" t="n">
        <v>46281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2443-2022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44579</v>
      </c>
      <c r="E449" s="1" t="n">
        <v>46281</v>
      </c>
      <c r="F449" t="inlineStr">
        <is>
          <t>VÄRMLANDS LÄN</t>
        </is>
      </c>
      <c r="G449" t="inlineStr">
        <is>
          <t>FILIPSTAD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46281</v>
      </c>
      <c r="F450" t="inlineStr">
        <is>
          <t>VÄRMLANDS LÄN</t>
        </is>
      </c>
      <c r="G450" t="inlineStr">
        <is>
          <t>FILIPSTAD</t>
        </is>
      </c>
      <c r="I450" t="n">
        <v>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43059-2024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45567</v>
      </c>
      <c r="E451" s="1" t="n">
        <v>46281</v>
      </c>
      <c r="F451" t="inlineStr">
        <is>
          <t>VÄRMLANDS LÄN</t>
        </is>
      </c>
      <c r="G451" t="inlineStr">
        <is>
          <t>FILIPSTAD</t>
        </is>
      </c>
      <c r="H451" t="inlineStr">
        <is>
          <t>Kyrkan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54145-2024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45616</v>
      </c>
      <c r="E452" s="1" t="n">
        <v>46281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15471-2024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45401</v>
      </c>
      <c r="E453" s="1" t="n">
        <v>46281</v>
      </c>
      <c r="F453" t="inlineStr">
        <is>
          <t>VÄRMLANDS LÄN</t>
        </is>
      </c>
      <c r="G453" t="inlineStr">
        <is>
          <t>FILIPSTAD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32786-2024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45516</v>
      </c>
      <c r="E454" s="1" t="n">
        <v>46281</v>
      </c>
      <c r="F454" t="inlineStr">
        <is>
          <t>VÄRMLANDS LÄN</t>
        </is>
      </c>
      <c r="G454" t="inlineStr">
        <is>
          <t>FILIPSTAD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17795-2024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45418</v>
      </c>
      <c r="E455" s="1" t="n">
        <v>46281</v>
      </c>
      <c r="F455" t="inlineStr">
        <is>
          <t>VÄRMLANDS LÄN</t>
        </is>
      </c>
      <c r="G455" t="inlineStr">
        <is>
          <t>FILIPSTAD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32852-2026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46244</v>
      </c>
      <c r="E456" s="1" t="n">
        <v>46281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46241</v>
      </c>
      <c r="E457" s="1" t="n">
        <v>46281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47890-2024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45588</v>
      </c>
      <c r="E458" s="1" t="n">
        <v>46281</v>
      </c>
      <c r="F458" t="inlineStr">
        <is>
          <t>VÄRMLANDS LÄN</t>
        </is>
      </c>
      <c r="G458" t="inlineStr">
        <is>
          <t>FILIPSTAD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46244</v>
      </c>
      <c r="E459" s="1" t="n">
        <v>46281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32980-2026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46244</v>
      </c>
      <c r="E460" s="1" t="n">
        <v>46281</v>
      </c>
      <c r="F460" t="inlineStr">
        <is>
          <t>VÄRMLANDS LÄN</t>
        </is>
      </c>
      <c r="G460" t="inlineStr">
        <is>
          <t>FILIPSTAD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62014-2024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45655</v>
      </c>
      <c r="E461" s="1" t="n">
        <v>46281</v>
      </c>
      <c r="F461" t="inlineStr">
        <is>
          <t>VÄRMLANDS LÄN</t>
        </is>
      </c>
      <c r="G461" t="inlineStr">
        <is>
          <t>FILIPSTAD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46281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12247-2022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44637</v>
      </c>
      <c r="E463" s="1" t="n">
        <v>46281</v>
      </c>
      <c r="F463" t="inlineStr">
        <is>
          <t>VÄRMLANDS LÄN</t>
        </is>
      </c>
      <c r="G463" t="inlineStr">
        <is>
          <t>FILIPSTAD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20966-2024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45439</v>
      </c>
      <c r="E464" s="1" t="n">
        <v>46281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33130-2026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46281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29385-2026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46203</v>
      </c>
      <c r="E466" s="1" t="n">
        <v>46281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17686-2023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45037</v>
      </c>
      <c r="E467" s="1" t="n">
        <v>46281</v>
      </c>
      <c r="F467" t="inlineStr">
        <is>
          <t>VÄRMLANDS LÄN</t>
        </is>
      </c>
      <c r="G467" t="inlineStr">
        <is>
          <t>FILIPSTAD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33324-2026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46246</v>
      </c>
      <c r="E468" s="1" t="n">
        <v>46281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1750-2025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45671</v>
      </c>
      <c r="E469" s="1" t="n">
        <v>46281</v>
      </c>
      <c r="F469" t="inlineStr">
        <is>
          <t>VÄRMLANDS LÄN</t>
        </is>
      </c>
      <c r="G469" t="inlineStr">
        <is>
          <t>FILIPSTAD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46203</v>
      </c>
      <c r="E470" s="1" t="n">
        <v>46281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46202</v>
      </c>
      <c r="E471" s="1" t="n">
        <v>46281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46202</v>
      </c>
      <c r="E472" s="1" t="n">
        <v>46281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63411-2023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45274</v>
      </c>
      <c r="E473" s="1" t="n">
        <v>46281</v>
      </c>
      <c r="F473" t="inlineStr">
        <is>
          <t>VÄRMLANDS LÄN</t>
        </is>
      </c>
      <c r="G473" t="inlineStr">
        <is>
          <t>FILIPSTAD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46281</v>
      </c>
      <c r="F474" t="inlineStr">
        <is>
          <t>VÄRMLANDS LÄN</t>
        </is>
      </c>
      <c r="G474" t="inlineStr">
        <is>
          <t>FILIPSTAD</t>
        </is>
      </c>
      <c r="I474" t="n">
        <v>6.4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29010-2026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46281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4.8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46281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33493-2026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46247</v>
      </c>
      <c r="E477" s="1" t="n">
        <v>46281</v>
      </c>
      <c r="F477" t="inlineStr">
        <is>
          <t>VÄRMLANDS LÄN</t>
        </is>
      </c>
      <c r="G477" t="inlineStr">
        <is>
          <t>FILIPSTAD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46281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7.4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29474-2024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45484</v>
      </c>
      <c r="E479" s="1" t="n">
        <v>46281</v>
      </c>
      <c r="F479" t="inlineStr">
        <is>
          <t>VÄRMLANDS LÄN</t>
        </is>
      </c>
      <c r="G479" t="inlineStr">
        <is>
          <t>FILIPSTAD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63482-2021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44508</v>
      </c>
      <c r="E480" s="1" t="n">
        <v>46281</v>
      </c>
      <c r="F480" t="inlineStr">
        <is>
          <t>VÄRMLANDS LÄN</t>
        </is>
      </c>
      <c r="G480" t="inlineStr">
        <is>
          <t>FILIPSTAD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29591-2026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46281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46203</v>
      </c>
      <c r="E482" s="1" t="n">
        <v>46281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8.199999999999999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33468-2026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46247</v>
      </c>
      <c r="E483" s="1" t="n">
        <v>46281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869-2025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45665</v>
      </c>
      <c r="E484" s="1" t="n">
        <v>46281</v>
      </c>
      <c r="F484" t="inlineStr">
        <is>
          <t>VÄRMLANDS LÄN</t>
        </is>
      </c>
      <c r="G484" t="inlineStr">
        <is>
          <t>FILIPSTAD</t>
        </is>
      </c>
      <c r="I484" t="n">
        <v>11.7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4418-2024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45327</v>
      </c>
      <c r="E485" s="1" t="n">
        <v>46281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9.300000000000001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29863-2026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46205</v>
      </c>
      <c r="E486" s="1" t="n">
        <v>46281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26.6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12509-2026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46090</v>
      </c>
      <c r="E487" s="1" t="n">
        <v>46281</v>
      </c>
      <c r="F487" t="inlineStr">
        <is>
          <t>VÄRMLANDS LÄN</t>
        </is>
      </c>
      <c r="G487" t="inlineStr">
        <is>
          <t>FILIPSTAD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29814-2026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46281</v>
      </c>
      <c r="F488" t="inlineStr">
        <is>
          <t>VÄRMLANDS LÄN</t>
        </is>
      </c>
      <c r="G488" t="inlineStr">
        <is>
          <t>FILIPSTAD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70405-2021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44536</v>
      </c>
      <c r="E489" s="1" t="n">
        <v>46281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5754-2022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44596</v>
      </c>
      <c r="E490" s="1" t="n">
        <v>46281</v>
      </c>
      <c r="F490" t="inlineStr">
        <is>
          <t>VÄRMLANDS LÄN</t>
        </is>
      </c>
      <c r="G490" t="inlineStr">
        <is>
          <t>FILIPSTAD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33855-2026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46251</v>
      </c>
      <c r="E491" s="1" t="n">
        <v>46281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33866-2026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46251</v>
      </c>
      <c r="E492" s="1" t="n">
        <v>46281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54735-2024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45618</v>
      </c>
      <c r="E493" s="1" t="n">
        <v>46281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40244-2023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45169</v>
      </c>
      <c r="E494" s="1" t="n">
        <v>46281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34053-2026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46252</v>
      </c>
      <c r="E495" s="1" t="n">
        <v>46281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20.2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30984-2026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46213</v>
      </c>
      <c r="E496" s="1" t="n">
        <v>46281</v>
      </c>
      <c r="F496" t="inlineStr">
        <is>
          <t>VÄRMLANDS LÄN</t>
        </is>
      </c>
      <c r="G496" t="inlineStr">
        <is>
          <t>FILIPSTAD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33859-2026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46251</v>
      </c>
      <c r="E497" s="1" t="n">
        <v>46281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34054-2026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46252</v>
      </c>
      <c r="E498" s="1" t="n">
        <v>46281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46251</v>
      </c>
      <c r="E499" s="1" t="n">
        <v>46281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46251</v>
      </c>
      <c r="E500" s="1" t="n">
        <v>46281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7.4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30074-2026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46281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45658</v>
      </c>
      <c r="E502" s="1" t="n">
        <v>46281</v>
      </c>
      <c r="F502" t="inlineStr">
        <is>
          <t>VÄRMLANDS LÄN</t>
        </is>
      </c>
      <c r="G502" t="inlineStr">
        <is>
          <t>FILIPSTAD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45516-2024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45578</v>
      </c>
      <c r="E503" s="1" t="n">
        <v>46281</v>
      </c>
      <c r="F503" t="inlineStr">
        <is>
          <t>VÄRMLANDS LÄN</t>
        </is>
      </c>
      <c r="G503" t="inlineStr">
        <is>
          <t>FILIPSTAD</t>
        </is>
      </c>
      <c r="I503" t="n">
        <v>27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46680-2024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45583</v>
      </c>
      <c r="E504" s="1" t="n">
        <v>46281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21608-2023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45063</v>
      </c>
      <c r="E505" s="1" t="n">
        <v>46281</v>
      </c>
      <c r="F505" t="inlineStr">
        <is>
          <t>VÄRMLANDS LÄN</t>
        </is>
      </c>
      <c r="G505" t="inlineStr">
        <is>
          <t>FILIPSTAD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59436-2024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45638</v>
      </c>
      <c r="E506" s="1" t="n">
        <v>46281</v>
      </c>
      <c r="F506" t="inlineStr">
        <is>
          <t>VÄRMLANDS LÄN</t>
        </is>
      </c>
      <c r="G506" t="inlineStr">
        <is>
          <t>FILIPSTAD</t>
        </is>
      </c>
      <c r="H506" t="inlineStr">
        <is>
          <t>Kyrkan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22830-2023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45072</v>
      </c>
      <c r="E507" s="1" t="n">
        <v>46281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30540-2026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46210</v>
      </c>
      <c r="E508" s="1" t="n">
        <v>46281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54836-2023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45229</v>
      </c>
      <c r="E509" s="1" t="n">
        <v>46281</v>
      </c>
      <c r="F509" t="inlineStr">
        <is>
          <t>VÄRMLANDS LÄN</t>
        </is>
      </c>
      <c r="G509" t="inlineStr">
        <is>
          <t>FILIPSTAD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34493-2026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46281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19.2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46255</v>
      </c>
      <c r="E511" s="1" t="n">
        <v>46281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46254</v>
      </c>
      <c r="E512" s="1" t="n">
        <v>46281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30799-2026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46212</v>
      </c>
      <c r="E513" s="1" t="n">
        <v>46281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34982-2026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46259</v>
      </c>
      <c r="E514" s="1" t="n">
        <v>46281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29825-2023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45107</v>
      </c>
      <c r="E515" s="1" t="n">
        <v>46281</v>
      </c>
      <c r="F515" t="inlineStr">
        <is>
          <t>VÄRMLANDS LÄN</t>
        </is>
      </c>
      <c r="G515" t="inlineStr">
        <is>
          <t>FILIPSTAD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34916-2026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46259</v>
      </c>
      <c r="E516" s="1" t="n">
        <v>46281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35290-2026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46261</v>
      </c>
      <c r="E517" s="1" t="n">
        <v>46281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35423-2026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46261</v>
      </c>
      <c r="E518" s="1" t="n">
        <v>46281</v>
      </c>
      <c r="F518" t="inlineStr">
        <is>
          <t>VÄRMLANDS LÄN</t>
        </is>
      </c>
      <c r="G518" t="inlineStr">
        <is>
          <t>FILIPSTAD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4462-2025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45686</v>
      </c>
      <c r="E519" s="1" t="n">
        <v>46281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27789-2022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44743</v>
      </c>
      <c r="E520" s="1" t="n">
        <v>46281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43484-2023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45184</v>
      </c>
      <c r="E521" s="1" t="n">
        <v>46281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6674-2025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45700</v>
      </c>
      <c r="E522" s="1" t="n">
        <v>46281</v>
      </c>
      <c r="F522" t="inlineStr">
        <is>
          <t>VÄRMLANDS LÄN</t>
        </is>
      </c>
      <c r="G522" t="inlineStr">
        <is>
          <t>FILIPSTAD</t>
        </is>
      </c>
      <c r="I522" t="n">
        <v>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28161-2023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45093</v>
      </c>
      <c r="E523" s="1" t="n">
        <v>46281</v>
      </c>
      <c r="F523" t="inlineStr">
        <is>
          <t>VÄRMLANDS LÄN</t>
        </is>
      </c>
      <c r="G523" t="inlineStr">
        <is>
          <t>FILIPSTAD</t>
        </is>
      </c>
      <c r="H523" t="inlineStr">
        <is>
          <t>Kommuner</t>
        </is>
      </c>
      <c r="I523" t="n">
        <v>15.4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46219</v>
      </c>
      <c r="E524" s="1" t="n">
        <v>46281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35368-2026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46261</v>
      </c>
      <c r="E525" s="1" t="n">
        <v>46281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31283-2026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46218</v>
      </c>
      <c r="E526" s="1" t="n">
        <v>46281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35314-2026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46261</v>
      </c>
      <c r="E527" s="1" t="n">
        <v>46281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8.4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24054-2024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45456</v>
      </c>
      <c r="E528" s="1" t="n">
        <v>46281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62013-2024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45655</v>
      </c>
      <c r="E529" s="1" t="n">
        <v>46281</v>
      </c>
      <c r="F529" t="inlineStr">
        <is>
          <t>VÄRMLANDS LÄN</t>
        </is>
      </c>
      <c r="G529" t="inlineStr">
        <is>
          <t>FILIPSTAD</t>
        </is>
      </c>
      <c r="I529" t="n">
        <v>26.5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35927-2026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46266</v>
      </c>
      <c r="E530" s="1" t="n">
        <v>46281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27.4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35614-2026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46264</v>
      </c>
      <c r="E531" s="1" t="n">
        <v>46281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20.8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48040-2023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45204</v>
      </c>
      <c r="E532" s="1" t="n">
        <v>46281</v>
      </c>
      <c r="F532" t="inlineStr">
        <is>
          <t>VÄRMLANDS LÄN</t>
        </is>
      </c>
      <c r="G532" t="inlineStr">
        <is>
          <t>FILIPSTAD</t>
        </is>
      </c>
      <c r="I532" t="n">
        <v>4.2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48908-2023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45195</v>
      </c>
      <c r="E533" s="1" t="n">
        <v>46281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35945-2026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46266</v>
      </c>
      <c r="E534" s="1" t="n">
        <v>46281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46189</v>
      </c>
      <c r="E535" s="1" t="n">
        <v>46281</v>
      </c>
      <c r="F535" t="inlineStr">
        <is>
          <t>VÄRMLANDS LÄN</t>
        </is>
      </c>
      <c r="G535" t="inlineStr">
        <is>
          <t>FILIPSTAD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31548-2026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46223</v>
      </c>
      <c r="E536" s="1" t="n">
        <v>46281</v>
      </c>
      <c r="F536" t="inlineStr">
        <is>
          <t>VÄRMLANDS LÄN</t>
        </is>
      </c>
      <c r="G536" t="inlineStr">
        <is>
          <t>FILIPSTAD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35821-2026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46265</v>
      </c>
      <c r="E537" s="1" t="n">
        <v>46281</v>
      </c>
      <c r="F537" t="inlineStr">
        <is>
          <t>VÄRMLANDS LÄN</t>
        </is>
      </c>
      <c r="G537" t="inlineStr">
        <is>
          <t>FILIPSTAD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1042-2023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44935</v>
      </c>
      <c r="E538" s="1" t="n">
        <v>46281</v>
      </c>
      <c r="F538" t="inlineStr">
        <is>
          <t>VÄRMLANDS LÄN</t>
        </is>
      </c>
      <c r="G538" t="inlineStr">
        <is>
          <t>FILIPSTAD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35948-2026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46266</v>
      </c>
      <c r="E539" s="1" t="n">
        <v>46281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35641-2026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46281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22.8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35615-2026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46264</v>
      </c>
      <c r="E541" s="1" t="n">
        <v>46281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10306-2025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45720</v>
      </c>
      <c r="E542" s="1" t="n">
        <v>46281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35995-2026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46281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31537-2026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46223</v>
      </c>
      <c r="E544" s="1" t="n">
        <v>46281</v>
      </c>
      <c r="F544" t="inlineStr">
        <is>
          <t>VÄRMLANDS LÄN</t>
        </is>
      </c>
      <c r="G544" t="inlineStr">
        <is>
          <t>FILIPSTAD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36195-2026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46267</v>
      </c>
      <c r="E545" s="1" t="n">
        <v>46281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41075-2023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45173</v>
      </c>
      <c r="E546" s="1" t="n">
        <v>46281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31648-2026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46225</v>
      </c>
      <c r="E547" s="1" t="n">
        <v>46281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36297-2026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46268</v>
      </c>
      <c r="E548" s="1" t="n">
        <v>46281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14582-2025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45742</v>
      </c>
      <c r="E549" s="1" t="n">
        <v>46281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31688-2026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46226</v>
      </c>
      <c r="E550" s="1" t="n">
        <v>46281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31699-2026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46226</v>
      </c>
      <c r="E551" s="1" t="n">
        <v>46281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46226</v>
      </c>
      <c r="E552" s="1" t="n">
        <v>46281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31726-2026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46227</v>
      </c>
      <c r="E553" s="1" t="n">
        <v>46281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31746-2026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46227</v>
      </c>
      <c r="E554" s="1" t="n">
        <v>46281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56840-2024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45628</v>
      </c>
      <c r="E555" s="1" t="n">
        <v>46281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36819-2026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46272</v>
      </c>
      <c r="E556" s="1" t="n">
        <v>46281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8692-2025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45712</v>
      </c>
      <c r="E557" s="1" t="n">
        <v>46281</v>
      </c>
      <c r="F557" t="inlineStr">
        <is>
          <t>VÄRMLANDS LÄN</t>
        </is>
      </c>
      <c r="G557" t="inlineStr">
        <is>
          <t>FILIPSTAD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36818-2026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46272</v>
      </c>
      <c r="E558" s="1" t="n">
        <v>46281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23618-2023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45077</v>
      </c>
      <c r="E559" s="1" t="n">
        <v>46281</v>
      </c>
      <c r="F559" t="inlineStr">
        <is>
          <t>VÄRMLANDS LÄN</t>
        </is>
      </c>
      <c r="G559" t="inlineStr">
        <is>
          <t>FILIPSTAD</t>
        </is>
      </c>
      <c r="I559" t="n">
        <v>15.8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36456-2026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46269</v>
      </c>
      <c r="E560" s="1" t="n">
        <v>46281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36744-2026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46272</v>
      </c>
      <c r="E561" s="1" t="n">
        <v>46281</v>
      </c>
      <c r="F561" t="inlineStr">
        <is>
          <t>VÄRMLANDS LÄN</t>
        </is>
      </c>
      <c r="G561" t="inlineStr">
        <is>
          <t>FILIPSTAD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36508-2026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46269</v>
      </c>
      <c r="E562" s="1" t="n">
        <v>46281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18.6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36801-2026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46272</v>
      </c>
      <c r="E563" s="1" t="n">
        <v>46281</v>
      </c>
      <c r="F563" t="inlineStr">
        <is>
          <t>VÄRMLANDS LÄN</t>
        </is>
      </c>
      <c r="G563" t="inlineStr">
        <is>
          <t>FILIPSTAD</t>
        </is>
      </c>
      <c r="I563" t="n">
        <v>11.6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36455-2026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46269</v>
      </c>
      <c r="E564" s="1" t="n">
        <v>46281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16.4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36458-2026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46269</v>
      </c>
      <c r="E565" s="1" t="n">
        <v>46281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27078-2026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46186</v>
      </c>
      <c r="E566" s="1" t="n">
        <v>46281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31914-2026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46231</v>
      </c>
      <c r="E567" s="1" t="n">
        <v>46281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37249-2026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46274</v>
      </c>
      <c r="E568" s="1" t="n">
        <v>46281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60524-2024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45643</v>
      </c>
      <c r="E569" s="1" t="n">
        <v>46281</v>
      </c>
      <c r="F569" t="inlineStr">
        <is>
          <t>VÄRMLANDS LÄN</t>
        </is>
      </c>
      <c r="G569" t="inlineStr">
        <is>
          <t>FILIPSTAD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14328-2025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45740</v>
      </c>
      <c r="E570" s="1" t="n">
        <v>46281</v>
      </c>
      <c r="F570" t="inlineStr">
        <is>
          <t>VÄRMLANDS LÄN</t>
        </is>
      </c>
      <c r="G570" t="inlineStr">
        <is>
          <t>FILIPSTAD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46281</v>
      </c>
      <c r="F571" t="inlineStr">
        <is>
          <t>VÄRMLANDS LÄN</t>
        </is>
      </c>
      <c r="G571" t="inlineStr">
        <is>
          <t>FILIPSTAD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36955-2026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46273</v>
      </c>
      <c r="E572" s="1" t="n">
        <v>46281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15228-2025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45744</v>
      </c>
      <c r="E573" s="1" t="n">
        <v>46281</v>
      </c>
      <c r="F573" t="inlineStr">
        <is>
          <t>VÄRMLANDS LÄN</t>
        </is>
      </c>
      <c r="G573" t="inlineStr">
        <is>
          <t>FILIPSTAD</t>
        </is>
      </c>
      <c r="H573" t="inlineStr">
        <is>
          <t>Kommuner</t>
        </is>
      </c>
      <c r="I573" t="n">
        <v>17.7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36490-2026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46269</v>
      </c>
      <c r="E574" s="1" t="n">
        <v>46281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32008-2026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46233</v>
      </c>
      <c r="E575" s="1" t="n">
        <v>46281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31950-2026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46232</v>
      </c>
      <c r="E576" s="1" t="n">
        <v>46281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31957-2026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46232</v>
      </c>
      <c r="E577" s="1" t="n">
        <v>46281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20661-2024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45436</v>
      </c>
      <c r="E578" s="1" t="n">
        <v>46281</v>
      </c>
      <c r="F578" t="inlineStr">
        <is>
          <t>VÄRMLANDS LÄN</t>
        </is>
      </c>
      <c r="G578" t="inlineStr">
        <is>
          <t>FILIPSTAD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31963-2026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46232</v>
      </c>
      <c r="E579" s="1" t="n">
        <v>46281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8.699999999999999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32035-2026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46233</v>
      </c>
      <c r="E580" s="1" t="n">
        <v>46281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46276</v>
      </c>
      <c r="E581" s="1" t="n">
        <v>46281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34262-2024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45524</v>
      </c>
      <c r="E582" s="1" t="n">
        <v>46281</v>
      </c>
      <c r="F582" t="inlineStr">
        <is>
          <t>VÄRMLANDS LÄN</t>
        </is>
      </c>
      <c r="G582" t="inlineStr">
        <is>
          <t>FILIPSTAD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45299</v>
      </c>
      <c r="E583" s="1" t="n">
        <v>46281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46237</v>
      </c>
      <c r="E584" s="1" t="n">
        <v>46281</v>
      </c>
      <c r="F584" t="inlineStr">
        <is>
          <t>VÄRMLANDS LÄN</t>
        </is>
      </c>
      <c r="G584" t="inlineStr">
        <is>
          <t>FILIPSTAD</t>
        </is>
      </c>
      <c r="H584" t="inlineStr">
        <is>
          <t>Kommuner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32141-2026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46234</v>
      </c>
      <c r="E585" s="1" t="n">
        <v>46281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37757-2026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46279</v>
      </c>
      <c r="E586" s="1" t="n">
        <v>46281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30646-2024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45495</v>
      </c>
      <c r="E587" s="1" t="n">
        <v>46281</v>
      </c>
      <c r="F587" t="inlineStr">
        <is>
          <t>VÄRMLANDS LÄN</t>
        </is>
      </c>
      <c r="G587" t="inlineStr">
        <is>
          <t>FILIPSTAD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32248-2026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46237</v>
      </c>
      <c r="E588" s="1" t="n">
        <v>46281</v>
      </c>
      <c r="F588" t="inlineStr">
        <is>
          <t>VÄRMLANDS LÄN</t>
        </is>
      </c>
      <c r="G588" t="inlineStr">
        <is>
          <t>FILIPSTAD</t>
        </is>
      </c>
      <c r="I588" t="n">
        <v>13.4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27139-2024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45471</v>
      </c>
      <c r="E589" s="1" t="n">
        <v>46281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17244-2024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45414</v>
      </c>
      <c r="E590" s="1" t="n">
        <v>46281</v>
      </c>
      <c r="F590" t="inlineStr">
        <is>
          <t>VÄRMLANDS LÄN</t>
        </is>
      </c>
      <c r="G590" t="inlineStr">
        <is>
          <t>FILIPSTAD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32031-2026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46233</v>
      </c>
      <c r="E591" s="1" t="n">
        <v>46281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20875-2024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45439</v>
      </c>
      <c r="E592" s="1" t="n">
        <v>46281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6.8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47002-2024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45586</v>
      </c>
      <c r="E593" s="1" t="n">
        <v>46281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65167-2021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44515</v>
      </c>
      <c r="E594" s="1" t="n">
        <v>46281</v>
      </c>
      <c r="F594" t="inlineStr">
        <is>
          <t>VÄRMLANDS LÄN</t>
        </is>
      </c>
      <c r="G594" t="inlineStr">
        <is>
          <t>FILIPSTAD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22880-2025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45790</v>
      </c>
      <c r="E595" s="1" t="n">
        <v>46281</v>
      </c>
      <c r="F595" t="inlineStr">
        <is>
          <t>VÄRMLANDS LÄN</t>
        </is>
      </c>
      <c r="G595" t="inlineStr">
        <is>
          <t>FILIPSTAD</t>
        </is>
      </c>
      <c r="H595" t="inlineStr">
        <is>
          <t>Kyrkan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23266-2025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45791</v>
      </c>
      <c r="E596" s="1" t="n">
        <v>46281</v>
      </c>
      <c r="F596" t="inlineStr">
        <is>
          <t>VÄRMLANDS LÄN</t>
        </is>
      </c>
      <c r="G596" t="inlineStr">
        <is>
          <t>FILIPSTAD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23475-2025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45792</v>
      </c>
      <c r="E597" s="1" t="n">
        <v>46281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28357-2024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45477</v>
      </c>
      <c r="E598" s="1" t="n">
        <v>46281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48702-2024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45593</v>
      </c>
      <c r="E599" s="1" t="n">
        <v>46281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35304-2024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45530</v>
      </c>
      <c r="E600" s="1" t="n">
        <v>46281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23399-2025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45792</v>
      </c>
      <c r="E601" s="1" t="n">
        <v>46281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1350-2025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45667</v>
      </c>
      <c r="E602" s="1" t="n">
        <v>46281</v>
      </c>
      <c r="F602" t="inlineStr">
        <is>
          <t>VÄRMLANDS LÄN</t>
        </is>
      </c>
      <c r="G602" t="inlineStr">
        <is>
          <t>FILIPSTAD</t>
        </is>
      </c>
      <c r="H602" t="inlineStr">
        <is>
          <t>Kommuner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20844-2024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45439</v>
      </c>
      <c r="E603" s="1" t="n">
        <v>46281</v>
      </c>
      <c r="F603" t="inlineStr">
        <is>
          <t>VÄRMLANDS LÄN</t>
        </is>
      </c>
      <c r="G603" t="inlineStr">
        <is>
          <t>FILIPSTAD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3979-2024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45322</v>
      </c>
      <c r="E604" s="1" t="n">
        <v>46281</v>
      </c>
      <c r="F604" t="inlineStr">
        <is>
          <t>VÄRMLANDS LÄN</t>
        </is>
      </c>
      <c r="G604" t="inlineStr">
        <is>
          <t>FILIPSTAD</t>
        </is>
      </c>
      <c r="I604" t="n">
        <v>8.199999999999999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72118-2021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44543</v>
      </c>
      <c r="E605" s="1" t="n">
        <v>46281</v>
      </c>
      <c r="F605" t="inlineStr">
        <is>
          <t>VÄRMLANDS LÄN</t>
        </is>
      </c>
      <c r="G605" t="inlineStr">
        <is>
          <t>FILIPSTAD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24143-2025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45796</v>
      </c>
      <c r="E606" s="1" t="n">
        <v>46281</v>
      </c>
      <c r="F606" t="inlineStr">
        <is>
          <t>VÄRMLANDS LÄN</t>
        </is>
      </c>
      <c r="G606" t="inlineStr">
        <is>
          <t>FILIPSTAD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15396-2025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45747</v>
      </c>
      <c r="E607" s="1" t="n">
        <v>46281</v>
      </c>
      <c r="F607" t="inlineStr">
        <is>
          <t>VÄRMLANDS LÄN</t>
        </is>
      </c>
      <c r="G607" t="inlineStr">
        <is>
          <t>FILIPSTAD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23775-2025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45793</v>
      </c>
      <c r="E608" s="1" t="n">
        <v>46281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8712-2024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45355</v>
      </c>
      <c r="E609" s="1" t="n">
        <v>46281</v>
      </c>
      <c r="F609" t="inlineStr">
        <is>
          <t>VÄRMLANDS LÄN</t>
        </is>
      </c>
      <c r="G609" t="inlineStr">
        <is>
          <t>FILIPSTAD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65174-2021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44515</v>
      </c>
      <c r="E610" s="1" t="n">
        <v>46281</v>
      </c>
      <c r="F610" t="inlineStr">
        <is>
          <t>VÄRMLANDS LÄN</t>
        </is>
      </c>
      <c r="G610" t="inlineStr">
        <is>
          <t>FILIPSTAD</t>
        </is>
      </c>
      <c r="I610" t="n">
        <v>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15406-2025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45747</v>
      </c>
      <c r="E611" s="1" t="n">
        <v>46281</v>
      </c>
      <c r="F611" t="inlineStr">
        <is>
          <t>VÄRMLANDS LÄN</t>
        </is>
      </c>
      <c r="G611" t="inlineStr">
        <is>
          <t>FILIPSTAD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35799-2022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44801</v>
      </c>
      <c r="E612" s="1" t="n">
        <v>46281</v>
      </c>
      <c r="F612" t="inlineStr">
        <is>
          <t>VÄRMLANDS LÄN</t>
        </is>
      </c>
      <c r="G612" t="inlineStr">
        <is>
          <t>FILIPSTAD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47261-2024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45586</v>
      </c>
      <c r="E613" s="1" t="n">
        <v>46281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26123-2025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45805</v>
      </c>
      <c r="E614" s="1" t="n">
        <v>46281</v>
      </c>
      <c r="F614" t="inlineStr">
        <is>
          <t>VÄRMLANDS LÄN</t>
        </is>
      </c>
      <c r="G614" t="inlineStr">
        <is>
          <t>FILIPSTAD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26116-2025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45805</v>
      </c>
      <c r="E615" s="1" t="n">
        <v>46281</v>
      </c>
      <c r="F615" t="inlineStr">
        <is>
          <t>VÄRMLANDS LÄN</t>
        </is>
      </c>
      <c r="G615" t="inlineStr">
        <is>
          <t>FILIPSTAD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26812-2025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45810</v>
      </c>
      <c r="E616" s="1" t="n">
        <v>46281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26843-2024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45470</v>
      </c>
      <c r="E617" s="1" t="n">
        <v>46281</v>
      </c>
      <c r="F617" t="inlineStr">
        <is>
          <t>VÄRMLANDS LÄN</t>
        </is>
      </c>
      <c r="G617" t="inlineStr">
        <is>
          <t>FILIPSTAD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26599-2024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45469</v>
      </c>
      <c r="E618" s="1" t="n">
        <v>46281</v>
      </c>
      <c r="F618" t="inlineStr">
        <is>
          <t>VÄRMLANDS LÄN</t>
        </is>
      </c>
      <c r="G618" t="inlineStr">
        <is>
          <t>FILIPSTAD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30049-2025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45826</v>
      </c>
      <c r="E619" s="1" t="n">
        <v>46281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29568-2025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45825</v>
      </c>
      <c r="E620" s="1" t="n">
        <v>46281</v>
      </c>
      <c r="F620" t="inlineStr">
        <is>
          <t>VÄRMLANDS LÄN</t>
        </is>
      </c>
      <c r="G620" t="inlineStr">
        <is>
          <t>FILIPSTAD</t>
        </is>
      </c>
      <c r="H620" t="inlineStr">
        <is>
          <t>Kyrkan</t>
        </is>
      </c>
      <c r="I620" t="n">
        <v>9.199999999999999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29660-2025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46281</v>
      </c>
      <c r="F621" t="inlineStr">
        <is>
          <t>VÄRMLANDS LÄN</t>
        </is>
      </c>
      <c r="G621" t="inlineStr">
        <is>
          <t>FILIPSTAD</t>
        </is>
      </c>
      <c r="I621" t="n">
        <v>23.3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29944-2025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45826</v>
      </c>
      <c r="E622" s="1" t="n">
        <v>46281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30169-2025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45827</v>
      </c>
      <c r="E623" s="1" t="n">
        <v>46281</v>
      </c>
      <c r="F623" t="inlineStr">
        <is>
          <t>VÄRMLANDS LÄN</t>
        </is>
      </c>
      <c r="G623" t="inlineStr">
        <is>
          <t>FILIPSTAD</t>
        </is>
      </c>
      <c r="H623" t="inlineStr">
        <is>
          <t>Kyrkan</t>
        </is>
      </c>
      <c r="I623" t="n">
        <v>6.5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31172-2025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45832</v>
      </c>
      <c r="E624" s="1" t="n">
        <v>46281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31883-2025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45834</v>
      </c>
      <c r="E625" s="1" t="n">
        <v>46281</v>
      </c>
      <c r="F625" t="inlineStr">
        <is>
          <t>VÄRMLANDS LÄN</t>
        </is>
      </c>
      <c r="G625" t="inlineStr">
        <is>
          <t>FILIPSTAD</t>
        </is>
      </c>
      <c r="I625" t="n">
        <v>18.7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32032-2025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45835</v>
      </c>
      <c r="E626" s="1" t="n">
        <v>46281</v>
      </c>
      <c r="F626" t="inlineStr">
        <is>
          <t>VÄRMLANDS LÄN</t>
        </is>
      </c>
      <c r="G626" t="inlineStr">
        <is>
          <t>FILIPSTAD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30165-2025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45827</v>
      </c>
      <c r="E627" s="1" t="n">
        <v>46281</v>
      </c>
      <c r="F627" t="inlineStr">
        <is>
          <t>VÄRMLANDS LÄN</t>
        </is>
      </c>
      <c r="G627" t="inlineStr">
        <is>
          <t>FILIPSTAD</t>
        </is>
      </c>
      <c r="H627" t="inlineStr">
        <is>
          <t>Kyrkan</t>
        </is>
      </c>
      <c r="I627" t="n">
        <v>6.5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45688</v>
      </c>
      <c r="E628" s="1" t="n">
        <v>46281</v>
      </c>
      <c r="F628" t="inlineStr">
        <is>
          <t>VÄRMLANDS LÄN</t>
        </is>
      </c>
      <c r="G628" t="inlineStr">
        <is>
          <t>FILIPSTAD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33407-2025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45841</v>
      </c>
      <c r="E629" s="1" t="n">
        <v>46281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30077-2025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45826</v>
      </c>
      <c r="E630" s="1" t="n">
        <v>46281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36582-2025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45870</v>
      </c>
      <c r="E631" s="1" t="n">
        <v>46281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4.7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5757-2021</t>
        </is>
      </c>
      <c r="B632" t="inlineStr">
        <is>
          <t>samrådsanmälan</t>
        </is>
      </c>
      <c r="C632" t="inlineStr">
        <is>
          <t>Basväg</t>
        </is>
      </c>
      <c r="D632" s="1" t="n">
        <v>44438</v>
      </c>
      <c r="E632" s="1" t="n">
        <v>46281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1191-2021</t>
        </is>
      </c>
      <c r="B633" t="inlineStr">
        <is>
          <t>samrådsanmälan</t>
        </is>
      </c>
      <c r="C633" t="inlineStr">
        <is>
          <t>Åtgärd i nyckelbiotop</t>
        </is>
      </c>
      <c r="D633" s="1" t="n">
        <v>44328</v>
      </c>
      <c r="E633" s="1" t="n">
        <v>46281</v>
      </c>
      <c r="F633" t="inlineStr">
        <is>
          <t>VÄRMLANDS LÄN</t>
        </is>
      </c>
      <c r="G633" t="inlineStr">
        <is>
          <t>FILIPSTAD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4134-2023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46281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4115-2023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45246</v>
      </c>
      <c r="E635" s="1" t="n">
        <v>46281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4137-2023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46281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16.5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4132-2023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46281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8.300000000000001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4130-2023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46281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4127-2023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46281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56.4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837-2023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44991</v>
      </c>
      <c r="E640" s="1" t="n">
        <v>46281</v>
      </c>
      <c r="F640" t="inlineStr">
        <is>
          <t>VÄRMLANDS LÄN</t>
        </is>
      </c>
      <c r="G640" t="inlineStr">
        <is>
          <t>FILIPSTAD</t>
        </is>
      </c>
      <c r="I640" t="n">
        <v>19.3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4129-2023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46281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3919-2023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45233</v>
      </c>
      <c r="E642" s="1" t="n">
        <v>46281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17.4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4135-2023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45247</v>
      </c>
      <c r="E643" s="1" t="n">
        <v>46281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18.9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4126-2023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45247</v>
      </c>
      <c r="E644" s="1" t="n">
        <v>46281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294-2025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45687</v>
      </c>
      <c r="E645" s="1" t="n">
        <v>46281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186.4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4116-2023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45246</v>
      </c>
      <c r="E646" s="1" t="n">
        <v>46281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661-2025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45716</v>
      </c>
      <c r="E647" s="1" t="n">
        <v>46281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161.7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3429-2025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45995</v>
      </c>
      <c r="E648" s="1" t="n">
        <v>46281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12.1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3576-2025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46010</v>
      </c>
      <c r="E649" s="1" t="n">
        <v>46281</v>
      </c>
      <c r="F649" t="inlineStr">
        <is>
          <t>VÄRMLANDS LÄN</t>
        </is>
      </c>
      <c r="G649" t="inlineStr">
        <is>
          <t>FILIPSTAD</t>
        </is>
      </c>
      <c r="H649" t="inlineStr">
        <is>
          <t>Bergvik skog väst AB</t>
        </is>
      </c>
      <c r="I649" t="n">
        <v>27.1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>
      <c r="A650" t="inlineStr">
        <is>
          <t>S 105-2026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46036</v>
      </c>
      <c r="E650" s="1" t="n">
        <v>46281</v>
      </c>
      <c r="F650" t="inlineStr">
        <is>
          <t>VÄRMLANDS LÄN</t>
        </is>
      </c>
      <c r="G650" t="inlineStr">
        <is>
          <t>FILIPSTAD</t>
        </is>
      </c>
      <c r="H650" t="inlineStr">
        <is>
          <t>Bergvik skog väst AB</t>
        </is>
      </c>
      <c r="I650" t="n">
        <v>238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2026-09-16T02:02:26Z</dcterms:created>
  <dcterms:modified xmlns:dcterms="http://purl.org/dc/terms/" xmlns:xsi="http://www.w3.org/2001/XMLSchema-instance" xsi:type="dcterms:W3CDTF">2026-09-16T02:02:27Z</dcterms:modified>
</cp:coreProperties>
</file>