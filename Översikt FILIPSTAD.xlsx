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46288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46288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46288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46288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46288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46288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46288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46288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46288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46288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46288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46288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46288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46288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46288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46288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46288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46288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46288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46288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46288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46288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46288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16139-2025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45750</v>
      </c>
      <c r="E25" s="1" t="n">
        <v>46288</v>
      </c>
      <c r="F25" t="inlineStr">
        <is>
          <t>VÄRMLANDS LÄN</t>
        </is>
      </c>
      <c r="G25" t="inlineStr">
        <is>
          <t>FILIPSTAD</t>
        </is>
      </c>
      <c r="I25" t="n">
        <v>18.2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Bronshjon</t>
        </is>
      </c>
      <c r="W25">
        <f>HYPERLINK("https://klasma.github.io/Logging_1782/artfynd/A 16139-2025 artfynd.xlsx", "A 16139-2025")</f>
        <v/>
      </c>
      <c r="X25">
        <f>HYPERLINK("https://klasma.github.io/Logging_1782/kartor/A 16139-2025 karta.png", "A 16139-2025")</f>
        <v/>
      </c>
      <c r="Y25">
        <f>HYPERLINK("https://klasma.github.io/Logging_1782/kartor_geotiff/A 16139-2025 georefererad karta.tif", "A 16139-2025")</f>
        <v/>
      </c>
      <c r="AA25">
        <f>HYPERLINK("https://klasma.github.io/Logging_1782/klagomål/A 16139-2025 FSC-klagomål.docx", "A 16139-2025")</f>
        <v/>
      </c>
      <c r="AB25">
        <f>HYPERLINK("https://klasma.github.io/Logging_1782/klagomålsmail/A 16139-2025 FSC-klagomål mail.docx", "A 16139-2025")</f>
        <v/>
      </c>
      <c r="AC25">
        <f>HYPERLINK("https://klasma.github.io/Logging_1782/tillsyn/A 16139-2025 tillsynsbegäran.docx", "A 16139-2025")</f>
        <v/>
      </c>
      <c r="AD25">
        <f>HYPERLINK("https://klasma.github.io/Logging_1782/tillsynsmail/A 16139-2025 tillsynsbegäran mail.docx", "A 16139-2025")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46288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33583-2026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46248</v>
      </c>
      <c r="E27" s="1" t="n">
        <v>46288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16.4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Bårdlav
Stuplav</t>
        </is>
      </c>
      <c r="W27">
        <f>HYPERLINK("https://klasma.github.io/Logging_1782/artfynd/A 33583-2026 artfynd.xlsx", "A 33583-2026")</f>
        <v/>
      </c>
      <c r="X27">
        <f>HYPERLINK("https://klasma.github.io/Logging_1782/kartor/A 33583-2026 karta.png", "A 33583-2026")</f>
        <v/>
      </c>
      <c r="Y27">
        <f>HYPERLINK("https://klasma.github.io/Logging_1782/kartor_geotiff/A 33583-2026 georefererad karta.tif", "A 33583-2026")</f>
        <v/>
      </c>
      <c r="AA27">
        <f>HYPERLINK("https://klasma.github.io/Logging_1782/klagomål/A 33583-2026 FSC-klagomål.docx", "A 33583-2026")</f>
        <v/>
      </c>
      <c r="AB27">
        <f>HYPERLINK("https://klasma.github.io/Logging_1782/klagomålsmail/A 33583-2026 FSC-klagomål mail.docx", "A 33583-2026")</f>
        <v/>
      </c>
      <c r="AC27">
        <f>HYPERLINK("https://klasma.github.io/Logging_1782/tillsyn/A 33583-2026 tillsynsbegäran.docx", "A 33583-2026")</f>
        <v/>
      </c>
      <c r="AD27">
        <f>HYPERLINK("https://klasma.github.io/Logging_1782/tillsynsmail/A 33583-2026 tillsynsbegäran mail.docx", "A 33583-2026")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46288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32438-2026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46239</v>
      </c>
      <c r="E29" s="1" t="n">
        <v>46288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Dubbelnycklar
Ängsnycklar</t>
        </is>
      </c>
      <c r="W29">
        <f>HYPERLINK("https://klasma.github.io/Logging_1782/artfynd/A 32438-2026 artfynd.xlsx", "A 32438-2026")</f>
        <v/>
      </c>
      <c r="X29">
        <f>HYPERLINK("https://klasma.github.io/Logging_1782/kartor/A 32438-2026 karta.png", "A 32438-2026")</f>
        <v/>
      </c>
      <c r="Y29">
        <f>HYPERLINK("https://klasma.github.io/Logging_1782/kartor_geotiff/A 32438-2026 georefererad karta.tif", "A 32438-2026")</f>
        <v/>
      </c>
      <c r="AA29">
        <f>HYPERLINK("https://klasma.github.io/Logging_1782/klagomål/A 32438-2026 FSC-klagomål.docx", "A 32438-2026")</f>
        <v/>
      </c>
      <c r="AB29">
        <f>HYPERLINK("https://klasma.github.io/Logging_1782/klagomålsmail/A 32438-2026 FSC-klagomål mail.docx", "A 32438-2026")</f>
        <v/>
      </c>
      <c r="AC29">
        <f>HYPERLINK("https://klasma.github.io/Logging_1782/tillsyn/A 32438-2026 tillsynsbegäran.docx", "A 32438-2026")</f>
        <v/>
      </c>
      <c r="AD29">
        <f>HYPERLINK("https://klasma.github.io/Logging_1782/tillsynsmail/A 32438-2026 tillsynsbegäran mail.docx", "A 32438-2026")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46288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19945-2023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45054</v>
      </c>
      <c r="E31" s="1" t="n">
        <v>46288</v>
      </c>
      <c r="F31" t="inlineStr">
        <is>
          <t>VÄRMLANDS LÄN</t>
        </is>
      </c>
      <c r="G31" t="inlineStr">
        <is>
          <t>FILIPSTAD</t>
        </is>
      </c>
      <c r="I31" t="n">
        <v>3.3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3</v>
      </c>
      <c r="V31" s="2" t="inlineStr">
        <is>
          <t>Guckusko
Kransrams</t>
        </is>
      </c>
      <c r="W31">
        <f>HYPERLINK("https://klasma.github.io/Logging_1782/artfynd/A 19945-2023 artfynd.xlsx", "A 19945-2023")</f>
        <v/>
      </c>
      <c r="X31">
        <f>HYPERLINK("https://klasma.github.io/Logging_1782/kartor/A 19945-2023 karta.png", "A 19945-2023")</f>
        <v/>
      </c>
      <c r="Y31">
        <f>HYPERLINK("https://klasma.github.io/Logging_1782/kartor_geotiff/A 19945-2023 georefererad karta.tif", "A 19945-2023")</f>
        <v/>
      </c>
      <c r="AA31">
        <f>HYPERLINK("https://klasma.github.io/Logging_1782/klagomål/A 19945-2023 FSC-klagomål.docx", "A 19945-2023")</f>
        <v/>
      </c>
      <c r="AB31">
        <f>HYPERLINK("https://klasma.github.io/Logging_1782/klagomålsmail/A 19945-2023 FSC-klagomål mail.docx", "A 19945-2023")</f>
        <v/>
      </c>
      <c r="AC31">
        <f>HYPERLINK("https://klasma.github.io/Logging_1782/tillsyn/A 19945-2023 tillsynsbegäran.docx", "A 19945-2023")</f>
        <v/>
      </c>
      <c r="AD31">
        <f>HYPERLINK("https://klasma.github.io/Logging_1782/tillsynsmail/A 19945-2023 tillsynsbegäran mail.docx", "A 19945-2023")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46288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46288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46288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46288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46288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46288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46288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46288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46288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46288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46288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28989-2026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46288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HYPERLINK("https://klasma.github.io/Logging_1782/artfynd/A 28989-2026 artfynd.xlsx", "A 28989-2026")</f>
        <v/>
      </c>
      <c r="X43">
        <f>HYPERLINK("https://klasma.github.io/Logging_1782/kartor/A 28989-2026 karta.png", "A 28989-2026")</f>
        <v/>
      </c>
      <c r="Y43">
        <f>HYPERLINK("https://klasma.github.io/Logging_1782/kartor_geotiff/A 28989-2026 georefererad karta.tif", "A 28989-2026")</f>
        <v/>
      </c>
      <c r="AA43">
        <f>HYPERLINK("https://klasma.github.io/Logging_1782/klagomål/A 28989-2026 FSC-klagomål.docx", "A 28989-2026")</f>
        <v/>
      </c>
      <c r="AB43">
        <f>HYPERLINK("https://klasma.github.io/Logging_1782/klagomålsmail/A 28989-2026 FSC-klagomål mail.docx", "A 28989-2026")</f>
        <v/>
      </c>
      <c r="AC43">
        <f>HYPERLINK("https://klasma.github.io/Logging_1782/tillsyn/A 28989-2026 tillsynsbegäran.docx", "A 28989-2026")</f>
        <v/>
      </c>
      <c r="AD43">
        <f>HYPERLINK("https://klasma.github.io/Logging_1782/tillsynsmail/A 28989-2026 tillsynsbegäran mail.docx", "A 28989-2026")</f>
        <v/>
      </c>
    </row>
    <row r="44" ht="15" customHeight="1">
      <c r="A44" t="inlineStr">
        <is>
          <t>A 17529-2026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46288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Ädellav</t>
        </is>
      </c>
      <c r="W44">
        <f>HYPERLINK("https://klasma.github.io/Logging_1782/artfynd/A 17529-2026 artfynd.xlsx", "A 17529-2026")</f>
        <v/>
      </c>
      <c r="X44">
        <f>HYPERLINK("https://klasma.github.io/Logging_1782/kartor/A 17529-2026 karta.png", "A 17529-2026")</f>
        <v/>
      </c>
      <c r="Y44">
        <f>HYPERLINK("https://klasma.github.io/Logging_1782/kartor_geotiff/A 17529-2026 georefererad karta.tif", "A 17529-2026")</f>
        <v/>
      </c>
      <c r="AA44">
        <f>HYPERLINK("https://klasma.github.io/Logging_1782/klagomål/A 17529-2026 FSC-klagomål.docx", "A 17529-2026")</f>
        <v/>
      </c>
      <c r="AB44">
        <f>HYPERLINK("https://klasma.github.io/Logging_1782/klagomålsmail/A 17529-2026 FSC-klagomål mail.docx", "A 17529-2026")</f>
        <v/>
      </c>
      <c r="AC44">
        <f>HYPERLINK("https://klasma.github.io/Logging_1782/tillsyn/A 17529-2026 tillsynsbegäran.docx", "A 17529-2026")</f>
        <v/>
      </c>
      <c r="AD44">
        <f>HYPERLINK("https://klasma.github.io/Logging_1782/tillsynsmail/A 17529-2026 tillsynsbegäran mail.docx", "A 17529-2026")</f>
        <v/>
      </c>
    </row>
    <row r="45" ht="15" customHeight="1">
      <c r="A45" t="inlineStr">
        <is>
          <t>A 10138-2024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45364</v>
      </c>
      <c r="E45" s="1" t="n">
        <v>46288</v>
      </c>
      <c r="F45" t="inlineStr">
        <is>
          <t>VÄRMLANDS LÄN</t>
        </is>
      </c>
      <c r="G45" t="inlineStr">
        <is>
          <t>FILIPSTAD</t>
        </is>
      </c>
      <c r="H45" t="inlineStr">
        <is>
          <t>Kommuner</t>
        </is>
      </c>
      <c r="I45" t="n">
        <v>6.8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Purpurknipprot</t>
        </is>
      </c>
      <c r="W45">
        <f>HYPERLINK("https://klasma.github.io/Logging_1782/artfynd/A 10138-2024 artfynd.xlsx", "A 10138-2024")</f>
        <v/>
      </c>
      <c r="X45">
        <f>HYPERLINK("https://klasma.github.io/Logging_1782/kartor/A 10138-2024 karta.png", "A 10138-2024")</f>
        <v/>
      </c>
      <c r="Y45">
        <f>HYPERLINK("https://klasma.github.io/Logging_1782/kartor_geotiff/A 10138-2024 georefererad karta.tif", "A 10138-2024")</f>
        <v/>
      </c>
      <c r="AA45">
        <f>HYPERLINK("https://klasma.github.io/Logging_1782/klagomål/A 10138-2024 FSC-klagomål.docx", "A 10138-2024")</f>
        <v/>
      </c>
      <c r="AB45">
        <f>HYPERLINK("https://klasma.github.io/Logging_1782/klagomålsmail/A 10138-2024 FSC-klagomål mail.docx", "A 10138-2024")</f>
        <v/>
      </c>
      <c r="AC45">
        <f>HYPERLINK("https://klasma.github.io/Logging_1782/tillsyn/A 10138-2024 tillsynsbegäran.docx", "A 10138-2024")</f>
        <v/>
      </c>
      <c r="AD45">
        <f>HYPERLINK("https://klasma.github.io/Logging_1782/tillsynsmail/A 10138-2024 tillsynsbegäran mail.docx", "A 10138-2024")</f>
        <v/>
      </c>
    </row>
    <row r="46" ht="15" customHeight="1">
      <c r="A46" t="inlineStr">
        <is>
          <t>A 30988-2026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46213</v>
      </c>
      <c r="E46" s="1" t="n">
        <v>46288</v>
      </c>
      <c r="F46" t="inlineStr">
        <is>
          <t>VÄRMLANDS LÄN</t>
        </is>
      </c>
      <c r="G46" t="inlineStr">
        <is>
          <t>FILIPSTAD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Skuggblåslav</t>
        </is>
      </c>
      <c r="W46">
        <f>HYPERLINK("https://klasma.github.io/Logging_1782/artfynd/A 30988-2026 artfynd.xlsx", "A 30988-2026")</f>
        <v/>
      </c>
      <c r="X46">
        <f>HYPERLINK("https://klasma.github.io/Logging_1782/kartor/A 30988-2026 karta.png", "A 30988-2026")</f>
        <v/>
      </c>
      <c r="Y46">
        <f>HYPERLINK("https://klasma.github.io/Logging_1782/kartor_geotiff/A 30988-2026 georefererad karta.tif", "A 30988-2026")</f>
        <v/>
      </c>
      <c r="AA46">
        <f>HYPERLINK("https://klasma.github.io/Logging_1782/klagomål/A 30988-2026 FSC-klagomål.docx", "A 30988-2026")</f>
        <v/>
      </c>
      <c r="AB46">
        <f>HYPERLINK("https://klasma.github.io/Logging_1782/klagomålsmail/A 30988-2026 FSC-klagomål mail.docx", "A 30988-2026")</f>
        <v/>
      </c>
      <c r="AC46">
        <f>HYPERLINK("https://klasma.github.io/Logging_1782/tillsyn/A 30988-2026 tillsynsbegäran.docx", "A 30988-2026")</f>
        <v/>
      </c>
      <c r="AD46">
        <f>HYPERLINK("https://klasma.github.io/Logging_1782/tillsynsmail/A 30988-2026 tillsynsbegäran mail.docx", "A 30988-2026")</f>
        <v/>
      </c>
    </row>
    <row r="47" ht="15" customHeight="1">
      <c r="A47" t="inlineStr">
        <is>
          <t>A 31257-2026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46288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10.2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Gräsull</t>
        </is>
      </c>
      <c r="W47">
        <f>HYPERLINK("https://klasma.github.io/Logging_1782/artfynd/A 31257-2026 artfynd.xlsx", "A 31257-2026")</f>
        <v/>
      </c>
      <c r="X47">
        <f>HYPERLINK("https://klasma.github.io/Logging_1782/kartor/A 31257-2026 karta.png", "A 31257-2026")</f>
        <v/>
      </c>
      <c r="Y47">
        <f>HYPERLINK("https://klasma.github.io/Logging_1782/kartor_geotiff/A 31257-2026 georefererad karta.tif", "A 31257-2026")</f>
        <v/>
      </c>
      <c r="AA47">
        <f>HYPERLINK("https://klasma.github.io/Logging_1782/klagomål/A 31257-2026 FSC-klagomål.docx", "A 31257-2026")</f>
        <v/>
      </c>
      <c r="AB47">
        <f>HYPERLINK("https://klasma.github.io/Logging_1782/klagomålsmail/A 31257-2026 FSC-klagomål mail.docx", "A 31257-2026")</f>
        <v/>
      </c>
      <c r="AC47">
        <f>HYPERLINK("https://klasma.github.io/Logging_1782/tillsyn/A 31257-2026 tillsynsbegäran.docx", "A 31257-2026")</f>
        <v/>
      </c>
      <c r="AD47">
        <f>HYPERLINK("https://klasma.github.io/Logging_1782/tillsynsmail/A 31257-2026 tillsynsbegäran mail.docx", "A 31257-2026")</f>
        <v/>
      </c>
    </row>
    <row r="48" ht="15" customHeight="1">
      <c r="A48" t="inlineStr">
        <is>
          <t>A 5992-2023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44959</v>
      </c>
      <c r="E48" s="1" t="n">
        <v>46288</v>
      </c>
      <c r="F48" t="inlineStr">
        <is>
          <t>VÄRMLANDS LÄN</t>
        </is>
      </c>
      <c r="G48" t="inlineStr">
        <is>
          <t>FILIPSTAD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HYPERLINK("https://klasma.github.io/Logging_1782/artfynd/A 5992-2023 artfynd.xlsx", "A 5992-2023")</f>
        <v/>
      </c>
      <c r="X48">
        <f>HYPERLINK("https://klasma.github.io/Logging_1782/kartor/A 5992-2023 karta.png", "A 5992-2023")</f>
        <v/>
      </c>
      <c r="Y48">
        <f>HYPERLINK("https://klasma.github.io/Logging_1782/kartor_geotiff/A 5992-2023 georefererad karta.tif", "A 5992-2023")</f>
        <v/>
      </c>
      <c r="AA48">
        <f>HYPERLINK("https://klasma.github.io/Logging_1782/klagomål/A 5992-2023 FSC-klagomål.docx", "A 5992-2023")</f>
        <v/>
      </c>
      <c r="AB48">
        <f>HYPERLINK("https://klasma.github.io/Logging_1782/klagomålsmail/A 5992-2023 FSC-klagomål mail.docx", "A 5992-2023")</f>
        <v/>
      </c>
      <c r="AC48">
        <f>HYPERLINK("https://klasma.github.io/Logging_1782/tillsyn/A 5992-2023 tillsynsbegäran.docx", "A 5992-2023")</f>
        <v/>
      </c>
      <c r="AD48">
        <f>HYPERLINK("https://klasma.github.io/Logging_1782/tillsynsmail/A 5992-2023 tillsynsbegäran mail.docx", "A 5992-2023")</f>
        <v/>
      </c>
    </row>
    <row r="49" ht="15" customHeight="1">
      <c r="A49" t="inlineStr">
        <is>
          <t>A 51522-2022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46288</v>
      </c>
      <c r="F49" t="inlineStr">
        <is>
          <t>VÄRMLANDS LÄN</t>
        </is>
      </c>
      <c r="G49" t="inlineStr">
        <is>
          <t>FILIPSTAD</t>
        </is>
      </c>
      <c r="I49" t="n">
        <v>4.1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HYPERLINK("https://klasma.github.io/Logging_1782/artfynd/A 51522-2022 artfynd.xlsx", "A 51522-2022")</f>
        <v/>
      </c>
      <c r="X49">
        <f>HYPERLINK("https://klasma.github.io/Logging_1782/kartor/A 51522-2022 karta.png", "A 51522-2022")</f>
        <v/>
      </c>
      <c r="Y49">
        <f>HYPERLINK("https://klasma.github.io/Logging_1782/kartor_geotiff/A 51522-2022 georefererad karta.tif", "A 51522-2022")</f>
        <v/>
      </c>
      <c r="AA49">
        <f>HYPERLINK("https://klasma.github.io/Logging_1782/klagomål/A 51522-2022 FSC-klagomål.docx", "A 51522-2022")</f>
        <v/>
      </c>
      <c r="AB49">
        <f>HYPERLINK("https://klasma.github.io/Logging_1782/klagomålsmail/A 51522-2022 FSC-klagomål mail.docx", "A 51522-2022")</f>
        <v/>
      </c>
      <c r="AC49">
        <f>HYPERLINK("https://klasma.github.io/Logging_1782/tillsyn/A 51522-2022 tillsynsbegäran.docx", "A 51522-2022")</f>
        <v/>
      </c>
      <c r="AD49">
        <f>HYPERLINK("https://klasma.github.io/Logging_1782/tillsynsmail/A 51522-2022 tillsynsbegäran mail.docx", "A 51522-2022")</f>
        <v/>
      </c>
    </row>
    <row r="50" ht="15" customHeight="1">
      <c r="A50" t="inlineStr">
        <is>
          <t>A 23046-2023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45075</v>
      </c>
      <c r="E50" s="1" t="n">
        <v>46288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HYPERLINK("https://klasma.github.io/Logging_1782/artfynd/A 23046-2023 artfynd.xlsx", "A 23046-2023")</f>
        <v/>
      </c>
      <c r="X50">
        <f>HYPERLINK("https://klasma.github.io/Logging_1782/kartor/A 23046-2023 karta.png", "A 23046-2023")</f>
        <v/>
      </c>
      <c r="Y50">
        <f>HYPERLINK("https://klasma.github.io/Logging_1782/kartor_geotiff/A 23046-2023 georefererad karta.tif", "A 23046-2023")</f>
        <v/>
      </c>
      <c r="Z50">
        <f>HYPERLINK("https://klasma.github.io/Logging_1782/knärot/A 23046-2023 karta knärot.png", "A 23046-2023")</f>
        <v/>
      </c>
      <c r="AA50">
        <f>HYPERLINK("https://klasma.github.io/Logging_1782/klagomål/A 23046-2023 FSC-klagomål.docx", "A 23046-2023")</f>
        <v/>
      </c>
      <c r="AB50">
        <f>HYPERLINK("https://klasma.github.io/Logging_1782/klagomålsmail/A 23046-2023 FSC-klagomål mail.docx", "A 23046-2023")</f>
        <v/>
      </c>
      <c r="AC50">
        <f>HYPERLINK("https://klasma.github.io/Logging_1782/tillsyn/A 23046-2023 tillsynsbegäran.docx", "A 23046-2023")</f>
        <v/>
      </c>
      <c r="AD50">
        <f>HYPERLINK("https://klasma.github.io/Logging_1782/tillsynsmail/A 23046-2023 tillsynsbegäran mail.docx", "A 23046-2023")</f>
        <v/>
      </c>
    </row>
    <row r="51" ht="15" customHeight="1">
      <c r="A51" t="inlineStr">
        <is>
          <t>A 46978-2023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45195</v>
      </c>
      <c r="E51" s="1" t="n">
        <v>46288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HYPERLINK("https://klasma.github.io/Logging_1782/artfynd/A 46978-2023 artfynd.xlsx", "A 46978-2023")</f>
        <v/>
      </c>
      <c r="X51">
        <f>HYPERLINK("https://klasma.github.io/Logging_1782/kartor/A 46978-2023 karta.png", "A 46978-2023")</f>
        <v/>
      </c>
      <c r="Y51">
        <f>HYPERLINK("https://klasma.github.io/Logging_1782/kartor_geotiff/A 46978-2023 georefererad karta.tif", "A 46978-2023")</f>
        <v/>
      </c>
      <c r="AA51">
        <f>HYPERLINK("https://klasma.github.io/Logging_1782/klagomål/A 46978-2023 FSC-klagomål.docx", "A 46978-2023")</f>
        <v/>
      </c>
      <c r="AB51">
        <f>HYPERLINK("https://klasma.github.io/Logging_1782/klagomålsmail/A 46978-2023 FSC-klagomål mail.docx", "A 46978-2023")</f>
        <v/>
      </c>
      <c r="AC51">
        <f>HYPERLINK("https://klasma.github.io/Logging_1782/tillsyn/A 46978-2023 tillsynsbegäran.docx", "A 46978-2023")</f>
        <v/>
      </c>
      <c r="AD51">
        <f>HYPERLINK("https://klasma.github.io/Logging_1782/tillsynsmail/A 46978-2023 tillsynsbegäran mail.docx", "A 46978-2023")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46288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46288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46288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A 30652-2025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46288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4.3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HYPERLINK("https://klasma.github.io/Logging_1782/artfynd/A 30652-2025 artfynd.xlsx", "A 30652-2025")</f>
        <v/>
      </c>
      <c r="X55">
        <f>HYPERLINK("https://klasma.github.io/Logging_1782/kartor/A 30652-2025 karta.png", "A 30652-2025")</f>
        <v/>
      </c>
      <c r="Y55">
        <f>HYPERLINK("https://klasma.github.io/Logging_1782/kartor_geotiff/A 30652-2025 georefererad karta.tif", "A 30652-2025")</f>
        <v/>
      </c>
      <c r="AA55">
        <f>HYPERLINK("https://klasma.github.io/Logging_1782/klagomål/A 30652-2025 FSC-klagomål.docx", "A 30652-2025")</f>
        <v/>
      </c>
      <c r="AB55">
        <f>HYPERLINK("https://klasma.github.io/Logging_1782/klagomålsmail/A 30652-2025 FSC-klagomål mail.docx", "A 30652-2025")</f>
        <v/>
      </c>
      <c r="AC55">
        <f>HYPERLINK("https://klasma.github.io/Logging_1782/tillsyn/A 30652-2025 tillsynsbegäran.docx", "A 30652-2025")</f>
        <v/>
      </c>
      <c r="AD55">
        <f>HYPERLINK("https://klasma.github.io/Logging_1782/tillsynsmail/A 30652-2025 tillsynsbegäran mail.docx", "A 30652-2025")</f>
        <v/>
      </c>
      <c r="AE55">
        <f>HYPERLINK("https://klasma.github.io/Logging_1782/fåglar/A 30652-2025 prioriterade fågelarter.docx", "A 30652-2025")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46288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46288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46288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52992-2021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46288</v>
      </c>
      <c r="F59" t="inlineStr">
        <is>
          <t>VÄRMLANDS LÄN</t>
        </is>
      </c>
      <c r="G59" t="inlineStr">
        <is>
          <t>FILIPSTAD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46288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46288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46288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46288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46288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46288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46288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46288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46288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46288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46288</v>
      </c>
      <c r="F70" t="inlineStr">
        <is>
          <t>VÄRMLANDS LÄN</t>
        </is>
      </c>
      <c r="G70" t="inlineStr">
        <is>
          <t>FILIPSTAD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46288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44799</v>
      </c>
      <c r="E72" s="1" t="n">
        <v>46288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19626-2022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44694</v>
      </c>
      <c r="E73" s="1" t="n">
        <v>46288</v>
      </c>
      <c r="F73" t="inlineStr">
        <is>
          <t>VÄRMLANDS LÄN</t>
        </is>
      </c>
      <c r="G73" t="inlineStr">
        <is>
          <t>FILIPSTAD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46288</v>
      </c>
      <c r="F74" t="inlineStr">
        <is>
          <t>VÄRMLANDS LÄN</t>
        </is>
      </c>
      <c r="G74" t="inlineStr">
        <is>
          <t>FILIPSTAD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46288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46288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46288</v>
      </c>
      <c r="F77" t="inlineStr">
        <is>
          <t>VÄRMLANDS LÄN</t>
        </is>
      </c>
      <c r="G77" t="inlineStr">
        <is>
          <t>FILIPSTAD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46288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46288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46288</v>
      </c>
      <c r="F80" t="inlineStr">
        <is>
          <t>VÄRMLANDS LÄN</t>
        </is>
      </c>
      <c r="G80" t="inlineStr">
        <is>
          <t>FILIPSTAD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9270-2023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44980</v>
      </c>
      <c r="E81" s="1" t="n">
        <v>46288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45674</v>
      </c>
      <c r="E82" s="1" t="n">
        <v>46288</v>
      </c>
      <c r="F82" t="inlineStr">
        <is>
          <t>VÄRMLANDS LÄN</t>
        </is>
      </c>
      <c r="G82" t="inlineStr">
        <is>
          <t>FILIPSTAD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46288</v>
      </c>
      <c r="F83" t="inlineStr">
        <is>
          <t>VÄRMLANDS LÄN</t>
        </is>
      </c>
      <c r="G83" t="inlineStr">
        <is>
          <t>FILIPSTAD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46288</v>
      </c>
      <c r="F84" t="inlineStr">
        <is>
          <t>VÄRMLANDS LÄN</t>
        </is>
      </c>
      <c r="G84" t="inlineStr">
        <is>
          <t>FILIPSTAD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44637</v>
      </c>
      <c r="E85" s="1" t="n">
        <v>46288</v>
      </c>
      <c r="F85" t="inlineStr">
        <is>
          <t>VÄRMLANDS LÄN</t>
        </is>
      </c>
      <c r="G85" t="inlineStr">
        <is>
          <t>FILIPSTAD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25737-2023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45090</v>
      </c>
      <c r="E86" s="1" t="n">
        <v>46288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45218</v>
      </c>
      <c r="E87" s="1" t="n">
        <v>46288</v>
      </c>
      <c r="F87" t="inlineStr">
        <is>
          <t>VÄRMLANDS LÄN</t>
        </is>
      </c>
      <c r="G87" t="inlineStr">
        <is>
          <t>FILIPSTAD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5803-2023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44963</v>
      </c>
      <c r="E88" s="1" t="n">
        <v>46288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45418</v>
      </c>
      <c r="E89" s="1" t="n">
        <v>46288</v>
      </c>
      <c r="F89" t="inlineStr">
        <is>
          <t>VÄRMLANDS LÄN</t>
        </is>
      </c>
      <c r="G89" t="inlineStr">
        <is>
          <t>FILIPSTAD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45159</v>
      </c>
      <c r="E90" s="1" t="n">
        <v>46288</v>
      </c>
      <c r="F90" t="inlineStr">
        <is>
          <t>VÄRMLANDS LÄN</t>
        </is>
      </c>
      <c r="G90" t="inlineStr">
        <is>
          <t>FILIPSTAD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45578</v>
      </c>
      <c r="E91" s="1" t="n">
        <v>46288</v>
      </c>
      <c r="F91" t="inlineStr">
        <is>
          <t>VÄRMLANDS LÄN</t>
        </is>
      </c>
      <c r="G91" t="inlineStr">
        <is>
          <t>FILIPSTAD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44743</v>
      </c>
      <c r="E92" s="1" t="n">
        <v>46288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39566-2023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46288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14582-2025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45742</v>
      </c>
      <c r="E94" s="1" t="n">
        <v>46288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46288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27107-2024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46288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46288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45223</v>
      </c>
      <c r="E98" s="1" t="n">
        <v>46288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46288</v>
      </c>
      <c r="F99" t="inlineStr">
        <is>
          <t>VÄRMLANDS LÄN</t>
        </is>
      </c>
      <c r="G99" t="inlineStr">
        <is>
          <t>FILIPSTAD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55978-2022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44889</v>
      </c>
      <c r="E100" s="1" t="n">
        <v>46288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45750</v>
      </c>
      <c r="E101" s="1" t="n">
        <v>46288</v>
      </c>
      <c r="F101" t="inlineStr">
        <is>
          <t>VÄRMLANDS LÄN</t>
        </is>
      </c>
      <c r="G101" t="inlineStr">
        <is>
          <t>FILIPSTAD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45567</v>
      </c>
      <c r="E102" s="1" t="n">
        <v>46288</v>
      </c>
      <c r="F102" t="inlineStr">
        <is>
          <t>VÄRMLANDS LÄN</t>
        </is>
      </c>
      <c r="G102" t="inlineStr">
        <is>
          <t>FILIPSTAD</t>
        </is>
      </c>
      <c r="H102" t="inlineStr">
        <is>
          <t>Kyrkan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46288</v>
      </c>
      <c r="F103" t="inlineStr">
        <is>
          <t>VÄRMLANDS LÄN</t>
        </is>
      </c>
      <c r="G103" t="inlineStr">
        <is>
          <t>FILIPSTAD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46288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46288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46288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45223</v>
      </c>
      <c r="E107" s="1" t="n">
        <v>46288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36680-2023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45153</v>
      </c>
      <c r="E108" s="1" t="n">
        <v>46288</v>
      </c>
      <c r="F108" t="inlineStr">
        <is>
          <t>VÄRMLANDS LÄN</t>
        </is>
      </c>
      <c r="G108" t="inlineStr">
        <is>
          <t>FILIPSTAD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45208</v>
      </c>
      <c r="E109" s="1" t="n">
        <v>46288</v>
      </c>
      <c r="F109" t="inlineStr">
        <is>
          <t>VÄRMLANDS LÄN</t>
        </is>
      </c>
      <c r="G109" t="inlineStr">
        <is>
          <t>FILIPSTAD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46288</v>
      </c>
      <c r="F110" t="inlineStr">
        <is>
          <t>VÄRMLANDS LÄN</t>
        </is>
      </c>
      <c r="G110" t="inlineStr">
        <is>
          <t>FILIPSTAD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46288</v>
      </c>
      <c r="F111" t="inlineStr">
        <is>
          <t>VÄRMLANDS LÄN</t>
        </is>
      </c>
      <c r="G111" t="inlineStr">
        <is>
          <t>FILIPSTAD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46288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50856-2022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44867</v>
      </c>
      <c r="E113" s="1" t="n">
        <v>46288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21608-2023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45063</v>
      </c>
      <c r="E114" s="1" t="n">
        <v>46288</v>
      </c>
      <c r="F114" t="inlineStr">
        <is>
          <t>VÄRMLANDS LÄN</t>
        </is>
      </c>
      <c r="G114" t="inlineStr">
        <is>
          <t>FILIPSTAD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71971-2021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46288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46288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46288</v>
      </c>
      <c r="F117" t="inlineStr">
        <is>
          <t>VÄRMLANDS LÄN</t>
        </is>
      </c>
      <c r="G117" t="inlineStr">
        <is>
          <t>FILIPSTAD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46288</v>
      </c>
      <c r="F118" t="inlineStr">
        <is>
          <t>VÄRMLANDS LÄN</t>
        </is>
      </c>
      <c r="G118" t="inlineStr">
        <is>
          <t>FILIPSTAD</t>
        </is>
      </c>
      <c r="H118" t="inlineStr">
        <is>
          <t>Kyrkan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10338-2025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46288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46288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45427</v>
      </c>
      <c r="E121" s="1" t="n">
        <v>46288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46288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29825-2023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45107</v>
      </c>
      <c r="E123" s="1" t="n">
        <v>46288</v>
      </c>
      <c r="F123" t="inlineStr">
        <is>
          <t>VÄRMLANDS LÄN</t>
        </is>
      </c>
      <c r="G123" t="inlineStr">
        <is>
          <t>FILIPSTAD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46134</v>
      </c>
      <c r="E124" s="1" t="n">
        <v>46288</v>
      </c>
      <c r="F124" t="inlineStr">
        <is>
          <t>VÄRMLANDS LÄN</t>
        </is>
      </c>
      <c r="G124" t="inlineStr">
        <is>
          <t>FILIPSTAD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46288</v>
      </c>
      <c r="F125" t="inlineStr">
        <is>
          <t>VÄRMLANDS LÄN</t>
        </is>
      </c>
      <c r="G125" t="inlineStr">
        <is>
          <t>FILIPSTAD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45882</v>
      </c>
      <c r="E126" s="1" t="n">
        <v>46288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46288</v>
      </c>
      <c r="F127" t="inlineStr">
        <is>
          <t>VÄRMLANDS LÄN</t>
        </is>
      </c>
      <c r="G127" t="inlineStr">
        <is>
          <t>FILIPSTAD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45114</v>
      </c>
      <c r="E128" s="1" t="n">
        <v>46288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45896</v>
      </c>
      <c r="E129" s="1" t="n">
        <v>46288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46288</v>
      </c>
      <c r="F130" t="inlineStr">
        <is>
          <t>VÄRMLANDS LÄN</t>
        </is>
      </c>
      <c r="G130" t="inlineStr">
        <is>
          <t>FILIPSTAD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46288</v>
      </c>
      <c r="F131" t="inlineStr">
        <is>
          <t>VÄRMLANDS LÄN</t>
        </is>
      </c>
      <c r="G131" t="inlineStr">
        <is>
          <t>FILIPSTAD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20045-2026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46136</v>
      </c>
      <c r="E132" s="1" t="n">
        <v>46288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46288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45245</v>
      </c>
      <c r="E134" s="1" t="n">
        <v>46288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46288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41718-2025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45902</v>
      </c>
      <c r="E136" s="1" t="n">
        <v>46288</v>
      </c>
      <c r="F136" t="inlineStr">
        <is>
          <t>VÄRMLANDS LÄN</t>
        </is>
      </c>
      <c r="G136" t="inlineStr">
        <is>
          <t>FILIPSTAD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46288</v>
      </c>
      <c r="F137" t="inlineStr">
        <is>
          <t>VÄRMLANDS LÄN</t>
        </is>
      </c>
      <c r="G137" t="inlineStr">
        <is>
          <t>FILIPSTAD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46288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46288</v>
      </c>
      <c r="F139" t="inlineStr">
        <is>
          <t>VÄRMLANDS LÄN</t>
        </is>
      </c>
      <c r="G139" t="inlineStr">
        <is>
          <t>FILIPSTAD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46288</v>
      </c>
      <c r="F140" t="inlineStr">
        <is>
          <t>VÄRMLANDS LÄN</t>
        </is>
      </c>
      <c r="G140" t="inlineStr">
        <is>
          <t>FILIPSTAD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46136</v>
      </c>
      <c r="E141" s="1" t="n">
        <v>46288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46136</v>
      </c>
      <c r="E142" s="1" t="n">
        <v>46288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46288</v>
      </c>
      <c r="F143" t="inlineStr">
        <is>
          <t>VÄRMLANDS LÄN</t>
        </is>
      </c>
      <c r="G143" t="inlineStr">
        <is>
          <t>FILIPSTAD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45789</v>
      </c>
      <c r="E144" s="1" t="n">
        <v>46288</v>
      </c>
      <c r="F144" t="inlineStr">
        <is>
          <t>VÄRMLANDS LÄN</t>
        </is>
      </c>
      <c r="G144" t="inlineStr">
        <is>
          <t>FILIPSTAD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46288</v>
      </c>
      <c r="F145" t="inlineStr">
        <is>
          <t>VÄRMLANDS LÄN</t>
        </is>
      </c>
      <c r="G145" t="inlineStr">
        <is>
          <t>FILIPSTAD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22830-2023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45072</v>
      </c>
      <c r="E146" s="1" t="n">
        <v>46288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22866-2023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45072</v>
      </c>
      <c r="E147" s="1" t="n">
        <v>46288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46288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46288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46288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45271</v>
      </c>
      <c r="E151" s="1" t="n">
        <v>46288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45169</v>
      </c>
      <c r="E152" s="1" t="n">
        <v>46288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46288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45925</v>
      </c>
      <c r="E154" s="1" t="n">
        <v>46288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45924</v>
      </c>
      <c r="E155" s="1" t="n">
        <v>46288</v>
      </c>
      <c r="F155" t="inlineStr">
        <is>
          <t>VÄRMLANDS LÄN</t>
        </is>
      </c>
      <c r="G155" t="inlineStr">
        <is>
          <t>FILIPSTAD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46288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46288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45931</v>
      </c>
      <c r="E158" s="1" t="n">
        <v>46288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46288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45664</v>
      </c>
      <c r="E160" s="1" t="n">
        <v>46288</v>
      </c>
      <c r="F160" t="inlineStr">
        <is>
          <t>VÄRMLANDS LÄN</t>
        </is>
      </c>
      <c r="G160" t="inlineStr">
        <is>
          <t>FILIPSTAD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46288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46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48103-2025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45933</v>
      </c>
      <c r="E162" s="1" t="n">
        <v>46288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46288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46288</v>
      </c>
      <c r="F164" t="inlineStr">
        <is>
          <t>VÄRMLANDS LÄN</t>
        </is>
      </c>
      <c r="G164" t="inlineStr">
        <is>
          <t>FILIPSTAD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36272-2025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45867</v>
      </c>
      <c r="E165" s="1" t="n">
        <v>46288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46141</v>
      </c>
      <c r="E166" s="1" t="n">
        <v>46288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46288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45880</v>
      </c>
      <c r="E168" s="1" t="n">
        <v>46288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20554-2025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45775</v>
      </c>
      <c r="E169" s="1" t="n">
        <v>46288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46288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19351-2025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45769</v>
      </c>
      <c r="E171" s="1" t="n">
        <v>46288</v>
      </c>
      <c r="F171" t="inlineStr">
        <is>
          <t>VÄRMLANDS LÄN</t>
        </is>
      </c>
      <c r="G171" t="inlineStr">
        <is>
          <t>FILIPSTAD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46142</v>
      </c>
      <c r="E172" s="1" t="n">
        <v>46288</v>
      </c>
      <c r="F172" t="inlineStr">
        <is>
          <t>VÄRMLANDS LÄN</t>
        </is>
      </c>
      <c r="G172" t="inlineStr">
        <is>
          <t>FILIPSTAD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45246</v>
      </c>
      <c r="E173" s="1" t="n">
        <v>46288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46142</v>
      </c>
      <c r="E174" s="1" t="n">
        <v>46288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46288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46288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22051-2026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46153</v>
      </c>
      <c r="E177" s="1" t="n">
        <v>46288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46288</v>
      </c>
      <c r="F178" t="inlineStr">
        <is>
          <t>VÄRMLANDS LÄN</t>
        </is>
      </c>
      <c r="G178" t="inlineStr">
        <is>
          <t>FILIPSTAD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46288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46288</v>
      </c>
      <c r="F180" t="inlineStr">
        <is>
          <t>VÄRMLANDS LÄN</t>
        </is>
      </c>
      <c r="G180" t="inlineStr">
        <is>
          <t>FILIPSTAD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46288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46288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46288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46288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46288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46288</v>
      </c>
      <c r="F186" t="inlineStr">
        <is>
          <t>VÄRMLANDS LÄN</t>
        </is>
      </c>
      <c r="G186" t="inlineStr">
        <is>
          <t>FILIPSTAD</t>
        </is>
      </c>
      <c r="I186" t="n">
        <v>10.8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46153</v>
      </c>
      <c r="E187" s="1" t="n">
        <v>46288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22115-2026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46288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22138-2026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46153</v>
      </c>
      <c r="E189" s="1" t="n">
        <v>46288</v>
      </c>
      <c r="F189" t="inlineStr">
        <is>
          <t>VÄRMLANDS LÄN</t>
        </is>
      </c>
      <c r="G189" t="inlineStr">
        <is>
          <t>FILIPSTAD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45299</v>
      </c>
      <c r="E190" s="1" t="n">
        <v>46288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46288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45665</v>
      </c>
      <c r="E192" s="1" t="n">
        <v>46288</v>
      </c>
      <c r="F192" t="inlineStr">
        <is>
          <t>VÄRMLANDS LÄN</t>
        </is>
      </c>
      <c r="G192" t="inlineStr">
        <is>
          <t>FILIPSTAD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45124</v>
      </c>
      <c r="E193" s="1" t="n">
        <v>46288</v>
      </c>
      <c r="F193" t="inlineStr">
        <is>
          <t>VÄRMLANDS LÄN</t>
        </is>
      </c>
      <c r="G193" t="inlineStr">
        <is>
          <t>FILIPSTAD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46288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51790-2025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46288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45951</v>
      </c>
      <c r="E196" s="1" t="n">
        <v>46288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45953</v>
      </c>
      <c r="E197" s="1" t="n">
        <v>46288</v>
      </c>
      <c r="F197" t="inlineStr">
        <is>
          <t>VÄRMLANDS LÄN</t>
        </is>
      </c>
      <c r="G197" t="inlineStr">
        <is>
          <t>FILIPSTAD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52518-2025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45954</v>
      </c>
      <c r="E198" s="1" t="n">
        <v>46288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45267</v>
      </c>
      <c r="E199" s="1" t="n">
        <v>46288</v>
      </c>
      <c r="F199" t="inlineStr">
        <is>
          <t>VÄRMLANDS LÄN</t>
        </is>
      </c>
      <c r="G199" t="inlineStr">
        <is>
          <t>FILIPSTAD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46288</v>
      </c>
      <c r="F200" t="inlineStr">
        <is>
          <t>VÄRMLANDS LÄN</t>
        </is>
      </c>
      <c r="G200" t="inlineStr">
        <is>
          <t>FILIPSTAD</t>
        </is>
      </c>
      <c r="H200" t="inlineStr">
        <is>
          <t>Kyrkan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46288</v>
      </c>
      <c r="F201" t="inlineStr">
        <is>
          <t>VÄRMLANDS LÄN</t>
        </is>
      </c>
      <c r="G201" t="inlineStr">
        <is>
          <t>FILIPSTAD</t>
        </is>
      </c>
      <c r="H201" t="inlineStr">
        <is>
          <t>Kyrkan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63482-2021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44508</v>
      </c>
      <c r="E202" s="1" t="n">
        <v>46288</v>
      </c>
      <c r="F202" t="inlineStr">
        <is>
          <t>VÄRMLANDS LÄN</t>
        </is>
      </c>
      <c r="G202" t="inlineStr">
        <is>
          <t>FILIPSTAD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46288</v>
      </c>
      <c r="F203" t="inlineStr">
        <is>
          <t>VÄRMLANDS LÄN</t>
        </is>
      </c>
      <c r="G203" t="inlineStr">
        <is>
          <t>FILIPSTAD</t>
        </is>
      </c>
      <c r="H203" t="inlineStr">
        <is>
          <t>Kommuner</t>
        </is>
      </c>
      <c r="I203" t="n">
        <v>17.7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45253</v>
      </c>
      <c r="E204" s="1" t="n">
        <v>46288</v>
      </c>
      <c r="F204" t="inlineStr">
        <is>
          <t>VÄRMLANDS LÄN</t>
        </is>
      </c>
      <c r="G204" t="inlineStr">
        <is>
          <t>FILIPSTAD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56840-2024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45628</v>
      </c>
      <c r="E205" s="1" t="n">
        <v>46288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46288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45408</v>
      </c>
      <c r="E207" s="1" t="n">
        <v>46288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23440-2026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46288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23500-2026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46288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46288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23514-2026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46288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23555-2026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46288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46163</v>
      </c>
      <c r="E213" s="1" t="n">
        <v>46288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45077</v>
      </c>
      <c r="E214" s="1" t="n">
        <v>46288</v>
      </c>
      <c r="F214" t="inlineStr">
        <is>
          <t>VÄRMLANDS LÄN</t>
        </is>
      </c>
      <c r="G214" t="inlineStr">
        <is>
          <t>FILIPSTAD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45968</v>
      </c>
      <c r="E215" s="1" t="n">
        <v>46288</v>
      </c>
      <c r="F215" t="inlineStr">
        <is>
          <t>VÄRMLANDS LÄN</t>
        </is>
      </c>
      <c r="G215" t="inlineStr">
        <is>
          <t>FILIPSTAD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55175-2025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45968</v>
      </c>
      <c r="E216" s="1" t="n">
        <v>46288</v>
      </c>
      <c r="F216" t="inlineStr">
        <is>
          <t>VÄRMLANDS LÄN</t>
        </is>
      </c>
      <c r="G216" t="inlineStr">
        <is>
          <t>FILIPSTAD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46288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17.9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46288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20.3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45087</v>
      </c>
      <c r="E219" s="1" t="n">
        <v>46288</v>
      </c>
      <c r="F219" t="inlineStr">
        <is>
          <t>VÄRMLANDS LÄN</t>
        </is>
      </c>
      <c r="G219" t="inlineStr">
        <is>
          <t>FILIPSTAD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45088</v>
      </c>
      <c r="E220" s="1" t="n">
        <v>46288</v>
      </c>
      <c r="F220" t="inlineStr">
        <is>
          <t>VÄRMLANDS LÄN</t>
        </is>
      </c>
      <c r="G220" t="inlineStr">
        <is>
          <t>FILIPSTAD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46288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55514-2025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46288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46288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9.199999999999999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46288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46288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46288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46288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46288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46288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55668-2025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46288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46167</v>
      </c>
      <c r="E231" s="1" t="n">
        <v>46288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46288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23931-2026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46167</v>
      </c>
      <c r="E233" s="1" t="n">
        <v>46288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46167</v>
      </c>
      <c r="E234" s="1" t="n">
        <v>46288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46288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46288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56182-2025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45974</v>
      </c>
      <c r="E237" s="1" t="n">
        <v>46288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46288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46288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46288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23970-2026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46288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9.300000000000001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46288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23922-2026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46288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46288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24027-2026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46288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45750</v>
      </c>
      <c r="E246" s="1" t="n">
        <v>46288</v>
      </c>
      <c r="F246" t="inlineStr">
        <is>
          <t>VÄRMLANDS LÄN</t>
        </is>
      </c>
      <c r="G246" t="inlineStr">
        <is>
          <t>FILIPSTAD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23934-2026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46167</v>
      </c>
      <c r="E247" s="1" t="n">
        <v>46288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23959-2026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46288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45167</v>
      </c>
      <c r="E249" s="1" t="n">
        <v>46288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44911</v>
      </c>
      <c r="E250" s="1" t="n">
        <v>46288</v>
      </c>
      <c r="F250" t="inlineStr">
        <is>
          <t>VÄRMLANDS LÄN</t>
        </is>
      </c>
      <c r="G250" t="inlineStr">
        <is>
          <t>FILIPSTAD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46288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45982</v>
      </c>
      <c r="E252" s="1" t="n">
        <v>46288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28.4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46288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24260-2026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46169</v>
      </c>
      <c r="E254" s="1" t="n">
        <v>46288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58211-2025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46288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46169</v>
      </c>
      <c r="E256" s="1" t="n">
        <v>46288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24288-2026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46288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49935-2025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45940</v>
      </c>
      <c r="E258" s="1" t="n">
        <v>46288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46288</v>
      </c>
      <c r="F259" t="inlineStr">
        <is>
          <t>VÄRMLANDS LÄN</t>
        </is>
      </c>
      <c r="G259" t="inlineStr">
        <is>
          <t>FILIPSTAD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28161-2023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45093</v>
      </c>
      <c r="E260" s="1" t="n">
        <v>46288</v>
      </c>
      <c r="F260" t="inlineStr">
        <is>
          <t>VÄRMLANDS LÄN</t>
        </is>
      </c>
      <c r="G260" t="inlineStr">
        <is>
          <t>FILIPSTAD</t>
        </is>
      </c>
      <c r="H260" t="inlineStr">
        <is>
          <t>Kommuner</t>
        </is>
      </c>
      <c r="I260" t="n">
        <v>15.4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46288</v>
      </c>
      <c r="F261" t="inlineStr">
        <is>
          <t>VÄRMLANDS LÄN</t>
        </is>
      </c>
      <c r="G261" t="inlineStr">
        <is>
          <t>FILIPSTAD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46288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46288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46288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46288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45989</v>
      </c>
      <c r="E266" s="1" t="n">
        <v>46288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46288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46288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46288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46288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24453-2026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46288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24941-2026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46174</v>
      </c>
      <c r="E272" s="1" t="n">
        <v>46288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45989</v>
      </c>
      <c r="E273" s="1" t="n">
        <v>46288</v>
      </c>
      <c r="F273" t="inlineStr">
        <is>
          <t>VÄRMLANDS LÄN</t>
        </is>
      </c>
      <c r="G273" t="inlineStr">
        <is>
          <t>FILIPSTAD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45436</v>
      </c>
      <c r="E274" s="1" t="n">
        <v>46288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46288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45418</v>
      </c>
      <c r="E276" s="1" t="n">
        <v>46288</v>
      </c>
      <c r="F276" t="inlineStr">
        <is>
          <t>VÄRMLANDS LÄN</t>
        </is>
      </c>
      <c r="G276" t="inlineStr">
        <is>
          <t>FILIPSTAD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59707-2025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46288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46288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46288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46288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60550-2025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46288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45995</v>
      </c>
      <c r="E282" s="1" t="n">
        <v>46288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46288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46288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45996</v>
      </c>
      <c r="E285" s="1" t="n">
        <v>46288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46288</v>
      </c>
      <c r="F286" t="inlineStr">
        <is>
          <t>VÄRMLANDS LÄN</t>
        </is>
      </c>
      <c r="G286" t="inlineStr">
        <is>
          <t>FILIPSTAD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61492-2025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46001</v>
      </c>
      <c r="E287" s="1" t="n">
        <v>46288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24745-2026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46171</v>
      </c>
      <c r="E288" s="1" t="n">
        <v>46288</v>
      </c>
      <c r="F288" t="inlineStr">
        <is>
          <t>VÄRMLANDS LÄN</t>
        </is>
      </c>
      <c r="G288" t="inlineStr">
        <is>
          <t>FILIPSTAD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46288</v>
      </c>
      <c r="F289" t="inlineStr">
        <is>
          <t>VÄRMLANDS LÄN</t>
        </is>
      </c>
      <c r="G289" t="inlineStr">
        <is>
          <t>FILIPSTAD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32183-2025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45835</v>
      </c>
      <c r="E290" s="1" t="n">
        <v>46288</v>
      </c>
      <c r="F290" t="inlineStr">
        <is>
          <t>VÄRMLANDS LÄN</t>
        </is>
      </c>
      <c r="G290" t="inlineStr">
        <is>
          <t>FILIPSTAD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45229</v>
      </c>
      <c r="E291" s="1" t="n">
        <v>46288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14275-2024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45393</v>
      </c>
      <c r="E292" s="1" t="n">
        <v>46288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46288</v>
      </c>
      <c r="F293" t="inlineStr">
        <is>
          <t>VÄRMLANDS LÄN</t>
        </is>
      </c>
      <c r="G293" t="inlineStr">
        <is>
          <t>FILIPSTAD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46288</v>
      </c>
      <c r="F294" t="inlineStr">
        <is>
          <t>VÄRMLANDS LÄN</t>
        </is>
      </c>
      <c r="G294" t="inlineStr">
        <is>
          <t>FILIPSTAD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61417-2025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46001</v>
      </c>
      <c r="E295" s="1" t="n">
        <v>46288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46288</v>
      </c>
      <c r="F296" t="inlineStr">
        <is>
          <t>VÄRMLANDS LÄN</t>
        </is>
      </c>
      <c r="G296" t="inlineStr">
        <is>
          <t>FILIPSTAD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61327-2025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46001</v>
      </c>
      <c r="E297" s="1" t="n">
        <v>46288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45012</v>
      </c>
      <c r="E298" s="1" t="n">
        <v>46288</v>
      </c>
      <c r="F298" t="inlineStr">
        <is>
          <t>VÄRMLANDS LÄN</t>
        </is>
      </c>
      <c r="G298" t="inlineStr">
        <is>
          <t>FILIPSTAD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61823-2025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46003</v>
      </c>
      <c r="E299" s="1" t="n">
        <v>46288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46288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8.9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46288</v>
      </c>
      <c r="F301" t="inlineStr">
        <is>
          <t>VÄRMLANDS LÄN</t>
        </is>
      </c>
      <c r="G301" t="inlineStr">
        <is>
          <t>FILIPSTAD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46288</v>
      </c>
      <c r="F302" t="inlineStr">
        <is>
          <t>VÄRMLANDS LÄN</t>
        </is>
      </c>
      <c r="G302" t="inlineStr">
        <is>
          <t>FILIPSTAD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46002</v>
      </c>
      <c r="E303" s="1" t="n">
        <v>46288</v>
      </c>
      <c r="F303" t="inlineStr">
        <is>
          <t>VÄRMLANDS LÄN</t>
        </is>
      </c>
      <c r="G303" t="inlineStr">
        <is>
          <t>FILIPSTAD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46288</v>
      </c>
      <c r="F304" t="inlineStr">
        <is>
          <t>VÄRMLANDS LÄN</t>
        </is>
      </c>
      <c r="G304" t="inlineStr">
        <is>
          <t>FILIPSTAD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46288</v>
      </c>
      <c r="F305" t="inlineStr">
        <is>
          <t>VÄRMLANDS LÄN</t>
        </is>
      </c>
      <c r="G305" t="inlineStr">
        <is>
          <t>FILIPSTAD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46288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62243-2025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46288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45428</v>
      </c>
      <c r="E308" s="1" t="n">
        <v>46288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8.4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46175</v>
      </c>
      <c r="E309" s="1" t="n">
        <v>46288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45232</v>
      </c>
      <c r="E310" s="1" t="n">
        <v>46288</v>
      </c>
      <c r="F310" t="inlineStr">
        <is>
          <t>VÄRMLANDS LÄN</t>
        </is>
      </c>
      <c r="G310" t="inlineStr">
        <is>
          <t>FILIPSTAD</t>
        </is>
      </c>
      <c r="I310" t="n">
        <v>15.5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46004</v>
      </c>
      <c r="E311" s="1" t="n">
        <v>46288</v>
      </c>
      <c r="F311" t="inlineStr">
        <is>
          <t>VÄRMLANDS LÄN</t>
        </is>
      </c>
      <c r="G311" t="inlineStr">
        <is>
          <t>FILIPSTAD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46004</v>
      </c>
      <c r="E312" s="1" t="n">
        <v>46288</v>
      </c>
      <c r="F312" t="inlineStr">
        <is>
          <t>VÄRMLANDS LÄN</t>
        </is>
      </c>
      <c r="G312" t="inlineStr">
        <is>
          <t>FILIPSTAD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36251-2022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44803</v>
      </c>
      <c r="E313" s="1" t="n">
        <v>46288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10136-2024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45364</v>
      </c>
      <c r="E314" s="1" t="n">
        <v>46288</v>
      </c>
      <c r="F314" t="inlineStr">
        <is>
          <t>VÄRMLANDS LÄN</t>
        </is>
      </c>
      <c r="G314" t="inlineStr">
        <is>
          <t>FILIPSTAD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45658</v>
      </c>
      <c r="E315" s="1" t="n">
        <v>46288</v>
      </c>
      <c r="F315" t="inlineStr">
        <is>
          <t>VÄRMLANDS LÄN</t>
        </is>
      </c>
      <c r="G315" t="inlineStr">
        <is>
          <t>FILIPSTAD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46178</v>
      </c>
      <c r="E316" s="1" t="n">
        <v>46288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25869-2026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46178</v>
      </c>
      <c r="E317" s="1" t="n">
        <v>46288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46288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46288</v>
      </c>
      <c r="F319" t="inlineStr">
        <is>
          <t>VÄRMLANDS LÄN</t>
        </is>
      </c>
      <c r="G319" t="inlineStr">
        <is>
          <t>FILIPSTAD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63678-2025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46014</v>
      </c>
      <c r="E320" s="1" t="n">
        <v>46288</v>
      </c>
      <c r="F320" t="inlineStr">
        <is>
          <t>VÄRMLANDS LÄN</t>
        </is>
      </c>
      <c r="G320" t="inlineStr">
        <is>
          <t>FILIPSTAD</t>
        </is>
      </c>
      <c r="I320" t="n">
        <v>9.9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54735-2024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45618</v>
      </c>
      <c r="E321" s="1" t="n">
        <v>46288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45384</v>
      </c>
      <c r="E322" s="1" t="n">
        <v>46288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54828-2023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45229</v>
      </c>
      <c r="E323" s="1" t="n">
        <v>46288</v>
      </c>
      <c r="F323" t="inlineStr">
        <is>
          <t>VÄRMLANDS LÄN</t>
        </is>
      </c>
      <c r="G323" t="inlineStr">
        <is>
          <t>FILIPSTAD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45484</v>
      </c>
      <c r="E324" s="1" t="n">
        <v>46288</v>
      </c>
      <c r="F324" t="inlineStr">
        <is>
          <t>VÄRMLANDS LÄN</t>
        </is>
      </c>
      <c r="G324" t="inlineStr">
        <is>
          <t>FILIPSTAD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45327</v>
      </c>
      <c r="E325" s="1" t="n">
        <v>46288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46288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26298-2026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46182</v>
      </c>
      <c r="E327" s="1" t="n">
        <v>46288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46288</v>
      </c>
      <c r="F328" t="inlineStr">
        <is>
          <t>VÄRMLANDS LÄN</t>
        </is>
      </c>
      <c r="G328" t="inlineStr">
        <is>
          <t>FILIPSTAD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46288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46288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46182</v>
      </c>
      <c r="E331" s="1" t="n">
        <v>46288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46288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46288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26107-2026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46288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20.9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46288</v>
      </c>
      <c r="F335" t="inlineStr">
        <is>
          <t>VÄRMLANDS LÄN</t>
        </is>
      </c>
      <c r="G335" t="inlineStr">
        <is>
          <t>FILIPSTAD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46288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46183</v>
      </c>
      <c r="E337" s="1" t="n">
        <v>46288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25786-2026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46288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46288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58611-2025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45986</v>
      </c>
      <c r="E340" s="1" t="n">
        <v>46288</v>
      </c>
      <c r="F340" t="inlineStr">
        <is>
          <t>VÄRMLANDS LÄN</t>
        </is>
      </c>
      <c r="G340" t="inlineStr">
        <is>
          <t>FILIPSTAD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46040</v>
      </c>
      <c r="E341" s="1" t="n">
        <v>46288</v>
      </c>
      <c r="F341" t="inlineStr">
        <is>
          <t>VÄRMLANDS LÄN</t>
        </is>
      </c>
      <c r="G341" t="inlineStr">
        <is>
          <t>FILIPSTAD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27300-2026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46288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50786-2024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45602</v>
      </c>
      <c r="E343" s="1" t="n">
        <v>46288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46187</v>
      </c>
      <c r="E344" s="1" t="n">
        <v>46288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46185</v>
      </c>
      <c r="E345" s="1" t="n">
        <v>46288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46288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46186</v>
      </c>
      <c r="E347" s="1" t="n">
        <v>46288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27595-2026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46288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47890-2024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45588</v>
      </c>
      <c r="E349" s="1" t="n">
        <v>46288</v>
      </c>
      <c r="F349" t="inlineStr">
        <is>
          <t>VÄRMLANDS LÄN</t>
        </is>
      </c>
      <c r="G349" t="inlineStr">
        <is>
          <t>FILIPSTAD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46288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45391</v>
      </c>
      <c r="E351" s="1" t="n">
        <v>46288</v>
      </c>
      <c r="F351" t="inlineStr">
        <is>
          <t>VÄRMLANDS LÄN</t>
        </is>
      </c>
      <c r="G351" t="inlineStr">
        <is>
          <t>FILIPSTAD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70405-2021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44536</v>
      </c>
      <c r="E352" s="1" t="n">
        <v>46288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44579</v>
      </c>
      <c r="E353" s="1" t="n">
        <v>46288</v>
      </c>
      <c r="F353" t="inlineStr">
        <is>
          <t>VÄRMLANDS LÄN</t>
        </is>
      </c>
      <c r="G353" t="inlineStr">
        <is>
          <t>FILIPSTAD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46191</v>
      </c>
      <c r="E354" s="1" t="n">
        <v>46288</v>
      </c>
      <c r="F354" t="inlineStr">
        <is>
          <t>VÄRMLANDS LÄN</t>
        </is>
      </c>
      <c r="G354" t="inlineStr">
        <is>
          <t>FILIPSTAD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51031-2025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45947</v>
      </c>
      <c r="E355" s="1" t="n">
        <v>46288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61628-2022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44911</v>
      </c>
      <c r="E356" s="1" t="n">
        <v>46288</v>
      </c>
      <c r="F356" t="inlineStr">
        <is>
          <t>VÄRMLANDS LÄN</t>
        </is>
      </c>
      <c r="G356" t="inlineStr">
        <is>
          <t>FILIPSTAD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46195</v>
      </c>
      <c r="E357" s="1" t="n">
        <v>46288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46288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46288</v>
      </c>
      <c r="F359" t="inlineStr">
        <is>
          <t>VÄRMLANDS LÄN</t>
        </is>
      </c>
      <c r="G359" t="inlineStr">
        <is>
          <t>FILIPSTAD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6600-2026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46288</v>
      </c>
      <c r="F360" t="inlineStr">
        <is>
          <t>VÄRMLANDS LÄN</t>
        </is>
      </c>
      <c r="G360" t="inlineStr">
        <is>
          <t>FILIPSTAD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46059</v>
      </c>
      <c r="E361" s="1" t="n">
        <v>46288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17686-2023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45037</v>
      </c>
      <c r="E362" s="1" t="n">
        <v>46288</v>
      </c>
      <c r="F362" t="inlineStr">
        <is>
          <t>VÄRMLANDS LÄN</t>
        </is>
      </c>
      <c r="G362" t="inlineStr">
        <is>
          <t>FILIPSTAD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46288</v>
      </c>
      <c r="F363" t="inlineStr">
        <is>
          <t>VÄRMLANDS LÄN</t>
        </is>
      </c>
      <c r="G363" t="inlineStr">
        <is>
          <t>FILIPSTAD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33671-2022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44789</v>
      </c>
      <c r="E364" s="1" t="n">
        <v>46288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44805</v>
      </c>
      <c r="E365" s="1" t="n">
        <v>46288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45202</v>
      </c>
      <c r="E366" s="1" t="n">
        <v>46288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28516-2026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46197</v>
      </c>
      <c r="E367" s="1" t="n">
        <v>46288</v>
      </c>
      <c r="F367" t="inlineStr">
        <is>
          <t>VÄRMLANDS LÄN</t>
        </is>
      </c>
      <c r="G367" t="inlineStr">
        <is>
          <t>FILIPSTAD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45133</v>
      </c>
      <c r="E368" s="1" t="n">
        <v>46288</v>
      </c>
      <c r="F368" t="inlineStr">
        <is>
          <t>VÄRMLANDS LÄN</t>
        </is>
      </c>
      <c r="G368" t="inlineStr">
        <is>
          <t>FILIPSTAD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46288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24054-2024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46288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54008-2021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44470</v>
      </c>
      <c r="E371" s="1" t="n">
        <v>46288</v>
      </c>
      <c r="F371" t="inlineStr">
        <is>
          <t>VÄRMLANDS LÄN</t>
        </is>
      </c>
      <c r="G371" t="inlineStr">
        <is>
          <t>FILIPSTAD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46288</v>
      </c>
      <c r="F372" t="inlineStr">
        <is>
          <t>VÄRMLANDS LÄN</t>
        </is>
      </c>
      <c r="G372" t="inlineStr">
        <is>
          <t>FILIPSTAD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46257-2022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44847</v>
      </c>
      <c r="E373" s="1" t="n">
        <v>46288</v>
      </c>
      <c r="F373" t="inlineStr">
        <is>
          <t>VÄRMLANDS LÄN</t>
        </is>
      </c>
      <c r="G373" t="inlineStr">
        <is>
          <t>FILIPSTAD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45229</v>
      </c>
      <c r="E374" s="1" t="n">
        <v>46288</v>
      </c>
      <c r="F374" t="inlineStr">
        <is>
          <t>VÄRMLANDS LÄN</t>
        </is>
      </c>
      <c r="G374" t="inlineStr">
        <is>
          <t>FILIPSTAD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46288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46087</v>
      </c>
      <c r="E376" s="1" t="n">
        <v>46288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23618-2023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45077</v>
      </c>
      <c r="E377" s="1" t="n">
        <v>46288</v>
      </c>
      <c r="F377" t="inlineStr">
        <is>
          <t>VÄRMLANDS LÄN</t>
        </is>
      </c>
      <c r="G377" t="inlineStr">
        <is>
          <t>FILIPSTAD</t>
        </is>
      </c>
      <c r="I377" t="n">
        <v>15.8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46288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44960</v>
      </c>
      <c r="E379" s="1" t="n">
        <v>46288</v>
      </c>
      <c r="F379" t="inlineStr">
        <is>
          <t>VÄRMLANDS LÄN</t>
        </is>
      </c>
      <c r="G379" t="inlineStr">
        <is>
          <t>FILIPSTAD</t>
        </is>
      </c>
      <c r="H379" t="inlineStr">
        <is>
          <t>Kommuner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29473-2024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45484</v>
      </c>
      <c r="E380" s="1" t="n">
        <v>46288</v>
      </c>
      <c r="F380" t="inlineStr">
        <is>
          <t>VÄRMLANDS LÄN</t>
        </is>
      </c>
      <c r="G380" t="inlineStr">
        <is>
          <t>FILIPSTAD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12955-2026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46092</v>
      </c>
      <c r="E381" s="1" t="n">
        <v>46288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46288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8.9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46199</v>
      </c>
      <c r="E383" s="1" t="n">
        <v>46288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46202</v>
      </c>
      <c r="E384" s="1" t="n">
        <v>46288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44588</v>
      </c>
      <c r="E385" s="1" t="n">
        <v>46288</v>
      </c>
      <c r="F385" t="inlineStr">
        <is>
          <t>VÄRMLANDS LÄN</t>
        </is>
      </c>
      <c r="G385" t="inlineStr">
        <is>
          <t>FILIPSTAD</t>
        </is>
      </c>
      <c r="H385" t="inlineStr">
        <is>
          <t>Kommuner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46288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13393-2026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46288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46288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29417-2026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46203</v>
      </c>
      <c r="E389" s="1" t="n">
        <v>46288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46090</v>
      </c>
      <c r="E390" s="1" t="n">
        <v>46288</v>
      </c>
      <c r="F390" t="inlineStr">
        <is>
          <t>VÄRMLANDS LÄN</t>
        </is>
      </c>
      <c r="G390" t="inlineStr">
        <is>
          <t>FILIPSTAD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46288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46288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46094</v>
      </c>
      <c r="E393" s="1" t="n">
        <v>46288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45063</v>
      </c>
      <c r="E394" s="1" t="n">
        <v>46288</v>
      </c>
      <c r="F394" t="inlineStr">
        <is>
          <t>VÄRMLANDS LÄN</t>
        </is>
      </c>
      <c r="G394" t="inlineStr">
        <is>
          <t>FILIPSTAD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46288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46247</v>
      </c>
      <c r="E396" s="1" t="n">
        <v>46288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44981</v>
      </c>
      <c r="E397" s="1" t="n">
        <v>46288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46098</v>
      </c>
      <c r="E398" s="1" t="n">
        <v>46288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14315-2026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46099</v>
      </c>
      <c r="E399" s="1" t="n">
        <v>46288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46100</v>
      </c>
      <c r="E400" s="1" t="n">
        <v>46288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47536-2023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45203</v>
      </c>
      <c r="E401" s="1" t="n">
        <v>46288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25468-2024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46288</v>
      </c>
      <c r="F402" t="inlineStr">
        <is>
          <t>VÄRMLANDS LÄN</t>
        </is>
      </c>
      <c r="G402" t="inlineStr">
        <is>
          <t>FILIPSTAD</t>
        </is>
      </c>
      <c r="I402" t="n">
        <v>13.2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44579</v>
      </c>
      <c r="E403" s="1" t="n">
        <v>46288</v>
      </c>
      <c r="F403" t="inlineStr">
        <is>
          <t>VÄRMLANDS LÄN</t>
        </is>
      </c>
      <c r="G403" t="inlineStr">
        <is>
          <t>FILIPSTAD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46203</v>
      </c>
      <c r="E404" s="1" t="n">
        <v>46288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8.199999999999999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29010-2026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46288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46106</v>
      </c>
      <c r="E406" s="1" t="n">
        <v>46288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15619-2026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46288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15645-2026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46288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46203</v>
      </c>
      <c r="E409" s="1" t="n">
        <v>46288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46247</v>
      </c>
      <c r="E410" s="1" t="n">
        <v>46288</v>
      </c>
      <c r="F410" t="inlineStr">
        <is>
          <t>VÄRMLANDS LÄN</t>
        </is>
      </c>
      <c r="G410" t="inlineStr">
        <is>
          <t>FILIPSTAD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15197-2026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46288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33324-2026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46246</v>
      </c>
      <c r="E412" s="1" t="n">
        <v>46288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16009-2026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46288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46288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15920-2026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46288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15889-2026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46288</v>
      </c>
      <c r="F416" t="inlineStr">
        <is>
          <t>VÄRMLANDS LÄN</t>
        </is>
      </c>
      <c r="G416" t="inlineStr">
        <is>
          <t>FILIPSTAD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16050-2026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46108</v>
      </c>
      <c r="E417" s="1" t="n">
        <v>46288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16040-2026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46108</v>
      </c>
      <c r="E418" s="1" t="n">
        <v>46288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45516-2024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45578</v>
      </c>
      <c r="E419" s="1" t="n">
        <v>46288</v>
      </c>
      <c r="F419" t="inlineStr">
        <is>
          <t>VÄRMLANDS LÄN</t>
        </is>
      </c>
      <c r="G419" t="inlineStr">
        <is>
          <t>FILIPSTAD</t>
        </is>
      </c>
      <c r="I419" t="n">
        <v>27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16975-2026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46114</v>
      </c>
      <c r="E420" s="1" t="n">
        <v>46288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32262-2023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45120</v>
      </c>
      <c r="E421" s="1" t="n">
        <v>46288</v>
      </c>
      <c r="F421" t="inlineStr">
        <is>
          <t>VÄRMLANDS LÄN</t>
        </is>
      </c>
      <c r="G421" t="inlineStr">
        <is>
          <t>FILIPSTAD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56151-2023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45240</v>
      </c>
      <c r="E422" s="1" t="n">
        <v>46288</v>
      </c>
      <c r="F422" t="inlineStr">
        <is>
          <t>VÄRMLANDS LÄN</t>
        </is>
      </c>
      <c r="G422" t="inlineStr">
        <is>
          <t>FILIPSTAD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46288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33855-2026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46251</v>
      </c>
      <c r="E424" s="1" t="n">
        <v>46288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17278-2026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46119</v>
      </c>
      <c r="E425" s="1" t="n">
        <v>46288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46119</v>
      </c>
      <c r="E426" s="1" t="n">
        <v>46288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17292-2026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46119</v>
      </c>
      <c r="E427" s="1" t="n">
        <v>46288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29863-2026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46288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46288</v>
      </c>
      <c r="F429" t="inlineStr">
        <is>
          <t>VÄRMLANDS LÄN</t>
        </is>
      </c>
      <c r="G429" t="inlineStr">
        <is>
          <t>FILIPSTAD</t>
        </is>
      </c>
      <c r="I429" t="n">
        <v>9.699999999999999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29821-2026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46205</v>
      </c>
      <c r="E430" s="1" t="n">
        <v>46288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46122</v>
      </c>
      <c r="E431" s="1" t="n">
        <v>46288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17931-2026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46122</v>
      </c>
      <c r="E432" s="1" t="n">
        <v>46288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17914-2026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46288</v>
      </c>
      <c r="F433" t="inlineStr">
        <is>
          <t>VÄRMLANDS LÄN</t>
        </is>
      </c>
      <c r="G433" t="inlineStr">
        <is>
          <t>FILIPSTAD</t>
        </is>
      </c>
      <c r="H433" t="inlineStr">
        <is>
          <t>Kommuner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46288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47344-2023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45202</v>
      </c>
      <c r="E435" s="1" t="n">
        <v>46288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46125</v>
      </c>
      <c r="E436" s="1" t="n">
        <v>46288</v>
      </c>
      <c r="F436" t="inlineStr">
        <is>
          <t>VÄRMLANDS LÄN</t>
        </is>
      </c>
      <c r="G436" t="inlineStr">
        <is>
          <t>FILIPSTAD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18376-2026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46126</v>
      </c>
      <c r="E437" s="1" t="n">
        <v>46288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46129</v>
      </c>
      <c r="E438" s="1" t="n">
        <v>46288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46127</v>
      </c>
      <c r="E439" s="1" t="n">
        <v>46288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17794-2024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45418</v>
      </c>
      <c r="E440" s="1" t="n">
        <v>46288</v>
      </c>
      <c r="F440" t="inlineStr">
        <is>
          <t>VÄRMLANDS LÄN</t>
        </is>
      </c>
      <c r="G440" t="inlineStr">
        <is>
          <t>FILIPSTAD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46288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45152</v>
      </c>
      <c r="E442" s="1" t="n">
        <v>46288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44951</v>
      </c>
      <c r="E443" s="1" t="n">
        <v>46288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6.6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18445-2026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46127</v>
      </c>
      <c r="E444" s="1" t="n">
        <v>46288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18533-2026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46127</v>
      </c>
      <c r="E445" s="1" t="n">
        <v>46288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18826-2026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46288</v>
      </c>
      <c r="F446" t="inlineStr">
        <is>
          <t>VÄRMLANDS LÄN</t>
        </is>
      </c>
      <c r="G446" t="inlineStr">
        <is>
          <t>FILIPSTAD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46127</v>
      </c>
      <c r="E447" s="1" t="n">
        <v>46288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44994</v>
      </c>
      <c r="E448" s="1" t="n">
        <v>46288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19361-2026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46288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19435-2026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46288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54145-2024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45616</v>
      </c>
      <c r="E451" s="1" t="n">
        <v>46288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46135</v>
      </c>
      <c r="E452" s="1" t="n">
        <v>46288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8.800000000000001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55397-2022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44887</v>
      </c>
      <c r="E453" s="1" t="n">
        <v>46288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41075-2023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45173</v>
      </c>
      <c r="E454" s="1" t="n">
        <v>46288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46288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30074-2026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46206</v>
      </c>
      <c r="E456" s="1" t="n">
        <v>46288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29814-2026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46288</v>
      </c>
      <c r="F457" t="inlineStr">
        <is>
          <t>VÄRMLANDS LÄN</t>
        </is>
      </c>
      <c r="G457" t="inlineStr">
        <is>
          <t>FILIPSTAD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46251</v>
      </c>
      <c r="E458" s="1" t="n">
        <v>46288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46251</v>
      </c>
      <c r="E459" s="1" t="n">
        <v>46288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14840-2023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45014</v>
      </c>
      <c r="E460" s="1" t="n">
        <v>46288</v>
      </c>
      <c r="F460" t="inlineStr">
        <is>
          <t>VÄRMLANDS LÄN</t>
        </is>
      </c>
      <c r="G460" t="inlineStr">
        <is>
          <t>FILIPSTAD</t>
        </is>
      </c>
      <c r="H460" t="inlineStr">
        <is>
          <t>Kyrkan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34053-2026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46252</v>
      </c>
      <c r="E461" s="1" t="n">
        <v>46288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30540-2026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46210</v>
      </c>
      <c r="E462" s="1" t="n">
        <v>46288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4819-2023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44957</v>
      </c>
      <c r="E463" s="1" t="n">
        <v>46288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27400-2024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45474</v>
      </c>
      <c r="E464" s="1" t="n">
        <v>46288</v>
      </c>
      <c r="F464" t="inlineStr">
        <is>
          <t>VÄRMLANDS LÄN</t>
        </is>
      </c>
      <c r="G464" t="inlineStr">
        <is>
          <t>FILIPSTAD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34054-2026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46252</v>
      </c>
      <c r="E465" s="1" t="n">
        <v>46288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45511</v>
      </c>
      <c r="E466" s="1" t="n">
        <v>46288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46213</v>
      </c>
      <c r="E467" s="1" t="n">
        <v>46288</v>
      </c>
      <c r="F467" t="inlineStr">
        <is>
          <t>VÄRMLANDS LÄN</t>
        </is>
      </c>
      <c r="G467" t="inlineStr">
        <is>
          <t>FILIPSTAD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5754-2022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44596</v>
      </c>
      <c r="E468" s="1" t="n">
        <v>46288</v>
      </c>
      <c r="F468" t="inlineStr">
        <is>
          <t>VÄRMLANDS LÄN</t>
        </is>
      </c>
      <c r="G468" t="inlineStr">
        <is>
          <t>FILIPSTAD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45186</v>
      </c>
      <c r="E469" s="1" t="n">
        <v>46288</v>
      </c>
      <c r="F469" t="inlineStr">
        <is>
          <t>VÄRMLANDS LÄN</t>
        </is>
      </c>
      <c r="G469" t="inlineStr">
        <is>
          <t>FILIPSTAD</t>
        </is>
      </c>
      <c r="I469" t="n">
        <v>15.3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46255</v>
      </c>
      <c r="E470" s="1" t="n">
        <v>46288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19.2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34539-2026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46255</v>
      </c>
      <c r="E471" s="1" t="n">
        <v>46288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45569</v>
      </c>
      <c r="E472" s="1" t="n">
        <v>46288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45114</v>
      </c>
      <c r="E473" s="1" t="n">
        <v>46288</v>
      </c>
      <c r="F473" t="inlineStr">
        <is>
          <t>VÄRMLANDS LÄN</t>
        </is>
      </c>
      <c r="G473" t="inlineStr">
        <is>
          <t>FILIPSTAD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46288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46212</v>
      </c>
      <c r="E475" s="1" t="n">
        <v>46288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57026-2023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46288</v>
      </c>
      <c r="F476" t="inlineStr">
        <is>
          <t>VÄRMLANDS LÄN</t>
        </is>
      </c>
      <c r="G476" t="inlineStr">
        <is>
          <t>FILIPSTAD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46680-2024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45583</v>
      </c>
      <c r="E477" s="1" t="n">
        <v>46288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19030-2022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44691</v>
      </c>
      <c r="E478" s="1" t="n">
        <v>46288</v>
      </c>
      <c r="F478" t="inlineStr">
        <is>
          <t>VÄRMLANDS LÄN</t>
        </is>
      </c>
      <c r="G478" t="inlineStr">
        <is>
          <t>FILIPSTAD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46259</v>
      </c>
      <c r="E479" s="1" t="n">
        <v>46288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16.1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34916-2026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46259</v>
      </c>
      <c r="E480" s="1" t="n">
        <v>46288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45096</v>
      </c>
      <c r="E481" s="1" t="n">
        <v>46288</v>
      </c>
      <c r="F481" t="inlineStr">
        <is>
          <t>VÄRMLANDS LÄN</t>
        </is>
      </c>
      <c r="G481" t="inlineStr">
        <is>
          <t>FILIPSTAD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48908-2023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45195</v>
      </c>
      <c r="E482" s="1" t="n">
        <v>46288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62013-2024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45655</v>
      </c>
      <c r="E483" s="1" t="n">
        <v>46288</v>
      </c>
      <c r="F483" t="inlineStr">
        <is>
          <t>VÄRMLANDS LÄN</t>
        </is>
      </c>
      <c r="G483" t="inlineStr">
        <is>
          <t>FILIPSTAD</t>
        </is>
      </c>
      <c r="I483" t="n">
        <v>26.5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62014-2024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45655</v>
      </c>
      <c r="E484" s="1" t="n">
        <v>46288</v>
      </c>
      <c r="F484" t="inlineStr">
        <is>
          <t>VÄRMLANDS LÄN</t>
        </is>
      </c>
      <c r="G484" t="inlineStr">
        <is>
          <t>FILIPSTAD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46218</v>
      </c>
      <c r="E485" s="1" t="n">
        <v>46288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44935</v>
      </c>
      <c r="E486" s="1" t="n">
        <v>46288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35368-2026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46261</v>
      </c>
      <c r="E487" s="1" t="n">
        <v>46288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35314-2026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46261</v>
      </c>
      <c r="E488" s="1" t="n">
        <v>46288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8.4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35290-2026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46261</v>
      </c>
      <c r="E489" s="1" t="n">
        <v>46288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46261</v>
      </c>
      <c r="E490" s="1" t="n">
        <v>46288</v>
      </c>
      <c r="F490" t="inlineStr">
        <is>
          <t>VÄRMLANDS LÄN</t>
        </is>
      </c>
      <c r="G490" t="inlineStr">
        <is>
          <t>FILIPSTAD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45230</v>
      </c>
      <c r="E491" s="1" t="n">
        <v>46288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9.9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46189</v>
      </c>
      <c r="E492" s="1" t="n">
        <v>46288</v>
      </c>
      <c r="F492" t="inlineStr">
        <is>
          <t>VÄRMLANDS LÄN</t>
        </is>
      </c>
      <c r="G492" t="inlineStr">
        <is>
          <t>FILIPSTAD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46223</v>
      </c>
      <c r="E493" s="1" t="n">
        <v>46288</v>
      </c>
      <c r="F493" t="inlineStr">
        <is>
          <t>VÄRMLANDS LÄN</t>
        </is>
      </c>
      <c r="G493" t="inlineStr">
        <is>
          <t>FILIPSTAD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35614-2026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46264</v>
      </c>
      <c r="E494" s="1" t="n">
        <v>46288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35641-2026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46288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35615-2026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46264</v>
      </c>
      <c r="E496" s="1" t="n">
        <v>46288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63411-2023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45274</v>
      </c>
      <c r="E497" s="1" t="n">
        <v>46288</v>
      </c>
      <c r="F497" t="inlineStr">
        <is>
          <t>VÄRMLANDS LÄN</t>
        </is>
      </c>
      <c r="G497" t="inlineStr">
        <is>
          <t>FILIPSTAD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31537-2026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46223</v>
      </c>
      <c r="E498" s="1" t="n">
        <v>46288</v>
      </c>
      <c r="F498" t="inlineStr">
        <is>
          <t>VÄRMLANDS LÄN</t>
        </is>
      </c>
      <c r="G498" t="inlineStr">
        <is>
          <t>FILIPSTAD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46265</v>
      </c>
      <c r="E499" s="1" t="n">
        <v>46288</v>
      </c>
      <c r="F499" t="inlineStr">
        <is>
          <t>VÄRMLANDS LÄN</t>
        </is>
      </c>
      <c r="G499" t="inlineStr">
        <is>
          <t>FILIPSTAD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46219</v>
      </c>
      <c r="E500" s="1" t="n">
        <v>46288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43484-2023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45184</v>
      </c>
      <c r="E501" s="1" t="n">
        <v>46288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35927-2026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46266</v>
      </c>
      <c r="E502" s="1" t="n">
        <v>46288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46288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45124</v>
      </c>
      <c r="E504" s="1" t="n">
        <v>46288</v>
      </c>
      <c r="F504" t="inlineStr">
        <is>
          <t>VÄRMLANDS LÄN</t>
        </is>
      </c>
      <c r="G504" t="inlineStr">
        <is>
          <t>FILIPSTAD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46266</v>
      </c>
      <c r="E505" s="1" t="n">
        <v>46288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46266</v>
      </c>
      <c r="E506" s="1" t="n">
        <v>46288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46268</v>
      </c>
      <c r="E507" s="1" t="n">
        <v>46288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36508-2026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46269</v>
      </c>
      <c r="E508" s="1" t="n">
        <v>46288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18.6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34262-2024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45524</v>
      </c>
      <c r="E509" s="1" t="n">
        <v>46288</v>
      </c>
      <c r="F509" t="inlineStr">
        <is>
          <t>VÄRMLANDS LÄN</t>
        </is>
      </c>
      <c r="G509" t="inlineStr">
        <is>
          <t>FILIPSTAD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46269</v>
      </c>
      <c r="E510" s="1" t="n">
        <v>46288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16.4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46269</v>
      </c>
      <c r="E511" s="1" t="n">
        <v>46288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46269</v>
      </c>
      <c r="E512" s="1" t="n">
        <v>46288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31648-2026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46225</v>
      </c>
      <c r="E513" s="1" t="n">
        <v>46288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45579</v>
      </c>
      <c r="E514" s="1" t="n">
        <v>46288</v>
      </c>
      <c r="F514" t="inlineStr">
        <is>
          <t>VÄRMLANDS LÄN</t>
        </is>
      </c>
      <c r="G514" t="inlineStr">
        <is>
          <t>FILIPSTAD</t>
        </is>
      </c>
      <c r="H514" t="inlineStr">
        <is>
          <t>Kyrkan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31688-2026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46226</v>
      </c>
      <c r="E515" s="1" t="n">
        <v>46288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43264-2024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45568</v>
      </c>
      <c r="E516" s="1" t="n">
        <v>46288</v>
      </c>
      <c r="F516" t="inlineStr">
        <is>
          <t>VÄRMLANDS LÄN</t>
        </is>
      </c>
      <c r="G516" t="inlineStr">
        <is>
          <t>FILIPSTAD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46226</v>
      </c>
      <c r="E517" s="1" t="n">
        <v>46288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46226</v>
      </c>
      <c r="E518" s="1" t="n">
        <v>46288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46227</v>
      </c>
      <c r="E519" s="1" t="n">
        <v>46288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46288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46227</v>
      </c>
      <c r="E521" s="1" t="n">
        <v>46288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36955-2026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46273</v>
      </c>
      <c r="E522" s="1" t="n">
        <v>46288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46288</v>
      </c>
      <c r="F523" t="inlineStr">
        <is>
          <t>VÄRMLANDS LÄN</t>
        </is>
      </c>
      <c r="G523" t="inlineStr">
        <is>
          <t>FILIPSTAD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46272</v>
      </c>
      <c r="E524" s="1" t="n">
        <v>46288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45342</v>
      </c>
      <c r="E525" s="1" t="n">
        <v>46288</v>
      </c>
      <c r="F525" t="inlineStr">
        <is>
          <t>VÄRMLANDS LÄN</t>
        </is>
      </c>
      <c r="G525" t="inlineStr">
        <is>
          <t>FILIPSTAD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36744-2026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46288</v>
      </c>
      <c r="F526" t="inlineStr">
        <is>
          <t>VÄRMLANDS LÄN</t>
        </is>
      </c>
      <c r="G526" t="inlineStr">
        <is>
          <t>FILIPSTAD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46272</v>
      </c>
      <c r="E527" s="1" t="n">
        <v>46288</v>
      </c>
      <c r="F527" t="inlineStr">
        <is>
          <t>VÄRMLANDS LÄN</t>
        </is>
      </c>
      <c r="G527" t="inlineStr">
        <is>
          <t>FILIPSTAD</t>
        </is>
      </c>
      <c r="I527" t="n">
        <v>11.6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46186</v>
      </c>
      <c r="E528" s="1" t="n">
        <v>46288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46232</v>
      </c>
      <c r="E529" s="1" t="n">
        <v>46288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37249-2026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46274</v>
      </c>
      <c r="E530" s="1" t="n">
        <v>46288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31914-2026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46231</v>
      </c>
      <c r="E531" s="1" t="n">
        <v>46288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46232</v>
      </c>
      <c r="E532" s="1" t="n">
        <v>46288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31963-2026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46232</v>
      </c>
      <c r="E533" s="1" t="n">
        <v>46288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8.699999999999999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32008-2026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46233</v>
      </c>
      <c r="E534" s="1" t="n">
        <v>46288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46276</v>
      </c>
      <c r="E535" s="1" t="n">
        <v>46288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46279</v>
      </c>
      <c r="E536" s="1" t="n">
        <v>46288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46234</v>
      </c>
      <c r="E537" s="1" t="n">
        <v>46288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36490-2026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46269</v>
      </c>
      <c r="E538" s="1" t="n">
        <v>46288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46233</v>
      </c>
      <c r="E539" s="1" t="n">
        <v>46288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46237</v>
      </c>
      <c r="E540" s="1" t="n">
        <v>46288</v>
      </c>
      <c r="F540" t="inlineStr">
        <is>
          <t>VÄRMLANDS LÄN</t>
        </is>
      </c>
      <c r="G540" t="inlineStr">
        <is>
          <t>FILIPSTAD</t>
        </is>
      </c>
      <c r="I540" t="n">
        <v>13.4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32249-2026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46237</v>
      </c>
      <c r="E541" s="1" t="n">
        <v>46288</v>
      </c>
      <c r="F541" t="inlineStr">
        <is>
          <t>VÄRMLANDS LÄN</t>
        </is>
      </c>
      <c r="G541" t="inlineStr">
        <is>
          <t>FILIPSTAD</t>
        </is>
      </c>
      <c r="H541" t="inlineStr">
        <is>
          <t>Kommuner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46233</v>
      </c>
      <c r="E542" s="1" t="n">
        <v>46288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43045-2024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45567</v>
      </c>
      <c r="E543" s="1" t="n">
        <v>46288</v>
      </c>
      <c r="F543" t="inlineStr">
        <is>
          <t>VÄRMLANDS LÄN</t>
        </is>
      </c>
      <c r="G543" t="inlineStr">
        <is>
          <t>FILIPSTAD</t>
        </is>
      </c>
      <c r="H543" t="inlineStr">
        <is>
          <t>Kyrkan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6683-2025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45700</v>
      </c>
      <c r="E544" s="1" t="n">
        <v>46288</v>
      </c>
      <c r="F544" t="inlineStr">
        <is>
          <t>VÄRMLANDS LÄN</t>
        </is>
      </c>
      <c r="G544" t="inlineStr">
        <is>
          <t>FILIPSTAD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46281</v>
      </c>
      <c r="E545" s="1" t="n">
        <v>46288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25376-2023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45088</v>
      </c>
      <c r="E546" s="1" t="n">
        <v>46288</v>
      </c>
      <c r="F546" t="inlineStr">
        <is>
          <t>VÄRMLANDS LÄN</t>
        </is>
      </c>
      <c r="G546" t="inlineStr">
        <is>
          <t>FILIPSTAD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69015-2021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44530</v>
      </c>
      <c r="E547" s="1" t="n">
        <v>46288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20966-2024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45439</v>
      </c>
      <c r="E548" s="1" t="n">
        <v>46288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32600-2026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46240</v>
      </c>
      <c r="E549" s="1" t="n">
        <v>46288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46283</v>
      </c>
      <c r="E550" s="1" t="n">
        <v>46288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46282</v>
      </c>
      <c r="E551" s="1" t="n">
        <v>46288</v>
      </c>
      <c r="F551" t="inlineStr">
        <is>
          <t>VÄRMLANDS LÄN</t>
        </is>
      </c>
      <c r="G551" t="inlineStr">
        <is>
          <t>FILIPSTAD</t>
        </is>
      </c>
      <c r="H551" t="inlineStr">
        <is>
          <t>Kyrkan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6520-2023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44960</v>
      </c>
      <c r="E552" s="1" t="n">
        <v>46288</v>
      </c>
      <c r="F552" t="inlineStr">
        <is>
          <t>VÄRMLANDS LÄN</t>
        </is>
      </c>
      <c r="G552" t="inlineStr">
        <is>
          <t>FILIPSTAD</t>
        </is>
      </c>
      <c r="H552" t="inlineStr">
        <is>
          <t>Kommuner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32442-2026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46239</v>
      </c>
      <c r="E553" s="1" t="n">
        <v>46288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32572-2026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46239</v>
      </c>
      <c r="E554" s="1" t="n">
        <v>46288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46240</v>
      </c>
      <c r="E555" s="1" t="n">
        <v>46288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46239</v>
      </c>
      <c r="E556" s="1" t="n">
        <v>46288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20661-2024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45436</v>
      </c>
      <c r="E557" s="1" t="n">
        <v>46288</v>
      </c>
      <c r="F557" t="inlineStr">
        <is>
          <t>VÄRMLANDS LÄN</t>
        </is>
      </c>
      <c r="G557" t="inlineStr">
        <is>
          <t>FILIPSTAD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38575-2026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46283</v>
      </c>
      <c r="E558" s="1" t="n">
        <v>46288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53690-2022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44880</v>
      </c>
      <c r="E559" s="1" t="n">
        <v>46288</v>
      </c>
      <c r="F559" t="inlineStr">
        <is>
          <t>VÄRMLANDS LÄN</t>
        </is>
      </c>
      <c r="G559" t="inlineStr">
        <is>
          <t>FILIPSTAD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6728-2025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45700</v>
      </c>
      <c r="E560" s="1" t="n">
        <v>46288</v>
      </c>
      <c r="F560" t="inlineStr">
        <is>
          <t>VÄRMLANDS LÄN</t>
        </is>
      </c>
      <c r="G560" t="inlineStr">
        <is>
          <t>FILIPSTAD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32588-2026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46240</v>
      </c>
      <c r="E561" s="1" t="n">
        <v>46288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32603-2026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46240</v>
      </c>
      <c r="E562" s="1" t="n">
        <v>46288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48040-2023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46288</v>
      </c>
      <c r="F563" t="inlineStr">
        <is>
          <t>VÄRMLANDS LÄN</t>
        </is>
      </c>
      <c r="G563" t="inlineStr">
        <is>
          <t>FILIPSTAD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52981-2021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44467</v>
      </c>
      <c r="E564" s="1" t="n">
        <v>46288</v>
      </c>
      <c r="F564" t="inlineStr">
        <is>
          <t>VÄRMLANDS LÄN</t>
        </is>
      </c>
      <c r="G564" t="inlineStr">
        <is>
          <t>FILIPSTAD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39080-2026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46287</v>
      </c>
      <c r="E565" s="1" t="n">
        <v>46288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19.1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38820-2026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46286</v>
      </c>
      <c r="E566" s="1" t="n">
        <v>46288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46129</v>
      </c>
      <c r="E567" s="1" t="n">
        <v>46288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10306-2025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45720</v>
      </c>
      <c r="E568" s="1" t="n">
        <v>46288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46266</v>
      </c>
      <c r="E569" s="1" t="n">
        <v>46288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46288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51618-2022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44872</v>
      </c>
      <c r="E571" s="1" t="n">
        <v>46288</v>
      </c>
      <c r="F571" t="inlineStr">
        <is>
          <t>VÄRMLANDS LÄN</t>
        </is>
      </c>
      <c r="G571" t="inlineStr">
        <is>
          <t>FILIPSTAD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32786-2024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45516</v>
      </c>
      <c r="E572" s="1" t="n">
        <v>46288</v>
      </c>
      <c r="F572" t="inlineStr">
        <is>
          <t>VÄRMLANDS LÄN</t>
        </is>
      </c>
      <c r="G572" t="inlineStr">
        <is>
          <t>FILIPSTAD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32972-2026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46244</v>
      </c>
      <c r="E573" s="1" t="n">
        <v>46288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37611-2022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44809</v>
      </c>
      <c r="E574" s="1" t="n">
        <v>46288</v>
      </c>
      <c r="F574" t="inlineStr">
        <is>
          <t>VÄRMLANDS LÄN</t>
        </is>
      </c>
      <c r="G574" t="inlineStr">
        <is>
          <t>FILIPSTAD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16591-2022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44672</v>
      </c>
      <c r="E575" s="1" t="n">
        <v>46288</v>
      </c>
      <c r="F575" t="inlineStr">
        <is>
          <t>VÄRMLANDS LÄN</t>
        </is>
      </c>
      <c r="G575" t="inlineStr">
        <is>
          <t>FILIPSTAD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46245</v>
      </c>
      <c r="E576" s="1" t="n">
        <v>46288</v>
      </c>
      <c r="F576" t="inlineStr">
        <is>
          <t>VÄRMLANDS LÄN</t>
        </is>
      </c>
      <c r="G576" t="inlineStr">
        <is>
          <t>FILIPSTAD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46245</v>
      </c>
      <c r="E577" s="1" t="n">
        <v>46288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22.4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32978-2026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46244</v>
      </c>
      <c r="E578" s="1" t="n">
        <v>46288</v>
      </c>
      <c r="F578" t="inlineStr">
        <is>
          <t>VÄRMLANDS LÄN</t>
        </is>
      </c>
      <c r="G578" t="inlineStr">
        <is>
          <t>FILIPSTAD</t>
        </is>
      </c>
      <c r="I578" t="n">
        <v>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12160-2023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44998</v>
      </c>
      <c r="E579" s="1" t="n">
        <v>46288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46288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32980-2026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46244</v>
      </c>
      <c r="E581" s="1" t="n">
        <v>46288</v>
      </c>
      <c r="F581" t="inlineStr">
        <is>
          <t>VÄRMLANDS LÄN</t>
        </is>
      </c>
      <c r="G581" t="inlineStr">
        <is>
          <t>FILIPSTAD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38664-2026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46283</v>
      </c>
      <c r="E582" s="1" t="n">
        <v>46288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14432-2025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45741</v>
      </c>
      <c r="E583" s="1" t="n">
        <v>46288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10.4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27139-2024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45471</v>
      </c>
      <c r="E584" s="1" t="n">
        <v>46288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17244-2024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45414</v>
      </c>
      <c r="E585" s="1" t="n">
        <v>46288</v>
      </c>
      <c r="F585" t="inlineStr">
        <is>
          <t>VÄRMLANDS LÄN</t>
        </is>
      </c>
      <c r="G585" t="inlineStr">
        <is>
          <t>FILIPSTAD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47002-2024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45586</v>
      </c>
      <c r="E586" s="1" t="n">
        <v>46288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45495</v>
      </c>
      <c r="E587" s="1" t="n">
        <v>46288</v>
      </c>
      <c r="F587" t="inlineStr">
        <is>
          <t>VÄRMLANDS LÄN</t>
        </is>
      </c>
      <c r="G587" t="inlineStr">
        <is>
          <t>FILIPSTAD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20875-2024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45439</v>
      </c>
      <c r="E588" s="1" t="n">
        <v>46288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65167-2021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44515</v>
      </c>
      <c r="E589" s="1" t="n">
        <v>46288</v>
      </c>
      <c r="F589" t="inlineStr">
        <is>
          <t>VÄRMLANDS LÄN</t>
        </is>
      </c>
      <c r="G589" t="inlineStr">
        <is>
          <t>FILIPSTAD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28357-2024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45477</v>
      </c>
      <c r="E590" s="1" t="n">
        <v>46288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35304-2024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45530</v>
      </c>
      <c r="E591" s="1" t="n">
        <v>46288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23266-2025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45791</v>
      </c>
      <c r="E592" s="1" t="n">
        <v>46288</v>
      </c>
      <c r="F592" t="inlineStr">
        <is>
          <t>VÄRMLANDS LÄN</t>
        </is>
      </c>
      <c r="G592" t="inlineStr">
        <is>
          <t>FILIPSTAD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48702-2024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45593</v>
      </c>
      <c r="E593" s="1" t="n">
        <v>46288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45790</v>
      </c>
      <c r="E594" s="1" t="n">
        <v>46288</v>
      </c>
      <c r="F594" t="inlineStr">
        <is>
          <t>VÄRMLANDS LÄN</t>
        </is>
      </c>
      <c r="G594" t="inlineStr">
        <is>
          <t>FILIPSTAD</t>
        </is>
      </c>
      <c r="H594" t="inlineStr">
        <is>
          <t>Kyrkan</t>
        </is>
      </c>
      <c r="I594" t="n">
        <v>5.4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1350-2025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45667</v>
      </c>
      <c r="E595" s="1" t="n">
        <v>46288</v>
      </c>
      <c r="F595" t="inlineStr">
        <is>
          <t>VÄRMLANDS LÄN</t>
        </is>
      </c>
      <c r="G595" t="inlineStr">
        <is>
          <t>FILIPSTAD</t>
        </is>
      </c>
      <c r="H595" t="inlineStr">
        <is>
          <t>Kommuner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23775-2025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45793</v>
      </c>
      <c r="E596" s="1" t="n">
        <v>46288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23399-2025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45792</v>
      </c>
      <c r="E597" s="1" t="n">
        <v>46288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8712-2024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45355</v>
      </c>
      <c r="E598" s="1" t="n">
        <v>46288</v>
      </c>
      <c r="F598" t="inlineStr">
        <is>
          <t>VÄRMLANDS LÄN</t>
        </is>
      </c>
      <c r="G598" t="inlineStr">
        <is>
          <t>FILIPSTAD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72118-2021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44543</v>
      </c>
      <c r="E599" s="1" t="n">
        <v>46288</v>
      </c>
      <c r="F599" t="inlineStr">
        <is>
          <t>VÄRMLANDS LÄN</t>
        </is>
      </c>
      <c r="G599" t="inlineStr">
        <is>
          <t>FILIPSTAD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15396-2025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45747</v>
      </c>
      <c r="E600" s="1" t="n">
        <v>46288</v>
      </c>
      <c r="F600" t="inlineStr">
        <is>
          <t>VÄRMLANDS LÄN</t>
        </is>
      </c>
      <c r="G600" t="inlineStr">
        <is>
          <t>FILIPSTAD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65174-2021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44515</v>
      </c>
      <c r="E601" s="1" t="n">
        <v>46288</v>
      </c>
      <c r="F601" t="inlineStr">
        <is>
          <t>VÄRMLANDS LÄN</t>
        </is>
      </c>
      <c r="G601" t="inlineStr">
        <is>
          <t>FILIPSTAD</t>
        </is>
      </c>
      <c r="I601" t="n">
        <v>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24143-2025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45796</v>
      </c>
      <c r="E602" s="1" t="n">
        <v>46288</v>
      </c>
      <c r="F602" t="inlineStr">
        <is>
          <t>VÄRMLANDS LÄN</t>
        </is>
      </c>
      <c r="G602" t="inlineStr">
        <is>
          <t>FILIPSTAD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20844-2024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45439</v>
      </c>
      <c r="E603" s="1" t="n">
        <v>46288</v>
      </c>
      <c r="F603" t="inlineStr">
        <is>
          <t>VÄRMLANDS LÄN</t>
        </is>
      </c>
      <c r="G603" t="inlineStr">
        <is>
          <t>FILIPSTAD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3979-2024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45322</v>
      </c>
      <c r="E604" s="1" t="n">
        <v>46288</v>
      </c>
      <c r="F604" t="inlineStr">
        <is>
          <t>VÄRMLANDS LÄN</t>
        </is>
      </c>
      <c r="G604" t="inlineStr">
        <is>
          <t>FILIPSTAD</t>
        </is>
      </c>
      <c r="I604" t="n">
        <v>8.199999999999999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15406-2025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45747</v>
      </c>
      <c r="E605" s="1" t="n">
        <v>46288</v>
      </c>
      <c r="F605" t="inlineStr">
        <is>
          <t>VÄRMLANDS LÄN</t>
        </is>
      </c>
      <c r="G605" t="inlineStr">
        <is>
          <t>FILIPSTAD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35799-2022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44801</v>
      </c>
      <c r="E606" s="1" t="n">
        <v>46288</v>
      </c>
      <c r="F606" t="inlineStr">
        <is>
          <t>VÄRMLANDS LÄN</t>
        </is>
      </c>
      <c r="G606" t="inlineStr">
        <is>
          <t>FILIPSTAD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47261-2024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46288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26116-2025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45805</v>
      </c>
      <c r="E608" s="1" t="n">
        <v>46288</v>
      </c>
      <c r="F608" t="inlineStr">
        <is>
          <t>VÄRMLANDS LÄN</t>
        </is>
      </c>
      <c r="G608" t="inlineStr">
        <is>
          <t>FILIPSTAD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26123-2025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45805</v>
      </c>
      <c r="E609" s="1" t="n">
        <v>46288</v>
      </c>
      <c r="F609" t="inlineStr">
        <is>
          <t>VÄRMLANDS LÄN</t>
        </is>
      </c>
      <c r="G609" t="inlineStr">
        <is>
          <t>FILIPSTAD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26812-2025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45810</v>
      </c>
      <c r="E610" s="1" t="n">
        <v>46288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26843-2024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45470</v>
      </c>
      <c r="E611" s="1" t="n">
        <v>46288</v>
      </c>
      <c r="F611" t="inlineStr">
        <is>
          <t>VÄRMLANDS LÄN</t>
        </is>
      </c>
      <c r="G611" t="inlineStr">
        <is>
          <t>FILIPSTAD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26599-2024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45469</v>
      </c>
      <c r="E612" s="1" t="n">
        <v>46288</v>
      </c>
      <c r="F612" t="inlineStr">
        <is>
          <t>VÄRMLANDS LÄN</t>
        </is>
      </c>
      <c r="G612" t="inlineStr">
        <is>
          <t>FILIPSTAD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29568-2025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46288</v>
      </c>
      <c r="F613" t="inlineStr">
        <is>
          <t>VÄRMLANDS LÄN</t>
        </is>
      </c>
      <c r="G613" t="inlineStr">
        <is>
          <t>FILIPSTAD</t>
        </is>
      </c>
      <c r="H613" t="inlineStr">
        <is>
          <t>Kyrkan</t>
        </is>
      </c>
      <c r="I613" t="n">
        <v>9.199999999999999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29660-2025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45825</v>
      </c>
      <c r="E614" s="1" t="n">
        <v>46288</v>
      </c>
      <c r="F614" t="inlineStr">
        <is>
          <t>VÄRMLANDS LÄN</t>
        </is>
      </c>
      <c r="G614" t="inlineStr">
        <is>
          <t>FILIPSTAD</t>
        </is>
      </c>
      <c r="I614" t="n">
        <v>23.3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29944-2025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45826</v>
      </c>
      <c r="E615" s="1" t="n">
        <v>46288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30049-2025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45826</v>
      </c>
      <c r="E616" s="1" t="n">
        <v>46288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45827</v>
      </c>
      <c r="E617" s="1" t="n">
        <v>46288</v>
      </c>
      <c r="F617" t="inlineStr">
        <is>
          <t>VÄRMLANDS LÄN</t>
        </is>
      </c>
      <c r="G617" t="inlineStr">
        <is>
          <t>FILIPSTAD</t>
        </is>
      </c>
      <c r="H617" t="inlineStr">
        <is>
          <t>Kyrkan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31172-2025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45832</v>
      </c>
      <c r="E618" s="1" t="n">
        <v>46288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32032-2025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45835</v>
      </c>
      <c r="E619" s="1" t="n">
        <v>46288</v>
      </c>
      <c r="F619" t="inlineStr">
        <is>
          <t>VÄRMLANDS LÄN</t>
        </is>
      </c>
      <c r="G619" t="inlineStr">
        <is>
          <t>FILIPSTAD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31883-2025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45834</v>
      </c>
      <c r="E620" s="1" t="n">
        <v>46288</v>
      </c>
      <c r="F620" t="inlineStr">
        <is>
          <t>VÄRMLANDS LÄN</t>
        </is>
      </c>
      <c r="G620" t="inlineStr">
        <is>
          <t>FILIPSTAD</t>
        </is>
      </c>
      <c r="I620" t="n">
        <v>18.7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30165-2025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45827</v>
      </c>
      <c r="E621" s="1" t="n">
        <v>46288</v>
      </c>
      <c r="F621" t="inlineStr">
        <is>
          <t>VÄRMLANDS LÄN</t>
        </is>
      </c>
      <c r="G621" t="inlineStr">
        <is>
          <t>FILIPSTAD</t>
        </is>
      </c>
      <c r="H621" t="inlineStr">
        <is>
          <t>Kyrkan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45688</v>
      </c>
      <c r="E622" s="1" t="n">
        <v>46288</v>
      </c>
      <c r="F622" t="inlineStr">
        <is>
          <t>VÄRMLANDS LÄN</t>
        </is>
      </c>
      <c r="G622" t="inlineStr">
        <is>
          <t>FILIPSTAD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33407-2025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45841</v>
      </c>
      <c r="E623" s="1" t="n">
        <v>46288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30077-2025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46288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36582-2025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45870</v>
      </c>
      <c r="E625" s="1" t="n">
        <v>46288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46288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46288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46288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46288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46288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46288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46288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46288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46288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46288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46288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46288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46288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46288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46288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46288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46288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46288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46288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2026-09-23T01:52:36Z</dcterms:created>
  <dcterms:modified xmlns:dcterms="http://purl.org/dc/terms/" xmlns:xsi="http://www.w3.org/2001/XMLSchema-instance" xsi:type="dcterms:W3CDTF">2026-09-23T01:52:37Z</dcterms:modified>
</cp:coreProperties>
</file>