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45901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45901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45901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45901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45901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45901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45901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45901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45901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45901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45901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45901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45901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45901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45901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45901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45901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45901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45901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45901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45901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45901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56861-2020</t>
        </is>
      </c>
      <c r="B24" s="1" t="n">
        <v>44138</v>
      </c>
      <c r="C24" s="1" t="n">
        <v>45901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HYPERLINK("https://klasma.github.io/Logging_1782/artfynd/A 56861-2020 artfynd.xlsx", "A 56861-2020")</f>
        <v/>
      </c>
      <c r="T24">
        <f>HYPERLINK("https://klasma.github.io/Logging_1782/kartor/A 56861-2020 karta.png", "A 56861-2020")</f>
        <v/>
      </c>
      <c r="V24">
        <f>HYPERLINK("https://klasma.github.io/Logging_1782/klagomål/A 56861-2020 FSC-klagomål.docx", "A 56861-2020")</f>
        <v/>
      </c>
      <c r="W24">
        <f>HYPERLINK("https://klasma.github.io/Logging_1782/klagomålsmail/A 56861-2020 FSC-klagomål mail.docx", "A 56861-2020")</f>
        <v/>
      </c>
      <c r="X24">
        <f>HYPERLINK("https://klasma.github.io/Logging_1782/tillsyn/A 56861-2020 tillsynsbegäran.docx", "A 56861-2020")</f>
        <v/>
      </c>
      <c r="Y24">
        <f>HYPERLINK("https://klasma.github.io/Logging_1782/tillsynsmail/A 56861-2020 tillsynsbegäran mail.docx", "A 56861-2020")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45901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45901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45901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45901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45901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45901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45901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45901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45901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45901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45901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45901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45901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45901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45901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45901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45901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45901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45901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45901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45901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45901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45901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45901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45901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45901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47434-2020</t>
        </is>
      </c>
      <c r="B51" s="1" t="n">
        <v>44097</v>
      </c>
      <c r="C51" s="1" t="n">
        <v>45901</v>
      </c>
      <c r="D51" t="inlineStr">
        <is>
          <t>VÄRMLANDS LÄN</t>
        </is>
      </c>
      <c r="E51" t="inlineStr">
        <is>
          <t>FILIPSTAD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28198-2022</t>
        </is>
      </c>
      <c r="B52" s="1" t="n">
        <v>44746</v>
      </c>
      <c r="C52" s="1" t="n">
        <v>45901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55923-2020</t>
        </is>
      </c>
      <c r="B53" s="1" t="n">
        <v>44132</v>
      </c>
      <c r="C53" s="1" t="n">
        <v>45901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60374-2021</t>
        </is>
      </c>
      <c r="B54" s="1" t="n">
        <v>44496</v>
      </c>
      <c r="C54" s="1" t="n">
        <v>45901</v>
      </c>
      <c r="D54" t="inlineStr">
        <is>
          <t>VÄRMLANDS LÄN</t>
        </is>
      </c>
      <c r="E54" t="inlineStr">
        <is>
          <t>FILIPSTAD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67852-2020</t>
        </is>
      </c>
      <c r="B55" s="1" t="n">
        <v>44182</v>
      </c>
      <c r="C55" s="1" t="n">
        <v>45901</v>
      </c>
      <c r="D55" t="inlineStr">
        <is>
          <t>VÄRMLANDS LÄN</t>
        </is>
      </c>
      <c r="E55" t="inlineStr">
        <is>
          <t>FILIPSTAD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17809-2021</t>
        </is>
      </c>
      <c r="B56" s="1" t="n">
        <v>44300</v>
      </c>
      <c r="C56" s="1" t="n">
        <v>45901</v>
      </c>
      <c r="D56" t="inlineStr">
        <is>
          <t>VÄRMLANDS LÄN</t>
        </is>
      </c>
      <c r="E56" t="inlineStr">
        <is>
          <t>FILIPSTAD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42584-2020</t>
        </is>
      </c>
      <c r="B57" s="1" t="n">
        <v>44077</v>
      </c>
      <c r="C57" s="1" t="n">
        <v>45901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47540-2020</t>
        </is>
      </c>
      <c r="B58" s="1" t="n">
        <v>44098</v>
      </c>
      <c r="C58" s="1" t="n">
        <v>45901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18235-2021</t>
        </is>
      </c>
      <c r="B59" s="1" t="n">
        <v>44303.90922453703</v>
      </c>
      <c r="C59" s="1" t="n">
        <v>45901</v>
      </c>
      <c r="D59" t="inlineStr">
        <is>
          <t>VÄRMLANDS LÄN</t>
        </is>
      </c>
      <c r="E59" t="inlineStr">
        <is>
          <t>FILIPSTAD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5342-2021</t>
        </is>
      </c>
      <c r="B60" s="1" t="n">
        <v>44229</v>
      </c>
      <c r="C60" s="1" t="n">
        <v>45901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49736-2021</t>
        </is>
      </c>
      <c r="B61" s="1" t="n">
        <v>44453</v>
      </c>
      <c r="C61" s="1" t="n">
        <v>45901</v>
      </c>
      <c r="D61" t="inlineStr">
        <is>
          <t>VÄRMLANDS LÄN</t>
        </is>
      </c>
      <c r="E61" t="inlineStr">
        <is>
          <t>FILIPSTAD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52384-2021</t>
        </is>
      </c>
      <c r="B62" s="1" t="n">
        <v>44465.83997685185</v>
      </c>
      <c r="C62" s="1" t="n">
        <v>45901</v>
      </c>
      <c r="D62" t="inlineStr">
        <is>
          <t>VÄRMLANDS LÄN</t>
        </is>
      </c>
      <c r="E62" t="inlineStr">
        <is>
          <t>FILIPSTAD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37783-2021</t>
        </is>
      </c>
      <c r="B63" s="1" t="n">
        <v>44401.44586805555</v>
      </c>
      <c r="C63" s="1" t="n">
        <v>45901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37784-2021</t>
        </is>
      </c>
      <c r="B64" s="1" t="n">
        <v>44401</v>
      </c>
      <c r="C64" s="1" t="n">
        <v>45901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49999-2021</t>
        </is>
      </c>
      <c r="B65" s="1" t="n">
        <v>44454</v>
      </c>
      <c r="C65" s="1" t="n">
        <v>45901</v>
      </c>
      <c r="D65" t="inlineStr">
        <is>
          <t>VÄRMLANDS LÄN</t>
        </is>
      </c>
      <c r="E65" t="inlineStr">
        <is>
          <t>FILIPSTAD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23236-2021</t>
        </is>
      </c>
      <c r="B66" s="1" t="n">
        <v>44333</v>
      </c>
      <c r="C66" s="1" t="n">
        <v>45901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56279-2020</t>
        </is>
      </c>
      <c r="B67" s="1" t="n">
        <v>44134</v>
      </c>
      <c r="C67" s="1" t="n">
        <v>45901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24442-2022</t>
        </is>
      </c>
      <c r="B68" s="1" t="n">
        <v>44726</v>
      </c>
      <c r="C68" s="1" t="n">
        <v>45901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30.7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63714-2021</t>
        </is>
      </c>
      <c r="B69" s="1" t="n">
        <v>44505</v>
      </c>
      <c r="C69" s="1" t="n">
        <v>45901</v>
      </c>
      <c r="D69" t="inlineStr">
        <is>
          <t>VÄRMLANDS LÄN</t>
        </is>
      </c>
      <c r="E69" t="inlineStr">
        <is>
          <t>FILIPSTAD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60377-2021</t>
        </is>
      </c>
      <c r="B70" s="1" t="n">
        <v>44496.35686342593</v>
      </c>
      <c r="C70" s="1" t="n">
        <v>45901</v>
      </c>
      <c r="D70" t="inlineStr">
        <is>
          <t>VÄRMLANDS LÄN</t>
        </is>
      </c>
      <c r="E70" t="inlineStr">
        <is>
          <t>FILIPSTAD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4617-2021</t>
        </is>
      </c>
      <c r="B71" s="1" t="n">
        <v>44224</v>
      </c>
      <c r="C71" s="1" t="n">
        <v>45901</v>
      </c>
      <c r="D71" t="inlineStr">
        <is>
          <t>VÄRMLANDS LÄN</t>
        </is>
      </c>
      <c r="E71" t="inlineStr">
        <is>
          <t>FILIPSTAD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63140-2021</t>
        </is>
      </c>
      <c r="B72" s="1" t="n">
        <v>44505</v>
      </c>
      <c r="C72" s="1" t="n">
        <v>45901</v>
      </c>
      <c r="D72" t="inlineStr">
        <is>
          <t>VÄRMLANDS LÄN</t>
        </is>
      </c>
      <c r="E72" t="inlineStr">
        <is>
          <t>FILIPSTAD</t>
        </is>
      </c>
      <c r="G72" t="n">
        <v>11.5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68515-2020</t>
        </is>
      </c>
      <c r="B73" s="1" t="n">
        <v>44186</v>
      </c>
      <c r="C73" s="1" t="n">
        <v>45901</v>
      </c>
      <c r="D73" t="inlineStr">
        <is>
          <t>VÄRMLANDS LÄN</t>
        </is>
      </c>
      <c r="E73" t="inlineStr">
        <is>
          <t>FILIPSTAD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68517-2020</t>
        </is>
      </c>
      <c r="B74" s="1" t="n">
        <v>44186</v>
      </c>
      <c r="C74" s="1" t="n">
        <v>45901</v>
      </c>
      <c r="D74" t="inlineStr">
        <is>
          <t>VÄRMLANDS LÄN</t>
        </is>
      </c>
      <c r="E74" t="inlineStr">
        <is>
          <t>FILIPSTAD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14077-2022</t>
        </is>
      </c>
      <c r="B75" s="1" t="n">
        <v>44651</v>
      </c>
      <c r="C75" s="1" t="n">
        <v>45901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18.7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50063-2021</t>
        </is>
      </c>
      <c r="B76" s="1" t="n">
        <v>44456.55350694444</v>
      </c>
      <c r="C76" s="1" t="n">
        <v>45901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23063-2022</t>
        </is>
      </c>
      <c r="B77" s="1" t="n">
        <v>44719</v>
      </c>
      <c r="C77" s="1" t="n">
        <v>45901</v>
      </c>
      <c r="D77" t="inlineStr">
        <is>
          <t>VÄRMLANDS LÄN</t>
        </is>
      </c>
      <c r="E77" t="inlineStr">
        <is>
          <t>FILIPSTAD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7292-2022</t>
        </is>
      </c>
      <c r="B78" s="1" t="n">
        <v>44606</v>
      </c>
      <c r="C78" s="1" t="n">
        <v>45901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22356-2022</t>
        </is>
      </c>
      <c r="B79" s="1" t="n">
        <v>44713</v>
      </c>
      <c r="C79" s="1" t="n">
        <v>45901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57090-2021</t>
        </is>
      </c>
      <c r="B80" s="1" t="n">
        <v>44482</v>
      </c>
      <c r="C80" s="1" t="n">
        <v>45901</v>
      </c>
      <c r="D80" t="inlineStr">
        <is>
          <t>VÄRMLANDS LÄN</t>
        </is>
      </c>
      <c r="E80" t="inlineStr">
        <is>
          <t>FILIPSTAD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45901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32680-2022</t>
        </is>
      </c>
      <c r="B82" s="1" t="n">
        <v>44783</v>
      </c>
      <c r="C82" s="1" t="n">
        <v>45901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64025-2020</t>
        </is>
      </c>
      <c r="B83" s="1" t="n">
        <v>44167</v>
      </c>
      <c r="C83" s="1" t="n">
        <v>45901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60289-2020</t>
        </is>
      </c>
      <c r="B84" s="1" t="n">
        <v>44152</v>
      </c>
      <c r="C84" s="1" t="n">
        <v>45901</v>
      </c>
      <c r="D84" t="inlineStr">
        <is>
          <t>VÄRMLANDS LÄN</t>
        </is>
      </c>
      <c r="E84" t="inlineStr">
        <is>
          <t>FILIPSTAD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14074-2022</t>
        </is>
      </c>
      <c r="B85" s="1" t="n">
        <v>44651</v>
      </c>
      <c r="C85" s="1" t="n">
        <v>45901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66376-2021</t>
        </is>
      </c>
      <c r="B86" s="1" t="n">
        <v>44518.60405092593</v>
      </c>
      <c r="C86" s="1" t="n">
        <v>45901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15901-2022</t>
        </is>
      </c>
      <c r="B87" s="1" t="n">
        <v>44664</v>
      </c>
      <c r="C87" s="1" t="n">
        <v>45901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47693-2022</t>
        </is>
      </c>
      <c r="B88" s="1" t="n">
        <v>44854</v>
      </c>
      <c r="C88" s="1" t="n">
        <v>45901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42597-2020</t>
        </is>
      </c>
      <c r="B89" s="1" t="n">
        <v>44077</v>
      </c>
      <c r="C89" s="1" t="n">
        <v>45901</v>
      </c>
      <c r="D89" t="inlineStr">
        <is>
          <t>VÄRMLANDS LÄN</t>
        </is>
      </c>
      <c r="E89" t="inlineStr">
        <is>
          <t>FILIPSTAD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35712-2022</t>
        </is>
      </c>
      <c r="B90" s="1" t="n">
        <v>44799.66078703704</v>
      </c>
      <c r="C90" s="1" t="n">
        <v>45901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45901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45901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51742-2020</t>
        </is>
      </c>
      <c r="B93" s="1" t="n">
        <v>44114</v>
      </c>
      <c r="C93" s="1" t="n">
        <v>45901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50009-2021</t>
        </is>
      </c>
      <c r="B94" s="1" t="n">
        <v>44454</v>
      </c>
      <c r="C94" s="1" t="n">
        <v>45901</v>
      </c>
      <c r="D94" t="inlineStr">
        <is>
          <t>VÄRMLANDS LÄN</t>
        </is>
      </c>
      <c r="E94" t="inlineStr">
        <is>
          <t>FILIPSTAD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59854-2020</t>
        </is>
      </c>
      <c r="B95" s="1" t="n">
        <v>44151</v>
      </c>
      <c r="C95" s="1" t="n">
        <v>45901</v>
      </c>
      <c r="D95" t="inlineStr">
        <is>
          <t>VÄRMLANDS LÄN</t>
        </is>
      </c>
      <c r="E95" t="inlineStr">
        <is>
          <t>FILIPSTAD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19626-2022</t>
        </is>
      </c>
      <c r="B96" s="1" t="n">
        <v>44694</v>
      </c>
      <c r="C96" s="1" t="n">
        <v>45901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64754-2020</t>
        </is>
      </c>
      <c r="B97" s="1" t="n">
        <v>44169</v>
      </c>
      <c r="C97" s="1" t="n">
        <v>45901</v>
      </c>
      <c r="D97" t="inlineStr">
        <is>
          <t>VÄRMLANDS LÄN</t>
        </is>
      </c>
      <c r="E97" t="inlineStr">
        <is>
          <t>FILIPSTAD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64526-2021</t>
        </is>
      </c>
      <c r="B98" s="1" t="n">
        <v>44511.62271990741</v>
      </c>
      <c r="C98" s="1" t="n">
        <v>45901</v>
      </c>
      <c r="D98" t="inlineStr">
        <is>
          <t>VÄRMLANDS LÄN</t>
        </is>
      </c>
      <c r="E98" t="inlineStr">
        <is>
          <t>FILIPSTAD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59954-2021</t>
        </is>
      </c>
      <c r="B99" s="1" t="n">
        <v>44494.86805555555</v>
      </c>
      <c r="C99" s="1" t="n">
        <v>45901</v>
      </c>
      <c r="D99" t="inlineStr">
        <is>
          <t>VÄRMLANDS LÄN</t>
        </is>
      </c>
      <c r="E99" t="inlineStr">
        <is>
          <t>FILIPSTAD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68620-2020</t>
        </is>
      </c>
      <c r="B100" s="1" t="n">
        <v>44186</v>
      </c>
      <c r="C100" s="1" t="n">
        <v>45901</v>
      </c>
      <c r="D100" t="inlineStr">
        <is>
          <t>VÄRMLANDS LÄN</t>
        </is>
      </c>
      <c r="E100" t="inlineStr">
        <is>
          <t>FILIPSTAD</t>
        </is>
      </c>
      <c r="G100" t="n">
        <v>29.6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10501-2021</t>
        </is>
      </c>
      <c r="B101" s="1" t="n">
        <v>44258</v>
      </c>
      <c r="C101" s="1" t="n">
        <v>45901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47674-2020</t>
        </is>
      </c>
      <c r="B102" s="1" t="n">
        <v>44098</v>
      </c>
      <c r="C102" s="1" t="n">
        <v>45901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4619-2021</t>
        </is>
      </c>
      <c r="B103" s="1" t="n">
        <v>44224</v>
      </c>
      <c r="C103" s="1" t="n">
        <v>45901</v>
      </c>
      <c r="D103" t="inlineStr">
        <is>
          <t>VÄRMLANDS LÄN</t>
        </is>
      </c>
      <c r="E103" t="inlineStr">
        <is>
          <t>FILIPSTAD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30524-2021</t>
        </is>
      </c>
      <c r="B104" s="1" t="n">
        <v>44364</v>
      </c>
      <c r="C104" s="1" t="n">
        <v>45901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17813-2021</t>
        </is>
      </c>
      <c r="B105" s="1" t="n">
        <v>44300</v>
      </c>
      <c r="C105" s="1" t="n">
        <v>45901</v>
      </c>
      <c r="D105" t="inlineStr">
        <is>
          <t>VÄRMLANDS LÄN</t>
        </is>
      </c>
      <c r="E105" t="inlineStr">
        <is>
          <t>FILIPSTAD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43634-2021</t>
        </is>
      </c>
      <c r="B106" s="1" t="n">
        <v>44433</v>
      </c>
      <c r="C106" s="1" t="n">
        <v>45901</v>
      </c>
      <c r="D106" t="inlineStr">
        <is>
          <t>VÄRMLANDS LÄN</t>
        </is>
      </c>
      <c r="E106" t="inlineStr">
        <is>
          <t>FILIPSTAD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14582-2022</t>
        </is>
      </c>
      <c r="B107" s="1" t="n">
        <v>44655</v>
      </c>
      <c r="C107" s="1" t="n">
        <v>45901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57456-2022</t>
        </is>
      </c>
      <c r="B108" s="1" t="n">
        <v>44896.56736111111</v>
      </c>
      <c r="C108" s="1" t="n">
        <v>45901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6683-2025</t>
        </is>
      </c>
      <c r="B109" s="1" t="n">
        <v>45700</v>
      </c>
      <c r="C109" s="1" t="n">
        <v>45901</v>
      </c>
      <c r="D109" t="inlineStr">
        <is>
          <t>VÄRMLANDS LÄN</t>
        </is>
      </c>
      <c r="E109" t="inlineStr">
        <is>
          <t>FILIPSTAD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9839-2025</t>
        </is>
      </c>
      <c r="B110" s="1" t="n">
        <v>45716.60288194445</v>
      </c>
      <c r="C110" s="1" t="n">
        <v>45901</v>
      </c>
      <c r="D110" t="inlineStr">
        <is>
          <t>VÄRMLANDS LÄN</t>
        </is>
      </c>
      <c r="E110" t="inlineStr">
        <is>
          <t>FILIPSTAD</t>
        </is>
      </c>
      <c r="F110" t="inlineStr">
        <is>
          <t>Kommuner</t>
        </is>
      </c>
      <c r="G110" t="n">
        <v>29.5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43613-2020</t>
        </is>
      </c>
      <c r="B111" s="1" t="n">
        <v>44082</v>
      </c>
      <c r="C111" s="1" t="n">
        <v>45901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47536-2023</t>
        </is>
      </c>
      <c r="B112" s="1" t="n">
        <v>45203.36576388889</v>
      </c>
      <c r="C112" s="1" t="n">
        <v>45901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52981-2021</t>
        </is>
      </c>
      <c r="B113" s="1" t="n">
        <v>44467.63005787037</v>
      </c>
      <c r="C113" s="1" t="n">
        <v>45901</v>
      </c>
      <c r="D113" t="inlineStr">
        <is>
          <t>VÄRMLANDS LÄN</t>
        </is>
      </c>
      <c r="E113" t="inlineStr">
        <is>
          <t>FILIPSTAD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53562-2023</t>
        </is>
      </c>
      <c r="B114" s="1" t="n">
        <v>45230</v>
      </c>
      <c r="C114" s="1" t="n">
        <v>45901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10138-2024</t>
        </is>
      </c>
      <c r="B115" s="1" t="n">
        <v>45364</v>
      </c>
      <c r="C115" s="1" t="n">
        <v>45901</v>
      </c>
      <c r="D115" t="inlineStr">
        <is>
          <t>VÄRMLANDS LÄN</t>
        </is>
      </c>
      <c r="E115" t="inlineStr">
        <is>
          <t>FILIPSTAD</t>
        </is>
      </c>
      <c r="F115" t="inlineStr">
        <is>
          <t>Kommuner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3844-2023</t>
        </is>
      </c>
      <c r="B116" s="1" t="n">
        <v>44951.66170138889</v>
      </c>
      <c r="C116" s="1" t="n">
        <v>45901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16063-2025</t>
        </is>
      </c>
      <c r="B117" s="1" t="n">
        <v>45749</v>
      </c>
      <c r="C117" s="1" t="n">
        <v>45901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6860-2024</t>
        </is>
      </c>
      <c r="B118" s="1" t="n">
        <v>45342</v>
      </c>
      <c r="C118" s="1" t="n">
        <v>45901</v>
      </c>
      <c r="D118" t="inlineStr">
        <is>
          <t>VÄRMLANDS LÄN</t>
        </is>
      </c>
      <c r="E118" t="inlineStr">
        <is>
          <t>FILIPSTAD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17807-2021</t>
        </is>
      </c>
      <c r="B119" s="1" t="n">
        <v>44300</v>
      </c>
      <c r="C119" s="1" t="n">
        <v>45901</v>
      </c>
      <c r="D119" t="inlineStr">
        <is>
          <t>VÄRMLANDS LÄN</t>
        </is>
      </c>
      <c r="E119" t="inlineStr">
        <is>
          <t>FILIPSTAD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57212-2023</t>
        </is>
      </c>
      <c r="B120" s="1" t="n">
        <v>45245.48929398148</v>
      </c>
      <c r="C120" s="1" t="n">
        <v>45901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19907-2025</t>
        </is>
      </c>
      <c r="B121" s="1" t="n">
        <v>45771</v>
      </c>
      <c r="C121" s="1" t="n">
        <v>45901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57588-2023</t>
        </is>
      </c>
      <c r="B122" s="1" t="n">
        <v>45246.54696759259</v>
      </c>
      <c r="C122" s="1" t="n">
        <v>45901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20661-2024</t>
        </is>
      </c>
      <c r="B123" s="1" t="n">
        <v>45436</v>
      </c>
      <c r="C123" s="1" t="n">
        <v>45901</v>
      </c>
      <c r="D123" t="inlineStr">
        <is>
          <t>VÄRMLANDS LÄN</t>
        </is>
      </c>
      <c r="E123" t="inlineStr">
        <is>
          <t>FILIPSTAD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32784-2024</t>
        </is>
      </c>
      <c r="B124" s="1" t="n">
        <v>45516</v>
      </c>
      <c r="C124" s="1" t="n">
        <v>45901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34262-2024</t>
        </is>
      </c>
      <c r="B125" s="1" t="n">
        <v>45524.60002314814</v>
      </c>
      <c r="C125" s="1" t="n">
        <v>45901</v>
      </c>
      <c r="D125" t="inlineStr">
        <is>
          <t>VÄRMLANDS LÄN</t>
        </is>
      </c>
      <c r="E125" t="inlineStr">
        <is>
          <t>FILIPSTAD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491-2024</t>
        </is>
      </c>
      <c r="B126" s="1" t="n">
        <v>45299.33832175926</v>
      </c>
      <c r="C126" s="1" t="n">
        <v>45901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13918-2024</t>
        </is>
      </c>
      <c r="B127" s="1" t="n">
        <v>45391.88422453704</v>
      </c>
      <c r="C127" s="1" t="n">
        <v>45901</v>
      </c>
      <c r="D127" t="inlineStr">
        <is>
          <t>VÄRMLANDS LÄN</t>
        </is>
      </c>
      <c r="E127" t="inlineStr">
        <is>
          <t>FILIPSTAD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23382-2024</t>
        </is>
      </c>
      <c r="B128" s="1" t="n">
        <v>45453.55965277777</v>
      </c>
      <c r="C128" s="1" t="n">
        <v>45901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27080-2023</t>
        </is>
      </c>
      <c r="B129" s="1" t="n">
        <v>45096.36200231482</v>
      </c>
      <c r="C129" s="1" t="n">
        <v>45901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29426-2023</t>
        </is>
      </c>
      <c r="B130" s="1" t="n">
        <v>45106</v>
      </c>
      <c r="C130" s="1" t="n">
        <v>45901</v>
      </c>
      <c r="D130" t="inlineStr">
        <is>
          <t>VÄRMLANDS LÄN</t>
        </is>
      </c>
      <c r="E130" t="inlineStr">
        <is>
          <t>FILIPSTAD</t>
        </is>
      </c>
      <c r="F130" t="inlineStr">
        <is>
          <t>Kyrkan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19034-2024</t>
        </is>
      </c>
      <c r="B131" s="1" t="n">
        <v>45427</v>
      </c>
      <c r="C131" s="1" t="n">
        <v>45901</v>
      </c>
      <c r="D131" t="inlineStr">
        <is>
          <t>VÄRMLANDS LÄN</t>
        </is>
      </c>
      <c r="E131" t="inlineStr">
        <is>
          <t>FILIPSTAD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19035-2024</t>
        </is>
      </c>
      <c r="B132" s="1" t="n">
        <v>45427</v>
      </c>
      <c r="C132" s="1" t="n">
        <v>45901</v>
      </c>
      <c r="D132" t="inlineStr">
        <is>
          <t>VÄRMLANDS LÄN</t>
        </is>
      </c>
      <c r="E132" t="inlineStr">
        <is>
          <t>FILIPSTAD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19159-2024</t>
        </is>
      </c>
      <c r="B133" s="1" t="n">
        <v>45428.45182870371</v>
      </c>
      <c r="C133" s="1" t="n">
        <v>45901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20811-2025</t>
        </is>
      </c>
      <c r="B134" s="1" t="n">
        <v>45776.66440972222</v>
      </c>
      <c r="C134" s="1" t="n">
        <v>45901</v>
      </c>
      <c r="D134" t="inlineStr">
        <is>
          <t>VÄRMLANDS LÄN</t>
        </is>
      </c>
      <c r="E134" t="inlineStr">
        <is>
          <t>FILIPSTAD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20878-2025</t>
        </is>
      </c>
      <c r="B135" s="1" t="n">
        <v>45777</v>
      </c>
      <c r="C135" s="1" t="n">
        <v>45901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48524-2023</t>
        </is>
      </c>
      <c r="B136" s="1" t="n">
        <v>45208</v>
      </c>
      <c r="C136" s="1" t="n">
        <v>45901</v>
      </c>
      <c r="D136" t="inlineStr">
        <is>
          <t>VÄRMLANDS LÄN</t>
        </is>
      </c>
      <c r="E136" t="inlineStr">
        <is>
          <t>FILIPSTAD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62787-2023</t>
        </is>
      </c>
      <c r="B137" s="1" t="n">
        <v>45271.70149305555</v>
      </c>
      <c r="C137" s="1" t="n">
        <v>45901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4420-2021</t>
        </is>
      </c>
      <c r="B138" s="1" t="n">
        <v>44224</v>
      </c>
      <c r="C138" s="1" t="n">
        <v>45901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14432-2025</t>
        </is>
      </c>
      <c r="B139" s="1" t="n">
        <v>45741.50583333334</v>
      </c>
      <c r="C139" s="1" t="n">
        <v>45901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34512-2023</t>
        </is>
      </c>
      <c r="B140" s="1" t="n">
        <v>45133</v>
      </c>
      <c r="C140" s="1" t="n">
        <v>45901</v>
      </c>
      <c r="D140" t="inlineStr">
        <is>
          <t>VÄRMLANDS LÄN</t>
        </is>
      </c>
      <c r="E140" t="inlineStr">
        <is>
          <t>FILIPSTAD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33844-2024</t>
        </is>
      </c>
      <c r="B141" s="1" t="n">
        <v>45520</v>
      </c>
      <c r="C141" s="1" t="n">
        <v>45901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19881-2025</t>
        </is>
      </c>
      <c r="B142" s="1" t="n">
        <v>45771.55825231481</v>
      </c>
      <c r="C142" s="1" t="n">
        <v>45901</v>
      </c>
      <c r="D142" t="inlineStr">
        <is>
          <t>VÄRMLANDS LÄN</t>
        </is>
      </c>
      <c r="E142" t="inlineStr">
        <is>
          <t>FILIPSTAD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51945-2023</t>
        </is>
      </c>
      <c r="B143" s="1" t="n">
        <v>45223</v>
      </c>
      <c r="C143" s="1" t="n">
        <v>45901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27107-2024</t>
        </is>
      </c>
      <c r="B144" s="1" t="n">
        <v>45471</v>
      </c>
      <c r="C144" s="1" t="n">
        <v>45901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30646-2024</t>
        </is>
      </c>
      <c r="B145" s="1" t="n">
        <v>45495.58861111111</v>
      </c>
      <c r="C145" s="1" t="n">
        <v>45901</v>
      </c>
      <c r="D145" t="inlineStr">
        <is>
          <t>VÄRMLANDS LÄN</t>
        </is>
      </c>
      <c r="E145" t="inlineStr">
        <is>
          <t>FILIPSTAD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27139-2024</t>
        </is>
      </c>
      <c r="B146" s="1" t="n">
        <v>45471.54475694444</v>
      </c>
      <c r="C146" s="1" t="n">
        <v>45901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16584-2024</t>
        </is>
      </c>
      <c r="B147" s="1" t="n">
        <v>45408.4859375</v>
      </c>
      <c r="C147" s="1" t="n">
        <v>45901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17244-2024</t>
        </is>
      </c>
      <c r="B148" s="1" t="n">
        <v>45414.38712962963</v>
      </c>
      <c r="C148" s="1" t="n">
        <v>45901</v>
      </c>
      <c r="D148" t="inlineStr">
        <is>
          <t>VÄRMLANDS LÄN</t>
        </is>
      </c>
      <c r="E148" t="inlineStr">
        <is>
          <t>FILIPSTAD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12837-2024</t>
        </is>
      </c>
      <c r="B149" s="1" t="n">
        <v>45384</v>
      </c>
      <c r="C149" s="1" t="n">
        <v>45901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53690-2022</t>
        </is>
      </c>
      <c r="B150" s="1" t="n">
        <v>44880</v>
      </c>
      <c r="C150" s="1" t="n">
        <v>45901</v>
      </c>
      <c r="D150" t="inlineStr">
        <is>
          <t>VÄRMLANDS LÄN</t>
        </is>
      </c>
      <c r="E150" t="inlineStr">
        <is>
          <t>FILIPSTAD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20875-2024</t>
        </is>
      </c>
      <c r="B151" s="1" t="n">
        <v>45439</v>
      </c>
      <c r="C151" s="1" t="n">
        <v>45901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6573-2023</t>
        </is>
      </c>
      <c r="B152" s="1" t="n">
        <v>44960</v>
      </c>
      <c r="C152" s="1" t="n">
        <v>45901</v>
      </c>
      <c r="D152" t="inlineStr">
        <is>
          <t>VÄRMLANDS LÄN</t>
        </is>
      </c>
      <c r="E152" t="inlineStr">
        <is>
          <t>FILIPSTAD</t>
        </is>
      </c>
      <c r="F152" t="inlineStr">
        <is>
          <t>Kommuner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4819-2023</t>
        </is>
      </c>
      <c r="B153" s="1" t="n">
        <v>44957</v>
      </c>
      <c r="C153" s="1" t="n">
        <v>45901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14275-2024</t>
        </is>
      </c>
      <c r="B154" s="1" t="n">
        <v>45393.588125</v>
      </c>
      <c r="C154" s="1" t="n">
        <v>45901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9270-2023</t>
        </is>
      </c>
      <c r="B155" s="1" t="n">
        <v>44980</v>
      </c>
      <c r="C155" s="1" t="n">
        <v>45901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51266-2021</t>
        </is>
      </c>
      <c r="B156" s="1" t="n">
        <v>44461.56226851852</v>
      </c>
      <c r="C156" s="1" t="n">
        <v>45901</v>
      </c>
      <c r="D156" t="inlineStr">
        <is>
          <t>VÄRMLANDS LÄN</t>
        </is>
      </c>
      <c r="E156" t="inlineStr">
        <is>
          <t>FILIPSTAD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1346-2025</t>
        </is>
      </c>
      <c r="B157" s="1" t="n">
        <v>45667</v>
      </c>
      <c r="C157" s="1" t="n">
        <v>45901</v>
      </c>
      <c r="D157" t="inlineStr">
        <is>
          <t>VÄRMLANDS LÄN</t>
        </is>
      </c>
      <c r="E157" t="inlineStr">
        <is>
          <t>FILIPSTAD</t>
        </is>
      </c>
      <c r="F157" t="inlineStr">
        <is>
          <t>Kommuner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47002-2024</t>
        </is>
      </c>
      <c r="B158" s="1" t="n">
        <v>45586.37773148148</v>
      </c>
      <c r="C158" s="1" t="n">
        <v>45901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62540-2023</t>
        </is>
      </c>
      <c r="B159" s="1" t="n">
        <v>45267</v>
      </c>
      <c r="C159" s="1" t="n">
        <v>45901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37945-2024</t>
        </is>
      </c>
      <c r="B160" s="1" t="n">
        <v>45544.50271990741</v>
      </c>
      <c r="C160" s="1" t="n">
        <v>45901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60296-2023</t>
        </is>
      </c>
      <c r="B161" s="1" t="n">
        <v>45257</v>
      </c>
      <c r="C161" s="1" t="n">
        <v>45901</v>
      </c>
      <c r="D161" t="inlineStr">
        <is>
          <t>VÄRMLANDS LÄN</t>
        </is>
      </c>
      <c r="E161" t="inlineStr">
        <is>
          <t>FILIPSTAD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17788-2024</t>
        </is>
      </c>
      <c r="B162" s="1" t="n">
        <v>45418</v>
      </c>
      <c r="C162" s="1" t="n">
        <v>45901</v>
      </c>
      <c r="D162" t="inlineStr">
        <is>
          <t>VÄRMLANDS LÄN</t>
        </is>
      </c>
      <c r="E162" t="inlineStr">
        <is>
          <t>FILIPSTAD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35357-2024</t>
        </is>
      </c>
      <c r="B163" s="1" t="n">
        <v>45531</v>
      </c>
      <c r="C163" s="1" t="n">
        <v>45901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37165-2024</t>
        </is>
      </c>
      <c r="B164" s="1" t="n">
        <v>45539.62459490741</v>
      </c>
      <c r="C164" s="1" t="n">
        <v>45901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19445-2025</t>
        </is>
      </c>
      <c r="B165" s="1" t="n">
        <v>45770.32002314815</v>
      </c>
      <c r="C165" s="1" t="n">
        <v>45901</v>
      </c>
      <c r="D165" t="inlineStr">
        <is>
          <t>VÄRMLANDS LÄN</t>
        </is>
      </c>
      <c r="E165" t="inlineStr">
        <is>
          <t>FILIPSTAD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22925-2025</t>
        </is>
      </c>
      <c r="B166" s="1" t="n">
        <v>45790.44490740741</v>
      </c>
      <c r="C166" s="1" t="n">
        <v>45901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31358-2023</t>
        </is>
      </c>
      <c r="B167" s="1" t="n">
        <v>45114</v>
      </c>
      <c r="C167" s="1" t="n">
        <v>45901</v>
      </c>
      <c r="D167" t="inlineStr">
        <is>
          <t>VÄRMLANDS LÄN</t>
        </is>
      </c>
      <c r="E167" t="inlineStr">
        <is>
          <t>FILIPSTAD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22547-2025</t>
        </is>
      </c>
      <c r="B168" s="1" t="n">
        <v>45788.46444444444</v>
      </c>
      <c r="C168" s="1" t="n">
        <v>45901</v>
      </c>
      <c r="D168" t="inlineStr">
        <is>
          <t>VÄRMLANDS LÄN</t>
        </is>
      </c>
      <c r="E168" t="inlineStr">
        <is>
          <t>FILIPSTAD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22843-2025</t>
        </is>
      </c>
      <c r="B169" s="1" t="n">
        <v>45790.31645833333</v>
      </c>
      <c r="C169" s="1" t="n">
        <v>45901</v>
      </c>
      <c r="D169" t="inlineStr">
        <is>
          <t>VÄRMLANDS LÄN</t>
        </is>
      </c>
      <c r="E169" t="inlineStr">
        <is>
          <t>FILIPSTAD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34116-2024</t>
        </is>
      </c>
      <c r="B170" s="1" t="n">
        <v>45524</v>
      </c>
      <c r="C170" s="1" t="n">
        <v>45901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43059-2024</t>
        </is>
      </c>
      <c r="B171" s="1" t="n">
        <v>45567.46071759259</v>
      </c>
      <c r="C171" s="1" t="n">
        <v>45901</v>
      </c>
      <c r="D171" t="inlineStr">
        <is>
          <t>VÄRMLANDS LÄN</t>
        </is>
      </c>
      <c r="E171" t="inlineStr">
        <is>
          <t>FILIPSTAD</t>
        </is>
      </c>
      <c r="F171" t="inlineStr">
        <is>
          <t>Kyrkan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54145-2024</t>
        </is>
      </c>
      <c r="B172" s="1" t="n">
        <v>45616</v>
      </c>
      <c r="C172" s="1" t="n">
        <v>45901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35106-2024</t>
        </is>
      </c>
      <c r="B173" s="1" t="n">
        <v>45529</v>
      </c>
      <c r="C173" s="1" t="n">
        <v>45901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65167-2021</t>
        </is>
      </c>
      <c r="B174" s="1" t="n">
        <v>44515</v>
      </c>
      <c r="C174" s="1" t="n">
        <v>45901</v>
      </c>
      <c r="D174" t="inlineStr">
        <is>
          <t>VÄRMLANDS LÄN</t>
        </is>
      </c>
      <c r="E174" t="inlineStr">
        <is>
          <t>FILIPSTAD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22874-2025</t>
        </is>
      </c>
      <c r="B175" s="1" t="n">
        <v>45790</v>
      </c>
      <c r="C175" s="1" t="n">
        <v>45901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22861-2025</t>
        </is>
      </c>
      <c r="B176" s="1" t="n">
        <v>45790.36020833333</v>
      </c>
      <c r="C176" s="1" t="n">
        <v>45901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17795-2024</t>
        </is>
      </c>
      <c r="B177" s="1" t="n">
        <v>45418</v>
      </c>
      <c r="C177" s="1" t="n">
        <v>45901</v>
      </c>
      <c r="D177" t="inlineStr">
        <is>
          <t>VÄRMLANDS LÄN</t>
        </is>
      </c>
      <c r="E177" t="inlineStr">
        <is>
          <t>FILIPSTAD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47890-2024</t>
        </is>
      </c>
      <c r="B178" s="1" t="n">
        <v>45588</v>
      </c>
      <c r="C178" s="1" t="n">
        <v>45901</v>
      </c>
      <c r="D178" t="inlineStr">
        <is>
          <t>VÄRMLANDS LÄN</t>
        </is>
      </c>
      <c r="E178" t="inlineStr">
        <is>
          <t>FILIPSTAD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22558-2025</t>
        </is>
      </c>
      <c r="B179" s="1" t="n">
        <v>45789.31070601852</v>
      </c>
      <c r="C179" s="1" t="n">
        <v>45901</v>
      </c>
      <c r="D179" t="inlineStr">
        <is>
          <t>VÄRMLANDS LÄN</t>
        </is>
      </c>
      <c r="E179" t="inlineStr">
        <is>
          <t>FILIPSTAD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57026-2023</t>
        </is>
      </c>
      <c r="B180" s="1" t="n">
        <v>45244.82778935185</v>
      </c>
      <c r="C180" s="1" t="n">
        <v>45901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22880-2025</t>
        </is>
      </c>
      <c r="B181" s="1" t="n">
        <v>45790.38118055555</v>
      </c>
      <c r="C181" s="1" t="n">
        <v>45901</v>
      </c>
      <c r="D181" t="inlineStr">
        <is>
          <t>VÄRMLANDS LÄN</t>
        </is>
      </c>
      <c r="E181" t="inlineStr">
        <is>
          <t>FILIPSTAD</t>
        </is>
      </c>
      <c r="F181" t="inlineStr">
        <is>
          <t>Kyrkan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25468-2024</t>
        </is>
      </c>
      <c r="B182" s="1" t="n">
        <v>45463</v>
      </c>
      <c r="C182" s="1" t="n">
        <v>45901</v>
      </c>
      <c r="D182" t="inlineStr">
        <is>
          <t>VÄRMLANDS LÄN</t>
        </is>
      </c>
      <c r="E182" t="inlineStr">
        <is>
          <t>FILIPSTAD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23174-2025</t>
        </is>
      </c>
      <c r="B183" s="1" t="n">
        <v>45791</v>
      </c>
      <c r="C183" s="1" t="n">
        <v>45901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23266-2025</t>
        </is>
      </c>
      <c r="B184" s="1" t="n">
        <v>45791.55612268519</v>
      </c>
      <c r="C184" s="1" t="n">
        <v>45901</v>
      </c>
      <c r="D184" t="inlineStr">
        <is>
          <t>VÄRMLANDS LÄN</t>
        </is>
      </c>
      <c r="E184" t="inlineStr">
        <is>
          <t>FILIPSTAD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47000-2024</t>
        </is>
      </c>
      <c r="B185" s="1" t="n">
        <v>45586.37638888889</v>
      </c>
      <c r="C185" s="1" t="n">
        <v>45901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12247-2022</t>
        </is>
      </c>
      <c r="B186" s="1" t="n">
        <v>44637.42344907407</v>
      </c>
      <c r="C186" s="1" t="n">
        <v>45901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38140-2024</t>
        </is>
      </c>
      <c r="B187" s="1" t="n">
        <v>45545</v>
      </c>
      <c r="C187" s="1" t="n">
        <v>45901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23475-2025</t>
        </is>
      </c>
      <c r="B188" s="1" t="n">
        <v>45792</v>
      </c>
      <c r="C188" s="1" t="n">
        <v>45901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45901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20966-2024</t>
        </is>
      </c>
      <c r="B190" s="1" t="n">
        <v>45439</v>
      </c>
      <c r="C190" s="1" t="n">
        <v>45901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45901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28357-2024</t>
        </is>
      </c>
      <c r="B192" s="1" t="n">
        <v>45477.57092592592</v>
      </c>
      <c r="C192" s="1" t="n">
        <v>45901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48702-2024</t>
        </is>
      </c>
      <c r="B193" s="1" t="n">
        <v>45593.52293981481</v>
      </c>
      <c r="C193" s="1" t="n">
        <v>45901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35304-2024</t>
        </is>
      </c>
      <c r="B194" s="1" t="n">
        <v>45530.67231481482</v>
      </c>
      <c r="C194" s="1" t="n">
        <v>45901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23514-2025</t>
        </is>
      </c>
      <c r="B195" s="1" t="n">
        <v>45792.49673611111</v>
      </c>
      <c r="C195" s="1" t="n">
        <v>45901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23399-2025</t>
        </is>
      </c>
      <c r="B196" s="1" t="n">
        <v>45792.31489583333</v>
      </c>
      <c r="C196" s="1" t="n">
        <v>45901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9062-2025</t>
        </is>
      </c>
      <c r="B197" s="1" t="n">
        <v>45713.64682870371</v>
      </c>
      <c r="C197" s="1" t="n">
        <v>45901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1750-2025</t>
        </is>
      </c>
      <c r="B198" s="1" t="n">
        <v>45671.40900462963</v>
      </c>
      <c r="C198" s="1" t="n">
        <v>45901</v>
      </c>
      <c r="D198" t="inlineStr">
        <is>
          <t>VÄRMLANDS LÄN</t>
        </is>
      </c>
      <c r="E198" t="inlineStr">
        <is>
          <t>FILIPSTAD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23286-2025</t>
        </is>
      </c>
      <c r="B199" s="1" t="n">
        <v>45791</v>
      </c>
      <c r="C199" s="1" t="n">
        <v>45901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1350-2025</t>
        </is>
      </c>
      <c r="B200" s="1" t="n">
        <v>45667</v>
      </c>
      <c r="C200" s="1" t="n">
        <v>45901</v>
      </c>
      <c r="D200" t="inlineStr">
        <is>
          <t>VÄRMLANDS LÄN</t>
        </is>
      </c>
      <c r="E200" t="inlineStr">
        <is>
          <t>FILIPSTAD</t>
        </is>
      </c>
      <c r="F200" t="inlineStr">
        <is>
          <t>Kommuner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63411-2023</t>
        </is>
      </c>
      <c r="B201" s="1" t="n">
        <v>45274.52950231481</v>
      </c>
      <c r="C201" s="1" t="n">
        <v>45901</v>
      </c>
      <c r="D201" t="inlineStr">
        <is>
          <t>VÄRMLANDS LÄN</t>
        </is>
      </c>
      <c r="E201" t="inlineStr">
        <is>
          <t>FILIPSTAD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32185-2024</t>
        </is>
      </c>
      <c r="B202" s="1" t="n">
        <v>45511.64414351852</v>
      </c>
      <c r="C202" s="1" t="n">
        <v>45901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20844-2024</t>
        </is>
      </c>
      <c r="B203" s="1" t="n">
        <v>45439</v>
      </c>
      <c r="C203" s="1" t="n">
        <v>45901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3979-2024</t>
        </is>
      </c>
      <c r="B204" s="1" t="n">
        <v>45322</v>
      </c>
      <c r="C204" s="1" t="n">
        <v>45901</v>
      </c>
      <c r="D204" t="inlineStr">
        <is>
          <t>VÄRMLANDS LÄN</t>
        </is>
      </c>
      <c r="E204" t="inlineStr">
        <is>
          <t>FILIPSTAD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36042-2021</t>
        </is>
      </c>
      <c r="B205" s="1" t="n">
        <v>44386</v>
      </c>
      <c r="C205" s="1" t="n">
        <v>45901</v>
      </c>
      <c r="D205" t="inlineStr">
        <is>
          <t>VÄRMLANDS LÄN</t>
        </is>
      </c>
      <c r="E205" t="inlineStr">
        <is>
          <t>FILIPSTAD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72118-2021</t>
        </is>
      </c>
      <c r="B206" s="1" t="n">
        <v>44543</v>
      </c>
      <c r="C206" s="1" t="n">
        <v>45901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24143-2025</t>
        </is>
      </c>
      <c r="B207" s="1" t="n">
        <v>45796.64369212963</v>
      </c>
      <c r="C207" s="1" t="n">
        <v>45901</v>
      </c>
      <c r="D207" t="inlineStr">
        <is>
          <t>VÄRMLANDS LÄN</t>
        </is>
      </c>
      <c r="E207" t="inlineStr">
        <is>
          <t>FILIPSTAD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29474-2024</t>
        </is>
      </c>
      <c r="B208" s="1" t="n">
        <v>45484</v>
      </c>
      <c r="C208" s="1" t="n">
        <v>45901</v>
      </c>
      <c r="D208" t="inlineStr">
        <is>
          <t>VÄRMLANDS LÄN</t>
        </is>
      </c>
      <c r="E208" t="inlineStr">
        <is>
          <t>FILIPSTAD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15396-2025</t>
        </is>
      </c>
      <c r="B209" s="1" t="n">
        <v>45747.44082175926</v>
      </c>
      <c r="C209" s="1" t="n">
        <v>45901</v>
      </c>
      <c r="D209" t="inlineStr">
        <is>
          <t>VÄRMLANDS LÄN</t>
        </is>
      </c>
      <c r="E209" t="inlineStr">
        <is>
          <t>FILIPSTAD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17763-2025</t>
        </is>
      </c>
      <c r="B210" s="1" t="n">
        <v>45758</v>
      </c>
      <c r="C210" s="1" t="n">
        <v>45901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11453-2025</t>
        </is>
      </c>
      <c r="B211" s="1" t="n">
        <v>45726.64355324074</v>
      </c>
      <c r="C211" s="1" t="n">
        <v>45901</v>
      </c>
      <c r="D211" t="inlineStr">
        <is>
          <t>VÄRMLANDS LÄN</t>
        </is>
      </c>
      <c r="E211" t="inlineStr">
        <is>
          <t>FILIPSTAD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32262-2023</t>
        </is>
      </c>
      <c r="B212" s="1" t="n">
        <v>45120.30858796297</v>
      </c>
      <c r="C212" s="1" t="n">
        <v>45901</v>
      </c>
      <c r="D212" t="inlineStr">
        <is>
          <t>VÄRMLANDS LÄN</t>
        </is>
      </c>
      <c r="E212" t="inlineStr">
        <is>
          <t>FILIPSTAD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63482-2021</t>
        </is>
      </c>
      <c r="B213" s="1" t="n">
        <v>44508</v>
      </c>
      <c r="C213" s="1" t="n">
        <v>45901</v>
      </c>
      <c r="D213" t="inlineStr">
        <is>
          <t>VÄRMLANDS LÄN</t>
        </is>
      </c>
      <c r="E213" t="inlineStr">
        <is>
          <t>FILIPSTAD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23775-2025</t>
        </is>
      </c>
      <c r="B214" s="1" t="n">
        <v>45793</v>
      </c>
      <c r="C214" s="1" t="n">
        <v>45901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23769-2025</t>
        </is>
      </c>
      <c r="B215" s="1" t="n">
        <v>45793</v>
      </c>
      <c r="C215" s="1" t="n">
        <v>45901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27400-2024</t>
        </is>
      </c>
      <c r="B216" s="1" t="n">
        <v>45474.34940972222</v>
      </c>
      <c r="C216" s="1" t="n">
        <v>45901</v>
      </c>
      <c r="D216" t="inlineStr">
        <is>
          <t>VÄRMLANDS LÄN</t>
        </is>
      </c>
      <c r="E216" t="inlineStr">
        <is>
          <t>FILIPSTAD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8712-2024</t>
        </is>
      </c>
      <c r="B217" s="1" t="n">
        <v>45355</v>
      </c>
      <c r="C217" s="1" t="n">
        <v>45901</v>
      </c>
      <c r="D217" t="inlineStr">
        <is>
          <t>VÄRMLANDS LÄN</t>
        </is>
      </c>
      <c r="E217" t="inlineStr">
        <is>
          <t>FILIPSTAD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65174-2021</t>
        </is>
      </c>
      <c r="B218" s="1" t="n">
        <v>44515</v>
      </c>
      <c r="C218" s="1" t="n">
        <v>45901</v>
      </c>
      <c r="D218" t="inlineStr">
        <is>
          <t>VÄRMLANDS LÄN</t>
        </is>
      </c>
      <c r="E218" t="inlineStr">
        <is>
          <t>FILIPSTAD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869-2025</t>
        </is>
      </c>
      <c r="B219" s="1" t="n">
        <v>45665</v>
      </c>
      <c r="C219" s="1" t="n">
        <v>45901</v>
      </c>
      <c r="D219" t="inlineStr">
        <is>
          <t>VÄRMLANDS LÄN</t>
        </is>
      </c>
      <c r="E219" t="inlineStr">
        <is>
          <t>FILIPSTAD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15406-2025</t>
        </is>
      </c>
      <c r="B220" s="1" t="n">
        <v>45747.44877314815</v>
      </c>
      <c r="C220" s="1" t="n">
        <v>45901</v>
      </c>
      <c r="D220" t="inlineStr">
        <is>
          <t>VÄRMLANDS LÄN</t>
        </is>
      </c>
      <c r="E220" t="inlineStr">
        <is>
          <t>FILIPSTAD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24386-2025</t>
        </is>
      </c>
      <c r="B221" s="1" t="n">
        <v>45797.63240740741</v>
      </c>
      <c r="C221" s="1" t="n">
        <v>45901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44509-2023</t>
        </is>
      </c>
      <c r="B222" s="1" t="n">
        <v>45189.46456018519</v>
      </c>
      <c r="C222" s="1" t="n">
        <v>45901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35799-2022</t>
        </is>
      </c>
      <c r="B223" s="1" t="n">
        <v>44801.94767361111</v>
      </c>
      <c r="C223" s="1" t="n">
        <v>45901</v>
      </c>
      <c r="D223" t="inlineStr">
        <is>
          <t>VÄRMLANDS LÄN</t>
        </is>
      </c>
      <c r="E223" t="inlineStr">
        <is>
          <t>FILIPSTAD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14268-2024</t>
        </is>
      </c>
      <c r="B224" s="1" t="n">
        <v>45393.57497685185</v>
      </c>
      <c r="C224" s="1" t="n">
        <v>45901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25260-2025</t>
        </is>
      </c>
      <c r="B225" s="1" t="n">
        <v>45800</v>
      </c>
      <c r="C225" s="1" t="n">
        <v>45901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70405-2021</t>
        </is>
      </c>
      <c r="B226" s="1" t="n">
        <v>44536.57564814815</v>
      </c>
      <c r="C226" s="1" t="n">
        <v>45901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5754-2022</t>
        </is>
      </c>
      <c r="B227" s="1" t="n">
        <v>44596</v>
      </c>
      <c r="C227" s="1" t="n">
        <v>45901</v>
      </c>
      <c r="D227" t="inlineStr">
        <is>
          <t>VÄRMLANDS LÄN</t>
        </is>
      </c>
      <c r="E227" t="inlineStr">
        <is>
          <t>FILIPSTAD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24724-2025</t>
        </is>
      </c>
      <c r="B228" s="1" t="n">
        <v>45799.32064814815</v>
      </c>
      <c r="C228" s="1" t="n">
        <v>45901</v>
      </c>
      <c r="D228" t="inlineStr">
        <is>
          <t>VÄRMLANDS LÄN</t>
        </is>
      </c>
      <c r="E228" t="inlineStr">
        <is>
          <t>FILIPSTAD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34145-2024</t>
        </is>
      </c>
      <c r="B229" s="1" t="n">
        <v>45524</v>
      </c>
      <c r="C229" s="1" t="n">
        <v>45901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47261-2024</t>
        </is>
      </c>
      <c r="B230" s="1" t="n">
        <v>45586.77313657408</v>
      </c>
      <c r="C230" s="1" t="n">
        <v>45901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54735-2024</t>
        </is>
      </c>
      <c r="B231" s="1" t="n">
        <v>45618.44033564815</v>
      </c>
      <c r="C231" s="1" t="n">
        <v>45901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4191-2022</t>
        </is>
      </c>
      <c r="B232" s="1" t="n">
        <v>44588</v>
      </c>
      <c r="C232" s="1" t="n">
        <v>45901</v>
      </c>
      <c r="D232" t="inlineStr">
        <is>
          <t>VÄRMLANDS LÄN</t>
        </is>
      </c>
      <c r="E232" t="inlineStr">
        <is>
          <t>FILIPSTAD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40244-2023</t>
        </is>
      </c>
      <c r="B233" s="1" t="n">
        <v>45169.48890046297</v>
      </c>
      <c r="C233" s="1" t="n">
        <v>45901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23046-2023</t>
        </is>
      </c>
      <c r="B234" s="1" t="n">
        <v>45075</v>
      </c>
      <c r="C234" s="1" t="n">
        <v>45901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HYPERLINK("https://klasma.github.io/Logging_1782/knärot/A 23046-2023 karta knärot.png", "A 23046-2023")</f>
        <v/>
      </c>
      <c r="V234">
        <f>HYPERLINK("https://klasma.github.io/Logging_1782/klagomål/A 23046-2023 FSC-klagomål.docx", "A 23046-2023")</f>
        <v/>
      </c>
      <c r="W234">
        <f>HYPERLINK("https://klasma.github.io/Logging_1782/klagomålsmail/A 23046-2023 FSC-klagomål mail.docx", "A 23046-2023")</f>
        <v/>
      </c>
      <c r="X234">
        <f>HYPERLINK("https://klasma.github.io/Logging_1782/tillsyn/A 23046-2023 tillsynsbegäran.docx", "A 23046-2023")</f>
        <v/>
      </c>
      <c r="Y234">
        <f>HYPERLINK("https://klasma.github.io/Logging_1782/tillsynsmail/A 23046-2023 tillsynsbegäran mail.docx", "A 23046-2023")</f>
        <v/>
      </c>
    </row>
    <row r="235" ht="15" customHeight="1">
      <c r="A235" t="inlineStr">
        <is>
          <t>A 25483-2025</t>
        </is>
      </c>
      <c r="B235" s="1" t="n">
        <v>45802</v>
      </c>
      <c r="C235" s="1" t="n">
        <v>45901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11137-2025</t>
        </is>
      </c>
      <c r="B236" s="1" t="n">
        <v>45723.6612037037</v>
      </c>
      <c r="C236" s="1" t="n">
        <v>45901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2437-2025</t>
        </is>
      </c>
      <c r="B237" s="1" t="n">
        <v>45674</v>
      </c>
      <c r="C237" s="1" t="n">
        <v>45901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59869-2024</t>
        </is>
      </c>
      <c r="B238" s="1" t="n">
        <v>45640.3178125</v>
      </c>
      <c r="C238" s="1" t="n">
        <v>45901</v>
      </c>
      <c r="D238" t="inlineStr">
        <is>
          <t>VÄRMLANDS LÄN</t>
        </is>
      </c>
      <c r="E238" t="inlineStr">
        <is>
          <t>FILIPSTAD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49761-2024</t>
        </is>
      </c>
      <c r="B239" s="1" t="n">
        <v>45597</v>
      </c>
      <c r="C239" s="1" t="n">
        <v>45901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61643-2024</t>
        </is>
      </c>
      <c r="B240" s="1" t="n">
        <v>45646</v>
      </c>
      <c r="C240" s="1" t="n">
        <v>45901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23617-2023</t>
        </is>
      </c>
      <c r="B241" s="1" t="n">
        <v>45077.47910879629</v>
      </c>
      <c r="C241" s="1" t="n">
        <v>45901</v>
      </c>
      <c r="D241" t="inlineStr">
        <is>
          <t>VÄRMLANDS LÄN</t>
        </is>
      </c>
      <c r="E241" t="inlineStr">
        <is>
          <t>FILIPSTAD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26123-2025</t>
        </is>
      </c>
      <c r="B242" s="1" t="n">
        <v>45805.38965277778</v>
      </c>
      <c r="C242" s="1" t="n">
        <v>45901</v>
      </c>
      <c r="D242" t="inlineStr">
        <is>
          <t>VÄRMLANDS LÄN</t>
        </is>
      </c>
      <c r="E242" t="inlineStr">
        <is>
          <t>FILIPSTAD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57531-2024</t>
        </is>
      </c>
      <c r="B243" s="1" t="n">
        <v>45630</v>
      </c>
      <c r="C243" s="1" t="n">
        <v>45901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26116-2025</t>
        </is>
      </c>
      <c r="B244" s="1" t="n">
        <v>45805.37556712963</v>
      </c>
      <c r="C244" s="1" t="n">
        <v>45901</v>
      </c>
      <c r="D244" t="inlineStr">
        <is>
          <t>VÄRMLANDS LÄN</t>
        </is>
      </c>
      <c r="E244" t="inlineStr">
        <is>
          <t>FILIPSTAD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26812-2025</t>
        </is>
      </c>
      <c r="B245" s="1" t="n">
        <v>45810.6196875</v>
      </c>
      <c r="C245" s="1" t="n">
        <v>45901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58532-2020</t>
        </is>
      </c>
      <c r="B246" s="1" t="n">
        <v>44145</v>
      </c>
      <c r="C246" s="1" t="n">
        <v>45901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26497-2025</t>
        </is>
      </c>
      <c r="B247" s="1" t="n">
        <v>45807.49847222222</v>
      </c>
      <c r="C247" s="1" t="n">
        <v>45901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26843-2024</t>
        </is>
      </c>
      <c r="B248" s="1" t="n">
        <v>45470.57790509259</v>
      </c>
      <c r="C248" s="1" t="n">
        <v>45901</v>
      </c>
      <c r="D248" t="inlineStr">
        <is>
          <t>VÄRMLANDS LÄN</t>
        </is>
      </c>
      <c r="E248" t="inlineStr">
        <is>
          <t>FILIPSTAD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15-2025</t>
        </is>
      </c>
      <c r="B249" s="1" t="n">
        <v>45658.74451388889</v>
      </c>
      <c r="C249" s="1" t="n">
        <v>45901</v>
      </c>
      <c r="D249" t="inlineStr">
        <is>
          <t>VÄRMLANDS LÄN</t>
        </is>
      </c>
      <c r="E249" t="inlineStr">
        <is>
          <t>FILIPSTAD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56451-2024</t>
        </is>
      </c>
      <c r="B250" s="1" t="n">
        <v>45625.43577546296</v>
      </c>
      <c r="C250" s="1" t="n">
        <v>45901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20040-2025</t>
        </is>
      </c>
      <c r="B251" s="1" t="n">
        <v>45772</v>
      </c>
      <c r="C251" s="1" t="n">
        <v>45901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49794-2024</t>
        </is>
      </c>
      <c r="B252" s="1" t="n">
        <v>45597</v>
      </c>
      <c r="C252" s="1" t="n">
        <v>45901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21608-2023</t>
        </is>
      </c>
      <c r="B253" s="1" t="n">
        <v>45063.62739583333</v>
      </c>
      <c r="C253" s="1" t="n">
        <v>45901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59436-2024</t>
        </is>
      </c>
      <c r="B254" s="1" t="n">
        <v>45638</v>
      </c>
      <c r="C254" s="1" t="n">
        <v>45901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51980-2024</t>
        </is>
      </c>
      <c r="B255" s="1" t="n">
        <v>45607</v>
      </c>
      <c r="C255" s="1" t="n">
        <v>45901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27064-2025</t>
        </is>
      </c>
      <c r="B256" s="1" t="n">
        <v>45811.63630787037</v>
      </c>
      <c r="C256" s="1" t="n">
        <v>45901</v>
      </c>
      <c r="D256" t="inlineStr">
        <is>
          <t>VÄRMLANDS LÄN</t>
        </is>
      </c>
      <c r="E256" t="inlineStr">
        <is>
          <t>FILIPSTAD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27420-2025</t>
        </is>
      </c>
      <c r="B257" s="1" t="n">
        <v>45812</v>
      </c>
      <c r="C257" s="1" t="n">
        <v>45901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14696-2025</t>
        </is>
      </c>
      <c r="B258" s="1" t="n">
        <v>45742.59262731481</v>
      </c>
      <c r="C258" s="1" t="n">
        <v>45901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27242-2025</t>
        </is>
      </c>
      <c r="B259" s="1" t="n">
        <v>45812.46127314815</v>
      </c>
      <c r="C259" s="1" t="n">
        <v>45901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27419-2025</t>
        </is>
      </c>
      <c r="B260" s="1" t="n">
        <v>45812</v>
      </c>
      <c r="C260" s="1" t="n">
        <v>45901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27126-2025</t>
        </is>
      </c>
      <c r="B261" s="1" t="n">
        <v>45811</v>
      </c>
      <c r="C261" s="1" t="n">
        <v>45901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422-2025</t>
        </is>
      </c>
      <c r="B262" s="1" t="n">
        <v>45664</v>
      </c>
      <c r="C262" s="1" t="n">
        <v>45901</v>
      </c>
      <c r="D262" t="inlineStr">
        <is>
          <t>VÄRMLANDS LÄN</t>
        </is>
      </c>
      <c r="E262" t="inlineStr">
        <is>
          <t>FILIPSTAD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26599-2024</t>
        </is>
      </c>
      <c r="B263" s="1" t="n">
        <v>45469</v>
      </c>
      <c r="C263" s="1" t="n">
        <v>45901</v>
      </c>
      <c r="D263" t="inlineStr">
        <is>
          <t>VÄRMLANDS LÄN</t>
        </is>
      </c>
      <c r="E263" t="inlineStr">
        <is>
          <t>FILIPSTAD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27422-2025</t>
        </is>
      </c>
      <c r="B264" s="1" t="n">
        <v>45812</v>
      </c>
      <c r="C264" s="1" t="n">
        <v>45901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19096-2025</t>
        </is>
      </c>
      <c r="B265" s="1" t="n">
        <v>45767</v>
      </c>
      <c r="C265" s="1" t="n">
        <v>45901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27218-2025</t>
        </is>
      </c>
      <c r="B266" s="1" t="n">
        <v>45812.42153935185</v>
      </c>
      <c r="C266" s="1" t="n">
        <v>45901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17794-2024</t>
        </is>
      </c>
      <c r="B267" s="1" t="n">
        <v>45418</v>
      </c>
      <c r="C267" s="1" t="n">
        <v>45901</v>
      </c>
      <c r="D267" t="inlineStr">
        <is>
          <t>VÄRMLANDS LÄN</t>
        </is>
      </c>
      <c r="E267" t="inlineStr">
        <is>
          <t>FILIPSTAD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54836-2023</t>
        </is>
      </c>
      <c r="B268" s="1" t="n">
        <v>45229</v>
      </c>
      <c r="C268" s="1" t="n">
        <v>45901</v>
      </c>
      <c r="D268" t="inlineStr">
        <is>
          <t>VÄRMLANDS LÄN</t>
        </is>
      </c>
      <c r="E268" t="inlineStr">
        <is>
          <t>FILIPSTAD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16591-2022</t>
        </is>
      </c>
      <c r="B269" s="1" t="n">
        <v>44672</v>
      </c>
      <c r="C269" s="1" t="n">
        <v>45901</v>
      </c>
      <c r="D269" t="inlineStr">
        <is>
          <t>VÄRMLANDS LÄN</t>
        </is>
      </c>
      <c r="E269" t="inlineStr">
        <is>
          <t>FILIPSTAD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44178-2021</t>
        </is>
      </c>
      <c r="B270" s="1" t="n">
        <v>44434.67637731481</v>
      </c>
      <c r="C270" s="1" t="n">
        <v>45901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45511-2024</t>
        </is>
      </c>
      <c r="B271" s="1" t="n">
        <v>45578</v>
      </c>
      <c r="C271" s="1" t="n">
        <v>45901</v>
      </c>
      <c r="D271" t="inlineStr">
        <is>
          <t>VÄRMLANDS LÄN</t>
        </is>
      </c>
      <c r="E271" t="inlineStr">
        <is>
          <t>FILIPSTAD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27946-2025</t>
        </is>
      </c>
      <c r="B272" s="1" t="n">
        <v>45817</v>
      </c>
      <c r="C272" s="1" t="n">
        <v>45901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56151-2023</t>
        </is>
      </c>
      <c r="B273" s="1" t="n">
        <v>45240.6055787037</v>
      </c>
      <c r="C273" s="1" t="n">
        <v>45901</v>
      </c>
      <c r="D273" t="inlineStr">
        <is>
          <t>VÄRMLANDS LÄN</t>
        </is>
      </c>
      <c r="E273" t="inlineStr">
        <is>
          <t>FILIPSTAD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46241-2024</t>
        </is>
      </c>
      <c r="B274" s="1" t="n">
        <v>45581</v>
      </c>
      <c r="C274" s="1" t="n">
        <v>45901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59196-2022</t>
        </is>
      </c>
      <c r="B275" s="1" t="n">
        <v>44904.49831018518</v>
      </c>
      <c r="C275" s="1" t="n">
        <v>45901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28149-2025</t>
        </is>
      </c>
      <c r="B276" s="1" t="n">
        <v>45818</v>
      </c>
      <c r="C276" s="1" t="n">
        <v>45901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722-2025</t>
        </is>
      </c>
      <c r="B277" s="1" t="n">
        <v>45665.37976851852</v>
      </c>
      <c r="C277" s="1" t="n">
        <v>45901</v>
      </c>
      <c r="D277" t="inlineStr">
        <is>
          <t>VÄRMLANDS LÄN</t>
        </is>
      </c>
      <c r="E277" t="inlineStr">
        <is>
          <t>FILIPSTAD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28687-2025</t>
        </is>
      </c>
      <c r="B278" s="1" t="n">
        <v>45819</v>
      </c>
      <c r="C278" s="1" t="n">
        <v>45901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28689-2025</t>
        </is>
      </c>
      <c r="B279" s="1" t="n">
        <v>45819</v>
      </c>
      <c r="C279" s="1" t="n">
        <v>45901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54127-2023</t>
        </is>
      </c>
      <c r="B280" s="1" t="n">
        <v>45232</v>
      </c>
      <c r="C280" s="1" t="n">
        <v>45901</v>
      </c>
      <c r="D280" t="inlineStr">
        <is>
          <t>VÄRMLANDS LÄN</t>
        </is>
      </c>
      <c r="E280" t="inlineStr">
        <is>
          <t>FILIPSTAD</t>
        </is>
      </c>
      <c r="G280" t="n">
        <v>15.5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69015-2021</t>
        </is>
      </c>
      <c r="B281" s="1" t="n">
        <v>44530.60211805555</v>
      </c>
      <c r="C281" s="1" t="n">
        <v>45901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56650-2024</t>
        </is>
      </c>
      <c r="B282" s="1" t="n">
        <v>45625.76855324074</v>
      </c>
      <c r="C282" s="1" t="n">
        <v>45901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56652-2024</t>
        </is>
      </c>
      <c r="B283" s="1" t="n">
        <v>45625.78240740741</v>
      </c>
      <c r="C283" s="1" t="n">
        <v>45901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56654-2024</t>
        </is>
      </c>
      <c r="B284" s="1" t="n">
        <v>45625</v>
      </c>
      <c r="C284" s="1" t="n">
        <v>45901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29460-2025</t>
        </is>
      </c>
      <c r="B285" s="1" t="n">
        <v>45824.69491898148</v>
      </c>
      <c r="C285" s="1" t="n">
        <v>45901</v>
      </c>
      <c r="D285" t="inlineStr">
        <is>
          <t>VÄRMLANDS LÄN</t>
        </is>
      </c>
      <c r="E285" t="inlineStr">
        <is>
          <t>FILIPSTAD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47344-2023</t>
        </is>
      </c>
      <c r="B286" s="1" t="n">
        <v>45202.56717592593</v>
      </c>
      <c r="C286" s="1" t="n">
        <v>45901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47436-2024</t>
        </is>
      </c>
      <c r="B287" s="1" t="n">
        <v>45587</v>
      </c>
      <c r="C287" s="1" t="n">
        <v>45901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29825-2023</t>
        </is>
      </c>
      <c r="B288" s="1" t="n">
        <v>45107</v>
      </c>
      <c r="C288" s="1" t="n">
        <v>45901</v>
      </c>
      <c r="D288" t="inlineStr">
        <is>
          <t>VÄRMLANDS LÄN</t>
        </is>
      </c>
      <c r="E288" t="inlineStr">
        <is>
          <t>FILIPSTAD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45592-2024</t>
        </is>
      </c>
      <c r="B289" s="1" t="n">
        <v>45579</v>
      </c>
      <c r="C289" s="1" t="n">
        <v>45901</v>
      </c>
      <c r="D289" t="inlineStr">
        <is>
          <t>VÄRMLANDS LÄN</t>
        </is>
      </c>
      <c r="E289" t="inlineStr">
        <is>
          <t>FILIPSTAD</t>
        </is>
      </c>
      <c r="F289" t="inlineStr">
        <is>
          <t>Kyrkan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20554-2025</t>
        </is>
      </c>
      <c r="B290" s="1" t="n">
        <v>45775</v>
      </c>
      <c r="C290" s="1" t="n">
        <v>45901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36272-2025</t>
        </is>
      </c>
      <c r="B291" s="1" t="n">
        <v>45867</v>
      </c>
      <c r="C291" s="1" t="n">
        <v>45901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29885-2025</t>
        </is>
      </c>
      <c r="B292" s="1" t="n">
        <v>45826</v>
      </c>
      <c r="C292" s="1" t="n">
        <v>45901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30049-2025</t>
        </is>
      </c>
      <c r="B293" s="1" t="n">
        <v>45826.59048611111</v>
      </c>
      <c r="C293" s="1" t="n">
        <v>45901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29964-2025</t>
        </is>
      </c>
      <c r="B294" s="1" t="n">
        <v>45826.48462962963</v>
      </c>
      <c r="C294" s="1" t="n">
        <v>45901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29568-2025</t>
        </is>
      </c>
      <c r="B295" s="1" t="n">
        <v>45825.36674768518</v>
      </c>
      <c r="C295" s="1" t="n">
        <v>45901</v>
      </c>
      <c r="D295" t="inlineStr">
        <is>
          <t>VÄRMLANDS LÄN</t>
        </is>
      </c>
      <c r="E295" t="inlineStr">
        <is>
          <t>FILIPSTAD</t>
        </is>
      </c>
      <c r="F295" t="inlineStr">
        <is>
          <t>Kyrkan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36196-2025</t>
        </is>
      </c>
      <c r="B296" s="1" t="n">
        <v>45867</v>
      </c>
      <c r="C296" s="1" t="n">
        <v>45901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29660-2025</t>
        </is>
      </c>
      <c r="B297" s="1" t="n">
        <v>45825.48892361111</v>
      </c>
      <c r="C297" s="1" t="n">
        <v>45901</v>
      </c>
      <c r="D297" t="inlineStr">
        <is>
          <t>VÄRMLANDS LÄN</t>
        </is>
      </c>
      <c r="E297" t="inlineStr">
        <is>
          <t>FILIPSTAD</t>
        </is>
      </c>
      <c r="G297" t="n">
        <v>23.3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29681-2025</t>
        </is>
      </c>
      <c r="B298" s="1" t="n">
        <v>45825.51052083333</v>
      </c>
      <c r="C298" s="1" t="n">
        <v>45901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29944-2025</t>
        </is>
      </c>
      <c r="B299" s="1" t="n">
        <v>45826.4578587963</v>
      </c>
      <c r="C299" s="1" t="n">
        <v>45901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29666-2025</t>
        </is>
      </c>
      <c r="B300" s="1" t="n">
        <v>45825.49204861111</v>
      </c>
      <c r="C300" s="1" t="n">
        <v>45901</v>
      </c>
      <c r="D300" t="inlineStr">
        <is>
          <t>VÄRMLANDS LÄN</t>
        </is>
      </c>
      <c r="E300" t="inlineStr">
        <is>
          <t>FILIPSTAD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29993-2025</t>
        </is>
      </c>
      <c r="B301" s="1" t="n">
        <v>45826.50634259259</v>
      </c>
      <c r="C301" s="1" t="n">
        <v>45901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16966-2025</t>
        </is>
      </c>
      <c r="B302" s="1" t="n">
        <v>45755</v>
      </c>
      <c r="C302" s="1" t="n">
        <v>45901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53619-2023</t>
        </is>
      </c>
      <c r="B303" s="1" t="n">
        <v>45230.57813657408</v>
      </c>
      <c r="C303" s="1" t="n">
        <v>45901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1170-2023</t>
        </is>
      </c>
      <c r="B304" s="1" t="n">
        <v>44935</v>
      </c>
      <c r="C304" s="1" t="n">
        <v>45901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36582-2025</t>
        </is>
      </c>
      <c r="B305" s="1" t="n">
        <v>45870.42993055555</v>
      </c>
      <c r="C305" s="1" t="n">
        <v>45901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4462-2025</t>
        </is>
      </c>
      <c r="B306" s="1" t="n">
        <v>45686.60108796296</v>
      </c>
      <c r="C306" s="1" t="n">
        <v>45901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27789-2022</t>
        </is>
      </c>
      <c r="B307" s="1" t="n">
        <v>44743.56622685185</v>
      </c>
      <c r="C307" s="1" t="n">
        <v>45901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43484-2023</t>
        </is>
      </c>
      <c r="B308" s="1" t="n">
        <v>45184</v>
      </c>
      <c r="C308" s="1" t="n">
        <v>45901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30169-2025</t>
        </is>
      </c>
      <c r="B309" s="1" t="n">
        <v>45827.33614583333</v>
      </c>
      <c r="C309" s="1" t="n">
        <v>45901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6674-2025</t>
        </is>
      </c>
      <c r="B310" s="1" t="n">
        <v>45700</v>
      </c>
      <c r="C310" s="1" t="n">
        <v>45901</v>
      </c>
      <c r="D310" t="inlineStr">
        <is>
          <t>VÄRMLANDS LÄN</t>
        </is>
      </c>
      <c r="E310" t="inlineStr">
        <is>
          <t>FILIPSTAD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28161-2023</t>
        </is>
      </c>
      <c r="B311" s="1" t="n">
        <v>45093</v>
      </c>
      <c r="C311" s="1" t="n">
        <v>45901</v>
      </c>
      <c r="D311" t="inlineStr">
        <is>
          <t>VÄRMLANDS LÄN</t>
        </is>
      </c>
      <c r="E311" t="inlineStr">
        <is>
          <t>FILIPSTAD</t>
        </is>
      </c>
      <c r="F311" t="inlineStr">
        <is>
          <t>Kommuner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20606-2025</t>
        </is>
      </c>
      <c r="B312" s="1" t="n">
        <v>45775</v>
      </c>
      <c r="C312" s="1" t="n">
        <v>45901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31172-2025</t>
        </is>
      </c>
      <c r="B313" s="1" t="n">
        <v>45832</v>
      </c>
      <c r="C313" s="1" t="n">
        <v>45901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45379-2024</t>
        </is>
      </c>
      <c r="B314" s="1" t="n">
        <v>45576.52289351852</v>
      </c>
      <c r="C314" s="1" t="n">
        <v>45901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24054-2024</t>
        </is>
      </c>
      <c r="B315" s="1" t="n">
        <v>45456.50659722222</v>
      </c>
      <c r="C315" s="1" t="n">
        <v>45901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31051-2025</t>
        </is>
      </c>
      <c r="B316" s="1" t="n">
        <v>45832</v>
      </c>
      <c r="C316" s="1" t="n">
        <v>45901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10136-2024</t>
        </is>
      </c>
      <c r="B317" s="1" t="n">
        <v>45364</v>
      </c>
      <c r="C317" s="1" t="n">
        <v>45901</v>
      </c>
      <c r="D317" t="inlineStr">
        <is>
          <t>VÄRMLANDS LÄN</t>
        </is>
      </c>
      <c r="E317" t="inlineStr">
        <is>
          <t>FILIPSTAD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59336-2023</t>
        </is>
      </c>
      <c r="B318" s="1" t="n">
        <v>45253.64381944444</v>
      </c>
      <c r="C318" s="1" t="n">
        <v>45901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30729-2025</t>
        </is>
      </c>
      <c r="B319" s="1" t="n">
        <v>45831.57122685185</v>
      </c>
      <c r="C319" s="1" t="n">
        <v>45901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35737-2021</t>
        </is>
      </c>
      <c r="B320" s="1" t="n">
        <v>44386</v>
      </c>
      <c r="C320" s="1" t="n">
        <v>45901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36949-2025</t>
        </is>
      </c>
      <c r="B321" s="1" t="n">
        <v>45874.60010416667</v>
      </c>
      <c r="C321" s="1" t="n">
        <v>45901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4738-2021</t>
        </is>
      </c>
      <c r="B322" s="1" t="n">
        <v>44225</v>
      </c>
      <c r="C322" s="1" t="n">
        <v>45901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19030-2022</t>
        </is>
      </c>
      <c r="B323" s="1" t="n">
        <v>44691.36131944445</v>
      </c>
      <c r="C323" s="1" t="n">
        <v>45901</v>
      </c>
      <c r="D323" t="inlineStr">
        <is>
          <t>VÄRMLANDS LÄN</t>
        </is>
      </c>
      <c r="E323" t="inlineStr">
        <is>
          <t>FILIPSTAD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12594-2025</t>
        </is>
      </c>
      <c r="B324" s="1" t="n">
        <v>45732.87565972222</v>
      </c>
      <c r="C324" s="1" t="n">
        <v>45901</v>
      </c>
      <c r="D324" t="inlineStr">
        <is>
          <t>VÄRMLANDS LÄN</t>
        </is>
      </c>
      <c r="E324" t="inlineStr">
        <is>
          <t>FILIPSTAD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33368-2022</t>
        </is>
      </c>
      <c r="B325" s="1" t="n">
        <v>44788</v>
      </c>
      <c r="C325" s="1" t="n">
        <v>45901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31883-2025</t>
        </is>
      </c>
      <c r="B326" s="1" t="n">
        <v>45834.65680555555</v>
      </c>
      <c r="C326" s="1" t="n">
        <v>45901</v>
      </c>
      <c r="D326" t="inlineStr">
        <is>
          <t>VÄRMLANDS LÄN</t>
        </is>
      </c>
      <c r="E326" t="inlineStr">
        <is>
          <t>FILIPSTAD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12737-2024</t>
        </is>
      </c>
      <c r="B327" s="1" t="n">
        <v>45384</v>
      </c>
      <c r="C327" s="1" t="n">
        <v>45901</v>
      </c>
      <c r="D327" t="inlineStr">
        <is>
          <t>VÄRMLANDS LÄN</t>
        </is>
      </c>
      <c r="E327" t="inlineStr">
        <is>
          <t>FILIPSTAD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37577-2023</t>
        </is>
      </c>
      <c r="B328" s="1" t="n">
        <v>45159.38371527778</v>
      </c>
      <c r="C328" s="1" t="n">
        <v>45901</v>
      </c>
      <c r="D328" t="inlineStr">
        <is>
          <t>VÄRMLANDS LÄN</t>
        </is>
      </c>
      <c r="E328" t="inlineStr">
        <is>
          <t>FILIPSTAD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43233-2023</t>
        </is>
      </c>
      <c r="B329" s="1" t="n">
        <v>45180</v>
      </c>
      <c r="C329" s="1" t="n">
        <v>45901</v>
      </c>
      <c r="D329" t="inlineStr">
        <is>
          <t>VÄRMLANDS LÄN</t>
        </is>
      </c>
      <c r="E329" t="inlineStr">
        <is>
          <t>FILIPSTAD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16371-2024</t>
        </is>
      </c>
      <c r="B330" s="1" t="n">
        <v>45407.59866898148</v>
      </c>
      <c r="C330" s="1" t="n">
        <v>45901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31861-2025</t>
        </is>
      </c>
      <c r="B331" s="1" t="n">
        <v>45834.63178240741</v>
      </c>
      <c r="C331" s="1" t="n">
        <v>45901</v>
      </c>
      <c r="D331" t="inlineStr">
        <is>
          <t>VÄRMLANDS LÄN</t>
        </is>
      </c>
      <c r="E331" t="inlineStr">
        <is>
          <t>FILIPSTAD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31398-2025</t>
        </is>
      </c>
      <c r="B332" s="1" t="n">
        <v>45833.46820601852</v>
      </c>
      <c r="C332" s="1" t="n">
        <v>45901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11068-2025</t>
        </is>
      </c>
      <c r="B333" s="1" t="n">
        <v>45723</v>
      </c>
      <c r="C333" s="1" t="n">
        <v>45901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31676-2025</t>
        </is>
      </c>
      <c r="B334" s="1" t="n">
        <v>45834</v>
      </c>
      <c r="C334" s="1" t="n">
        <v>45901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32090-2025</t>
        </is>
      </c>
      <c r="B335" s="1" t="n">
        <v>45835</v>
      </c>
      <c r="C335" s="1" t="n">
        <v>45901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32059-2025</t>
        </is>
      </c>
      <c r="B336" s="1" t="n">
        <v>45835.44541666667</v>
      </c>
      <c r="C336" s="1" t="n">
        <v>45901</v>
      </c>
      <c r="D336" t="inlineStr">
        <is>
          <t>VÄRMLANDS LÄN</t>
        </is>
      </c>
      <c r="E336" t="inlineStr">
        <is>
          <t>FILIPSTAD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54398-2024</t>
        </is>
      </c>
      <c r="B337" s="1" t="n">
        <v>45617</v>
      </c>
      <c r="C337" s="1" t="n">
        <v>45901</v>
      </c>
      <c r="D337" t="inlineStr">
        <is>
          <t>VÄRMLANDS LÄN</t>
        </is>
      </c>
      <c r="E337" t="inlineStr">
        <is>
          <t>FILIPSTAD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43045-2024</t>
        </is>
      </c>
      <c r="B338" s="1" t="n">
        <v>45567</v>
      </c>
      <c r="C338" s="1" t="n">
        <v>45901</v>
      </c>
      <c r="D338" t="inlineStr">
        <is>
          <t>VÄRMLANDS LÄN</t>
        </is>
      </c>
      <c r="E338" t="inlineStr">
        <is>
          <t>FILIPSTAD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45098-2024</t>
        </is>
      </c>
      <c r="B339" s="1" t="n">
        <v>45575.58648148148</v>
      </c>
      <c r="C339" s="1" t="n">
        <v>45901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32032-2025</t>
        </is>
      </c>
      <c r="B340" s="1" t="n">
        <v>45835.4183912037</v>
      </c>
      <c r="C340" s="1" t="n">
        <v>45901</v>
      </c>
      <c r="D340" t="inlineStr">
        <is>
          <t>VÄRMLANDS LÄN</t>
        </is>
      </c>
      <c r="E340" t="inlineStr">
        <is>
          <t>FILIPSTAD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37733-2025</t>
        </is>
      </c>
      <c r="B341" s="1" t="n">
        <v>45880.63378472222</v>
      </c>
      <c r="C341" s="1" t="n">
        <v>45901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6539-2021</t>
        </is>
      </c>
      <c r="B342" s="1" t="n">
        <v>44235</v>
      </c>
      <c r="C342" s="1" t="n">
        <v>45901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43586-2022</t>
        </is>
      </c>
      <c r="B343" s="1" t="n">
        <v>44837</v>
      </c>
      <c r="C343" s="1" t="n">
        <v>45901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30165-2025</t>
        </is>
      </c>
      <c r="B344" s="1" t="n">
        <v>45827.32953703704</v>
      </c>
      <c r="C344" s="1" t="n">
        <v>45901</v>
      </c>
      <c r="D344" t="inlineStr">
        <is>
          <t>VÄRMLANDS LÄN</t>
        </is>
      </c>
      <c r="E344" t="inlineStr">
        <is>
          <t>FILIPSTAD</t>
        </is>
      </c>
      <c r="F344" t="inlineStr">
        <is>
          <t>Kyrkan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32183-2025</t>
        </is>
      </c>
      <c r="B345" s="1" t="n">
        <v>45835.56497685185</v>
      </c>
      <c r="C345" s="1" t="n">
        <v>45901</v>
      </c>
      <c r="D345" t="inlineStr">
        <is>
          <t>VÄRMLANDS LÄN</t>
        </is>
      </c>
      <c r="E345" t="inlineStr">
        <is>
          <t>FILIPSTAD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15945-2025</t>
        </is>
      </c>
      <c r="B346" s="1" t="n">
        <v>45749</v>
      </c>
      <c r="C346" s="1" t="n">
        <v>45901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53210-2023</t>
        </is>
      </c>
      <c r="B347" s="1" t="n">
        <v>45222</v>
      </c>
      <c r="C347" s="1" t="n">
        <v>45901</v>
      </c>
      <c r="D347" t="inlineStr">
        <is>
          <t>VÄRMLANDS LÄN</t>
        </is>
      </c>
      <c r="E347" t="inlineStr">
        <is>
          <t>FILIPSTAD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20200-2024</t>
        </is>
      </c>
      <c r="B348" s="1" t="n">
        <v>45434</v>
      </c>
      <c r="C348" s="1" t="n">
        <v>45901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51162-2024</t>
        </is>
      </c>
      <c r="B349" s="1" t="n">
        <v>45603.5819675926</v>
      </c>
      <c r="C349" s="1" t="n">
        <v>45901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4743-2025</t>
        </is>
      </c>
      <c r="B350" s="1" t="n">
        <v>45688</v>
      </c>
      <c r="C350" s="1" t="n">
        <v>45901</v>
      </c>
      <c r="D350" t="inlineStr">
        <is>
          <t>VÄRMLANDS LÄN</t>
        </is>
      </c>
      <c r="E350" t="inlineStr">
        <is>
          <t>FILIPSTAD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24139-2024</t>
        </is>
      </c>
      <c r="B351" s="1" t="n">
        <v>45456</v>
      </c>
      <c r="C351" s="1" t="n">
        <v>45901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39633-2023</t>
        </is>
      </c>
      <c r="B352" s="1" t="n">
        <v>45167.52358796296</v>
      </c>
      <c r="C352" s="1" t="n">
        <v>45901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43635-2023</t>
        </is>
      </c>
      <c r="B353" s="1" t="n">
        <v>45186.41872685185</v>
      </c>
      <c r="C353" s="1" t="n">
        <v>45901</v>
      </c>
      <c r="D353" t="inlineStr">
        <is>
          <t>VÄRMLANDS LÄN</t>
        </is>
      </c>
      <c r="E353" t="inlineStr">
        <is>
          <t>FILIPSTAD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37414-2025</t>
        </is>
      </c>
      <c r="B354" s="1" t="n">
        <v>45877</v>
      </c>
      <c r="C354" s="1" t="n">
        <v>45901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32086-2025</t>
        </is>
      </c>
      <c r="B355" s="1" t="n">
        <v>45835</v>
      </c>
      <c r="C355" s="1" t="n">
        <v>45901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16103-2025</t>
        </is>
      </c>
      <c r="B356" s="1" t="n">
        <v>45750</v>
      </c>
      <c r="C356" s="1" t="n">
        <v>45901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38626-2025</t>
        </is>
      </c>
      <c r="B357" s="1" t="n">
        <v>45884.55540509259</v>
      </c>
      <c r="C357" s="1" t="n">
        <v>45901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38175-2025</t>
        </is>
      </c>
      <c r="B358" s="1" t="n">
        <v>45882</v>
      </c>
      <c r="C358" s="1" t="n">
        <v>45901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4620-2024</t>
        </is>
      </c>
      <c r="B359" s="1" t="n">
        <v>45328</v>
      </c>
      <c r="C359" s="1" t="n">
        <v>45901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45901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33671-2022</t>
        </is>
      </c>
      <c r="B361" s="1" t="n">
        <v>44789</v>
      </c>
      <c r="C361" s="1" t="n">
        <v>45901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46257-2022</t>
        </is>
      </c>
      <c r="B362" s="1" t="n">
        <v>44847</v>
      </c>
      <c r="C362" s="1" t="n">
        <v>45901</v>
      </c>
      <c r="D362" t="inlineStr">
        <is>
          <t>VÄRMLANDS LÄN</t>
        </is>
      </c>
      <c r="E362" t="inlineStr">
        <is>
          <t>FILIPSTAD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36827-2022</t>
        </is>
      </c>
      <c r="B363" s="1" t="n">
        <v>44805.56246527778</v>
      </c>
      <c r="C363" s="1" t="n">
        <v>45901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37611-2022</t>
        </is>
      </c>
      <c r="B364" s="1" t="n">
        <v>44809</v>
      </c>
      <c r="C364" s="1" t="n">
        <v>45901</v>
      </c>
      <c r="D364" t="inlineStr">
        <is>
          <t>VÄRMLANDS LÄN</t>
        </is>
      </c>
      <c r="E364" t="inlineStr">
        <is>
          <t>FILIPSTAD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25521-2024</t>
        </is>
      </c>
      <c r="B365" s="1" t="n">
        <v>45463</v>
      </c>
      <c r="C365" s="1" t="n">
        <v>45901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38075-2025</t>
        </is>
      </c>
      <c r="B366" s="1" t="n">
        <v>45882</v>
      </c>
      <c r="C366" s="1" t="n">
        <v>45901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38076-2025</t>
        </is>
      </c>
      <c r="B367" s="1" t="n">
        <v>45882</v>
      </c>
      <c r="C367" s="1" t="n">
        <v>45901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33449-2025</t>
        </is>
      </c>
      <c r="B368" s="1" t="n">
        <v>45841.46604166667</v>
      </c>
      <c r="C368" s="1" t="n">
        <v>45901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14502-2025</t>
        </is>
      </c>
      <c r="B369" s="1" t="n">
        <v>45741.62037037037</v>
      </c>
      <c r="C369" s="1" t="n">
        <v>45901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33379-2025</t>
        </is>
      </c>
      <c r="B370" s="1" t="n">
        <v>45841.40168981482</v>
      </c>
      <c r="C370" s="1" t="n">
        <v>45901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33407-2025</t>
        </is>
      </c>
      <c r="B371" s="1" t="n">
        <v>45841</v>
      </c>
      <c r="C371" s="1" t="n">
        <v>45901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33827-2025</t>
        </is>
      </c>
      <c r="B372" s="1" t="n">
        <v>45842.4705787037</v>
      </c>
      <c r="C372" s="1" t="n">
        <v>45901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57244-2023</t>
        </is>
      </c>
      <c r="B373" s="1" t="n">
        <v>45245</v>
      </c>
      <c r="C373" s="1" t="n">
        <v>45901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12160-2023</t>
        </is>
      </c>
      <c r="B374" s="1" t="n">
        <v>44998</v>
      </c>
      <c r="C374" s="1" t="n">
        <v>45901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378-2025</t>
        </is>
      </c>
      <c r="B375" s="1" t="n">
        <v>45662</v>
      </c>
      <c r="C375" s="1" t="n">
        <v>45901</v>
      </c>
      <c r="D375" t="inlineStr">
        <is>
          <t>VÄRMLANDS LÄN</t>
        </is>
      </c>
      <c r="E375" t="inlineStr">
        <is>
          <t>FILIPSTAD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38917-2025</t>
        </is>
      </c>
      <c r="B376" s="1" t="n">
        <v>45887.62321759259</v>
      </c>
      <c r="C376" s="1" t="n">
        <v>45901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20663-2024</t>
        </is>
      </c>
      <c r="B377" s="1" t="n">
        <v>45436</v>
      </c>
      <c r="C377" s="1" t="n">
        <v>45901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38955-2025</t>
        </is>
      </c>
      <c r="B378" s="1" t="n">
        <v>45887.67186342592</v>
      </c>
      <c r="C378" s="1" t="n">
        <v>45901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51300-2020</t>
        </is>
      </c>
      <c r="B379" s="1" t="n">
        <v>44112</v>
      </c>
      <c r="C379" s="1" t="n">
        <v>45901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51524-2024</t>
        </is>
      </c>
      <c r="B380" s="1" t="n">
        <v>45604</v>
      </c>
      <c r="C380" s="1" t="n">
        <v>45901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53744-2023</t>
        </is>
      </c>
      <c r="B381" s="1" t="n">
        <v>45230</v>
      </c>
      <c r="C381" s="1" t="n">
        <v>45901</v>
      </c>
      <c r="D381" t="inlineStr">
        <is>
          <t>VÄRMLANDS LÄN</t>
        </is>
      </c>
      <c r="E381" t="inlineStr">
        <is>
          <t>FILIPSTAD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25338-2023</t>
        </is>
      </c>
      <c r="B382" s="1" t="n">
        <v>45087.49439814815</v>
      </c>
      <c r="C382" s="1" t="n">
        <v>45901</v>
      </c>
      <c r="D382" t="inlineStr">
        <is>
          <t>VÄRMLANDS LÄN</t>
        </is>
      </c>
      <c r="E382" t="inlineStr">
        <is>
          <t>FILIPSTAD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18540-2025</t>
        </is>
      </c>
      <c r="B383" s="1" t="n">
        <v>45763</v>
      </c>
      <c r="C383" s="1" t="n">
        <v>45901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34689-2025</t>
        </is>
      </c>
      <c r="B384" s="1" t="n">
        <v>45848.44229166667</v>
      </c>
      <c r="C384" s="1" t="n">
        <v>45901</v>
      </c>
      <c r="D384" t="inlineStr">
        <is>
          <t>VÄRMLANDS LÄN</t>
        </is>
      </c>
      <c r="E384" t="inlineStr">
        <is>
          <t>FILIPSTAD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43633-2024</t>
        </is>
      </c>
      <c r="B385" s="1" t="n">
        <v>45569</v>
      </c>
      <c r="C385" s="1" t="n">
        <v>45901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5353-2025</t>
        </is>
      </c>
      <c r="B386" s="1" t="n">
        <v>45692.56569444444</v>
      </c>
      <c r="C386" s="1" t="n">
        <v>45901</v>
      </c>
      <c r="D386" t="inlineStr">
        <is>
          <t>VÄRMLANDS LÄN</t>
        </is>
      </c>
      <c r="E386" t="inlineStr">
        <is>
          <t>FILIPSTAD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39903-2025</t>
        </is>
      </c>
      <c r="B387" s="1" t="n">
        <v>45891.63664351852</v>
      </c>
      <c r="C387" s="1" t="n">
        <v>45901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39719-2025</t>
        </is>
      </c>
      <c r="B388" s="1" t="n">
        <v>45891</v>
      </c>
      <c r="C388" s="1" t="n">
        <v>45901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39896-2025</t>
        </is>
      </c>
      <c r="B389" s="1" t="n">
        <v>45891.63328703704</v>
      </c>
      <c r="C389" s="1" t="n">
        <v>45901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6745-2025</t>
        </is>
      </c>
      <c r="B390" s="1" t="n">
        <v>45700.60505787037</v>
      </c>
      <c r="C390" s="1" t="n">
        <v>45901</v>
      </c>
      <c r="D390" t="inlineStr">
        <is>
          <t>VÄRMLANDS LÄN</t>
        </is>
      </c>
      <c r="E390" t="inlineStr">
        <is>
          <t>FILIPSTAD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30077-2025</t>
        </is>
      </c>
      <c r="B391" s="1" t="n">
        <v>45826</v>
      </c>
      <c r="C391" s="1" t="n">
        <v>45901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36377-2023</t>
        </is>
      </c>
      <c r="B392" s="1" t="n">
        <v>45152.51186342593</v>
      </c>
      <c r="C392" s="1" t="n">
        <v>45901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40527-2025</t>
        </is>
      </c>
      <c r="B393" s="1" t="n">
        <v>45896.37392361111</v>
      </c>
      <c r="C393" s="1" t="n">
        <v>45901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39823-2025</t>
        </is>
      </c>
      <c r="B394" s="1" t="n">
        <v>45891</v>
      </c>
      <c r="C394" s="1" t="n">
        <v>45901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40596-2025</t>
        </is>
      </c>
      <c r="B395" s="1" t="n">
        <v>45896.54994212963</v>
      </c>
      <c r="C395" s="1" t="n">
        <v>45901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41983-2023</t>
        </is>
      </c>
      <c r="B396" s="1" t="n">
        <v>45177.40582175926</v>
      </c>
      <c r="C396" s="1" t="n">
        <v>45901</v>
      </c>
      <c r="D396" t="inlineStr">
        <is>
          <t>VÄRMLANDS LÄN</t>
        </is>
      </c>
      <c r="E396" t="inlineStr">
        <is>
          <t>FILIPSTAD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40398-2025</t>
        </is>
      </c>
      <c r="B397" s="1" t="n">
        <v>45895</v>
      </c>
      <c r="C397" s="1" t="n">
        <v>45901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40275-2025</t>
        </is>
      </c>
      <c r="B398" s="1" t="n">
        <v>45895.35975694445</v>
      </c>
      <c r="C398" s="1" t="n">
        <v>45901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35244-2025</t>
        </is>
      </c>
      <c r="B399" s="1" t="n">
        <v>45853</v>
      </c>
      <c r="C399" s="1" t="n">
        <v>45901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40646-2025</t>
        </is>
      </c>
      <c r="B400" s="1" t="n">
        <v>45896</v>
      </c>
      <c r="C400" s="1" t="n">
        <v>45901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40667-2025</t>
        </is>
      </c>
      <c r="B401" s="1" t="n">
        <v>45896.65934027778</v>
      </c>
      <c r="C401" s="1" t="n">
        <v>45901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45139-2021</t>
        </is>
      </c>
      <c r="B402" s="1" t="n">
        <v>44439</v>
      </c>
      <c r="C402" s="1" t="n">
        <v>45901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40764-2025</t>
        </is>
      </c>
      <c r="B403" s="1" t="n">
        <v>45897</v>
      </c>
      <c r="C403" s="1" t="n">
        <v>45901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38257-2025</t>
        </is>
      </c>
      <c r="B404" s="1" t="n">
        <v>45883</v>
      </c>
      <c r="C404" s="1" t="n">
        <v>45901</v>
      </c>
      <c r="D404" t="inlineStr">
        <is>
          <t>VÄRMLANDS LÄN</t>
        </is>
      </c>
      <c r="E404" t="inlineStr">
        <is>
          <t>FILIPSTAD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40892-2025</t>
        </is>
      </c>
      <c r="B405" s="1" t="n">
        <v>45897.60939814815</v>
      </c>
      <c r="C405" s="1" t="n">
        <v>45901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40546-2025</t>
        </is>
      </c>
      <c r="B406" s="1" t="n">
        <v>45896.43155092592</v>
      </c>
      <c r="C406" s="1" t="n">
        <v>45901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40917-2025</t>
        </is>
      </c>
      <c r="B407" s="1" t="n">
        <v>45897.61912037037</v>
      </c>
      <c r="C407" s="1" t="n">
        <v>45901</v>
      </c>
      <c r="D407" t="inlineStr">
        <is>
          <t>VÄRMLANDS LÄN</t>
        </is>
      </c>
      <c r="E407" t="inlineStr">
        <is>
          <t>FILIPSTAD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53034-2022</t>
        </is>
      </c>
      <c r="B408" s="1" t="n">
        <v>44876.30590277778</v>
      </c>
      <c r="C408" s="1" t="n">
        <v>45901</v>
      </c>
      <c r="D408" t="inlineStr">
        <is>
          <t>VÄRMLANDS LÄN</t>
        </is>
      </c>
      <c r="E408" t="inlineStr">
        <is>
          <t>FILIPSTAD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10757-2025</t>
        </is>
      </c>
      <c r="B409" s="1" t="n">
        <v>45722</v>
      </c>
      <c r="C409" s="1" t="n">
        <v>45901</v>
      </c>
      <c r="D409" t="inlineStr">
        <is>
          <t>VÄRMLANDS LÄN</t>
        </is>
      </c>
      <c r="E409" t="inlineStr">
        <is>
          <t>FILIPSTAD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HYPERLINK("https://klasma.github.io/Logging_1782/knärot/A 10757-2025 karta knärot.png", "A 10757-2025")</f>
        <v/>
      </c>
      <c r="V409">
        <f>HYPERLINK("https://klasma.github.io/Logging_1782/klagomål/A 10757-2025 FSC-klagomål.docx", "A 10757-2025")</f>
        <v/>
      </c>
      <c r="W409">
        <f>HYPERLINK("https://klasma.github.io/Logging_1782/klagomålsmail/A 10757-2025 FSC-klagomål mail.docx", "A 10757-2025")</f>
        <v/>
      </c>
      <c r="X409">
        <f>HYPERLINK("https://klasma.github.io/Logging_1782/tillsyn/A 10757-2025 tillsynsbegäran.docx", "A 10757-2025")</f>
        <v/>
      </c>
      <c r="Y409">
        <f>HYPERLINK("https://klasma.github.io/Logging_1782/tillsynsmail/A 10757-2025 tillsynsbegäran mail.docx", "A 10757-2025")</f>
        <v/>
      </c>
    </row>
    <row r="410" ht="15" customHeight="1">
      <c r="A410" t="inlineStr">
        <is>
          <t>A 22866-2023</t>
        </is>
      </c>
      <c r="B410" s="1" t="n">
        <v>45072</v>
      </c>
      <c r="C410" s="1" t="n">
        <v>45901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34224-2024</t>
        </is>
      </c>
      <c r="B411" s="1" t="n">
        <v>45524.54856481482</v>
      </c>
      <c r="C411" s="1" t="n">
        <v>45901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29473-2024</t>
        </is>
      </c>
      <c r="B412" s="1" t="n">
        <v>45484</v>
      </c>
      <c r="C412" s="1" t="n">
        <v>45901</v>
      </c>
      <c r="D412" t="inlineStr">
        <is>
          <t>VÄRMLANDS LÄN</t>
        </is>
      </c>
      <c r="E412" t="inlineStr">
        <is>
          <t>FILIPSTAD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11514-2025</t>
        </is>
      </c>
      <c r="B413" s="1" t="n">
        <v>45726.87460648148</v>
      </c>
      <c r="C413" s="1" t="n">
        <v>45901</v>
      </c>
      <c r="D413" t="inlineStr">
        <is>
          <t>VÄRMLANDS LÄN</t>
        </is>
      </c>
      <c r="E413" t="inlineStr">
        <is>
          <t>FILIPSTAD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13434-2025</t>
        </is>
      </c>
      <c r="B414" s="1" t="n">
        <v>45736.33817129629</v>
      </c>
      <c r="C414" s="1" t="n">
        <v>45901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53348-2023</t>
        </is>
      </c>
      <c r="B415" s="1" t="n">
        <v>45229.65445601852</v>
      </c>
      <c r="C415" s="1" t="n">
        <v>45901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51985-2023</t>
        </is>
      </c>
      <c r="B416" s="1" t="n">
        <v>45223.57947916666</v>
      </c>
      <c r="C416" s="1" t="n">
        <v>45901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50904-2023</t>
        </is>
      </c>
      <c r="B417" s="1" t="n">
        <v>45218.4169212963</v>
      </c>
      <c r="C417" s="1" t="n">
        <v>45901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55598-2024</t>
        </is>
      </c>
      <c r="B418" s="1" t="n">
        <v>45622</v>
      </c>
      <c r="C418" s="1" t="n">
        <v>45901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16652-2025</t>
        </is>
      </c>
      <c r="B419" s="1" t="n">
        <v>45754</v>
      </c>
      <c r="C419" s="1" t="n">
        <v>45901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10338-2025</t>
        </is>
      </c>
      <c r="B420" s="1" t="n">
        <v>45720</v>
      </c>
      <c r="C420" s="1" t="n">
        <v>45901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46978-2023</t>
        </is>
      </c>
      <c r="B421" s="1" t="n">
        <v>45195</v>
      </c>
      <c r="C421" s="1" t="n">
        <v>45901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56651-2024</t>
        </is>
      </c>
      <c r="B422" s="1" t="n">
        <v>45625</v>
      </c>
      <c r="C422" s="1" t="n">
        <v>45901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56653-2024</t>
        </is>
      </c>
      <c r="B423" s="1" t="n">
        <v>45625.78412037037</v>
      </c>
      <c r="C423" s="1" t="n">
        <v>45901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55397-2022</t>
        </is>
      </c>
      <c r="B424" s="1" t="n">
        <v>44887.57297453703</v>
      </c>
      <c r="C424" s="1" t="n">
        <v>45901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4560-2025</t>
        </is>
      </c>
      <c r="B425" s="1" t="n">
        <v>45687</v>
      </c>
      <c r="C425" s="1" t="n">
        <v>45901</v>
      </c>
      <c r="D425" t="inlineStr">
        <is>
          <t>VÄRMLANDS LÄN</t>
        </is>
      </c>
      <c r="E425" t="inlineStr">
        <is>
          <t>FILIPSTAD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15771-2025</t>
        </is>
      </c>
      <c r="B426" s="1" t="n">
        <v>45748.58888888889</v>
      </c>
      <c r="C426" s="1" t="n">
        <v>45901</v>
      </c>
      <c r="D426" t="inlineStr">
        <is>
          <t>VÄRMLANDS LÄN</t>
        </is>
      </c>
      <c r="E426" t="inlineStr">
        <is>
          <t>FILIPSTAD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6520-2023</t>
        </is>
      </c>
      <c r="B427" s="1" t="n">
        <v>44960</v>
      </c>
      <c r="C427" s="1" t="n">
        <v>45901</v>
      </c>
      <c r="D427" t="inlineStr">
        <is>
          <t>VÄRMLANDS LÄN</t>
        </is>
      </c>
      <c r="E427" t="inlineStr">
        <is>
          <t>FILIPSTAD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55978-2022</t>
        </is>
      </c>
      <c r="B428" s="1" t="n">
        <v>44889</v>
      </c>
      <c r="C428" s="1" t="n">
        <v>45901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2440-2022</t>
        </is>
      </c>
      <c r="B429" s="1" t="n">
        <v>44579.55377314815</v>
      </c>
      <c r="C429" s="1" t="n">
        <v>45901</v>
      </c>
      <c r="D429" t="inlineStr">
        <is>
          <t>VÄRMLANDS LÄN</t>
        </is>
      </c>
      <c r="E429" t="inlineStr">
        <is>
          <t>FILIPSTAD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14608-2023</t>
        </is>
      </c>
      <c r="B430" s="1" t="n">
        <v>45013.61585648148</v>
      </c>
      <c r="C430" s="1" t="n">
        <v>45901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20528-2025</t>
        </is>
      </c>
      <c r="B431" s="1" t="n">
        <v>45775</v>
      </c>
      <c r="C431" s="1" t="n">
        <v>45901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19705-2025</t>
        </is>
      </c>
      <c r="B432" s="1" t="n">
        <v>45771</v>
      </c>
      <c r="C432" s="1" t="n">
        <v>45901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50856-2022</t>
        </is>
      </c>
      <c r="B433" s="1" t="n">
        <v>44867</v>
      </c>
      <c r="C433" s="1" t="n">
        <v>45901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61628-2022</t>
        </is>
      </c>
      <c r="B434" s="1" t="n">
        <v>44911</v>
      </c>
      <c r="C434" s="1" t="n">
        <v>45901</v>
      </c>
      <c r="D434" t="inlineStr">
        <is>
          <t>VÄRMLANDS LÄN</t>
        </is>
      </c>
      <c r="E434" t="inlineStr">
        <is>
          <t>FILIPSTAD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40457-2024</t>
        </is>
      </c>
      <c r="B435" s="1" t="n">
        <v>45555.50255787037</v>
      </c>
      <c r="C435" s="1" t="n">
        <v>45901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43264-2024</t>
        </is>
      </c>
      <c r="B436" s="1" t="n">
        <v>45568.36819444445</v>
      </c>
      <c r="C436" s="1" t="n">
        <v>45901</v>
      </c>
      <c r="D436" t="inlineStr">
        <is>
          <t>VÄRMLANDS LÄN</t>
        </is>
      </c>
      <c r="E436" t="inlineStr">
        <is>
          <t>FILIPSTAD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54828-2023</t>
        </is>
      </c>
      <c r="B437" s="1" t="n">
        <v>45229</v>
      </c>
      <c r="C437" s="1" t="n">
        <v>45901</v>
      </c>
      <c r="D437" t="inlineStr">
        <is>
          <t>VÄRMLANDS LÄN</t>
        </is>
      </c>
      <c r="E437" t="inlineStr">
        <is>
          <t>FILIPSTAD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59296-2023</t>
        </is>
      </c>
      <c r="B438" s="1" t="n">
        <v>45253</v>
      </c>
      <c r="C438" s="1" t="n">
        <v>45901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23620-2023</t>
        </is>
      </c>
      <c r="B439" s="1" t="n">
        <v>45077.48210648148</v>
      </c>
      <c r="C439" s="1" t="n">
        <v>45901</v>
      </c>
      <c r="D439" t="inlineStr">
        <is>
          <t>VÄRMLANDS LÄN</t>
        </is>
      </c>
      <c r="E439" t="inlineStr">
        <is>
          <t>FILIPSTAD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6728-2025</t>
        </is>
      </c>
      <c r="B440" s="1" t="n">
        <v>45700</v>
      </c>
      <c r="C440" s="1" t="n">
        <v>45901</v>
      </c>
      <c r="D440" t="inlineStr">
        <is>
          <t>VÄRMLANDS LÄN</t>
        </is>
      </c>
      <c r="E440" t="inlineStr">
        <is>
          <t>FILIPSTAD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16100-2025</t>
        </is>
      </c>
      <c r="B441" s="1" t="n">
        <v>45750.0056712963</v>
      </c>
      <c r="C441" s="1" t="n">
        <v>45901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18138-2022</t>
        </is>
      </c>
      <c r="B442" s="1" t="n">
        <v>44684.58184027778</v>
      </c>
      <c r="C442" s="1" t="n">
        <v>45901</v>
      </c>
      <c r="D442" t="inlineStr">
        <is>
          <t>VÄRMLANDS LÄN</t>
        </is>
      </c>
      <c r="E442" t="inlineStr">
        <is>
          <t>FILIPSTAD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14459-2023</t>
        </is>
      </c>
      <c r="B443" s="1" t="n">
        <v>45012</v>
      </c>
      <c r="C443" s="1" t="n">
        <v>45901</v>
      </c>
      <c r="D443" t="inlineStr">
        <is>
          <t>VÄRMLANDS LÄN</t>
        </is>
      </c>
      <c r="E443" t="inlineStr">
        <is>
          <t>FILIPSTAD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11680-2023</t>
        </is>
      </c>
      <c r="B444" s="1" t="n">
        <v>44994</v>
      </c>
      <c r="C444" s="1" t="n">
        <v>45901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44384-2021</t>
        </is>
      </c>
      <c r="B445" s="1" t="n">
        <v>44435.47295138889</v>
      </c>
      <c r="C445" s="1" t="n">
        <v>45901</v>
      </c>
      <c r="D445" t="inlineStr">
        <is>
          <t>VÄRMLANDS LÄN</t>
        </is>
      </c>
      <c r="E445" t="inlineStr">
        <is>
          <t>FILIPSTAD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36680-2023</t>
        </is>
      </c>
      <c r="B446" s="1" t="n">
        <v>45153</v>
      </c>
      <c r="C446" s="1" t="n">
        <v>45901</v>
      </c>
      <c r="D446" t="inlineStr">
        <is>
          <t>VÄRMLANDS LÄN</t>
        </is>
      </c>
      <c r="E446" t="inlineStr">
        <is>
          <t>FILIPSTAD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25254-2024</t>
        </is>
      </c>
      <c r="B447" s="1" t="n">
        <v>45462.61162037037</v>
      </c>
      <c r="C447" s="1" t="n">
        <v>45901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47455-2023</t>
        </is>
      </c>
      <c r="B448" s="1" t="n">
        <v>45202.79825231482</v>
      </c>
      <c r="C448" s="1" t="n">
        <v>45901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5803-2023</t>
        </is>
      </c>
      <c r="B449" s="1" t="n">
        <v>44963</v>
      </c>
      <c r="C449" s="1" t="n">
        <v>45901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1519-2025</t>
        </is>
      </c>
      <c r="B450" s="1" t="n">
        <v>45670.46393518519</v>
      </c>
      <c r="C450" s="1" t="n">
        <v>45901</v>
      </c>
      <c r="D450" t="inlineStr">
        <is>
          <t>VÄRMLANDS LÄN</t>
        </is>
      </c>
      <c r="E450" t="inlineStr">
        <is>
          <t>FILIPSTAD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46546-2021</t>
        </is>
      </c>
      <c r="B451" s="1" t="n">
        <v>44445</v>
      </c>
      <c r="C451" s="1" t="n">
        <v>45901</v>
      </c>
      <c r="D451" t="inlineStr">
        <is>
          <t>VÄRMLANDS LÄN</t>
        </is>
      </c>
      <c r="E451" t="inlineStr">
        <is>
          <t>FILIPSTAD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45372-2022</t>
        </is>
      </c>
      <c r="B452" s="1" t="n">
        <v>44844.64200231482</v>
      </c>
      <c r="C452" s="1" t="n">
        <v>45901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56918-2024</t>
        </is>
      </c>
      <c r="B453" s="1" t="n">
        <v>45628</v>
      </c>
      <c r="C453" s="1" t="n">
        <v>45901</v>
      </c>
      <c r="D453" t="inlineStr">
        <is>
          <t>VÄRMLANDS LÄN</t>
        </is>
      </c>
      <c r="E453" t="inlineStr">
        <is>
          <t>FILIPSTAD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50776-2024</t>
        </is>
      </c>
      <c r="B454" s="1" t="n">
        <v>45602.45215277778</v>
      </c>
      <c r="C454" s="1" t="n">
        <v>45901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14840-2023</t>
        </is>
      </c>
      <c r="B455" s="1" t="n">
        <v>45014.74503472223</v>
      </c>
      <c r="C455" s="1" t="n">
        <v>45901</v>
      </c>
      <c r="D455" t="inlineStr">
        <is>
          <t>VÄRMLANDS LÄN</t>
        </is>
      </c>
      <c r="E455" t="inlineStr">
        <is>
          <t>FILIPSTAD</t>
        </is>
      </c>
      <c r="F455" t="inlineStr">
        <is>
          <t>Kyrkan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6770-2021</t>
        </is>
      </c>
      <c r="B456" s="1" t="n">
        <v>44236</v>
      </c>
      <c r="C456" s="1" t="n">
        <v>45901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18999-2024</t>
        </is>
      </c>
      <c r="B457" s="1" t="n">
        <v>45427.63145833334</v>
      </c>
      <c r="C457" s="1" t="n">
        <v>45901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36732-2024</t>
        </is>
      </c>
      <c r="B458" s="1" t="n">
        <v>45537</v>
      </c>
      <c r="C458" s="1" t="n">
        <v>45901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25375-2023</t>
        </is>
      </c>
      <c r="B459" s="1" t="n">
        <v>45088.94734953704</v>
      </c>
      <c r="C459" s="1" t="n">
        <v>45901</v>
      </c>
      <c r="D459" t="inlineStr">
        <is>
          <t>VÄRMLANDS LÄN</t>
        </is>
      </c>
      <c r="E459" t="inlineStr">
        <is>
          <t>FILIPSTAD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39566-2023</t>
        </is>
      </c>
      <c r="B460" s="1" t="n">
        <v>45167.40119212963</v>
      </c>
      <c r="C460" s="1" t="n">
        <v>45901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19351-2025</t>
        </is>
      </c>
      <c r="B461" s="1" t="n">
        <v>45769</v>
      </c>
      <c r="C461" s="1" t="n">
        <v>45901</v>
      </c>
      <c r="D461" t="inlineStr">
        <is>
          <t>VÄRMLANDS LÄN</t>
        </is>
      </c>
      <c r="E461" t="inlineStr">
        <is>
          <t>FILIPSTAD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51618-2022</t>
        </is>
      </c>
      <c r="B462" s="1" t="n">
        <v>44872.32150462963</v>
      </c>
      <c r="C462" s="1" t="n">
        <v>45901</v>
      </c>
      <c r="D462" t="inlineStr">
        <is>
          <t>VÄRMLANDS LÄN</t>
        </is>
      </c>
      <c r="E462" t="inlineStr">
        <is>
          <t>FILIPSTAD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25376-2023</t>
        </is>
      </c>
      <c r="B463" s="1" t="n">
        <v>45088.95497685186</v>
      </c>
      <c r="C463" s="1" t="n">
        <v>45901</v>
      </c>
      <c r="D463" t="inlineStr">
        <is>
          <t>VÄRMLANDS LÄN</t>
        </is>
      </c>
      <c r="E463" t="inlineStr">
        <is>
          <t>FILIPSTAD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21593-2023</t>
        </is>
      </c>
      <c r="B464" s="1" t="n">
        <v>45063.60222222222</v>
      </c>
      <c r="C464" s="1" t="n">
        <v>45901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71971-2021</t>
        </is>
      </c>
      <c r="B465" s="1" t="n">
        <v>44544.35211805555</v>
      </c>
      <c r="C465" s="1" t="n">
        <v>45901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51922-2024</t>
        </is>
      </c>
      <c r="B466" s="1" t="n">
        <v>45607</v>
      </c>
      <c r="C466" s="1" t="n">
        <v>45901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38866-2024</t>
        </is>
      </c>
      <c r="B467" s="1" t="n">
        <v>45547</v>
      </c>
      <c r="C467" s="1" t="n">
        <v>45901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31306-2023</t>
        </is>
      </c>
      <c r="B468" s="1" t="n">
        <v>45114</v>
      </c>
      <c r="C468" s="1" t="n">
        <v>45901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13431-2025</t>
        </is>
      </c>
      <c r="B469" s="1" t="n">
        <v>45736.33515046296</v>
      </c>
      <c r="C469" s="1" t="n">
        <v>45901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13437-2025</t>
        </is>
      </c>
      <c r="B470" s="1" t="n">
        <v>45736.33988425926</v>
      </c>
      <c r="C470" s="1" t="n">
        <v>45901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9370-2023</t>
        </is>
      </c>
      <c r="B471" s="1" t="n">
        <v>44981</v>
      </c>
      <c r="C471" s="1" t="n">
        <v>45901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54008-2021</t>
        </is>
      </c>
      <c r="B472" s="1" t="n">
        <v>44470</v>
      </c>
      <c r="C472" s="1" t="n">
        <v>45901</v>
      </c>
      <c r="D472" t="inlineStr">
        <is>
          <t>VÄRMLANDS LÄN</t>
        </is>
      </c>
      <c r="E472" t="inlineStr">
        <is>
          <t>FILIPSTAD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50786-2024</t>
        </is>
      </c>
      <c r="B473" s="1" t="n">
        <v>45602</v>
      </c>
      <c r="C473" s="1" t="n">
        <v>45901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5846-2023</t>
        </is>
      </c>
      <c r="B474" s="1" t="n">
        <v>44963</v>
      </c>
      <c r="C474" s="1" t="n">
        <v>45901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36809-2022</t>
        </is>
      </c>
      <c r="B475" s="1" t="n">
        <v>44805.52994212963</v>
      </c>
      <c r="C475" s="1" t="n">
        <v>45901</v>
      </c>
      <c r="D475" t="inlineStr">
        <is>
          <t>VÄRMLANDS LÄN</t>
        </is>
      </c>
      <c r="E475" t="inlineStr">
        <is>
          <t>FILIPSTAD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33966-2023</t>
        </is>
      </c>
      <c r="B476" s="1" t="n">
        <v>45124</v>
      </c>
      <c r="C476" s="1" t="n">
        <v>45901</v>
      </c>
      <c r="D476" t="inlineStr">
        <is>
          <t>VÄRMLANDS LÄN</t>
        </is>
      </c>
      <c r="E476" t="inlineStr">
        <is>
          <t>FILIPSTAD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33967-2023</t>
        </is>
      </c>
      <c r="B477" s="1" t="n">
        <v>45124</v>
      </c>
      <c r="C477" s="1" t="n">
        <v>45901</v>
      </c>
      <c r="D477" t="inlineStr">
        <is>
          <t>VÄRMLANDS LÄN</t>
        </is>
      </c>
      <c r="E477" t="inlineStr">
        <is>
          <t>FILIPSTAD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33973-2023</t>
        </is>
      </c>
      <c r="B478" s="1" t="n">
        <v>45124</v>
      </c>
      <c r="C478" s="1" t="n">
        <v>45901</v>
      </c>
      <c r="D478" t="inlineStr">
        <is>
          <t>VÄRMLANDS LÄN</t>
        </is>
      </c>
      <c r="E478" t="inlineStr">
        <is>
          <t>FILIPSTAD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61741-2022</t>
        </is>
      </c>
      <c r="B479" s="1" t="n">
        <v>44911</v>
      </c>
      <c r="C479" s="1" t="n">
        <v>45901</v>
      </c>
      <c r="D479" t="inlineStr">
        <is>
          <t>VÄRMLANDS LÄN</t>
        </is>
      </c>
      <c r="E479" t="inlineStr">
        <is>
          <t>FILIPSTAD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51574-2024</t>
        </is>
      </c>
      <c r="B480" s="1" t="n">
        <v>45604</v>
      </c>
      <c r="C480" s="1" t="n">
        <v>45901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45901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2443-2022</t>
        </is>
      </c>
      <c r="B482" s="1" t="n">
        <v>44579.56311342592</v>
      </c>
      <c r="C482" s="1" t="n">
        <v>45901</v>
      </c>
      <c r="D482" t="inlineStr">
        <is>
          <t>VÄRMLANDS LÄN</t>
        </is>
      </c>
      <c r="E482" t="inlineStr">
        <is>
          <t>FILIPSTAD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15471-2024</t>
        </is>
      </c>
      <c r="B483" s="1" t="n">
        <v>45401.48166666667</v>
      </c>
      <c r="C483" s="1" t="n">
        <v>45901</v>
      </c>
      <c r="D483" t="inlineStr">
        <is>
          <t>VÄRMLANDS LÄN</t>
        </is>
      </c>
      <c r="E483" t="inlineStr">
        <is>
          <t>FILIPSTAD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32786-2024</t>
        </is>
      </c>
      <c r="B484" s="1" t="n">
        <v>45516</v>
      </c>
      <c r="C484" s="1" t="n">
        <v>45901</v>
      </c>
      <c r="D484" t="inlineStr">
        <is>
          <t>VÄRMLANDS LÄN</t>
        </is>
      </c>
      <c r="E484" t="inlineStr">
        <is>
          <t>FILIPSTAD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5992-2023</t>
        </is>
      </c>
      <c r="B485" s="1" t="n">
        <v>44959</v>
      </c>
      <c r="C485" s="1" t="n">
        <v>45901</v>
      </c>
      <c r="D485" t="inlineStr">
        <is>
          <t>VÄRMLANDS LÄN</t>
        </is>
      </c>
      <c r="E485" t="inlineStr">
        <is>
          <t>FILIPSTAD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62014-2024</t>
        </is>
      </c>
      <c r="B486" s="1" t="n">
        <v>45655.80100694444</v>
      </c>
      <c r="C486" s="1" t="n">
        <v>45901</v>
      </c>
      <c r="D486" t="inlineStr">
        <is>
          <t>VÄRMLANDS LÄN</t>
        </is>
      </c>
      <c r="E486" t="inlineStr">
        <is>
          <t>FILIPSTAD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45037.32414351852</v>
      </c>
      <c r="C487" s="1" t="n">
        <v>45901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4418-2024</t>
        </is>
      </c>
      <c r="B488" s="1" t="n">
        <v>45327.44349537037</v>
      </c>
      <c r="C488" s="1" t="n">
        <v>45901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18210-2024</t>
        </is>
      </c>
      <c r="B489" s="1" t="n">
        <v>45420.74119212963</v>
      </c>
      <c r="C489" s="1" t="n">
        <v>45901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45516-2024</t>
        </is>
      </c>
      <c r="B490" s="1" t="n">
        <v>45578</v>
      </c>
      <c r="C490" s="1" t="n">
        <v>45901</v>
      </c>
      <c r="D490" t="inlineStr">
        <is>
          <t>VÄRMLANDS LÄN</t>
        </is>
      </c>
      <c r="E490" t="inlineStr">
        <is>
          <t>FILIPSTAD</t>
        </is>
      </c>
      <c r="G490" t="n">
        <v>27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46680-2024</t>
        </is>
      </c>
      <c r="B491" s="1" t="n">
        <v>45583</v>
      </c>
      <c r="C491" s="1" t="n">
        <v>45901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48527-2024</t>
        </is>
      </c>
      <c r="B492" s="1" t="n">
        <v>45593.341875</v>
      </c>
      <c r="C492" s="1" t="n">
        <v>45901</v>
      </c>
      <c r="D492" t="inlineStr">
        <is>
          <t>VÄRMLANDS LÄN</t>
        </is>
      </c>
      <c r="E492" t="inlineStr">
        <is>
          <t>FILIPSTAD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22830-2023</t>
        </is>
      </c>
      <c r="B493" s="1" t="n">
        <v>45072</v>
      </c>
      <c r="C493" s="1" t="n">
        <v>45901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62013-2024</t>
        </is>
      </c>
      <c r="B494" s="1" t="n">
        <v>45655</v>
      </c>
      <c r="C494" s="1" t="n">
        <v>45901</v>
      </c>
      <c r="D494" t="inlineStr">
        <is>
          <t>VÄRMLANDS LÄN</t>
        </is>
      </c>
      <c r="E494" t="inlineStr">
        <is>
          <t>FILIPSTAD</t>
        </is>
      </c>
      <c r="G494" t="n">
        <v>26.5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1371-2025</t>
        </is>
      </c>
      <c r="B495" s="1" t="n">
        <v>45667.6453587963</v>
      </c>
      <c r="C495" s="1" t="n">
        <v>45901</v>
      </c>
      <c r="D495" t="inlineStr">
        <is>
          <t>VÄRMLANDS LÄN</t>
        </is>
      </c>
      <c r="E495" t="inlineStr">
        <is>
          <t>FILIPSTAD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16349-2025</t>
        </is>
      </c>
      <c r="B496" s="1" t="n">
        <v>45751</v>
      </c>
      <c r="C496" s="1" t="n">
        <v>45901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48040-2023</t>
        </is>
      </c>
      <c r="B497" s="1" t="n">
        <v>45204</v>
      </c>
      <c r="C497" s="1" t="n">
        <v>45901</v>
      </c>
      <c r="D497" t="inlineStr">
        <is>
          <t>VÄRMLANDS LÄN</t>
        </is>
      </c>
      <c r="E497" t="inlineStr">
        <is>
          <t>FILIPSTAD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48908-2023</t>
        </is>
      </c>
      <c r="B498" s="1" t="n">
        <v>45195</v>
      </c>
      <c r="C498" s="1" t="n">
        <v>45901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1042-2023</t>
        </is>
      </c>
      <c r="B499" s="1" t="n">
        <v>44935.47858796296</v>
      </c>
      <c r="C499" s="1" t="n">
        <v>45901</v>
      </c>
      <c r="D499" t="inlineStr">
        <is>
          <t>VÄRMLANDS LÄN</t>
        </is>
      </c>
      <c r="E499" t="inlineStr">
        <is>
          <t>FILIPSTAD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10306-2025</t>
        </is>
      </c>
      <c r="B500" s="1" t="n">
        <v>45720.44628472222</v>
      </c>
      <c r="C500" s="1" t="n">
        <v>45901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41075-2023</t>
        </is>
      </c>
      <c r="B501" s="1" t="n">
        <v>45173</v>
      </c>
      <c r="C501" s="1" t="n">
        <v>45901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14582-2025</t>
        </is>
      </c>
      <c r="B502" s="1" t="n">
        <v>45742</v>
      </c>
      <c r="C502" s="1" t="n">
        <v>45901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6661-2025</t>
        </is>
      </c>
      <c r="B503" s="1" t="n">
        <v>45700.44770833333</v>
      </c>
      <c r="C503" s="1" t="n">
        <v>45901</v>
      </c>
      <c r="D503" t="inlineStr">
        <is>
          <t>VÄRMLANDS LÄN</t>
        </is>
      </c>
      <c r="E503" t="inlineStr">
        <is>
          <t>FILIPSTAD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56840-2024</t>
        </is>
      </c>
      <c r="B504" s="1" t="n">
        <v>45628</v>
      </c>
      <c r="C504" s="1" t="n">
        <v>45901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8692-2025</t>
        </is>
      </c>
      <c r="B505" s="1" t="n">
        <v>45712.47305555556</v>
      </c>
      <c r="C505" s="1" t="n">
        <v>45901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23618-2023</t>
        </is>
      </c>
      <c r="B506" s="1" t="n">
        <v>45077.4805787037</v>
      </c>
      <c r="C506" s="1" t="n">
        <v>45901</v>
      </c>
      <c r="D506" t="inlineStr">
        <is>
          <t>VÄRMLANDS LÄN</t>
        </is>
      </c>
      <c r="E506" t="inlineStr">
        <is>
          <t>FILIPSTAD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60521-2024</t>
        </is>
      </c>
      <c r="B507" s="1" t="n">
        <v>45643</v>
      </c>
      <c r="C507" s="1" t="n">
        <v>45901</v>
      </c>
      <c r="D507" t="inlineStr">
        <is>
          <t>VÄRMLANDS LÄN</t>
        </is>
      </c>
      <c r="E507" t="inlineStr">
        <is>
          <t>FILIPSTAD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60524-2024</t>
        </is>
      </c>
      <c r="B508" s="1" t="n">
        <v>45643.6925</v>
      </c>
      <c r="C508" s="1" t="n">
        <v>45901</v>
      </c>
      <c r="D508" t="inlineStr">
        <is>
          <t>VÄRMLANDS LÄN</t>
        </is>
      </c>
      <c r="E508" t="inlineStr">
        <is>
          <t>FILIPSTAD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52994-2023</t>
        </is>
      </c>
      <c r="B509" s="1" t="n">
        <v>45226</v>
      </c>
      <c r="C509" s="1" t="n">
        <v>45901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18534-2025</t>
        </is>
      </c>
      <c r="B510" s="1" t="n">
        <v>45763</v>
      </c>
      <c r="C510" s="1" t="n">
        <v>45901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14328-2025</t>
        </is>
      </c>
      <c r="B511" s="1" t="n">
        <v>45740.83446759259</v>
      </c>
      <c r="C511" s="1" t="n">
        <v>45901</v>
      </c>
      <c r="D511" t="inlineStr">
        <is>
          <t>VÄRMLANDS LÄN</t>
        </is>
      </c>
      <c r="E511" t="inlineStr">
        <is>
          <t>FILIPSTAD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15228-2025</t>
        </is>
      </c>
      <c r="B512" s="1" t="n">
        <v>45744.59353009259</v>
      </c>
      <c r="C512" s="1" t="n">
        <v>45901</v>
      </c>
      <c r="D512" t="inlineStr">
        <is>
          <t>VÄRMLANDS LÄN</t>
        </is>
      </c>
      <c r="E512" t="inlineStr">
        <is>
          <t>FILIPSTAD</t>
        </is>
      </c>
      <c r="F512" t="inlineStr">
        <is>
          <t>Kommuner</t>
        </is>
      </c>
      <c r="G512" t="n">
        <v>17.7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61642-2024</t>
        </is>
      </c>
      <c r="B513" s="1" t="n">
        <v>45646</v>
      </c>
      <c r="C513" s="1" t="n">
        <v>45901</v>
      </c>
      <c r="D513" t="inlineStr">
        <is>
          <t>VÄRMLANDS LÄN</t>
        </is>
      </c>
      <c r="E513" t="inlineStr">
        <is>
          <t>FILIPSTAD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60731-2024</t>
        </is>
      </c>
      <c r="B514" s="1" t="n">
        <v>45644.54251157407</v>
      </c>
      <c r="C514" s="1" t="n">
        <v>45901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2025-09-01T08:30:53Z</dcterms:created>
  <dcterms:modified xmlns:dcterms="http://purl.org/dc/terms/" xmlns:xsi="http://www.w3.org/2001/XMLSchema-instance" xsi:type="dcterms:W3CDTF">2025-09-01T08:30:53Z</dcterms:modified>
</cp:coreProperties>
</file>