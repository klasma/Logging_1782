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46270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46270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46270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46270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46270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46270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46270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46270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63625-2023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45275</v>
      </c>
      <c r="E15" s="1" t="n">
        <v>46270</v>
      </c>
      <c r="F15" t="inlineStr">
        <is>
          <t>VÄRMLANDS LÄN</t>
        </is>
      </c>
      <c r="G15" t="inlineStr">
        <is>
          <t>FILIPSTAD</t>
        </is>
      </c>
      <c r="I15" t="n">
        <v>1.9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Smalfotad taggsvamp
Vaddporing
Utter</t>
        </is>
      </c>
      <c r="W15">
        <f>HYPERLINK("https://klasma.github.io/Logging_1782/artfynd/A 63625-2023 artfynd.xlsx", "A 63625-2023")</f>
        <v/>
      </c>
      <c r="X15">
        <f>HYPERLINK("https://klasma.github.io/Logging_1782/kartor/A 63625-2023 karta.png", "A 63625-2023")</f>
        <v/>
      </c>
      <c r="Y15">
        <f>HYPERLINK("https://klasma.github.io/Logging_1782/kartor_geotiff/A 63625-2023 georefererad karta.tif", "A 63625-2023")</f>
        <v/>
      </c>
      <c r="AA15">
        <f>HYPERLINK("https://klasma.github.io/Logging_1782/klagomål/A 63625-2023 FSC-klagomål.docx", "A 63625-2023")</f>
        <v/>
      </c>
      <c r="AB15">
        <f>HYPERLINK("https://klasma.github.io/Logging_1782/klagomålsmail/A 63625-2023 FSC-klagomål mail.docx", "A 63625-2023")</f>
        <v/>
      </c>
      <c r="AC15">
        <f>HYPERLINK("https://klasma.github.io/Logging_1782/tillsyn/A 63625-2023 tillsynsbegäran.docx", "A 63625-2023")</f>
        <v/>
      </c>
      <c r="AD15">
        <f>HYPERLINK("https://klasma.github.io/Logging_1782/tillsynsmail/A 63625-2023 tillsynsbegäran mail.docx", "A 63625-2023")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46270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46270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46270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46270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46270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46270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46270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46270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46270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46270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46270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46270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46270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46270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46270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HYPERLINK("https://klasma.github.io/Logging_1782/artfynd/A 25916-2025 artfynd.xlsx", "A 25916-2025")</f>
        <v/>
      </c>
      <c r="X30">
        <f>HYPERLINK("https://klasma.github.io/Logging_1782/kartor/A 25916-2025 karta.png", "A 25916-2025")</f>
        <v/>
      </c>
      <c r="Y30">
        <f>HYPERLINK("https://klasma.github.io/Logging_1782/kartor_geotiff/A 25916-2025 georefererad karta.tif", "A 25916-2025")</f>
        <v/>
      </c>
      <c r="AA30">
        <f>HYPERLINK("https://klasma.github.io/Logging_1782/klagomål/A 25916-2025 FSC-klagomål.docx", "A 25916-2025")</f>
        <v/>
      </c>
      <c r="AB30">
        <f>HYPERLINK("https://klasma.github.io/Logging_1782/klagomålsmail/A 25916-2025 FSC-klagomål mail.docx", "A 25916-2025")</f>
        <v/>
      </c>
      <c r="AC30">
        <f>HYPERLINK("https://klasma.github.io/Logging_1782/tillsyn/A 25916-2025 tillsynsbegäran.docx", "A 25916-2025")</f>
        <v/>
      </c>
      <c r="AD30">
        <f>HYPERLINK("https://klasma.github.io/Logging_1782/tillsynsmail/A 25916-2025 tillsynsbegäran mail.docx", "A 25916-2025")</f>
        <v/>
      </c>
    </row>
    <row r="31" ht="15" customHeight="1">
      <c r="A31" t="inlineStr">
        <is>
          <t>A 4560-2025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46270</v>
      </c>
      <c r="F31" t="inlineStr">
        <is>
          <t>VÄRMLANDS LÄN</t>
        </is>
      </c>
      <c r="G31" t="inlineStr">
        <is>
          <t>FILIPSTAD</t>
        </is>
      </c>
      <c r="I31" t="n">
        <v>13.6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Skrovlig taggsvamp</t>
        </is>
      </c>
      <c r="W31">
        <f>HYPERLINK("https://klasma.github.io/Logging_1782/artfynd/A 4560-2025 artfynd.xlsx", "A 4560-2025")</f>
        <v/>
      </c>
      <c r="X31">
        <f>HYPERLINK("https://klasma.github.io/Logging_1782/kartor/A 4560-2025 karta.png", "A 4560-2025")</f>
        <v/>
      </c>
      <c r="Y31">
        <f>HYPERLINK("https://klasma.github.io/Logging_1782/kartor_geotiff/A 4560-2025 georefererad karta.tif", "A 4560-2025")</f>
        <v/>
      </c>
      <c r="AA31">
        <f>HYPERLINK("https://klasma.github.io/Logging_1782/klagomål/A 4560-2025 FSC-klagomål.docx", "A 4560-2025")</f>
        <v/>
      </c>
      <c r="AB31">
        <f>HYPERLINK("https://klasma.github.io/Logging_1782/klagomålsmail/A 4560-2025 FSC-klagomål mail.docx", "A 4560-2025")</f>
        <v/>
      </c>
      <c r="AC31">
        <f>HYPERLINK("https://klasma.github.io/Logging_1782/tillsyn/A 4560-2025 tillsynsbegäran.docx", "A 4560-2025")</f>
        <v/>
      </c>
      <c r="AD31">
        <f>HYPERLINK("https://klasma.github.io/Logging_1782/tillsynsmail/A 4560-2025 tillsynsbegäran mail.docx", "A 4560-2025")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46270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HYPERLINK("https://klasma.github.io/Logging_1782/artfynd/A 30652-2025 artfynd.xlsx", "A 30652-2025")</f>
        <v/>
      </c>
      <c r="X32">
        <f>HYPERLINK("https://klasma.github.io/Logging_1782/kartor/A 30652-2025 karta.png", "A 30652-2025")</f>
        <v/>
      </c>
      <c r="Y32">
        <f>HYPERLINK("https://klasma.github.io/Logging_1782/kartor_geotiff/A 30652-2025 georefererad karta.tif", "A 30652-2025")</f>
        <v/>
      </c>
      <c r="AA32">
        <f>HYPERLINK("https://klasma.github.io/Logging_1782/klagomål/A 30652-2025 FSC-klagomål.docx", "A 30652-2025")</f>
        <v/>
      </c>
      <c r="AB32">
        <f>HYPERLINK("https://klasma.github.io/Logging_1782/klagomålsmail/A 30652-2025 FSC-klagomål mail.docx", "A 30652-2025")</f>
        <v/>
      </c>
      <c r="AC32">
        <f>HYPERLINK("https://klasma.github.io/Logging_1782/tillsyn/A 30652-2025 tillsynsbegäran.docx", "A 30652-2025")</f>
        <v/>
      </c>
      <c r="AD32">
        <f>HYPERLINK("https://klasma.github.io/Logging_1782/tillsynsmail/A 30652-2025 tillsynsbegäran mail.docx", "A 30652-2025")</f>
        <v/>
      </c>
      <c r="AE32">
        <f>HYPERLINK("https://klasma.github.io/Logging_1782/fåglar/A 30652-2025 prioriterade fågelarter.docx", "A 30652-2025")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46270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46270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38140-2024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46270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HYPERLINK("https://klasma.github.io/Logging_1782/artfynd/A 38140-2024 artfynd.xlsx", "A 38140-2024")</f>
        <v/>
      </c>
      <c r="X35">
        <f>HYPERLINK("https://klasma.github.io/Logging_1782/kartor/A 38140-2024 karta.png", "A 38140-2024")</f>
        <v/>
      </c>
      <c r="Y35">
        <f>HYPERLINK("https://klasma.github.io/Logging_1782/kartor_geotiff/A 38140-2024 georefererad karta.tif", "A 38140-2024")</f>
        <v/>
      </c>
      <c r="AA35">
        <f>HYPERLINK("https://klasma.github.io/Logging_1782/klagomål/A 38140-2024 FSC-klagomål.docx", "A 38140-2024")</f>
        <v/>
      </c>
      <c r="AB35">
        <f>HYPERLINK("https://klasma.github.io/Logging_1782/klagomålsmail/A 38140-2024 FSC-klagomål mail.docx", "A 38140-2024")</f>
        <v/>
      </c>
      <c r="AC35">
        <f>HYPERLINK("https://klasma.github.io/Logging_1782/tillsyn/A 38140-2024 tillsynsbegäran.docx", "A 38140-2024")</f>
        <v/>
      </c>
      <c r="AD35">
        <f>HYPERLINK("https://klasma.github.io/Logging_1782/tillsynsmail/A 38140-2024 tillsynsbegäran mail.docx", "A 38140-2024")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46270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46270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46270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46270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46270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46270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46270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30988-2026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46213</v>
      </c>
      <c r="E43" s="1" t="n">
        <v>46270</v>
      </c>
      <c r="F43" t="inlineStr">
        <is>
          <t>VÄRMLANDS LÄN</t>
        </is>
      </c>
      <c r="G43" t="inlineStr">
        <is>
          <t>FILIPSTAD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Skuggblåslav</t>
        </is>
      </c>
      <c r="W43">
        <f>HYPERLINK("https://klasma.github.io/Logging_1782/artfynd/A 30988-2026 artfynd.xlsx", "A 30988-2026")</f>
        <v/>
      </c>
      <c r="X43">
        <f>HYPERLINK("https://klasma.github.io/Logging_1782/kartor/A 30988-2026 karta.png", "A 30988-2026")</f>
        <v/>
      </c>
      <c r="Y43">
        <f>HYPERLINK("https://klasma.github.io/Logging_1782/kartor_geotiff/A 30988-2026 georefererad karta.tif", "A 30988-2026")</f>
        <v/>
      </c>
      <c r="AA43">
        <f>HYPERLINK("https://klasma.github.io/Logging_1782/klagomål/A 30988-2026 FSC-klagomål.docx", "A 30988-2026")</f>
        <v/>
      </c>
      <c r="AB43">
        <f>HYPERLINK("https://klasma.github.io/Logging_1782/klagomålsmail/A 30988-2026 FSC-klagomål mail.docx", "A 30988-2026")</f>
        <v/>
      </c>
      <c r="AC43">
        <f>HYPERLINK("https://klasma.github.io/Logging_1782/tillsyn/A 30988-2026 tillsynsbegäran.docx", "A 30988-2026")</f>
        <v/>
      </c>
      <c r="AD43">
        <f>HYPERLINK("https://klasma.github.io/Logging_1782/tillsynsmail/A 30988-2026 tillsynsbegäran mail.docx", "A 30988-2026")</f>
        <v/>
      </c>
    </row>
    <row r="44" ht="15" customHeight="1">
      <c r="A44" t="inlineStr">
        <is>
          <t>A 31257-2026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46270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10.2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Gräsull</t>
        </is>
      </c>
      <c r="W44">
        <f>HYPERLINK("https://klasma.github.io/Logging_1782/artfynd/A 31257-2026 artfynd.xlsx", "A 31257-2026")</f>
        <v/>
      </c>
      <c r="X44">
        <f>HYPERLINK("https://klasma.github.io/Logging_1782/kartor/A 31257-2026 karta.png", "A 31257-2026")</f>
        <v/>
      </c>
      <c r="Y44">
        <f>HYPERLINK("https://klasma.github.io/Logging_1782/kartor_geotiff/A 31257-2026 georefererad karta.tif", "A 31257-2026")</f>
        <v/>
      </c>
      <c r="AA44">
        <f>HYPERLINK("https://klasma.github.io/Logging_1782/klagomål/A 31257-2026 FSC-klagomål.docx", "A 31257-2026")</f>
        <v/>
      </c>
      <c r="AB44">
        <f>HYPERLINK("https://klasma.github.io/Logging_1782/klagomålsmail/A 31257-2026 FSC-klagomål mail.docx", "A 31257-2026")</f>
        <v/>
      </c>
      <c r="AC44">
        <f>HYPERLINK("https://klasma.github.io/Logging_1782/tillsyn/A 31257-2026 tillsynsbegäran.docx", "A 31257-2026")</f>
        <v/>
      </c>
      <c r="AD44">
        <f>HYPERLINK("https://klasma.github.io/Logging_1782/tillsynsmail/A 31257-2026 tillsynsbegäran mail.docx", "A 31257-2026")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46270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46270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46270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46270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46270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46270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46270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46270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46270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46270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46270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46270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46270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46270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22356-2022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44713</v>
      </c>
      <c r="E59" s="1" t="n">
        <v>46270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46270</v>
      </c>
      <c r="F60" t="inlineStr">
        <is>
          <t>VÄRMLANDS LÄN</t>
        </is>
      </c>
      <c r="G60" t="inlineStr">
        <is>
          <t>FILIPSTAD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46270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46270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46270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46270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46270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46270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46270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46270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46270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46270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46270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46270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46270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46270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46270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44805</v>
      </c>
      <c r="E76" s="1" t="n">
        <v>46270</v>
      </c>
      <c r="F76" t="inlineStr">
        <is>
          <t>VÄRMLANDS LÄN</t>
        </is>
      </c>
      <c r="G76" t="inlineStr">
        <is>
          <t>FILIPSTAD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46270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46270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44637</v>
      </c>
      <c r="E79" s="1" t="n">
        <v>46270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25737-2023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46270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46270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44963</v>
      </c>
      <c r="E82" s="1" t="n">
        <v>46270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45159</v>
      </c>
      <c r="E83" s="1" t="n">
        <v>46270</v>
      </c>
      <c r="F83" t="inlineStr">
        <is>
          <t>VÄRMLANDS LÄN</t>
        </is>
      </c>
      <c r="G83" t="inlineStr">
        <is>
          <t>FILIPSTAD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46270</v>
      </c>
      <c r="F84" t="inlineStr">
        <is>
          <t>VÄRMLANDS LÄN</t>
        </is>
      </c>
      <c r="G84" t="inlineStr">
        <is>
          <t>FILIPSTAD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46270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14582-2025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45742</v>
      </c>
      <c r="E86" s="1" t="n">
        <v>46270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46270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46270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46270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46270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46270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46270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53034-2022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46270</v>
      </c>
      <c r="F93" t="inlineStr">
        <is>
          <t>VÄRMLANDS LÄN</t>
        </is>
      </c>
      <c r="G93" t="inlineStr">
        <is>
          <t>FILIPSTAD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45439</v>
      </c>
      <c r="E94" s="1" t="n">
        <v>46270</v>
      </c>
      <c r="F94" t="inlineStr">
        <is>
          <t>VÄRMLANDS LÄN</t>
        </is>
      </c>
      <c r="G94" t="inlineStr">
        <is>
          <t>FILIPSTAD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18138-2022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44684</v>
      </c>
      <c r="E95" s="1" t="n">
        <v>46270</v>
      </c>
      <c r="F95" t="inlineStr">
        <is>
          <t>VÄRMLANDS LÄN</t>
        </is>
      </c>
      <c r="G95" t="inlineStr">
        <is>
          <t>FILIPSTAD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44889</v>
      </c>
      <c r="E96" s="1" t="n">
        <v>46270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45322</v>
      </c>
      <c r="E97" s="1" t="n">
        <v>46270</v>
      </c>
      <c r="F97" t="inlineStr">
        <is>
          <t>VÄRMLANDS LÄN</t>
        </is>
      </c>
      <c r="G97" t="inlineStr">
        <is>
          <t>FILIPSTAD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46270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46270</v>
      </c>
      <c r="F99" t="inlineStr">
        <is>
          <t>VÄRMLANDS LÄN</t>
        </is>
      </c>
      <c r="G99" t="inlineStr">
        <is>
          <t>FILIPSTAD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44801</v>
      </c>
      <c r="E100" s="1" t="n">
        <v>46270</v>
      </c>
      <c r="F100" t="inlineStr">
        <is>
          <t>VÄRMLANDS LÄN</t>
        </is>
      </c>
      <c r="G100" t="inlineStr">
        <is>
          <t>FILIPSTAD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44963</v>
      </c>
      <c r="E101" s="1" t="n">
        <v>46270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46270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46270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44445</v>
      </c>
      <c r="E104" s="1" t="n">
        <v>46270</v>
      </c>
      <c r="F104" t="inlineStr">
        <is>
          <t>VÄRMLANDS LÄN</t>
        </is>
      </c>
      <c r="G104" t="inlineStr">
        <is>
          <t>FILIPSTAD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46270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46270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13.1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46270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15.5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46270</v>
      </c>
      <c r="F108" t="inlineStr">
        <is>
          <t>VÄRMLANDS LÄN</t>
        </is>
      </c>
      <c r="G108" t="inlineStr">
        <is>
          <t>FILIPSTAD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26123-2025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45805</v>
      </c>
      <c r="E109" s="1" t="n">
        <v>46270</v>
      </c>
      <c r="F109" t="inlineStr">
        <is>
          <t>VÄRMLANDS LÄN</t>
        </is>
      </c>
      <c r="G109" t="inlineStr">
        <is>
          <t>FILIPSTAD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46270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46270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46270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46270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45470</v>
      </c>
      <c r="E114" s="1" t="n">
        <v>46270</v>
      </c>
      <c r="F114" t="inlineStr">
        <is>
          <t>VÄRMLANDS LÄN</t>
        </is>
      </c>
      <c r="G114" t="inlineStr">
        <is>
          <t>FILIPSTAD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45153</v>
      </c>
      <c r="E115" s="1" t="n">
        <v>46270</v>
      </c>
      <c r="F115" t="inlineStr">
        <is>
          <t>VÄRMLANDS LÄN</t>
        </is>
      </c>
      <c r="G115" t="inlineStr">
        <is>
          <t>FILIPSTAD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46270</v>
      </c>
      <c r="F116" t="inlineStr">
        <is>
          <t>VÄRMLANDS LÄN</t>
        </is>
      </c>
      <c r="G116" t="inlineStr">
        <is>
          <t>FILIPSTAD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26599-2024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45469</v>
      </c>
      <c r="E117" s="1" t="n">
        <v>46270</v>
      </c>
      <c r="F117" t="inlineStr">
        <is>
          <t>VÄRMLANDS LÄN</t>
        </is>
      </c>
      <c r="G117" t="inlineStr">
        <is>
          <t>FILIPSTAD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46270</v>
      </c>
      <c r="F118" t="inlineStr">
        <is>
          <t>VÄRMLANDS LÄN</t>
        </is>
      </c>
      <c r="G118" t="inlineStr">
        <is>
          <t>FILIPSTAD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46270</v>
      </c>
      <c r="F119" t="inlineStr">
        <is>
          <t>VÄRMLANDS LÄN</t>
        </is>
      </c>
      <c r="G119" t="inlineStr">
        <is>
          <t>FILIPSTAD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46270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46270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46270</v>
      </c>
      <c r="F122" t="inlineStr">
        <is>
          <t>VÄRMLANDS LÄN</t>
        </is>
      </c>
      <c r="G122" t="inlineStr">
        <is>
          <t>FILIPSTAD</t>
        </is>
      </c>
      <c r="I122" t="n">
        <v>23.3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46270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46270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46270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50856-2022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44867</v>
      </c>
      <c r="E126" s="1" t="n">
        <v>46270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41718-2025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45902</v>
      </c>
      <c r="E127" s="1" t="n">
        <v>46270</v>
      </c>
      <c r="F127" t="inlineStr">
        <is>
          <t>VÄRMLANDS LÄN</t>
        </is>
      </c>
      <c r="G127" t="inlineStr">
        <is>
          <t>FILIPSTAD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46270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31172-2025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45832</v>
      </c>
      <c r="E129" s="1" t="n">
        <v>46270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46270</v>
      </c>
      <c r="F130" t="inlineStr">
        <is>
          <t>VÄRMLANDS LÄN</t>
        </is>
      </c>
      <c r="G130" t="inlineStr">
        <is>
          <t>FILIPSTAD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32032-2025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45835</v>
      </c>
      <c r="E131" s="1" t="n">
        <v>46270</v>
      </c>
      <c r="F131" t="inlineStr">
        <is>
          <t>VÄRMLANDS LÄN</t>
        </is>
      </c>
      <c r="G131" t="inlineStr">
        <is>
          <t>FILIPSTAD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45063</v>
      </c>
      <c r="E132" s="1" t="n">
        <v>46270</v>
      </c>
      <c r="F132" t="inlineStr">
        <is>
          <t>VÄRMLANDS LÄN</t>
        </is>
      </c>
      <c r="G132" t="inlineStr">
        <is>
          <t>FILIPSTAD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71971-2021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46270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46270</v>
      </c>
      <c r="F134" t="inlineStr">
        <is>
          <t>VÄRMLANDS LÄN</t>
        </is>
      </c>
      <c r="G134" t="inlineStr">
        <is>
          <t>FILIPSTAD</t>
        </is>
      </c>
      <c r="I134" t="n">
        <v>18.7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46270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46270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46270</v>
      </c>
      <c r="F137" t="inlineStr">
        <is>
          <t>VÄRMLANDS LÄN</t>
        </is>
      </c>
      <c r="G137" t="inlineStr">
        <is>
          <t>FILIPSTAD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33407-2025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45841</v>
      </c>
      <c r="E138" s="1" t="n">
        <v>46270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46270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46270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46270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46270</v>
      </c>
      <c r="F142" t="inlineStr">
        <is>
          <t>VÄRMLANDS LÄN</t>
        </is>
      </c>
      <c r="G142" t="inlineStr">
        <is>
          <t>FILIPSTAD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46270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46270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46270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58611-2025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45986</v>
      </c>
      <c r="E146" s="1" t="n">
        <v>46270</v>
      </c>
      <c r="F146" t="inlineStr">
        <is>
          <t>VÄRMLANDS LÄN</t>
        </is>
      </c>
      <c r="G146" t="inlineStr">
        <is>
          <t>FILIPSTAD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46270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46270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48103-2025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45933</v>
      </c>
      <c r="E149" s="1" t="n">
        <v>46270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46270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44788</v>
      </c>
      <c r="E151" s="1" t="n">
        <v>46270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46270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46270</v>
      </c>
      <c r="F153" t="inlineStr">
        <is>
          <t>VÄRMLANDS LÄN</t>
        </is>
      </c>
      <c r="G153" t="inlineStr">
        <is>
          <t>FILIPSTAD</t>
        </is>
      </c>
      <c r="H153" t="inlineStr">
        <is>
          <t>Kyrkan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29825-2023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45107</v>
      </c>
      <c r="E154" s="1" t="n">
        <v>46270</v>
      </c>
      <c r="F154" t="inlineStr">
        <is>
          <t>VÄRMLANDS LÄN</t>
        </is>
      </c>
      <c r="G154" t="inlineStr">
        <is>
          <t>FILIPSTAD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46040</v>
      </c>
      <c r="E155" s="1" t="n">
        <v>46270</v>
      </c>
      <c r="F155" t="inlineStr">
        <is>
          <t>VÄRMLANDS LÄN</t>
        </is>
      </c>
      <c r="G155" t="inlineStr">
        <is>
          <t>FILIPSTAD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36582-2025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45870</v>
      </c>
      <c r="E156" s="1" t="n">
        <v>46270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45114</v>
      </c>
      <c r="E157" s="1" t="n">
        <v>46270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46270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46270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46270</v>
      </c>
      <c r="F160" t="inlineStr">
        <is>
          <t>VÄRMLANDS LÄN</t>
        </is>
      </c>
      <c r="G160" t="inlineStr">
        <is>
          <t>FILIPSTAD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46270</v>
      </c>
      <c r="F161" t="inlineStr">
        <is>
          <t>VÄRMLANDS LÄN</t>
        </is>
      </c>
      <c r="G161" t="inlineStr">
        <is>
          <t>FILIPSTAD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46270</v>
      </c>
      <c r="F162" t="inlineStr">
        <is>
          <t>VÄRMLANDS LÄN</t>
        </is>
      </c>
      <c r="G162" t="inlineStr">
        <is>
          <t>FILIPSTAD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46270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45245</v>
      </c>
      <c r="E164" s="1" t="n">
        <v>46270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46270</v>
      </c>
      <c r="F165" t="inlineStr">
        <is>
          <t>VÄRMLANDS LÄN</t>
        </is>
      </c>
      <c r="G165" t="inlineStr">
        <is>
          <t>FILIPSTAD</t>
        </is>
      </c>
      <c r="H165" t="inlineStr">
        <is>
          <t>Kyrkan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45882</v>
      </c>
      <c r="E166" s="1" t="n">
        <v>46270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46270</v>
      </c>
      <c r="F167" t="inlineStr">
        <is>
          <t>VÄRMLANDS LÄN</t>
        </is>
      </c>
      <c r="G167" t="inlineStr">
        <is>
          <t>FILIPSTAD</t>
        </is>
      </c>
      <c r="H167" t="inlineStr">
        <is>
          <t>Kyrkan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46270</v>
      </c>
      <c r="F168" t="inlineStr">
        <is>
          <t>VÄRMLANDS LÄN</t>
        </is>
      </c>
      <c r="G168" t="inlineStr">
        <is>
          <t>FILIPSTAD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22830-2023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45072</v>
      </c>
      <c r="E169" s="1" t="n">
        <v>46270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45072</v>
      </c>
      <c r="E170" s="1" t="n">
        <v>46270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46056</v>
      </c>
      <c r="E171" s="1" t="n">
        <v>46270</v>
      </c>
      <c r="F171" t="inlineStr">
        <is>
          <t>VÄRMLANDS LÄN</t>
        </is>
      </c>
      <c r="G171" t="inlineStr">
        <is>
          <t>FILIPSTAD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46056</v>
      </c>
      <c r="E172" s="1" t="n">
        <v>46270</v>
      </c>
      <c r="F172" t="inlineStr">
        <is>
          <t>VÄRMLANDS LÄN</t>
        </is>
      </c>
      <c r="G172" t="inlineStr">
        <is>
          <t>FILIPSTAD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46270</v>
      </c>
      <c r="F173" t="inlineStr">
        <is>
          <t>VÄRMLANDS LÄN</t>
        </is>
      </c>
      <c r="G173" t="inlineStr">
        <is>
          <t>FILIPSTAD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46270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46270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46270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46270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46270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46270</v>
      </c>
      <c r="F179" t="inlineStr">
        <is>
          <t>VÄRMLANDS LÄN</t>
        </is>
      </c>
      <c r="G179" t="inlineStr">
        <is>
          <t>FILIPSTAD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45968</v>
      </c>
      <c r="E180" s="1" t="n">
        <v>46270</v>
      </c>
      <c r="F180" t="inlineStr">
        <is>
          <t>VÄRMLANDS LÄN</t>
        </is>
      </c>
      <c r="G180" t="inlineStr">
        <is>
          <t>FILIPSTAD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46270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8.699999999999999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46270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46270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46270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46270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45664</v>
      </c>
      <c r="E186" s="1" t="n">
        <v>46270</v>
      </c>
      <c r="F186" t="inlineStr">
        <is>
          <t>VÄRMLANDS LÄN</t>
        </is>
      </c>
      <c r="G186" t="inlineStr">
        <is>
          <t>FILIPSTAD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46270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46270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46270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46270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46270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46270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46270</v>
      </c>
      <c r="F193" t="inlineStr">
        <is>
          <t>VÄRMLANDS LÄN</t>
        </is>
      </c>
      <c r="G193" t="inlineStr">
        <is>
          <t>FILIPSTAD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46270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46270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46270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46270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19351-2025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45769</v>
      </c>
      <c r="E199" s="1" t="n">
        <v>46270</v>
      </c>
      <c r="F199" t="inlineStr">
        <is>
          <t>VÄRMLANDS LÄN</t>
        </is>
      </c>
      <c r="G199" t="inlineStr">
        <is>
          <t>FILIPSTAD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46270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18.8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46270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46270</v>
      </c>
      <c r="F202" t="inlineStr">
        <is>
          <t>VÄRMLANDS LÄN</t>
        </is>
      </c>
      <c r="G202" t="inlineStr">
        <is>
          <t>FILIPSTAD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46270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45982</v>
      </c>
      <c r="E204" s="1" t="n">
        <v>46270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46270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46270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46270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45407</v>
      </c>
      <c r="E208" s="1" t="n">
        <v>46270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46270</v>
      </c>
      <c r="F209" t="inlineStr">
        <is>
          <t>VÄRMLANDS LÄN</t>
        </is>
      </c>
      <c r="G209" t="inlineStr">
        <is>
          <t>FILIPSTAD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46270</v>
      </c>
      <c r="F210" t="inlineStr">
        <is>
          <t>VÄRMLANDS LÄN</t>
        </is>
      </c>
      <c r="G210" t="inlineStr">
        <is>
          <t>FILIPSTAD</t>
        </is>
      </c>
      <c r="I210" t="n">
        <v>11.7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46270</v>
      </c>
      <c r="F211" t="inlineStr">
        <is>
          <t>VÄRMLANDS LÄN</t>
        </is>
      </c>
      <c r="G211" t="inlineStr">
        <is>
          <t>FILIPSTAD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46270</v>
      </c>
      <c r="F212" t="inlineStr">
        <is>
          <t>VÄRMLANDS LÄN</t>
        </is>
      </c>
      <c r="G212" t="inlineStr">
        <is>
          <t>FILIPSTAD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46270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46270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46270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46270</v>
      </c>
      <c r="F216" t="inlineStr">
        <is>
          <t>VÄRMLANDS LÄN</t>
        </is>
      </c>
      <c r="G216" t="inlineStr">
        <is>
          <t>FILIPSTAD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46270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45992</v>
      </c>
      <c r="E218" s="1" t="n">
        <v>46270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46270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46270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45267</v>
      </c>
      <c r="E221" s="1" t="n">
        <v>46270</v>
      </c>
      <c r="F221" t="inlineStr">
        <is>
          <t>VÄRMLANDS LÄN</t>
        </is>
      </c>
      <c r="G221" t="inlineStr">
        <is>
          <t>FILIPSTAD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46270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46270</v>
      </c>
      <c r="F223" t="inlineStr">
        <is>
          <t>VÄRMLANDS LÄN</t>
        </is>
      </c>
      <c r="G223" t="inlineStr">
        <is>
          <t>FILIPSTAD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46270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46270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46270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17.7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46270</v>
      </c>
      <c r="F227" t="inlineStr">
        <is>
          <t>VÄRMLANDS LÄN</t>
        </is>
      </c>
      <c r="G227" t="inlineStr">
        <is>
          <t>FILIPSTAD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56840-2024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45628</v>
      </c>
      <c r="E228" s="1" t="n">
        <v>46270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46270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45996</v>
      </c>
      <c r="E230" s="1" t="n">
        <v>46270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46270</v>
      </c>
      <c r="F231" t="inlineStr">
        <is>
          <t>VÄRMLANDS LÄN</t>
        </is>
      </c>
      <c r="G231" t="inlineStr">
        <is>
          <t>FILIPSTAD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61492-2025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46001</v>
      </c>
      <c r="E232" s="1" t="n">
        <v>46270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46000</v>
      </c>
      <c r="E233" s="1" t="n">
        <v>46270</v>
      </c>
      <c r="F233" t="inlineStr">
        <is>
          <t>VÄRMLANDS LÄN</t>
        </is>
      </c>
      <c r="G233" t="inlineStr">
        <is>
          <t>FILIPSTAD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46270</v>
      </c>
      <c r="F234" t="inlineStr">
        <is>
          <t>VÄRMLANDS LÄN</t>
        </is>
      </c>
      <c r="G234" t="inlineStr">
        <is>
          <t>FILIPSTAD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46270</v>
      </c>
      <c r="F235" t="inlineStr">
        <is>
          <t>VÄRMLANDS LÄN</t>
        </is>
      </c>
      <c r="G235" t="inlineStr">
        <is>
          <t>FILIPSTAD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46001</v>
      </c>
      <c r="E236" s="1" t="n">
        <v>46270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46270</v>
      </c>
      <c r="F237" t="inlineStr">
        <is>
          <t>VÄRMLANDS LÄN</t>
        </is>
      </c>
      <c r="G237" t="inlineStr">
        <is>
          <t>FILIPSTAD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61327-2025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46001</v>
      </c>
      <c r="E238" s="1" t="n">
        <v>46270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45087</v>
      </c>
      <c r="E239" s="1" t="n">
        <v>46270</v>
      </c>
      <c r="F239" t="inlineStr">
        <is>
          <t>VÄRMLANDS LÄN</t>
        </is>
      </c>
      <c r="G239" t="inlineStr">
        <is>
          <t>FILIPSTAD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45088</v>
      </c>
      <c r="E240" s="1" t="n">
        <v>46270</v>
      </c>
      <c r="F240" t="inlineStr">
        <is>
          <t>VÄRMLANDS LÄN</t>
        </is>
      </c>
      <c r="G240" t="inlineStr">
        <is>
          <t>FILIPSTAD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61823-2025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46003</v>
      </c>
      <c r="E241" s="1" t="n">
        <v>46270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46270</v>
      </c>
      <c r="F242" t="inlineStr">
        <is>
          <t>VÄRMLANDS LÄN</t>
        </is>
      </c>
      <c r="G242" t="inlineStr">
        <is>
          <t>FILIPSTAD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46270</v>
      </c>
      <c r="F243" t="inlineStr">
        <is>
          <t>VÄRMLANDS LÄN</t>
        </is>
      </c>
      <c r="G243" t="inlineStr">
        <is>
          <t>FILIPSTAD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46270</v>
      </c>
      <c r="F244" t="inlineStr">
        <is>
          <t>VÄRMLANDS LÄN</t>
        </is>
      </c>
      <c r="G244" t="inlineStr">
        <is>
          <t>FILIPSTAD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46270</v>
      </c>
      <c r="F245" t="inlineStr">
        <is>
          <t>VÄRMLANDS LÄN</t>
        </is>
      </c>
      <c r="G245" t="inlineStr">
        <is>
          <t>FILIPSTAD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46270</v>
      </c>
      <c r="F246" t="inlineStr">
        <is>
          <t>VÄRMLANDS LÄN</t>
        </is>
      </c>
      <c r="G246" t="inlineStr">
        <is>
          <t>FILIPSTAD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46270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46270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46270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45232</v>
      </c>
      <c r="E250" s="1" t="n">
        <v>46270</v>
      </c>
      <c r="F250" t="inlineStr">
        <is>
          <t>VÄRMLANDS LÄN</t>
        </is>
      </c>
      <c r="G250" t="inlineStr">
        <is>
          <t>FILIPSTAD</t>
        </is>
      </c>
      <c r="I250" t="n">
        <v>15.5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46004</v>
      </c>
      <c r="E251" s="1" t="n">
        <v>46270</v>
      </c>
      <c r="F251" t="inlineStr">
        <is>
          <t>VÄRMLANDS LÄN</t>
        </is>
      </c>
      <c r="G251" t="inlineStr">
        <is>
          <t>FILIPSTAD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46004</v>
      </c>
      <c r="E252" s="1" t="n">
        <v>46270</v>
      </c>
      <c r="F252" t="inlineStr">
        <is>
          <t>VÄRMLANDS LÄN</t>
        </is>
      </c>
      <c r="G252" t="inlineStr">
        <is>
          <t>FILIPSTAD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45750</v>
      </c>
      <c r="E253" s="1" t="n">
        <v>46270</v>
      </c>
      <c r="F253" t="inlineStr">
        <is>
          <t>VÄRMLANDS LÄN</t>
        </is>
      </c>
      <c r="G253" t="inlineStr">
        <is>
          <t>FILIPSTAD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46270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46270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46270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46270</v>
      </c>
      <c r="F257" t="inlineStr">
        <is>
          <t>VÄRMLANDS LÄN</t>
        </is>
      </c>
      <c r="G257" t="inlineStr">
        <is>
          <t>FILIPSTAD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46270</v>
      </c>
      <c r="F258" t="inlineStr">
        <is>
          <t>VÄRMLANDS LÄN</t>
        </is>
      </c>
      <c r="G258" t="inlineStr">
        <is>
          <t>FILIPSTAD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46270</v>
      </c>
      <c r="F259" t="inlineStr">
        <is>
          <t>VÄRMLANDS LÄN</t>
        </is>
      </c>
      <c r="G259" t="inlineStr">
        <is>
          <t>FILIPSTAD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46092</v>
      </c>
      <c r="E260" s="1" t="n">
        <v>46270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45093</v>
      </c>
      <c r="E261" s="1" t="n">
        <v>46270</v>
      </c>
      <c r="F261" t="inlineStr">
        <is>
          <t>VÄRMLANDS LÄN</t>
        </is>
      </c>
      <c r="G261" t="inlineStr">
        <is>
          <t>FILIPSTAD</t>
        </is>
      </c>
      <c r="H261" t="inlineStr">
        <is>
          <t>Kommuner</t>
        </is>
      </c>
      <c r="I261" t="n">
        <v>15.4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46270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46270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46270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46270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46270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45418</v>
      </c>
      <c r="E267" s="1" t="n">
        <v>46270</v>
      </c>
      <c r="F267" t="inlineStr">
        <is>
          <t>VÄRMLANDS LÄN</t>
        </is>
      </c>
      <c r="G267" t="inlineStr">
        <is>
          <t>FILIPSTAD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46270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46270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46270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46270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14315-2026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46270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46270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46270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46270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46270</v>
      </c>
      <c r="F276" t="inlineStr">
        <is>
          <t>VÄRMLANDS LÄN</t>
        </is>
      </c>
      <c r="G276" t="inlineStr">
        <is>
          <t>FILIPSTAD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46270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46270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46270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46270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15197-2026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46270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46270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46270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36251-2022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44803</v>
      </c>
      <c r="E284" s="1" t="n">
        <v>46270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46270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45364</v>
      </c>
      <c r="E286" s="1" t="n">
        <v>46270</v>
      </c>
      <c r="F286" t="inlineStr">
        <is>
          <t>VÄRMLANDS LÄN</t>
        </is>
      </c>
      <c r="G286" t="inlineStr">
        <is>
          <t>FILIPSTAD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46270</v>
      </c>
      <c r="F287" t="inlineStr">
        <is>
          <t>VÄRMLANDS LÄN</t>
        </is>
      </c>
      <c r="G287" t="inlineStr">
        <is>
          <t>FILIPSTAD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45658</v>
      </c>
      <c r="E288" s="1" t="n">
        <v>46270</v>
      </c>
      <c r="F288" t="inlineStr">
        <is>
          <t>VÄRMLANDS LÄN</t>
        </is>
      </c>
      <c r="G288" t="inlineStr">
        <is>
          <t>FILIPSTAD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46270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16040-2026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46108</v>
      </c>
      <c r="E290" s="1" t="n">
        <v>46270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46270</v>
      </c>
      <c r="F291" t="inlineStr">
        <is>
          <t>VÄRMLANDS LÄN</t>
        </is>
      </c>
      <c r="G291" t="inlineStr">
        <is>
          <t>FILIPSTAD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46270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46270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45384</v>
      </c>
      <c r="E294" s="1" t="n">
        <v>46270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45229</v>
      </c>
      <c r="E295" s="1" t="n">
        <v>46270</v>
      </c>
      <c r="F295" t="inlineStr">
        <is>
          <t>VÄRMLANDS LÄN</t>
        </is>
      </c>
      <c r="G295" t="inlineStr">
        <is>
          <t>FILIPSTAD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29474-2024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45484</v>
      </c>
      <c r="E296" s="1" t="n">
        <v>46270</v>
      </c>
      <c r="F296" t="inlineStr">
        <is>
          <t>VÄRMLANDS LÄN</t>
        </is>
      </c>
      <c r="G296" t="inlineStr">
        <is>
          <t>FILIPSTAD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46270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45327</v>
      </c>
      <c r="E298" s="1" t="n">
        <v>46270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46270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46270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46270</v>
      </c>
      <c r="F301" t="inlineStr">
        <is>
          <t>VÄRMLANDS LÄN</t>
        </is>
      </c>
      <c r="G301" t="inlineStr">
        <is>
          <t>FILIPSTAD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46270</v>
      </c>
      <c r="F302" t="inlineStr">
        <is>
          <t>VÄRMLANDS LÄN</t>
        </is>
      </c>
      <c r="G302" t="inlineStr">
        <is>
          <t>FILIPSTAD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46270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46270</v>
      </c>
      <c r="F304" t="inlineStr">
        <is>
          <t>VÄRMLANDS LÄN</t>
        </is>
      </c>
      <c r="G304" t="inlineStr">
        <is>
          <t>FILIPSTAD</t>
        </is>
      </c>
      <c r="H304" t="inlineStr">
        <is>
          <t>Kommuner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46270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17914-2026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46270</v>
      </c>
      <c r="F306" t="inlineStr">
        <is>
          <t>VÄRMLANDS LÄN</t>
        </is>
      </c>
      <c r="G306" t="inlineStr">
        <is>
          <t>FILIPSTAD</t>
        </is>
      </c>
      <c r="H306" t="inlineStr">
        <is>
          <t>Kommuner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46270</v>
      </c>
      <c r="F307" t="inlineStr">
        <is>
          <t>VÄRMLANDS LÄN</t>
        </is>
      </c>
      <c r="G307" t="inlineStr">
        <is>
          <t>FILIPSTAD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46270</v>
      </c>
      <c r="F308" t="inlineStr">
        <is>
          <t>VÄRMLANDS LÄN</t>
        </is>
      </c>
      <c r="G308" t="inlineStr">
        <is>
          <t>FILIPSTAD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18376-2026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46126</v>
      </c>
      <c r="E309" s="1" t="n">
        <v>46270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46270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46127</v>
      </c>
      <c r="E311" s="1" t="n">
        <v>46270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46270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24.9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46270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46270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44951</v>
      </c>
      <c r="E315" s="1" t="n">
        <v>46270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46270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46270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18826-2026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46128</v>
      </c>
      <c r="E318" s="1" t="n">
        <v>46270</v>
      </c>
      <c r="F318" t="inlineStr">
        <is>
          <t>VÄRMLANDS LÄN</t>
        </is>
      </c>
      <c r="G318" t="inlineStr">
        <is>
          <t>FILIPSTAD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46270</v>
      </c>
      <c r="F319" t="inlineStr">
        <is>
          <t>VÄRMLANDS LÄN</t>
        </is>
      </c>
      <c r="G319" t="inlineStr">
        <is>
          <t>FILIPSTAD</t>
        </is>
      </c>
      <c r="H319" t="inlineStr">
        <is>
          <t>Kommuner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46270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46270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45602</v>
      </c>
      <c r="E322" s="1" t="n">
        <v>46270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46270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47890-2024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45588</v>
      </c>
      <c r="E324" s="1" t="n">
        <v>46270</v>
      </c>
      <c r="F324" t="inlineStr">
        <is>
          <t>VÄRMLANDS LÄN</t>
        </is>
      </c>
      <c r="G324" t="inlineStr">
        <is>
          <t>FILIPSTAD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46270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46270</v>
      </c>
      <c r="F326" t="inlineStr">
        <is>
          <t>VÄRMLANDS LÄN</t>
        </is>
      </c>
      <c r="G326" t="inlineStr">
        <is>
          <t>FILIPSTAD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70405-2021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44536</v>
      </c>
      <c r="E327" s="1" t="n">
        <v>46270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44579</v>
      </c>
      <c r="E328" s="1" t="n">
        <v>46270</v>
      </c>
      <c r="F328" t="inlineStr">
        <is>
          <t>VÄRMLANDS LÄN</t>
        </is>
      </c>
      <c r="G328" t="inlineStr">
        <is>
          <t>FILIPSTAD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46270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46270</v>
      </c>
      <c r="F330" t="inlineStr">
        <is>
          <t>VÄRMLANDS LÄN</t>
        </is>
      </c>
      <c r="G330" t="inlineStr">
        <is>
          <t>FILIPSTAD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46270</v>
      </c>
      <c r="F331" t="inlineStr">
        <is>
          <t>VÄRMLANDS LÄN</t>
        </is>
      </c>
      <c r="G331" t="inlineStr">
        <is>
          <t>FILIPSTAD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46270</v>
      </c>
      <c r="F332" t="inlineStr">
        <is>
          <t>VÄRMLANDS LÄN</t>
        </is>
      </c>
      <c r="G332" t="inlineStr">
        <is>
          <t>FILIPSTAD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54080-2025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46270</v>
      </c>
      <c r="F333" t="inlineStr">
        <is>
          <t>VÄRMLANDS LÄN</t>
        </is>
      </c>
      <c r="G333" t="inlineStr">
        <is>
          <t>FILIPSTAD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46270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57456-2022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46270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46270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45037</v>
      </c>
      <c r="E337" s="1" t="n">
        <v>46270</v>
      </c>
      <c r="F337" t="inlineStr">
        <is>
          <t>VÄRMLANDS LÄN</t>
        </is>
      </c>
      <c r="G337" t="inlineStr">
        <is>
          <t>FILIPSTAD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33671-2022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44789</v>
      </c>
      <c r="E338" s="1" t="n">
        <v>46270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44805</v>
      </c>
      <c r="E339" s="1" t="n">
        <v>46270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46270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45133</v>
      </c>
      <c r="E341" s="1" t="n">
        <v>46270</v>
      </c>
      <c r="F341" t="inlineStr">
        <is>
          <t>VÄRMLANDS LÄN</t>
        </is>
      </c>
      <c r="G341" t="inlineStr">
        <is>
          <t>FILIPSTAD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46270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45456</v>
      </c>
      <c r="E343" s="1" t="n">
        <v>46270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45420</v>
      </c>
      <c r="E344" s="1" t="n">
        <v>46270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46270</v>
      </c>
      <c r="F345" t="inlineStr">
        <is>
          <t>VÄRMLANDS LÄN</t>
        </is>
      </c>
      <c r="G345" t="inlineStr">
        <is>
          <t>FILIPSTAD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46270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46270</v>
      </c>
      <c r="F347" t="inlineStr">
        <is>
          <t>VÄRMLANDS LÄN</t>
        </is>
      </c>
      <c r="G347" t="inlineStr">
        <is>
          <t>FILIPSTAD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41521-2025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46270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46257-2022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44847</v>
      </c>
      <c r="E349" s="1" t="n">
        <v>46270</v>
      </c>
      <c r="F349" t="inlineStr">
        <is>
          <t>VÄRMLANDS LÄN</t>
        </is>
      </c>
      <c r="G349" t="inlineStr">
        <is>
          <t>FILIPSTAD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46270</v>
      </c>
      <c r="F350" t="inlineStr">
        <is>
          <t>VÄRMLANDS LÄN</t>
        </is>
      </c>
      <c r="G350" t="inlineStr">
        <is>
          <t>FILIPSTAD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46270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46270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45229</v>
      </c>
      <c r="E353" s="1" t="n">
        <v>46270</v>
      </c>
      <c r="F353" t="inlineStr">
        <is>
          <t>VÄRMLANDS LÄN</t>
        </is>
      </c>
      <c r="G353" t="inlineStr">
        <is>
          <t>FILIPSTAD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45789</v>
      </c>
      <c r="E354" s="1" t="n">
        <v>46270</v>
      </c>
      <c r="F354" t="inlineStr">
        <is>
          <t>VÄRMLANDS LÄN</t>
        </is>
      </c>
      <c r="G354" t="inlineStr">
        <is>
          <t>FILIPSTAD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46270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45891</v>
      </c>
      <c r="E356" s="1" t="n">
        <v>46270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46270</v>
      </c>
      <c r="F357" t="inlineStr">
        <is>
          <t>VÄRMLANDS LÄN</t>
        </is>
      </c>
      <c r="G357" t="inlineStr">
        <is>
          <t>FILIPSTAD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46270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44960</v>
      </c>
      <c r="E359" s="1" t="n">
        <v>46270</v>
      </c>
      <c r="F359" t="inlineStr">
        <is>
          <t>VÄRMLANDS LÄN</t>
        </is>
      </c>
      <c r="G359" t="inlineStr">
        <is>
          <t>FILIPSTAD</t>
        </is>
      </c>
      <c r="H359" t="inlineStr">
        <is>
          <t>Kommuner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29473-2024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45484</v>
      </c>
      <c r="E360" s="1" t="n">
        <v>46270</v>
      </c>
      <c r="F360" t="inlineStr">
        <is>
          <t>VÄRMLANDS LÄN</t>
        </is>
      </c>
      <c r="G360" t="inlineStr">
        <is>
          <t>FILIPSTAD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46270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46270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44588</v>
      </c>
      <c r="E363" s="1" t="n">
        <v>46270</v>
      </c>
      <c r="F363" t="inlineStr">
        <is>
          <t>VÄRMLANDS LÄN</t>
        </is>
      </c>
      <c r="G363" t="inlineStr">
        <is>
          <t>FILIPSTAD</t>
        </is>
      </c>
      <c r="H363" t="inlineStr">
        <is>
          <t>Kommuner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46270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46270</v>
      </c>
      <c r="F365" t="inlineStr">
        <is>
          <t>VÄRMLANDS LÄN</t>
        </is>
      </c>
      <c r="G365" t="inlineStr">
        <is>
          <t>FILIPSTAD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46270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46270</v>
      </c>
      <c r="F367" t="inlineStr">
        <is>
          <t>VÄRMLANDS LÄN</t>
        </is>
      </c>
      <c r="G367" t="inlineStr">
        <is>
          <t>FILIPSTAD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44981</v>
      </c>
      <c r="E368" s="1" t="n">
        <v>46270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46270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46270</v>
      </c>
      <c r="F370" t="inlineStr">
        <is>
          <t>VÄRMLANDS LÄN</t>
        </is>
      </c>
      <c r="G370" t="inlineStr">
        <is>
          <t>FILIPSTAD</t>
        </is>
      </c>
      <c r="I370" t="n">
        <v>13.2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45867</v>
      </c>
      <c r="E371" s="1" t="n">
        <v>46270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44579</v>
      </c>
      <c r="E372" s="1" t="n">
        <v>46270</v>
      </c>
      <c r="F372" t="inlineStr">
        <is>
          <t>VÄRMLANDS LÄN</t>
        </is>
      </c>
      <c r="G372" t="inlineStr">
        <is>
          <t>FILIPSTAD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20661-2026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46270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45456</v>
      </c>
      <c r="E374" s="1" t="n">
        <v>46270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46270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20554-2025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45775</v>
      </c>
      <c r="E376" s="1" t="n">
        <v>46270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46270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46270</v>
      </c>
      <c r="F378" t="inlineStr">
        <is>
          <t>VÄRMLANDS LÄN</t>
        </is>
      </c>
      <c r="G378" t="inlineStr">
        <is>
          <t>FILIPSTAD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20874-2026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46270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45578</v>
      </c>
      <c r="E380" s="1" t="n">
        <v>46270</v>
      </c>
      <c r="F380" t="inlineStr">
        <is>
          <t>VÄRMLANDS LÄN</t>
        </is>
      </c>
      <c r="G380" t="inlineStr">
        <is>
          <t>FILIPSTAD</t>
        </is>
      </c>
      <c r="I380" t="n">
        <v>27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45120</v>
      </c>
      <c r="E381" s="1" t="n">
        <v>46270</v>
      </c>
      <c r="F381" t="inlineStr">
        <is>
          <t>VÄRMLANDS LÄN</t>
        </is>
      </c>
      <c r="G381" t="inlineStr">
        <is>
          <t>FILIPSTAD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46270</v>
      </c>
      <c r="F382" t="inlineStr">
        <is>
          <t>VÄRMLANDS LÄN</t>
        </is>
      </c>
      <c r="G382" t="inlineStr">
        <is>
          <t>FILIPSTAD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46148</v>
      </c>
      <c r="E383" s="1" t="n">
        <v>46270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46270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46270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46270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46270</v>
      </c>
      <c r="F387" t="inlineStr">
        <is>
          <t>VÄRMLANDS LÄN</t>
        </is>
      </c>
      <c r="G387" t="inlineStr">
        <is>
          <t>FILIPSTAD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46270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46270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46270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46270</v>
      </c>
      <c r="F391" t="inlineStr">
        <is>
          <t>VÄRMLANDS LÄN</t>
        </is>
      </c>
      <c r="G391" t="inlineStr">
        <is>
          <t>FILIPSTAD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46270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46270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46270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46270</v>
      </c>
      <c r="F395" t="inlineStr">
        <is>
          <t>VÄRMLANDS LÄN</t>
        </is>
      </c>
      <c r="G395" t="inlineStr">
        <is>
          <t>FILIPSTAD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46270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46270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46270</v>
      </c>
      <c r="F398" t="inlineStr">
        <is>
          <t>VÄRMLANDS LÄN</t>
        </is>
      </c>
      <c r="G398" t="inlineStr">
        <is>
          <t>FILIPSTAD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44994</v>
      </c>
      <c r="E399" s="1" t="n">
        <v>46270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46270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46270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55397-2022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44887</v>
      </c>
      <c r="E402" s="1" t="n">
        <v>46270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46270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45173</v>
      </c>
      <c r="E404" s="1" t="n">
        <v>46270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45014</v>
      </c>
      <c r="E405" s="1" t="n">
        <v>46270</v>
      </c>
      <c r="F405" t="inlineStr">
        <is>
          <t>VÄRMLANDS LÄN</t>
        </is>
      </c>
      <c r="G405" t="inlineStr">
        <is>
          <t>FILIPSTAD</t>
        </is>
      </c>
      <c r="H405" t="inlineStr">
        <is>
          <t>Kyrkan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4819-2023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44957</v>
      </c>
      <c r="E406" s="1" t="n">
        <v>46270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46270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46270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46270</v>
      </c>
      <c r="F409" t="inlineStr">
        <is>
          <t>VÄRMLANDS LÄN</t>
        </is>
      </c>
      <c r="G409" t="inlineStr">
        <is>
          <t>FILIPSTAD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46270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46270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46270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32185-2024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45511</v>
      </c>
      <c r="E413" s="1" t="n">
        <v>46270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45077</v>
      </c>
      <c r="E414" s="1" t="n">
        <v>46270</v>
      </c>
      <c r="F414" t="inlineStr">
        <is>
          <t>VÄRMLANDS LÄN</t>
        </is>
      </c>
      <c r="G414" t="inlineStr">
        <is>
          <t>FILIPSTAD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46270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46270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44596</v>
      </c>
      <c r="E417" s="1" t="n">
        <v>46270</v>
      </c>
      <c r="F417" t="inlineStr">
        <is>
          <t>VÄRMLANDS LÄN</t>
        </is>
      </c>
      <c r="G417" t="inlineStr">
        <is>
          <t>FILIPSTAD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45186</v>
      </c>
      <c r="E418" s="1" t="n">
        <v>46270</v>
      </c>
      <c r="F418" t="inlineStr">
        <is>
          <t>VÄRMLANDS LÄN</t>
        </is>
      </c>
      <c r="G418" t="inlineStr">
        <is>
          <t>FILIPSTAD</t>
        </is>
      </c>
      <c r="I418" t="n">
        <v>15.3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46270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46270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46270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46270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46270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46270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46270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45114</v>
      </c>
      <c r="E426" s="1" t="n">
        <v>46270</v>
      </c>
      <c r="F426" t="inlineStr">
        <is>
          <t>VÄRMLANDS LÄN</t>
        </is>
      </c>
      <c r="G426" t="inlineStr">
        <is>
          <t>FILIPSTAD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23970-2026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46270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46270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46270</v>
      </c>
      <c r="F429" t="inlineStr">
        <is>
          <t>VÄRMLANDS LÄN</t>
        </is>
      </c>
      <c r="G429" t="inlineStr">
        <is>
          <t>FILIPSTAD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46270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46270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46680-2024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45583</v>
      </c>
      <c r="E432" s="1" t="n">
        <v>46270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46270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46270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23959-2026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46270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19030-2022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44691</v>
      </c>
      <c r="E436" s="1" t="n">
        <v>46270</v>
      </c>
      <c r="F436" t="inlineStr">
        <is>
          <t>VÄRMLANDS LÄN</t>
        </is>
      </c>
      <c r="G436" t="inlineStr">
        <is>
          <t>FILIPSTAD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46270</v>
      </c>
      <c r="F437" t="inlineStr">
        <is>
          <t>VÄRMLANDS LÄN</t>
        </is>
      </c>
      <c r="G437" t="inlineStr">
        <is>
          <t>FILIPSTAD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46270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46169</v>
      </c>
      <c r="E439" s="1" t="n">
        <v>46270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46270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46270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49935-2025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45940</v>
      </c>
      <c r="E442" s="1" t="n">
        <v>46270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46270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46270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24529-2026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46270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46270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46170</v>
      </c>
      <c r="E447" s="1" t="n">
        <v>46270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46270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46270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46270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62013-2024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45655</v>
      </c>
      <c r="E451" s="1" t="n">
        <v>46270</v>
      </c>
      <c r="F451" t="inlineStr">
        <is>
          <t>VÄRMLANDS LÄN</t>
        </is>
      </c>
      <c r="G451" t="inlineStr">
        <is>
          <t>FILIPSTAD</t>
        </is>
      </c>
      <c r="I451" t="n">
        <v>26.5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45655</v>
      </c>
      <c r="E452" s="1" t="n">
        <v>46270</v>
      </c>
      <c r="F452" t="inlineStr">
        <is>
          <t>VÄRMLANDS LÄN</t>
        </is>
      </c>
      <c r="G452" t="inlineStr">
        <is>
          <t>FILIPSTAD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24886-2026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46270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46270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1170-2023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44935</v>
      </c>
      <c r="E455" s="1" t="n">
        <v>46270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24745-2026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46171</v>
      </c>
      <c r="E456" s="1" t="n">
        <v>46270</v>
      </c>
      <c r="F456" t="inlineStr">
        <is>
          <t>VÄRMLANDS LÄN</t>
        </is>
      </c>
      <c r="G456" t="inlineStr">
        <is>
          <t>FILIPSTAD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46270</v>
      </c>
      <c r="F457" t="inlineStr">
        <is>
          <t>VÄRMLANDS LÄN</t>
        </is>
      </c>
      <c r="G457" t="inlineStr">
        <is>
          <t>FILIPSTAD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44959</v>
      </c>
      <c r="E458" s="1" t="n">
        <v>46270</v>
      </c>
      <c r="F458" t="inlineStr">
        <is>
          <t>VÄRMLANDS LÄN</t>
        </is>
      </c>
      <c r="G458" t="inlineStr">
        <is>
          <t>FILIPSTAD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46270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53562-2023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45230</v>
      </c>
      <c r="E460" s="1" t="n">
        <v>46270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9.9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46270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46270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45274</v>
      </c>
      <c r="E464" s="1" t="n">
        <v>46270</v>
      </c>
      <c r="F464" t="inlineStr">
        <is>
          <t>VÄRMLANDS LÄN</t>
        </is>
      </c>
      <c r="G464" t="inlineStr">
        <is>
          <t>FILIPSTAD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46270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43484-2023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45184</v>
      </c>
      <c r="E466" s="1" t="n">
        <v>46270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46182</v>
      </c>
      <c r="E467" s="1" t="n">
        <v>46270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46270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46270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46182</v>
      </c>
      <c r="E470" s="1" t="n">
        <v>46270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26343-2026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46270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46270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45124</v>
      </c>
      <c r="E473" s="1" t="n">
        <v>46270</v>
      </c>
      <c r="F473" t="inlineStr">
        <is>
          <t>VÄRMLANDS LÄN</t>
        </is>
      </c>
      <c r="G473" t="inlineStr">
        <is>
          <t>FILIPSTAD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46270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46270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46270</v>
      </c>
      <c r="F477" t="inlineStr">
        <is>
          <t>VÄRMLANDS LÄN</t>
        </is>
      </c>
      <c r="G477" t="inlineStr">
        <is>
          <t>FILIPSTAD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26549-2026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46270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45592-2024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45579</v>
      </c>
      <c r="E479" s="1" t="n">
        <v>46270</v>
      </c>
      <c r="F479" t="inlineStr">
        <is>
          <t>VÄRMLANDS LÄN</t>
        </is>
      </c>
      <c r="G479" t="inlineStr">
        <is>
          <t>FILIPSTAD</t>
        </is>
      </c>
      <c r="H479" t="inlineStr">
        <is>
          <t>Kyrkan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43264-2024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46270</v>
      </c>
      <c r="F480" t="inlineStr">
        <is>
          <t>VÄRMLANDS LÄN</t>
        </is>
      </c>
      <c r="G480" t="inlineStr">
        <is>
          <t>FILIPSTAD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46270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46187</v>
      </c>
      <c r="E482" s="1" t="n">
        <v>46270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46270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46231</v>
      </c>
      <c r="E484" s="1" t="n">
        <v>46270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46270</v>
      </c>
      <c r="F485" t="inlineStr">
        <is>
          <t>VÄRMLANDS LÄN</t>
        </is>
      </c>
      <c r="G485" t="inlineStr">
        <is>
          <t>FILIPSTAD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46270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46186</v>
      </c>
      <c r="E487" s="1" t="n">
        <v>46270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46186</v>
      </c>
      <c r="E488" s="1" t="n">
        <v>46270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46190</v>
      </c>
      <c r="E489" s="1" t="n">
        <v>46270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46233</v>
      </c>
      <c r="E490" s="1" t="n">
        <v>46270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46270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31950-2026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46232</v>
      </c>
      <c r="E492" s="1" t="n">
        <v>46270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46270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46233</v>
      </c>
      <c r="E494" s="1" t="n">
        <v>46270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46232</v>
      </c>
      <c r="E495" s="1" t="n">
        <v>46270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46270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32249-2026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46237</v>
      </c>
      <c r="E497" s="1" t="n">
        <v>46270</v>
      </c>
      <c r="F497" t="inlineStr">
        <is>
          <t>VÄRMLANDS LÄN</t>
        </is>
      </c>
      <c r="G497" t="inlineStr">
        <is>
          <t>FILIPSTAD</t>
        </is>
      </c>
      <c r="H497" t="inlineStr">
        <is>
          <t>Kommuner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46191</v>
      </c>
      <c r="E498" s="1" t="n">
        <v>46270</v>
      </c>
      <c r="F498" t="inlineStr">
        <is>
          <t>VÄRMLANDS LÄN</t>
        </is>
      </c>
      <c r="G498" t="inlineStr">
        <is>
          <t>FILIPSTAD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46270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46270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46237</v>
      </c>
      <c r="E501" s="1" t="n">
        <v>46270</v>
      </c>
      <c r="F501" t="inlineStr">
        <is>
          <t>VÄRMLANDS LÄN</t>
        </is>
      </c>
      <c r="G501" t="inlineStr">
        <is>
          <t>FILIPSTAD</t>
        </is>
      </c>
      <c r="I501" t="n">
        <v>13.4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46270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46270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32442-2026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46239</v>
      </c>
      <c r="E504" s="1" t="n">
        <v>46270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32563-2026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46239</v>
      </c>
      <c r="E505" s="1" t="n">
        <v>46270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46270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43045-2024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45567</v>
      </c>
      <c r="E507" s="1" t="n">
        <v>46270</v>
      </c>
      <c r="F507" t="inlineStr">
        <is>
          <t>VÄRMLANDS LÄN</t>
        </is>
      </c>
      <c r="G507" t="inlineStr">
        <is>
          <t>FILIPSTAD</t>
        </is>
      </c>
      <c r="H507" t="inlineStr">
        <is>
          <t>Kyrkan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6683-2025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46270</v>
      </c>
      <c r="F508" t="inlineStr">
        <is>
          <t>VÄRMLANDS LÄN</t>
        </is>
      </c>
      <c r="G508" t="inlineStr">
        <is>
          <t>FILIPSTAD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46270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46270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46270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46270</v>
      </c>
      <c r="F512" t="inlineStr">
        <is>
          <t>VÄRMLANDS LÄN</t>
        </is>
      </c>
      <c r="G512" t="inlineStr">
        <is>
          <t>FILIPSTAD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46270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46270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25376-2023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45088</v>
      </c>
      <c r="E515" s="1" t="n">
        <v>46270</v>
      </c>
      <c r="F515" t="inlineStr">
        <is>
          <t>VÄRMLANDS LÄN</t>
        </is>
      </c>
      <c r="G515" t="inlineStr">
        <is>
          <t>FILIPSTAD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46240</v>
      </c>
      <c r="E516" s="1" t="n">
        <v>46270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69015-2021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46270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46270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46270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46270</v>
      </c>
      <c r="F520" t="inlineStr">
        <is>
          <t>VÄRMLANDS LÄN</t>
        </is>
      </c>
      <c r="G520" t="inlineStr">
        <is>
          <t>FILIPSTAD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46270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46270</v>
      </c>
      <c r="F522" t="inlineStr">
        <is>
          <t>VÄRMLANDS LÄN</t>
        </is>
      </c>
      <c r="G522" t="inlineStr">
        <is>
          <t>FILIPSTAD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46270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20661-2024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45436</v>
      </c>
      <c r="E524" s="1" t="n">
        <v>46270</v>
      </c>
      <c r="F524" t="inlineStr">
        <is>
          <t>VÄRMLANDS LÄN</t>
        </is>
      </c>
      <c r="G524" t="inlineStr">
        <is>
          <t>FILIPSTAD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46270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46270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46270</v>
      </c>
      <c r="F527" t="inlineStr">
        <is>
          <t>VÄRMLANDS LÄN</t>
        </is>
      </c>
      <c r="G527" t="inlineStr">
        <is>
          <t>FILIPSTAD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46270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46270</v>
      </c>
      <c r="F529" t="inlineStr">
        <is>
          <t>VÄRMLANDS LÄN</t>
        </is>
      </c>
      <c r="G529" t="inlineStr">
        <is>
          <t>FILIPSTAD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46270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46270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46270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29417-2026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46270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12509-2026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46090</v>
      </c>
      <c r="E534" s="1" t="n">
        <v>46270</v>
      </c>
      <c r="F534" t="inlineStr">
        <is>
          <t>VÄRMLANDS LÄN</t>
        </is>
      </c>
      <c r="G534" t="inlineStr">
        <is>
          <t>FILIPSTAD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46270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53690-2022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44880</v>
      </c>
      <c r="E536" s="1" t="n">
        <v>46270</v>
      </c>
      <c r="F536" t="inlineStr">
        <is>
          <t>VÄRMLANDS LÄN</t>
        </is>
      </c>
      <c r="G536" t="inlineStr">
        <is>
          <t>FILIPSTAD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45700</v>
      </c>
      <c r="E537" s="1" t="n">
        <v>46270</v>
      </c>
      <c r="F537" t="inlineStr">
        <is>
          <t>VÄRMLANDS LÄN</t>
        </is>
      </c>
      <c r="G537" t="inlineStr">
        <is>
          <t>FILIPSTAD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46270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46270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46270</v>
      </c>
      <c r="F540" t="inlineStr">
        <is>
          <t>VÄRMLANDS LÄN</t>
        </is>
      </c>
      <c r="G540" t="inlineStr">
        <is>
          <t>FILIPSTAD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29376-2026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46270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46270</v>
      </c>
      <c r="F542" t="inlineStr">
        <is>
          <t>VÄRMLANDS LÄN</t>
        </is>
      </c>
      <c r="G542" t="inlineStr">
        <is>
          <t>FILIPSTAD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52981-2021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44467</v>
      </c>
      <c r="E543" s="1" t="n">
        <v>46270</v>
      </c>
      <c r="F543" t="inlineStr">
        <is>
          <t>VÄRMLANDS LÄN</t>
        </is>
      </c>
      <c r="G543" t="inlineStr">
        <is>
          <t>FILIPSTAD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46270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10306-2025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45720</v>
      </c>
      <c r="E545" s="1" t="n">
        <v>46270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46251</v>
      </c>
      <c r="E546" s="1" t="n">
        <v>46270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46270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46270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46270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46270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51266-2021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44461</v>
      </c>
      <c r="E551" s="1" t="n">
        <v>46270</v>
      </c>
      <c r="F551" t="inlineStr">
        <is>
          <t>VÄRMLANDS LÄN</t>
        </is>
      </c>
      <c r="G551" t="inlineStr">
        <is>
          <t>FILIPSTAD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51618-2022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44872</v>
      </c>
      <c r="E552" s="1" t="n">
        <v>46270</v>
      </c>
      <c r="F552" t="inlineStr">
        <is>
          <t>VÄRMLANDS LÄN</t>
        </is>
      </c>
      <c r="G552" t="inlineStr">
        <is>
          <t>FILIPSTAD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45516</v>
      </c>
      <c r="E553" s="1" t="n">
        <v>46270</v>
      </c>
      <c r="F553" t="inlineStr">
        <is>
          <t>VÄRMLANDS LÄN</t>
        </is>
      </c>
      <c r="G553" t="inlineStr">
        <is>
          <t>FILIPSTAD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44809</v>
      </c>
      <c r="E554" s="1" t="n">
        <v>46270</v>
      </c>
      <c r="F554" t="inlineStr">
        <is>
          <t>VÄRMLANDS LÄN</t>
        </is>
      </c>
      <c r="G554" t="inlineStr">
        <is>
          <t>FILIPSTAD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16591-2022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44672</v>
      </c>
      <c r="E555" s="1" t="n">
        <v>46270</v>
      </c>
      <c r="F555" t="inlineStr">
        <is>
          <t>VÄRMLANDS LÄN</t>
        </is>
      </c>
      <c r="G555" t="inlineStr">
        <is>
          <t>FILIPSTAD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30074-2026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46270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46270</v>
      </c>
      <c r="F557" t="inlineStr">
        <is>
          <t>VÄRMLANDS LÄN</t>
        </is>
      </c>
      <c r="G557" t="inlineStr">
        <is>
          <t>FILIPSTAD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44998</v>
      </c>
      <c r="E558" s="1" t="n">
        <v>46270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46270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46270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46251</v>
      </c>
      <c r="E561" s="1" t="n">
        <v>46270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46252</v>
      </c>
      <c r="E562" s="1" t="n">
        <v>46270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46210</v>
      </c>
      <c r="E563" s="1" t="n">
        <v>46270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45741</v>
      </c>
      <c r="E564" s="1" t="n">
        <v>46270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46270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46213</v>
      </c>
      <c r="E566" s="1" t="n">
        <v>46270</v>
      </c>
      <c r="F566" t="inlineStr">
        <is>
          <t>VÄRMLANDS LÄN</t>
        </is>
      </c>
      <c r="G566" t="inlineStr">
        <is>
          <t>FILIPSTAD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46270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19.2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46270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34442-2026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46254</v>
      </c>
      <c r="E569" s="1" t="n">
        <v>46270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46270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45471</v>
      </c>
      <c r="E571" s="1" t="n">
        <v>46270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45414</v>
      </c>
      <c r="E572" s="1" t="n">
        <v>46270</v>
      </c>
      <c r="F572" t="inlineStr">
        <is>
          <t>VÄRMLANDS LÄN</t>
        </is>
      </c>
      <c r="G572" t="inlineStr">
        <is>
          <t>FILIPSTAD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47002-2024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46270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45495</v>
      </c>
      <c r="E574" s="1" t="n">
        <v>46270</v>
      </c>
      <c r="F574" t="inlineStr">
        <is>
          <t>VÄRMLANDS LÄN</t>
        </is>
      </c>
      <c r="G574" t="inlineStr">
        <is>
          <t>FILIPSTAD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46270</v>
      </c>
      <c r="F575" t="inlineStr">
        <is>
          <t>VÄRMLANDS LÄN</t>
        </is>
      </c>
      <c r="G575" t="inlineStr">
        <is>
          <t>FILIPSTAD</t>
        </is>
      </c>
      <c r="H575" t="inlineStr">
        <is>
          <t>Kommuner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45439</v>
      </c>
      <c r="E576" s="1" t="n">
        <v>46270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46270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34916-2026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46270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65167-2021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44515</v>
      </c>
      <c r="E579" s="1" t="n">
        <v>46270</v>
      </c>
      <c r="F579" t="inlineStr">
        <is>
          <t>VÄRMLANDS LÄN</t>
        </is>
      </c>
      <c r="G579" t="inlineStr">
        <is>
          <t>FILIPSTAD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46270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35304-2024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46270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23266-2025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46270</v>
      </c>
      <c r="F582" t="inlineStr">
        <is>
          <t>VÄRMLANDS LÄN</t>
        </is>
      </c>
      <c r="G582" t="inlineStr">
        <is>
          <t>FILIPSTAD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45593</v>
      </c>
      <c r="E583" s="1" t="n">
        <v>46270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46270</v>
      </c>
      <c r="F584" t="inlineStr">
        <is>
          <t>VÄRMLANDS LÄN</t>
        </is>
      </c>
      <c r="G584" t="inlineStr">
        <is>
          <t>FILIPSTAD</t>
        </is>
      </c>
      <c r="H584" t="inlineStr">
        <is>
          <t>Kyrkan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46218</v>
      </c>
      <c r="E585" s="1" t="n">
        <v>46270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35368-2026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46270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46270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45667</v>
      </c>
      <c r="E588" s="1" t="n">
        <v>46270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46270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23775-2025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45793</v>
      </c>
      <c r="E590" s="1" t="n">
        <v>46270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46270</v>
      </c>
      <c r="F591" t="inlineStr">
        <is>
          <t>VÄRMLANDS LÄN</t>
        </is>
      </c>
      <c r="G591" t="inlineStr">
        <is>
          <t>FILIPSTAD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23399-2025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45792</v>
      </c>
      <c r="E592" s="1" t="n">
        <v>46270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45792</v>
      </c>
      <c r="E593" s="1" t="n">
        <v>46270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45355</v>
      </c>
      <c r="E594" s="1" t="n">
        <v>46270</v>
      </c>
      <c r="F594" t="inlineStr">
        <is>
          <t>VÄRMLANDS LÄN</t>
        </is>
      </c>
      <c r="G594" t="inlineStr">
        <is>
          <t>FILIPSTAD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72118-2021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44543</v>
      </c>
      <c r="E595" s="1" t="n">
        <v>46270</v>
      </c>
      <c r="F595" t="inlineStr">
        <is>
          <t>VÄRMLANDS LÄN</t>
        </is>
      </c>
      <c r="G595" t="inlineStr">
        <is>
          <t>FILIPSTAD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15396-2025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45747</v>
      </c>
      <c r="E596" s="1" t="n">
        <v>46270</v>
      </c>
      <c r="F596" t="inlineStr">
        <is>
          <t>VÄRMLANDS LÄN</t>
        </is>
      </c>
      <c r="G596" t="inlineStr">
        <is>
          <t>FILIPSTAD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65174-2021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44515</v>
      </c>
      <c r="E597" s="1" t="n">
        <v>46270</v>
      </c>
      <c r="F597" t="inlineStr">
        <is>
          <t>VÄRMLANDS LÄN</t>
        </is>
      </c>
      <c r="G597" t="inlineStr">
        <is>
          <t>FILIPSTAD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46270</v>
      </c>
      <c r="F598" t="inlineStr">
        <is>
          <t>VÄRMLANDS LÄN</t>
        </is>
      </c>
      <c r="G598" t="inlineStr">
        <is>
          <t>FILIPSTAD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46223</v>
      </c>
      <c r="E599" s="1" t="n">
        <v>46270</v>
      </c>
      <c r="F599" t="inlineStr">
        <is>
          <t>VÄRMLANDS LÄN</t>
        </is>
      </c>
      <c r="G599" t="inlineStr">
        <is>
          <t>FILIPSTAD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46270</v>
      </c>
      <c r="F600" t="inlineStr">
        <is>
          <t>VÄRMLANDS LÄN</t>
        </is>
      </c>
      <c r="G600" t="inlineStr">
        <is>
          <t>FILIPSTAD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46264</v>
      </c>
      <c r="E601" s="1" t="n">
        <v>46270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46270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46264</v>
      </c>
      <c r="E603" s="1" t="n">
        <v>46270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31537-2026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46223</v>
      </c>
      <c r="E604" s="1" t="n">
        <v>46270</v>
      </c>
      <c r="F604" t="inlineStr">
        <is>
          <t>VÄRMLANDS LÄN</t>
        </is>
      </c>
      <c r="G604" t="inlineStr">
        <is>
          <t>FILIPSTAD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35821-2026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46270</v>
      </c>
      <c r="F605" t="inlineStr">
        <is>
          <t>VÄRMLANDS LÄN</t>
        </is>
      </c>
      <c r="G605" t="inlineStr">
        <is>
          <t>FILIPSTAD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46270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46270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35945-2026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46266</v>
      </c>
      <c r="E608" s="1" t="n">
        <v>46270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36195-2026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46267</v>
      </c>
      <c r="E609" s="1" t="n">
        <v>46270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46266</v>
      </c>
      <c r="E610" s="1" t="n">
        <v>46270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46266</v>
      </c>
      <c r="E611" s="1" t="n">
        <v>46270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46227</v>
      </c>
      <c r="E612" s="1" t="n">
        <v>46270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46270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36508-2026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46269</v>
      </c>
      <c r="E614" s="1" t="n">
        <v>46270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18.6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46270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46270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46270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46227</v>
      </c>
      <c r="E618" s="1" t="n">
        <v>46270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46225</v>
      </c>
      <c r="E619" s="1" t="n">
        <v>46270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31688-2026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46226</v>
      </c>
      <c r="E620" s="1" t="n">
        <v>46270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46268</v>
      </c>
      <c r="E621" s="1" t="n">
        <v>46270</v>
      </c>
      <c r="F621" t="inlineStr">
        <is>
          <t>VÄRMLANDS LÄN</t>
        </is>
      </c>
      <c r="G621" t="inlineStr">
        <is>
          <t>FILIPSTAD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46226</v>
      </c>
      <c r="E622" s="1" t="n">
        <v>46270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20.1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31706-2026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46226</v>
      </c>
      <c r="E623" s="1" t="n">
        <v>46270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5757-2021</t>
        </is>
      </c>
      <c r="B624" t="inlineStr">
        <is>
          <t>samrådsanmälan</t>
        </is>
      </c>
      <c r="C624" t="inlineStr">
        <is>
          <t>Basväg</t>
        </is>
      </c>
      <c r="D624" s="1" t="n">
        <v>44438</v>
      </c>
      <c r="E624" s="1" t="n">
        <v>46270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1191-2021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44328</v>
      </c>
      <c r="E625" s="1" t="n">
        <v>46270</v>
      </c>
      <c r="F625" t="inlineStr">
        <is>
          <t>VÄRMLANDS LÄN</t>
        </is>
      </c>
      <c r="G625" t="inlineStr">
        <is>
          <t>FILIPSTAD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4134-2023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46270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4115-2023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45246</v>
      </c>
      <c r="E627" s="1" t="n">
        <v>46270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4137-2023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46270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4132-2023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46270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8.300000000000001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4130-2023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46270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4127-2023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46270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837-2023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44991</v>
      </c>
      <c r="E632" s="1" t="n">
        <v>46270</v>
      </c>
      <c r="F632" t="inlineStr">
        <is>
          <t>VÄRMLANDS LÄN</t>
        </is>
      </c>
      <c r="G632" t="inlineStr">
        <is>
          <t>FILIPSTAD</t>
        </is>
      </c>
      <c r="I632" t="n">
        <v>19.3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4129-2023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46270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3919-2023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45233</v>
      </c>
      <c r="E634" s="1" t="n">
        <v>46270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4135-2023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46270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4126-2023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46270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20.4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294-2025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45687</v>
      </c>
      <c r="E637" s="1" t="n">
        <v>46270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4116-2023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45246</v>
      </c>
      <c r="E638" s="1" t="n">
        <v>46270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661-2025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45716</v>
      </c>
      <c r="E639" s="1" t="n">
        <v>46270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161.7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3429-2025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45995</v>
      </c>
      <c r="E640" s="1" t="n">
        <v>46270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3576-2025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46010</v>
      </c>
      <c r="E641" s="1" t="n">
        <v>46270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27.1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105-2026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46036</v>
      </c>
      <c r="E642" s="1" t="n">
        <v>46270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238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2026-09-05T02:08:24Z</dcterms:created>
  <dcterms:modified xmlns:dcterms="http://purl.org/dc/terms/" xmlns:xsi="http://www.w3.org/2001/XMLSchema-instance" xsi:type="dcterms:W3CDTF">2026-09-05T02:08:25Z</dcterms:modified>
</cp:coreProperties>
</file>