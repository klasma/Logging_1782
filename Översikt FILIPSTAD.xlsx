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46268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46268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46268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46268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46268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46268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46268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46268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46268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46268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46268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46268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46268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46268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46268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46268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46268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46268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4560-2025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46268</v>
      </c>
      <c r="F30" t="inlineStr">
        <is>
          <t>VÄRMLANDS LÄN</t>
        </is>
      </c>
      <c r="G30" t="inlineStr">
        <is>
          <t>FILIPSTAD</t>
        </is>
      </c>
      <c r="I30" t="n">
        <v>13.6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Skrovlig taggsvamp</t>
        </is>
      </c>
      <c r="W30">
        <f>HYPERLINK("https://klasma.github.io/Logging_1782/artfynd/A 4560-2025 artfynd.xlsx", "A 4560-2025")</f>
        <v/>
      </c>
      <c r="X30">
        <f>HYPERLINK("https://klasma.github.io/Logging_1782/kartor/A 4560-2025 karta.png", "A 4560-2025")</f>
        <v/>
      </c>
      <c r="Y30">
        <f>HYPERLINK("https://klasma.github.io/Logging_1782/kartor_geotiff/A 4560-2025 georefererad karta.tif", "A 4560-2025")</f>
        <v/>
      </c>
      <c r="AA30">
        <f>HYPERLINK("https://klasma.github.io/Logging_1782/klagomål/A 4560-2025 FSC-klagomål.docx", "A 4560-2025")</f>
        <v/>
      </c>
      <c r="AB30">
        <f>HYPERLINK("https://klasma.github.io/Logging_1782/klagomålsmail/A 4560-2025 FSC-klagomål mail.docx", "A 4560-2025")</f>
        <v/>
      </c>
      <c r="AC30">
        <f>HYPERLINK("https://klasma.github.io/Logging_1782/tillsyn/A 4560-2025 tillsynsbegäran.docx", "A 4560-2025")</f>
        <v/>
      </c>
      <c r="AD30">
        <f>HYPERLINK("https://klasma.github.io/Logging_1782/tillsynsmail/A 4560-2025 tillsynsbegäran mail.docx", "A 4560-2025")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46268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46268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46268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46268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46268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HYPERLINK("https://klasma.github.io/Logging_1782/artfynd/A 38140-2024 artfynd.xlsx", "A 38140-2024")</f>
        <v/>
      </c>
      <c r="X35">
        <f>HYPERLINK("https://klasma.github.io/Logging_1782/kartor/A 38140-2024 karta.png", "A 38140-2024")</f>
        <v/>
      </c>
      <c r="Y35">
        <f>HYPERLINK("https://klasma.github.io/Logging_1782/kartor_geotiff/A 38140-2024 georefererad karta.tif", "A 38140-2024")</f>
        <v/>
      </c>
      <c r="AA35">
        <f>HYPERLINK("https://klasma.github.io/Logging_1782/klagomål/A 38140-2024 FSC-klagomål.docx", "A 38140-2024")</f>
        <v/>
      </c>
      <c r="AB35">
        <f>HYPERLINK("https://klasma.github.io/Logging_1782/klagomålsmail/A 38140-2024 FSC-klagomål mail.docx", "A 38140-2024")</f>
        <v/>
      </c>
      <c r="AC35">
        <f>HYPERLINK("https://klasma.github.io/Logging_1782/tillsyn/A 38140-2024 tillsynsbegäran.docx", "A 38140-2024")</f>
        <v/>
      </c>
      <c r="AD35">
        <f>HYPERLINK("https://klasma.github.io/Logging_1782/tillsynsmail/A 38140-2024 tillsynsbegäran mail.docx", "A 38140-2024")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46268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46268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46268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25862-2026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46268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Talltaggsvamp</t>
        </is>
      </c>
      <c r="W39">
        <f>HYPERLINK("https://klasma.github.io/Logging_1782/artfynd/A 25862-2026 artfynd.xlsx", "A 25862-2026")</f>
        <v/>
      </c>
      <c r="X39">
        <f>HYPERLINK("https://klasma.github.io/Logging_1782/kartor/A 25862-2026 karta.png", "A 25862-2026")</f>
        <v/>
      </c>
      <c r="Y39">
        <f>HYPERLINK("https://klasma.github.io/Logging_1782/kartor_geotiff/A 25862-2026 georefererad karta.tif", "A 25862-2026")</f>
        <v/>
      </c>
      <c r="AA39">
        <f>HYPERLINK("https://klasma.github.io/Logging_1782/klagomål/A 25862-2026 FSC-klagomål.docx", "A 25862-2026")</f>
        <v/>
      </c>
      <c r="AB39">
        <f>HYPERLINK("https://klasma.github.io/Logging_1782/klagomålsmail/A 25862-2026 FSC-klagomål mail.docx", "A 25862-2026")</f>
        <v/>
      </c>
      <c r="AC39">
        <f>HYPERLINK("https://klasma.github.io/Logging_1782/tillsyn/A 25862-2026 tillsynsbegäran.docx", "A 25862-2026")</f>
        <v/>
      </c>
      <c r="AD39">
        <f>HYPERLINK("https://klasma.github.io/Logging_1782/tillsynsmail/A 25862-2026 tillsynsbegäran mail.docx", "A 25862-2026")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46268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46268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30988-2026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46268</v>
      </c>
      <c r="F42" t="inlineStr">
        <is>
          <t>VÄRMLANDS LÄN</t>
        </is>
      </c>
      <c r="G42" t="inlineStr">
        <is>
          <t>FILIPSTAD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Skuggblåslav</t>
        </is>
      </c>
      <c r="W42">
        <f>HYPERLINK("https://klasma.github.io/Logging_1782/artfynd/A 30988-2026 artfynd.xlsx", "A 30988-2026")</f>
        <v/>
      </c>
      <c r="X42">
        <f>HYPERLINK("https://klasma.github.io/Logging_1782/kartor/A 30988-2026 karta.png", "A 30988-2026")</f>
        <v/>
      </c>
      <c r="Y42">
        <f>HYPERLINK("https://klasma.github.io/Logging_1782/kartor_geotiff/A 30988-2026 georefererad karta.tif", "A 30988-2026")</f>
        <v/>
      </c>
      <c r="AA42">
        <f>HYPERLINK("https://klasma.github.io/Logging_1782/klagomål/A 30988-2026 FSC-klagomål.docx", "A 30988-2026")</f>
        <v/>
      </c>
      <c r="AB42">
        <f>HYPERLINK("https://klasma.github.io/Logging_1782/klagomålsmail/A 30988-2026 FSC-klagomål mail.docx", "A 30988-2026")</f>
        <v/>
      </c>
      <c r="AC42">
        <f>HYPERLINK("https://klasma.github.io/Logging_1782/tillsyn/A 30988-2026 tillsynsbegäran.docx", "A 30988-2026")</f>
        <v/>
      </c>
      <c r="AD42">
        <f>HYPERLINK("https://klasma.github.io/Logging_1782/tillsynsmail/A 30988-2026 tillsynsbegäran mail.docx", "A 30988-2026")</f>
        <v/>
      </c>
    </row>
    <row r="43" ht="15" customHeight="1">
      <c r="A43" t="inlineStr">
        <is>
          <t>A 31257-2026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46268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10.2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Gräsull</t>
        </is>
      </c>
      <c r="W43">
        <f>HYPERLINK("https://klasma.github.io/Logging_1782/artfynd/A 31257-2026 artfynd.xlsx", "A 31257-2026")</f>
        <v/>
      </c>
      <c r="X43">
        <f>HYPERLINK("https://klasma.github.io/Logging_1782/kartor/A 31257-2026 karta.png", "A 31257-2026")</f>
        <v/>
      </c>
      <c r="Y43">
        <f>HYPERLINK("https://klasma.github.io/Logging_1782/kartor_geotiff/A 31257-2026 georefererad karta.tif", "A 31257-2026")</f>
        <v/>
      </c>
      <c r="AA43">
        <f>HYPERLINK("https://klasma.github.io/Logging_1782/klagomål/A 31257-2026 FSC-klagomål.docx", "A 31257-2026")</f>
        <v/>
      </c>
      <c r="AB43">
        <f>HYPERLINK("https://klasma.github.io/Logging_1782/klagomålsmail/A 31257-2026 FSC-klagomål mail.docx", "A 31257-2026")</f>
        <v/>
      </c>
      <c r="AC43">
        <f>HYPERLINK("https://klasma.github.io/Logging_1782/tillsyn/A 31257-2026 tillsynsbegäran.docx", "A 31257-2026")</f>
        <v/>
      </c>
      <c r="AD43">
        <f>HYPERLINK("https://klasma.github.io/Logging_1782/tillsynsmail/A 31257-2026 tillsynsbegäran mail.docx", "A 31257-2026")</f>
        <v/>
      </c>
    </row>
    <row r="44" ht="15" customHeight="1">
      <c r="A44" t="inlineStr">
        <is>
          <t>A 23046-2023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45075</v>
      </c>
      <c r="E44" s="1" t="n">
        <v>46268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HYPERLINK("https://klasma.github.io/Logging_1782/artfynd/A 23046-2023 artfynd.xlsx", "A 23046-2023")</f>
        <v/>
      </c>
      <c r="X44">
        <f>HYPERLINK("https://klasma.github.io/Logging_1782/kartor/A 23046-2023 karta.png", "A 23046-2023")</f>
        <v/>
      </c>
      <c r="Y44">
        <f>HYPERLINK("https://klasma.github.io/Logging_1782/kartor_geotiff/A 23046-2023 georefererad karta.tif", "A 23046-2023")</f>
        <v/>
      </c>
      <c r="Z44">
        <f>HYPERLINK("https://klasma.github.io/Logging_1782/knärot/A 23046-2023 karta knärot.png", "A 23046-2023")</f>
        <v/>
      </c>
      <c r="AA44">
        <f>HYPERLINK("https://klasma.github.io/Logging_1782/klagomål/A 23046-2023 FSC-klagomål.docx", "A 23046-2023")</f>
        <v/>
      </c>
      <c r="AB44">
        <f>HYPERLINK("https://klasma.github.io/Logging_1782/klagomålsmail/A 23046-2023 FSC-klagomål mail.docx", "A 23046-2023")</f>
        <v/>
      </c>
      <c r="AC44">
        <f>HYPERLINK("https://klasma.github.io/Logging_1782/tillsyn/A 23046-2023 tillsynsbegäran.docx", "A 23046-2023")</f>
        <v/>
      </c>
      <c r="AD44">
        <f>HYPERLINK("https://klasma.github.io/Logging_1782/tillsynsmail/A 23046-2023 tillsynsbegäran mail.docx", "A 23046-2023")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46268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46268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46268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46268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46268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46268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46268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46268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46268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46268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46268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46268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46268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46268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46268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46268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46268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46268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46268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46268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46268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46268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46268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46268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46268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46268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46268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46268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46268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46268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46268</v>
      </c>
      <c r="F76" t="inlineStr">
        <is>
          <t>VÄRMLANDS LÄN</t>
        </is>
      </c>
      <c r="G76" t="inlineStr">
        <is>
          <t>FILIPSTAD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46268</v>
      </c>
      <c r="F77" t="inlineStr">
        <is>
          <t>VÄRMLANDS LÄN</t>
        </is>
      </c>
      <c r="G77" t="inlineStr">
        <is>
          <t>FILIPSTAD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46268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46268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46268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44963</v>
      </c>
      <c r="E81" s="1" t="n">
        <v>46268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46268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46268</v>
      </c>
      <c r="F83" t="inlineStr">
        <is>
          <t>VÄRMLANDS LÄN</t>
        </is>
      </c>
      <c r="G83" t="inlineStr">
        <is>
          <t>FILIPSTAD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46268</v>
      </c>
      <c r="F84" t="inlineStr">
        <is>
          <t>VÄRMLANDS LÄN</t>
        </is>
      </c>
      <c r="G84" t="inlineStr">
        <is>
          <t>FILIPSTAD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46268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46268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46268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45393</v>
      </c>
      <c r="E88" s="1" t="n">
        <v>46268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45742</v>
      </c>
      <c r="E89" s="1" t="n">
        <v>46268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46268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46268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44876</v>
      </c>
      <c r="E92" s="1" t="n">
        <v>46268</v>
      </c>
      <c r="F92" t="inlineStr">
        <is>
          <t>VÄRMLANDS LÄN</t>
        </is>
      </c>
      <c r="G92" t="inlineStr">
        <is>
          <t>FILIPSTAD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55978-2022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44889</v>
      </c>
      <c r="E93" s="1" t="n">
        <v>46268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45750</v>
      </c>
      <c r="E94" s="1" t="n">
        <v>46268</v>
      </c>
      <c r="F94" t="inlineStr">
        <is>
          <t>VÄRMLANDS LÄN</t>
        </is>
      </c>
      <c r="G94" t="inlineStr">
        <is>
          <t>FILIPSTAD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45223</v>
      </c>
      <c r="E95" s="1" t="n">
        <v>46268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46268</v>
      </c>
      <c r="F96" t="inlineStr">
        <is>
          <t>VÄRMLANDS LÄN</t>
        </is>
      </c>
      <c r="G96" t="inlineStr">
        <is>
          <t>FILIPSTAD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18138-2022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44684</v>
      </c>
      <c r="E97" s="1" t="n">
        <v>46268</v>
      </c>
      <c r="F97" t="inlineStr">
        <is>
          <t>VÄRMLANDS LÄN</t>
        </is>
      </c>
      <c r="G97" t="inlineStr">
        <is>
          <t>FILIPSTAD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46268</v>
      </c>
      <c r="F98" t="inlineStr">
        <is>
          <t>VÄRMLANDS LÄN</t>
        </is>
      </c>
      <c r="G98" t="inlineStr">
        <is>
          <t>FILIPSTAD</t>
        </is>
      </c>
      <c r="H98" t="inlineStr">
        <is>
          <t>Kyrkan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46268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44801</v>
      </c>
      <c r="E100" s="1" t="n">
        <v>46268</v>
      </c>
      <c r="F100" t="inlineStr">
        <is>
          <t>VÄRMLANDS LÄN</t>
        </is>
      </c>
      <c r="G100" t="inlineStr">
        <is>
          <t>FILIPSTAD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44445</v>
      </c>
      <c r="E101" s="1" t="n">
        <v>46268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46268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46268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15.5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46268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46268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46268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26116-2025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45805</v>
      </c>
      <c r="E107" s="1" t="n">
        <v>46268</v>
      </c>
      <c r="F107" t="inlineStr">
        <is>
          <t>VÄRMLANDS LÄN</t>
        </is>
      </c>
      <c r="G107" t="inlineStr">
        <is>
          <t>FILIPSTAD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26123-2025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46268</v>
      </c>
      <c r="F108" t="inlineStr">
        <is>
          <t>VÄRMLANDS LÄN</t>
        </is>
      </c>
      <c r="G108" t="inlineStr">
        <is>
          <t>FILIPSTAD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58611-2025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45986</v>
      </c>
      <c r="E109" s="1" t="n">
        <v>46268</v>
      </c>
      <c r="F109" t="inlineStr">
        <is>
          <t>VÄRMLANDS LÄN</t>
        </is>
      </c>
      <c r="G109" t="inlineStr">
        <is>
          <t>FILIPSTAD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46268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45153</v>
      </c>
      <c r="E111" s="1" t="n">
        <v>46268</v>
      </c>
      <c r="F111" t="inlineStr">
        <is>
          <t>VÄRMLANDS LÄN</t>
        </is>
      </c>
      <c r="G111" t="inlineStr">
        <is>
          <t>FILIPSTAD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45470</v>
      </c>
      <c r="E112" s="1" t="n">
        <v>46268</v>
      </c>
      <c r="F112" t="inlineStr">
        <is>
          <t>VÄRMLANDS LÄN</t>
        </is>
      </c>
      <c r="G112" t="inlineStr">
        <is>
          <t>FILIPSTAD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46268</v>
      </c>
      <c r="F113" t="inlineStr">
        <is>
          <t>VÄRMLANDS LÄN</t>
        </is>
      </c>
      <c r="G113" t="inlineStr">
        <is>
          <t>FILIPSTAD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26599-2024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45469</v>
      </c>
      <c r="E114" s="1" t="n">
        <v>46268</v>
      </c>
      <c r="F114" t="inlineStr">
        <is>
          <t>VÄRMLANDS LÄN</t>
        </is>
      </c>
      <c r="G114" t="inlineStr">
        <is>
          <t>FILIPSTAD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46268</v>
      </c>
      <c r="F115" t="inlineStr">
        <is>
          <t>VÄRMLANDS LÄN</t>
        </is>
      </c>
      <c r="G115" t="inlineStr">
        <is>
          <t>FILIPSTAD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46268</v>
      </c>
      <c r="F116" t="inlineStr">
        <is>
          <t>VÄRMLANDS LÄN</t>
        </is>
      </c>
      <c r="G116" t="inlineStr">
        <is>
          <t>FILIPSTAD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46268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46268</v>
      </c>
      <c r="F118" t="inlineStr">
        <is>
          <t>VÄRMLANDS LÄN</t>
        </is>
      </c>
      <c r="G118" t="inlineStr">
        <is>
          <t>FILIPSTAD</t>
        </is>
      </c>
      <c r="H118" t="inlineStr">
        <is>
          <t>Kyrkan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46268</v>
      </c>
      <c r="F119" t="inlineStr">
        <is>
          <t>VÄRMLANDS LÄN</t>
        </is>
      </c>
      <c r="G119" t="inlineStr">
        <is>
          <t>FILIPSTAD</t>
        </is>
      </c>
      <c r="I119" t="n">
        <v>23.3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46268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46268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46268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50856-2022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44867</v>
      </c>
      <c r="E123" s="1" t="n">
        <v>46268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31172-2025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45832</v>
      </c>
      <c r="E124" s="1" t="n">
        <v>46268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32032-2025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45835</v>
      </c>
      <c r="E125" s="1" t="n">
        <v>46268</v>
      </c>
      <c r="F125" t="inlineStr">
        <is>
          <t>VÄRMLANDS LÄN</t>
        </is>
      </c>
      <c r="G125" t="inlineStr">
        <is>
          <t>FILIPSTAD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41718-2025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45902</v>
      </c>
      <c r="E126" s="1" t="n">
        <v>46268</v>
      </c>
      <c r="F126" t="inlineStr">
        <is>
          <t>VÄRMLANDS LÄN</t>
        </is>
      </c>
      <c r="G126" t="inlineStr">
        <is>
          <t>FILIPSTAD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46268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46040</v>
      </c>
      <c r="E128" s="1" t="n">
        <v>46268</v>
      </c>
      <c r="F128" t="inlineStr">
        <is>
          <t>VÄRMLANDS LÄN</t>
        </is>
      </c>
      <c r="G128" t="inlineStr">
        <is>
          <t>FILIPSTAD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45063</v>
      </c>
      <c r="E129" s="1" t="n">
        <v>46268</v>
      </c>
      <c r="F129" t="inlineStr">
        <is>
          <t>VÄRMLANDS LÄN</t>
        </is>
      </c>
      <c r="G129" t="inlineStr">
        <is>
          <t>FILIPSTAD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46268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71971-2021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46268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46268</v>
      </c>
      <c r="F132" t="inlineStr">
        <is>
          <t>VÄRMLANDS LÄN</t>
        </is>
      </c>
      <c r="G132" t="inlineStr">
        <is>
          <t>FILIPSTAD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45688</v>
      </c>
      <c r="E133" s="1" t="n">
        <v>46268</v>
      </c>
      <c r="F133" t="inlineStr">
        <is>
          <t>VÄRMLANDS LÄN</t>
        </is>
      </c>
      <c r="G133" t="inlineStr">
        <is>
          <t>FILIPSTAD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46268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33407-2025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45841</v>
      </c>
      <c r="E135" s="1" t="n">
        <v>46268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46268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45826</v>
      </c>
      <c r="E137" s="1" t="n">
        <v>46268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46268</v>
      </c>
      <c r="F138" t="inlineStr">
        <is>
          <t>VÄRMLANDS LÄN</t>
        </is>
      </c>
      <c r="G138" t="inlineStr">
        <is>
          <t>FILIPSTAD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46268</v>
      </c>
      <c r="F139" t="inlineStr">
        <is>
          <t>VÄRMLANDS LÄN</t>
        </is>
      </c>
      <c r="G139" t="inlineStr">
        <is>
          <t>FILIPSTAD</t>
        </is>
      </c>
      <c r="H139" t="inlineStr">
        <is>
          <t>Kyrkan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46268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46268</v>
      </c>
      <c r="F141" t="inlineStr">
        <is>
          <t>VÄRMLANDS LÄN</t>
        </is>
      </c>
      <c r="G141" t="inlineStr">
        <is>
          <t>FILIPSTAD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46268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46268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46268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46268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45870</v>
      </c>
      <c r="E146" s="1" t="n">
        <v>46268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33368-2022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44788</v>
      </c>
      <c r="E147" s="1" t="n">
        <v>46268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46268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46268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29825-2023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45107</v>
      </c>
      <c r="E150" s="1" t="n">
        <v>46268</v>
      </c>
      <c r="F150" t="inlineStr">
        <is>
          <t>VÄRMLANDS LÄN</t>
        </is>
      </c>
      <c r="G150" t="inlineStr">
        <is>
          <t>FILIPSTAD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45932</v>
      </c>
      <c r="E151" s="1" t="n">
        <v>46268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46268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45114</v>
      </c>
      <c r="E153" s="1" t="n">
        <v>46268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45712</v>
      </c>
      <c r="E154" s="1" t="n">
        <v>46268</v>
      </c>
      <c r="F154" t="inlineStr">
        <is>
          <t>VÄRMLANDS LÄN</t>
        </is>
      </c>
      <c r="G154" t="inlineStr">
        <is>
          <t>FILIPSTAD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45882</v>
      </c>
      <c r="E155" s="1" t="n">
        <v>46268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46268</v>
      </c>
      <c r="F156" t="inlineStr">
        <is>
          <t>VÄRMLANDS LÄN</t>
        </is>
      </c>
      <c r="G156" t="inlineStr">
        <is>
          <t>FILIPSTAD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46268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46268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46268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46056</v>
      </c>
      <c r="E160" s="1" t="n">
        <v>46268</v>
      </c>
      <c r="F160" t="inlineStr">
        <is>
          <t>VÄRMLANDS LÄN</t>
        </is>
      </c>
      <c r="G160" t="inlineStr">
        <is>
          <t>FILIPSTAD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46268</v>
      </c>
      <c r="F161" t="inlineStr">
        <is>
          <t>VÄRMLANDS LÄN</t>
        </is>
      </c>
      <c r="G161" t="inlineStr">
        <is>
          <t>FILIPSTAD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46268</v>
      </c>
      <c r="F162" t="inlineStr">
        <is>
          <t>VÄRMLANDS LÄN</t>
        </is>
      </c>
      <c r="G162" t="inlineStr">
        <is>
          <t>FILIPSTAD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46268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46268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46268</v>
      </c>
      <c r="F165" t="inlineStr">
        <is>
          <t>VÄRMLANDS LÄN</t>
        </is>
      </c>
      <c r="G165" t="inlineStr">
        <is>
          <t>FILIPSTAD</t>
        </is>
      </c>
      <c r="H165" t="inlineStr">
        <is>
          <t>Kyrkan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46268</v>
      </c>
      <c r="F166" t="inlineStr">
        <is>
          <t>VÄRMLANDS LÄN</t>
        </is>
      </c>
      <c r="G166" t="inlineStr">
        <is>
          <t>FILIPSTAD</t>
        </is>
      </c>
      <c r="H166" t="inlineStr">
        <is>
          <t>Kyrkan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46268</v>
      </c>
      <c r="F167" t="inlineStr">
        <is>
          <t>VÄRMLANDS LÄN</t>
        </is>
      </c>
      <c r="G167" t="inlineStr">
        <is>
          <t>FILIPSTAD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22830-2023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45072</v>
      </c>
      <c r="E168" s="1" t="n">
        <v>46268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22866-2023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45072</v>
      </c>
      <c r="E169" s="1" t="n">
        <v>46268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46268</v>
      </c>
      <c r="F170" t="inlineStr">
        <is>
          <t>VÄRMLANDS LÄN</t>
        </is>
      </c>
      <c r="G170" t="inlineStr">
        <is>
          <t>FILIPSTAD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46268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46268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46064</v>
      </c>
      <c r="E173" s="1" t="n">
        <v>46268</v>
      </c>
      <c r="F173" t="inlineStr">
        <is>
          <t>VÄRMLANDS LÄN</t>
        </is>
      </c>
      <c r="G173" t="inlineStr">
        <is>
          <t>FILIPSTAD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46268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46268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45968</v>
      </c>
      <c r="E176" s="1" t="n">
        <v>46268</v>
      </c>
      <c r="F176" t="inlineStr">
        <is>
          <t>VÄRMLANDS LÄN</t>
        </is>
      </c>
      <c r="G176" t="inlineStr">
        <is>
          <t>FILIPSTAD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45968</v>
      </c>
      <c r="E177" s="1" t="n">
        <v>46268</v>
      </c>
      <c r="F177" t="inlineStr">
        <is>
          <t>VÄRMLANDS LÄN</t>
        </is>
      </c>
      <c r="G177" t="inlineStr">
        <is>
          <t>FILIPSTAD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46268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46268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46268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9.199999999999999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46268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46268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46268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46268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46268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46268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46268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45972</v>
      </c>
      <c r="E188" s="1" t="n">
        <v>46268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46268</v>
      </c>
      <c r="F189" t="inlineStr">
        <is>
          <t>VÄRMLANDS LÄN</t>
        </is>
      </c>
      <c r="G189" t="inlineStr">
        <is>
          <t>FILIPSTAD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46268</v>
      </c>
      <c r="F190" t="inlineStr">
        <is>
          <t>VÄRMLANDS LÄN</t>
        </is>
      </c>
      <c r="G190" t="inlineStr">
        <is>
          <t>FILIPSTAD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46268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46268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46268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46268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46268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56925-2025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46268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18.8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19351-2025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45769</v>
      </c>
      <c r="E197" s="1" t="n">
        <v>46268</v>
      </c>
      <c r="F197" t="inlineStr">
        <is>
          <t>VÄRMLANDS LÄN</t>
        </is>
      </c>
      <c r="G197" t="inlineStr">
        <is>
          <t>FILIPSTAD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45246</v>
      </c>
      <c r="E198" s="1" t="n">
        <v>46268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46268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46268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46268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46268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45671</v>
      </c>
      <c r="E203" s="1" t="n">
        <v>46268</v>
      </c>
      <c r="F203" t="inlineStr">
        <is>
          <t>VÄRMLANDS LÄN</t>
        </is>
      </c>
      <c r="G203" t="inlineStr">
        <is>
          <t>FILIPSTAD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45299</v>
      </c>
      <c r="E204" s="1" t="n">
        <v>46268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45407</v>
      </c>
      <c r="E205" s="1" t="n">
        <v>46268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46268</v>
      </c>
      <c r="F206" t="inlineStr">
        <is>
          <t>VÄRMLANDS LÄN</t>
        </is>
      </c>
      <c r="G206" t="inlineStr">
        <is>
          <t>FILIPSTAD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46268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45989</v>
      </c>
      <c r="E208" s="1" t="n">
        <v>46268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46268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46268</v>
      </c>
      <c r="F210" t="inlineStr">
        <is>
          <t>VÄRMLANDS LÄN</t>
        </is>
      </c>
      <c r="G210" t="inlineStr">
        <is>
          <t>FILIPSTAD</t>
        </is>
      </c>
      <c r="I210" t="n">
        <v>11.7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46268</v>
      </c>
      <c r="F211" t="inlineStr">
        <is>
          <t>VÄRMLANDS LÄN</t>
        </is>
      </c>
      <c r="G211" t="inlineStr">
        <is>
          <t>FILIPSTAD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46268</v>
      </c>
      <c r="F212" t="inlineStr">
        <is>
          <t>VÄRMLANDS LÄN</t>
        </is>
      </c>
      <c r="G212" t="inlineStr">
        <is>
          <t>FILIPSTAD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46268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45992</v>
      </c>
      <c r="E214" s="1" t="n">
        <v>46268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46268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46268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45993</v>
      </c>
      <c r="E217" s="1" t="n">
        <v>46268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12943-2026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46268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46268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45995</v>
      </c>
      <c r="E220" s="1" t="n">
        <v>46268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46092</v>
      </c>
      <c r="E221" s="1" t="n">
        <v>46268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46268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46268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46094</v>
      </c>
      <c r="E224" s="1" t="n">
        <v>46268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46268</v>
      </c>
      <c r="F225" t="inlineStr">
        <is>
          <t>VÄRMLANDS LÄN</t>
        </is>
      </c>
      <c r="G225" t="inlineStr">
        <is>
          <t>FILIPSTAD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45996</v>
      </c>
      <c r="E226" s="1" t="n">
        <v>46268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63482-2021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44508</v>
      </c>
      <c r="E227" s="1" t="n">
        <v>46268</v>
      </c>
      <c r="F227" t="inlineStr">
        <is>
          <t>VÄRMLANDS LÄN</t>
        </is>
      </c>
      <c r="G227" t="inlineStr">
        <is>
          <t>FILIPSTAD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46268</v>
      </c>
      <c r="F228" t="inlineStr">
        <is>
          <t>VÄRMLANDS LÄN</t>
        </is>
      </c>
      <c r="G228" t="inlineStr">
        <is>
          <t>FILIPSTAD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61492-2025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46001</v>
      </c>
      <c r="E229" s="1" t="n">
        <v>46268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46268</v>
      </c>
      <c r="F230" t="inlineStr">
        <is>
          <t>VÄRMLANDS LÄN</t>
        </is>
      </c>
      <c r="G230" t="inlineStr">
        <is>
          <t>FILIPSTAD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46268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45744</v>
      </c>
      <c r="E232" s="1" t="n">
        <v>46268</v>
      </c>
      <c r="F232" t="inlineStr">
        <is>
          <t>VÄRMLANDS LÄN</t>
        </is>
      </c>
      <c r="G232" t="inlineStr">
        <is>
          <t>FILIPSTAD</t>
        </is>
      </c>
      <c r="H232" t="inlineStr">
        <is>
          <t>Kommuner</t>
        </is>
      </c>
      <c r="I232" t="n">
        <v>17.7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46268</v>
      </c>
      <c r="F233" t="inlineStr">
        <is>
          <t>VÄRMLANDS LÄN</t>
        </is>
      </c>
      <c r="G233" t="inlineStr">
        <is>
          <t>FILIPSTAD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56840-2024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45628</v>
      </c>
      <c r="E234" s="1" t="n">
        <v>46268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46268</v>
      </c>
      <c r="F235" t="inlineStr">
        <is>
          <t>VÄRMLANDS LÄN</t>
        </is>
      </c>
      <c r="G235" t="inlineStr">
        <is>
          <t>FILIPSTAD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46268</v>
      </c>
      <c r="F236" t="inlineStr">
        <is>
          <t>VÄRMLANDS LÄN</t>
        </is>
      </c>
      <c r="G236" t="inlineStr">
        <is>
          <t>FILIPSTAD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61417-2025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46001</v>
      </c>
      <c r="E237" s="1" t="n">
        <v>46268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46268</v>
      </c>
      <c r="F238" t="inlineStr">
        <is>
          <t>VÄRMLANDS LÄN</t>
        </is>
      </c>
      <c r="G238" t="inlineStr">
        <is>
          <t>FILIPSTAD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61327-2025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46001</v>
      </c>
      <c r="E239" s="1" t="n">
        <v>46268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46268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45408</v>
      </c>
      <c r="E241" s="1" t="n">
        <v>46268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61823-2025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46003</v>
      </c>
      <c r="E242" s="1" t="n">
        <v>46268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46268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46268</v>
      </c>
      <c r="F244" t="inlineStr">
        <is>
          <t>VÄRMLANDS LÄN</t>
        </is>
      </c>
      <c r="G244" t="inlineStr">
        <is>
          <t>FILIPSTAD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46268</v>
      </c>
      <c r="F245" t="inlineStr">
        <is>
          <t>VÄRMLANDS LÄN</t>
        </is>
      </c>
      <c r="G245" t="inlineStr">
        <is>
          <t>FILIPSTAD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46268</v>
      </c>
      <c r="F246" t="inlineStr">
        <is>
          <t>VÄRMLANDS LÄN</t>
        </is>
      </c>
      <c r="G246" t="inlineStr">
        <is>
          <t>FILIPSTAD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46268</v>
      </c>
      <c r="F247" t="inlineStr">
        <is>
          <t>VÄRMLANDS LÄN</t>
        </is>
      </c>
      <c r="G247" t="inlineStr">
        <is>
          <t>FILIPSTAD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46268</v>
      </c>
      <c r="F248" t="inlineStr">
        <is>
          <t>VÄRMLANDS LÄN</t>
        </is>
      </c>
      <c r="G248" t="inlineStr">
        <is>
          <t>FILIPSTAD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46268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46268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46268</v>
      </c>
      <c r="F251" t="inlineStr">
        <is>
          <t>VÄRMLANDS LÄN</t>
        </is>
      </c>
      <c r="G251" t="inlineStr">
        <is>
          <t>FILIPSTAD</t>
        </is>
      </c>
      <c r="I251" t="n">
        <v>15.5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46268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46004</v>
      </c>
      <c r="E253" s="1" t="n">
        <v>46268</v>
      </c>
      <c r="F253" t="inlineStr">
        <is>
          <t>VÄRMLANDS LÄN</t>
        </is>
      </c>
      <c r="G253" t="inlineStr">
        <is>
          <t>FILIPSTAD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45087</v>
      </c>
      <c r="E254" s="1" t="n">
        <v>46268</v>
      </c>
      <c r="F254" t="inlineStr">
        <is>
          <t>VÄRMLANDS LÄN</t>
        </is>
      </c>
      <c r="G254" t="inlineStr">
        <is>
          <t>FILIPSTAD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45088</v>
      </c>
      <c r="E255" s="1" t="n">
        <v>46268</v>
      </c>
      <c r="F255" t="inlineStr">
        <is>
          <t>VÄRMLANDS LÄN</t>
        </is>
      </c>
      <c r="G255" t="inlineStr">
        <is>
          <t>FILIPSTAD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46004</v>
      </c>
      <c r="E256" s="1" t="n">
        <v>46268</v>
      </c>
      <c r="F256" t="inlineStr">
        <is>
          <t>VÄRMLANDS LÄN</t>
        </is>
      </c>
      <c r="G256" t="inlineStr">
        <is>
          <t>FILIPSTAD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46268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46098</v>
      </c>
      <c r="E258" s="1" t="n">
        <v>46268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46099</v>
      </c>
      <c r="E259" s="1" t="n">
        <v>46268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46268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46268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46268</v>
      </c>
      <c r="F262" t="inlineStr">
        <is>
          <t>VÄRMLANDS LÄN</t>
        </is>
      </c>
      <c r="G262" t="inlineStr">
        <is>
          <t>FILIPSTAD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46268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46268</v>
      </c>
      <c r="F264" t="inlineStr">
        <is>
          <t>VÄRMLANDS LÄN</t>
        </is>
      </c>
      <c r="G264" t="inlineStr">
        <is>
          <t>FILIPSTAD</t>
        </is>
      </c>
      <c r="I264" t="n">
        <v>9.9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46268</v>
      </c>
      <c r="F265" t="inlineStr">
        <is>
          <t>VÄRMLANDS LÄN</t>
        </is>
      </c>
      <c r="G265" t="inlineStr">
        <is>
          <t>FILIPSTAD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46268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45257</v>
      </c>
      <c r="E267" s="1" t="n">
        <v>46268</v>
      </c>
      <c r="F267" t="inlineStr">
        <is>
          <t>VÄRMLANDS LÄN</t>
        </is>
      </c>
      <c r="G267" t="inlineStr">
        <is>
          <t>FILIPSTAD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28161-2023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45093</v>
      </c>
      <c r="E268" s="1" t="n">
        <v>46268</v>
      </c>
      <c r="F268" t="inlineStr">
        <is>
          <t>VÄRMLANDS LÄN</t>
        </is>
      </c>
      <c r="G268" t="inlineStr">
        <is>
          <t>FILIPSTAD</t>
        </is>
      </c>
      <c r="H268" t="inlineStr">
        <is>
          <t>Kommuner</t>
        </is>
      </c>
      <c r="I268" t="n">
        <v>15.4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46268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46268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46268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46268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45436</v>
      </c>
      <c r="E273" s="1" t="n">
        <v>46268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45418</v>
      </c>
      <c r="E274" s="1" t="n">
        <v>46268</v>
      </c>
      <c r="F274" t="inlineStr">
        <is>
          <t>VÄRMLANDS LÄN</t>
        </is>
      </c>
      <c r="G274" t="inlineStr">
        <is>
          <t>FILIPSTAD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16009-2026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46268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46268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46268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46268</v>
      </c>
      <c r="F278" t="inlineStr">
        <is>
          <t>VÄRMLANDS LÄN</t>
        </is>
      </c>
      <c r="G278" t="inlineStr">
        <is>
          <t>FILIPSTAD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46268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16040-2026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46108</v>
      </c>
      <c r="E280" s="1" t="n">
        <v>46268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46268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46268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46268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45229</v>
      </c>
      <c r="E284" s="1" t="n">
        <v>46268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46268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46268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46120</v>
      </c>
      <c r="E287" s="1" t="n">
        <v>46268</v>
      </c>
      <c r="F287" t="inlineStr">
        <is>
          <t>VÄRMLANDS LÄN</t>
        </is>
      </c>
      <c r="G287" t="inlineStr">
        <is>
          <t>FILIPSTAD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45012</v>
      </c>
      <c r="E288" s="1" t="n">
        <v>46268</v>
      </c>
      <c r="F288" t="inlineStr">
        <is>
          <t>VÄRMLANDS LÄN</t>
        </is>
      </c>
      <c r="G288" t="inlineStr">
        <is>
          <t>FILIPSTAD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46268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46268</v>
      </c>
      <c r="F290" t="inlineStr">
        <is>
          <t>VÄRMLANDS LÄN</t>
        </is>
      </c>
      <c r="G290" t="inlineStr">
        <is>
          <t>FILIPSTAD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46268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46268</v>
      </c>
      <c r="F292" t="inlineStr">
        <is>
          <t>VÄRMLANDS LÄN</t>
        </is>
      </c>
      <c r="G292" t="inlineStr">
        <is>
          <t>FILIPSTAD</t>
        </is>
      </c>
      <c r="H292" t="inlineStr">
        <is>
          <t>Kommuner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46268</v>
      </c>
      <c r="F293" t="inlineStr">
        <is>
          <t>VÄRMLANDS LÄN</t>
        </is>
      </c>
      <c r="G293" t="inlineStr">
        <is>
          <t>FILIPSTAD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46268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45428</v>
      </c>
      <c r="E295" s="1" t="n">
        <v>46268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46268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46268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36251-2022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44803</v>
      </c>
      <c r="E298" s="1" t="n">
        <v>46268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45364</v>
      </c>
      <c r="E299" s="1" t="n">
        <v>46268</v>
      </c>
      <c r="F299" t="inlineStr">
        <is>
          <t>VÄRMLANDS LÄN</t>
        </is>
      </c>
      <c r="G299" t="inlineStr">
        <is>
          <t>FILIPSTAD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45658</v>
      </c>
      <c r="E300" s="1" t="n">
        <v>46268</v>
      </c>
      <c r="F300" t="inlineStr">
        <is>
          <t>VÄRMLANDS LÄN</t>
        </is>
      </c>
      <c r="G300" t="inlineStr">
        <is>
          <t>FILIPSTAD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46129</v>
      </c>
      <c r="E301" s="1" t="n">
        <v>46268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24.9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46127</v>
      </c>
      <c r="E302" s="1" t="n">
        <v>46268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45152</v>
      </c>
      <c r="E303" s="1" t="n">
        <v>46268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44951</v>
      </c>
      <c r="E304" s="1" t="n">
        <v>46268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46127</v>
      </c>
      <c r="E305" s="1" t="n">
        <v>46268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46268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46268</v>
      </c>
      <c r="F307" t="inlineStr">
        <is>
          <t>VÄRMLANDS LÄN</t>
        </is>
      </c>
      <c r="G307" t="inlineStr">
        <is>
          <t>FILIPSTAD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46268</v>
      </c>
      <c r="F308" t="inlineStr">
        <is>
          <t>VÄRMLANDS LÄN</t>
        </is>
      </c>
      <c r="G308" t="inlineStr">
        <is>
          <t>FILIPSTAD</t>
        </is>
      </c>
      <c r="H308" t="inlineStr">
        <is>
          <t>Kommuner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46268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46268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46268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15471-2024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45401</v>
      </c>
      <c r="E312" s="1" t="n">
        <v>46268</v>
      </c>
      <c r="F312" t="inlineStr">
        <is>
          <t>VÄRMLANDS LÄN</t>
        </is>
      </c>
      <c r="G312" t="inlineStr">
        <is>
          <t>FILIPSTAD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45618</v>
      </c>
      <c r="E313" s="1" t="n">
        <v>46268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45384</v>
      </c>
      <c r="E314" s="1" t="n">
        <v>46268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46135</v>
      </c>
      <c r="E315" s="1" t="n">
        <v>46268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46268</v>
      </c>
      <c r="F316" t="inlineStr">
        <is>
          <t>VÄRMLANDS LÄN</t>
        </is>
      </c>
      <c r="G316" t="inlineStr">
        <is>
          <t>FILIPSTAD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45484</v>
      </c>
      <c r="E317" s="1" t="n">
        <v>46268</v>
      </c>
      <c r="F317" t="inlineStr">
        <is>
          <t>VÄRMLANDS LÄN</t>
        </is>
      </c>
      <c r="G317" t="inlineStr">
        <is>
          <t>FILIPSTAD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45327</v>
      </c>
      <c r="E318" s="1" t="n">
        <v>46268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46134</v>
      </c>
      <c r="E319" s="1" t="n">
        <v>46268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46134</v>
      </c>
      <c r="E320" s="1" t="n">
        <v>46268</v>
      </c>
      <c r="F320" t="inlineStr">
        <is>
          <t>VÄRMLANDS LÄN</t>
        </is>
      </c>
      <c r="G320" t="inlineStr">
        <is>
          <t>FILIPSTAD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46134</v>
      </c>
      <c r="E321" s="1" t="n">
        <v>46268</v>
      </c>
      <c r="F321" t="inlineStr">
        <is>
          <t>VÄRMLANDS LÄN</t>
        </is>
      </c>
      <c r="G321" t="inlineStr">
        <is>
          <t>FILIPSTAD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46268</v>
      </c>
      <c r="F322" t="inlineStr">
        <is>
          <t>VÄRMLANDS LÄN</t>
        </is>
      </c>
      <c r="G322" t="inlineStr">
        <is>
          <t>FILIPSTAD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46268</v>
      </c>
      <c r="F323" t="inlineStr">
        <is>
          <t>VÄRMLANDS LÄN</t>
        </is>
      </c>
      <c r="G323" t="inlineStr">
        <is>
          <t>FILIPSTAD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46268</v>
      </c>
      <c r="F324" t="inlineStr">
        <is>
          <t>VÄRMLANDS LÄN</t>
        </is>
      </c>
      <c r="G324" t="inlineStr">
        <is>
          <t>FILIPSTAD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45882</v>
      </c>
      <c r="E325" s="1" t="n">
        <v>46268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57456-2022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46268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46268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45602</v>
      </c>
      <c r="E328" s="1" t="n">
        <v>46268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46268</v>
      </c>
      <c r="F329" t="inlineStr">
        <is>
          <t>VÄRMLANDS LÄN</t>
        </is>
      </c>
      <c r="G329" t="inlineStr">
        <is>
          <t>FILIPSTAD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45391</v>
      </c>
      <c r="E330" s="1" t="n">
        <v>46268</v>
      </c>
      <c r="F330" t="inlineStr">
        <is>
          <t>VÄRMLANDS LÄN</t>
        </is>
      </c>
      <c r="G330" t="inlineStr">
        <is>
          <t>FILIPSTAD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70405-2021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46268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44579</v>
      </c>
      <c r="E332" s="1" t="n">
        <v>46268</v>
      </c>
      <c r="F332" t="inlineStr">
        <is>
          <t>VÄRMLANDS LÄN</t>
        </is>
      </c>
      <c r="G332" t="inlineStr">
        <is>
          <t>FILIPSTAD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46136</v>
      </c>
      <c r="E333" s="1" t="n">
        <v>46268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18210-2024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45420</v>
      </c>
      <c r="E334" s="1" t="n">
        <v>46268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44911</v>
      </c>
      <c r="E335" s="1" t="n">
        <v>46268</v>
      </c>
      <c r="F335" t="inlineStr">
        <is>
          <t>VÄRMLANDS LÄN</t>
        </is>
      </c>
      <c r="G335" t="inlineStr">
        <is>
          <t>FILIPSTAD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46268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45790</v>
      </c>
      <c r="E337" s="1" t="n">
        <v>46268</v>
      </c>
      <c r="F337" t="inlineStr">
        <is>
          <t>VÄRMLANDS LÄN</t>
        </is>
      </c>
      <c r="G337" t="inlineStr">
        <is>
          <t>FILIPSTAD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46268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46268</v>
      </c>
      <c r="F339" t="inlineStr">
        <is>
          <t>VÄRMLANDS LÄN</t>
        </is>
      </c>
      <c r="G339" t="inlineStr">
        <is>
          <t>FILIPSTAD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46136</v>
      </c>
      <c r="E340" s="1" t="n">
        <v>46268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46136</v>
      </c>
      <c r="E341" s="1" t="n">
        <v>46268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45789</v>
      </c>
      <c r="E342" s="1" t="n">
        <v>46268</v>
      </c>
      <c r="F342" t="inlineStr">
        <is>
          <t>VÄRMLANDS LÄN</t>
        </is>
      </c>
      <c r="G342" t="inlineStr">
        <is>
          <t>FILIPSTAD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46268</v>
      </c>
      <c r="F343" t="inlineStr">
        <is>
          <t>VÄRMLANDS LÄN</t>
        </is>
      </c>
      <c r="G343" t="inlineStr">
        <is>
          <t>FILIPSTAD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44789</v>
      </c>
      <c r="E344" s="1" t="n">
        <v>46268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46268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36827-2022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44805</v>
      </c>
      <c r="E346" s="1" t="n">
        <v>46268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45891</v>
      </c>
      <c r="E347" s="1" t="n">
        <v>46268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45202</v>
      </c>
      <c r="E348" s="1" t="n">
        <v>46268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45819</v>
      </c>
      <c r="E349" s="1" t="n">
        <v>46268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45133</v>
      </c>
      <c r="E350" s="1" t="n">
        <v>46268</v>
      </c>
      <c r="F350" t="inlineStr">
        <is>
          <t>VÄRMLANDS LÄN</t>
        </is>
      </c>
      <c r="G350" t="inlineStr">
        <is>
          <t>FILIPSTAD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46268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46268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46268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46268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46268</v>
      </c>
      <c r="F355" t="inlineStr">
        <is>
          <t>VÄRMLANDS LÄN</t>
        </is>
      </c>
      <c r="G355" t="inlineStr">
        <is>
          <t>FILIPSTAD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45867</v>
      </c>
      <c r="E356" s="1" t="n">
        <v>46268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46141</v>
      </c>
      <c r="E357" s="1" t="n">
        <v>46268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45456</v>
      </c>
      <c r="E358" s="1" t="n">
        <v>46268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46268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20554-2025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45775</v>
      </c>
      <c r="E360" s="1" t="n">
        <v>46268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20801-2026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46141</v>
      </c>
      <c r="E361" s="1" t="n">
        <v>46268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45456</v>
      </c>
      <c r="E362" s="1" t="n">
        <v>46268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46268</v>
      </c>
      <c r="F363" t="inlineStr">
        <is>
          <t>VÄRMLANDS LÄN</t>
        </is>
      </c>
      <c r="G363" t="inlineStr">
        <is>
          <t>FILIPSTAD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54008-2021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44470</v>
      </c>
      <c r="E364" s="1" t="n">
        <v>46268</v>
      </c>
      <c r="F364" t="inlineStr">
        <is>
          <t>VÄRMLANDS LÄN</t>
        </is>
      </c>
      <c r="G364" t="inlineStr">
        <is>
          <t>FILIPSTAD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46142</v>
      </c>
      <c r="E365" s="1" t="n">
        <v>46268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46257-2022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44847</v>
      </c>
      <c r="E366" s="1" t="n">
        <v>46268</v>
      </c>
      <c r="F366" t="inlineStr">
        <is>
          <t>VÄRMLANDS LÄN</t>
        </is>
      </c>
      <c r="G366" t="inlineStr">
        <is>
          <t>FILIPSTAD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46268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46268</v>
      </c>
      <c r="F368" t="inlineStr">
        <is>
          <t>VÄRMLANDS LÄN</t>
        </is>
      </c>
      <c r="G368" t="inlineStr">
        <is>
          <t>FILIPSTAD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46268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46268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46268</v>
      </c>
      <c r="F371" t="inlineStr">
        <is>
          <t>VÄRMLANDS LÄN</t>
        </is>
      </c>
      <c r="G371" t="inlineStr">
        <is>
          <t>FILIPSTAD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46268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22201-2026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46268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46268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46268</v>
      </c>
      <c r="F375" t="inlineStr">
        <is>
          <t>VÄRMLANDS LÄN</t>
        </is>
      </c>
      <c r="G375" t="inlineStr">
        <is>
          <t>FILIPSTAD</t>
        </is>
      </c>
      <c r="I375" t="n">
        <v>15.8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46268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22112-2026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46268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46268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46268</v>
      </c>
      <c r="F379" t="inlineStr">
        <is>
          <t>VÄRMLANDS LÄN</t>
        </is>
      </c>
      <c r="G379" t="inlineStr">
        <is>
          <t>FILIPSTAD</t>
        </is>
      </c>
      <c r="H379" t="inlineStr">
        <is>
          <t>Kommuner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46268</v>
      </c>
      <c r="F380" t="inlineStr">
        <is>
          <t>VÄRMLANDS LÄN</t>
        </is>
      </c>
      <c r="G380" t="inlineStr">
        <is>
          <t>FILIPSTAD</t>
        </is>
      </c>
      <c r="I380" t="n">
        <v>10.8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46268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29473-2024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45484</v>
      </c>
      <c r="E382" s="1" t="n">
        <v>46268</v>
      </c>
      <c r="F382" t="inlineStr">
        <is>
          <t>VÄRMLANDS LÄN</t>
        </is>
      </c>
      <c r="G382" t="inlineStr">
        <is>
          <t>FILIPSTAD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46268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46268</v>
      </c>
      <c r="F384" t="inlineStr">
        <is>
          <t>VÄRMLANDS LÄN</t>
        </is>
      </c>
      <c r="G384" t="inlineStr">
        <is>
          <t>FILIPSTAD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46268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44588</v>
      </c>
      <c r="E386" s="1" t="n">
        <v>46268</v>
      </c>
      <c r="F386" t="inlineStr">
        <is>
          <t>VÄRMLANDS LÄN</t>
        </is>
      </c>
      <c r="G386" t="inlineStr">
        <is>
          <t>FILIPSTAD</t>
        </is>
      </c>
      <c r="H386" t="inlineStr">
        <is>
          <t>Kommuner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46268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21593-2023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45063</v>
      </c>
      <c r="E388" s="1" t="n">
        <v>46268</v>
      </c>
      <c r="F388" t="inlineStr">
        <is>
          <t>VÄRMLANDS LÄN</t>
        </is>
      </c>
      <c r="G388" t="inlineStr">
        <is>
          <t>FILIPSTAD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46268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45203</v>
      </c>
      <c r="E390" s="1" t="n">
        <v>46268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45463</v>
      </c>
      <c r="E391" s="1" t="n">
        <v>46268</v>
      </c>
      <c r="F391" t="inlineStr">
        <is>
          <t>VÄRMLANDS LÄN</t>
        </is>
      </c>
      <c r="G391" t="inlineStr">
        <is>
          <t>FILIPSTAD</t>
        </is>
      </c>
      <c r="I391" t="n">
        <v>13.2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44579</v>
      </c>
      <c r="E392" s="1" t="n">
        <v>46268</v>
      </c>
      <c r="F392" t="inlineStr">
        <is>
          <t>VÄRMLANDS LÄN</t>
        </is>
      </c>
      <c r="G392" t="inlineStr">
        <is>
          <t>FILIPSTAD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46268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46268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46268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46268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46268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8.699999999999999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45077</v>
      </c>
      <c r="E398" s="1" t="n">
        <v>46268</v>
      </c>
      <c r="F398" t="inlineStr">
        <is>
          <t>VÄRMLANDS LÄN</t>
        </is>
      </c>
      <c r="G398" t="inlineStr">
        <is>
          <t>FILIPSTAD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46268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46268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46268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46268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46268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46268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46268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46268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23970-2026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46268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46268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46268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46268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46268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46268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46268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45516-2024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45578</v>
      </c>
      <c r="E414" s="1" t="n">
        <v>46268</v>
      </c>
      <c r="F414" t="inlineStr">
        <is>
          <t>VÄRMLANDS LÄN</t>
        </is>
      </c>
      <c r="G414" t="inlineStr">
        <is>
          <t>FILIPSTAD</t>
        </is>
      </c>
      <c r="I414" t="n">
        <v>27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32262-2023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45120</v>
      </c>
      <c r="E415" s="1" t="n">
        <v>46268</v>
      </c>
      <c r="F415" t="inlineStr">
        <is>
          <t>VÄRMLANDS LÄN</t>
        </is>
      </c>
      <c r="G415" t="inlineStr">
        <is>
          <t>FILIPSTAD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46169</v>
      </c>
      <c r="E416" s="1" t="n">
        <v>46268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46268</v>
      </c>
      <c r="F417" t="inlineStr">
        <is>
          <t>VÄRMLANDS LÄN</t>
        </is>
      </c>
      <c r="G417" t="inlineStr">
        <is>
          <t>FILIPSTAD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46268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46169</v>
      </c>
      <c r="E419" s="1" t="n">
        <v>46268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49935-2025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45940</v>
      </c>
      <c r="E420" s="1" t="n">
        <v>46268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46268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46268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46268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46268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46268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46268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46268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47344-2023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45202</v>
      </c>
      <c r="E428" s="1" t="n">
        <v>46268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46268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8.5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45418</v>
      </c>
      <c r="E430" s="1" t="n">
        <v>46268</v>
      </c>
      <c r="F430" t="inlineStr">
        <is>
          <t>VÄRMLANDS LÄN</t>
        </is>
      </c>
      <c r="G430" t="inlineStr">
        <is>
          <t>FILIPSTAD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46268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45749</v>
      </c>
      <c r="E432" s="1" t="n">
        <v>46268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46171</v>
      </c>
      <c r="E433" s="1" t="n">
        <v>46268</v>
      </c>
      <c r="F433" t="inlineStr">
        <is>
          <t>VÄRMLANDS LÄN</t>
        </is>
      </c>
      <c r="G433" t="inlineStr">
        <is>
          <t>FILIPSTAD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46268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46268</v>
      </c>
      <c r="F435" t="inlineStr">
        <is>
          <t>VÄRMLANDS LÄN</t>
        </is>
      </c>
      <c r="G435" t="inlineStr">
        <is>
          <t>FILIPSTAD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46268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45616</v>
      </c>
      <c r="E437" s="1" t="n">
        <v>46268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46268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55397-2022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44887</v>
      </c>
      <c r="E439" s="1" t="n">
        <v>46268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46268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45173</v>
      </c>
      <c r="E441" s="1" t="n">
        <v>46268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46268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45014</v>
      </c>
      <c r="E443" s="1" t="n">
        <v>46268</v>
      </c>
      <c r="F443" t="inlineStr">
        <is>
          <t>VÄRMLANDS LÄN</t>
        </is>
      </c>
      <c r="G443" t="inlineStr">
        <is>
          <t>FILIPSTAD</t>
        </is>
      </c>
      <c r="H443" t="inlineStr">
        <is>
          <t>Kyrkan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46268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4819-2023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44957</v>
      </c>
      <c r="E445" s="1" t="n">
        <v>46268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46182</v>
      </c>
      <c r="E446" s="1" t="n">
        <v>46268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46268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46268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46268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46268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46268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46181</v>
      </c>
      <c r="E452" s="1" t="n">
        <v>46268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46268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31699-2026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46226</v>
      </c>
      <c r="E454" s="1" t="n">
        <v>46268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45474</v>
      </c>
      <c r="E455" s="1" t="n">
        <v>46268</v>
      </c>
      <c r="F455" t="inlineStr">
        <is>
          <t>VÄRMLANDS LÄN</t>
        </is>
      </c>
      <c r="G455" t="inlineStr">
        <is>
          <t>FILIPSTAD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46268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46268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32185-2024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45511</v>
      </c>
      <c r="E458" s="1" t="n">
        <v>46268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46268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44596</v>
      </c>
      <c r="E460" s="1" t="n">
        <v>46268</v>
      </c>
      <c r="F460" t="inlineStr">
        <is>
          <t>VÄRMLANDS LÄN</t>
        </is>
      </c>
      <c r="G460" t="inlineStr">
        <is>
          <t>FILIPSTAD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43635-2023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45186</v>
      </c>
      <c r="E461" s="1" t="n">
        <v>46268</v>
      </c>
      <c r="F461" t="inlineStr">
        <is>
          <t>VÄRMLANDS LÄN</t>
        </is>
      </c>
      <c r="G461" t="inlineStr">
        <is>
          <t>FILIPSTAD</t>
        </is>
      </c>
      <c r="I461" t="n">
        <v>15.3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46227</v>
      </c>
      <c r="E462" s="1" t="n">
        <v>46268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46226</v>
      </c>
      <c r="E463" s="1" t="n">
        <v>46268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46268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27300-2026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46268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46187</v>
      </c>
      <c r="E466" s="1" t="n">
        <v>46268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46268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45569</v>
      </c>
      <c r="E468" s="1" t="n">
        <v>46268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46231</v>
      </c>
      <c r="E469" s="1" t="n">
        <v>46268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45114</v>
      </c>
      <c r="E470" s="1" t="n">
        <v>46268</v>
      </c>
      <c r="F470" t="inlineStr">
        <is>
          <t>VÄRMLANDS LÄN</t>
        </is>
      </c>
      <c r="G470" t="inlineStr">
        <is>
          <t>FILIPSTAD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57026-2023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46268</v>
      </c>
      <c r="F471" t="inlineStr">
        <is>
          <t>VÄRMLANDS LÄN</t>
        </is>
      </c>
      <c r="G471" t="inlineStr">
        <is>
          <t>FILIPSTAD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27372-2026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46268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46680-2024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45583</v>
      </c>
      <c r="E473" s="1" t="n">
        <v>46268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46186</v>
      </c>
      <c r="E474" s="1" t="n">
        <v>46268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46186</v>
      </c>
      <c r="E475" s="1" t="n">
        <v>46268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46190</v>
      </c>
      <c r="E476" s="1" t="n">
        <v>46268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32008-2026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46233</v>
      </c>
      <c r="E477" s="1" t="n">
        <v>46268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46233</v>
      </c>
      <c r="E478" s="1" t="n">
        <v>46268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46232</v>
      </c>
      <c r="E479" s="1" t="n">
        <v>46268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19030-2022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44691</v>
      </c>
      <c r="E480" s="1" t="n">
        <v>46268</v>
      </c>
      <c r="F480" t="inlineStr">
        <is>
          <t>VÄRMLANDS LÄN</t>
        </is>
      </c>
      <c r="G480" t="inlineStr">
        <is>
          <t>FILIPSTAD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46268</v>
      </c>
      <c r="F481" t="inlineStr">
        <is>
          <t>VÄRMLANDS LÄN</t>
        </is>
      </c>
      <c r="G481" t="inlineStr">
        <is>
          <t>FILIPSTAD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31963-2026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46232</v>
      </c>
      <c r="E482" s="1" t="n">
        <v>46268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8.699999999999999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46233</v>
      </c>
      <c r="E483" s="1" t="n">
        <v>46268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46268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31957-2026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46232</v>
      </c>
      <c r="E485" s="1" t="n">
        <v>46268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46268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45655</v>
      </c>
      <c r="E487" s="1" t="n">
        <v>46268</v>
      </c>
      <c r="F487" t="inlineStr">
        <is>
          <t>VÄRMLANDS LÄN</t>
        </is>
      </c>
      <c r="G487" t="inlineStr">
        <is>
          <t>FILIPSTAD</t>
        </is>
      </c>
      <c r="I487" t="n">
        <v>26.5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62014-2024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45655</v>
      </c>
      <c r="E488" s="1" t="n">
        <v>46268</v>
      </c>
      <c r="F488" t="inlineStr">
        <is>
          <t>VÄRMLANDS LÄN</t>
        </is>
      </c>
      <c r="G488" t="inlineStr">
        <is>
          <t>FILIPSTAD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46268</v>
      </c>
      <c r="F489" t="inlineStr">
        <is>
          <t>VÄRMLANDS LÄN</t>
        </is>
      </c>
      <c r="G489" t="inlineStr">
        <is>
          <t>FILIPSTAD</t>
        </is>
      </c>
      <c r="H489" t="inlineStr">
        <is>
          <t>Kommuner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46268</v>
      </c>
      <c r="F490" t="inlineStr">
        <is>
          <t>VÄRMLANDS LÄN</t>
        </is>
      </c>
      <c r="G490" t="inlineStr">
        <is>
          <t>FILIPSTAD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46234</v>
      </c>
      <c r="E491" s="1" t="n">
        <v>46268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51031-2025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45947</v>
      </c>
      <c r="E492" s="1" t="n">
        <v>46268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32248-2026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46237</v>
      </c>
      <c r="E493" s="1" t="n">
        <v>46268</v>
      </c>
      <c r="F493" t="inlineStr">
        <is>
          <t>VÄRMLANDS LÄN</t>
        </is>
      </c>
      <c r="G493" t="inlineStr">
        <is>
          <t>FILIPSTAD</t>
        </is>
      </c>
      <c r="I493" t="n">
        <v>13.4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44935</v>
      </c>
      <c r="E494" s="1" t="n">
        <v>46268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46268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46268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44959</v>
      </c>
      <c r="E497" s="1" t="n">
        <v>46268</v>
      </c>
      <c r="F497" t="inlineStr">
        <is>
          <t>VÄRMLANDS LÄN</t>
        </is>
      </c>
      <c r="G497" t="inlineStr">
        <is>
          <t>FILIPSTAD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46239</v>
      </c>
      <c r="E498" s="1" t="n">
        <v>46268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46268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45230</v>
      </c>
      <c r="E500" s="1" t="n">
        <v>46268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9.9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46268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46268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46268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46268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45274</v>
      </c>
      <c r="E505" s="1" t="n">
        <v>46268</v>
      </c>
      <c r="F505" t="inlineStr">
        <is>
          <t>VÄRMLANDS LÄN</t>
        </is>
      </c>
      <c r="G505" t="inlineStr">
        <is>
          <t>FILIPSTAD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46197</v>
      </c>
      <c r="E506" s="1" t="n">
        <v>46268</v>
      </c>
      <c r="F506" t="inlineStr">
        <is>
          <t>VÄRMLANDS LÄN</t>
        </is>
      </c>
      <c r="G506" t="inlineStr">
        <is>
          <t>FILIPSTAD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46268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46197</v>
      </c>
      <c r="E508" s="1" t="n">
        <v>46268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32588-2026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46268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45184</v>
      </c>
      <c r="E510" s="1" t="n">
        <v>46268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46268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46268</v>
      </c>
      <c r="F512" t="inlineStr">
        <is>
          <t>VÄRMLANDS LÄN</t>
        </is>
      </c>
      <c r="G512" t="inlineStr">
        <is>
          <t>FILIPSTAD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46268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34262-2024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45524</v>
      </c>
      <c r="E514" s="1" t="n">
        <v>46268</v>
      </c>
      <c r="F514" t="inlineStr">
        <is>
          <t>VÄRMLANDS LÄN</t>
        </is>
      </c>
      <c r="G514" t="inlineStr">
        <is>
          <t>FILIPSTAD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33092-2026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46268</v>
      </c>
      <c r="F515" t="inlineStr">
        <is>
          <t>VÄRMLANDS LÄN</t>
        </is>
      </c>
      <c r="G515" t="inlineStr">
        <is>
          <t>FILIPSTAD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46268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46268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46268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46268</v>
      </c>
      <c r="F519" t="inlineStr">
        <is>
          <t>VÄRMLANDS LÄN</t>
        </is>
      </c>
      <c r="G519" t="inlineStr">
        <is>
          <t>FILIPSTAD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46268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46268</v>
      </c>
      <c r="F521" t="inlineStr">
        <is>
          <t>VÄRMLANDS LÄN</t>
        </is>
      </c>
      <c r="G521" t="inlineStr">
        <is>
          <t>FILIPSTAD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46268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46268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7.2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46268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46268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46268</v>
      </c>
      <c r="F526" t="inlineStr">
        <is>
          <t>VÄRMLANDS LÄN</t>
        </is>
      </c>
      <c r="G526" t="inlineStr">
        <is>
          <t>FILIPSTAD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46268</v>
      </c>
      <c r="F527" t="inlineStr">
        <is>
          <t>VÄRMLANDS LÄN</t>
        </is>
      </c>
      <c r="G527" t="inlineStr">
        <is>
          <t>FILIPSTAD</t>
        </is>
      </c>
      <c r="H527" t="inlineStr">
        <is>
          <t>Kyrkan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46268</v>
      </c>
      <c r="F528" t="inlineStr">
        <is>
          <t>VÄRMLANDS LÄN</t>
        </is>
      </c>
      <c r="G528" t="inlineStr">
        <is>
          <t>FILIPSTAD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46247</v>
      </c>
      <c r="E529" s="1" t="n">
        <v>46268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46268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8.199999999999999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29010-2026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46268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46268</v>
      </c>
      <c r="F532" t="inlineStr">
        <is>
          <t>VÄRMLANDS LÄN</t>
        </is>
      </c>
      <c r="G532" t="inlineStr">
        <is>
          <t>FILIPSTAD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46268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46268</v>
      </c>
      <c r="F534" t="inlineStr">
        <is>
          <t>VÄRMLANDS LÄN</t>
        </is>
      </c>
      <c r="G534" t="inlineStr">
        <is>
          <t>FILIPSTAD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46268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33837-2026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46251</v>
      </c>
      <c r="E536" s="1" t="n">
        <v>46268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46251</v>
      </c>
      <c r="E537" s="1" t="n">
        <v>46268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29863-2026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46268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46268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46251</v>
      </c>
      <c r="E540" s="1" t="n">
        <v>46268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46268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46268</v>
      </c>
      <c r="F542" t="inlineStr">
        <is>
          <t>VÄRMLANDS LÄN</t>
        </is>
      </c>
      <c r="G542" t="inlineStr">
        <is>
          <t>FILIPSTAD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46268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46268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46252</v>
      </c>
      <c r="E545" s="1" t="n">
        <v>46268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30540-2026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46210</v>
      </c>
      <c r="E546" s="1" t="n">
        <v>46268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46268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46213</v>
      </c>
      <c r="E548" s="1" t="n">
        <v>46268</v>
      </c>
      <c r="F548" t="inlineStr">
        <is>
          <t>VÄRMLANDS LÄN</t>
        </is>
      </c>
      <c r="G548" t="inlineStr">
        <is>
          <t>FILIPSTAD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46268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19.2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46268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34442-2026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46268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46212</v>
      </c>
      <c r="E552" s="1" t="n">
        <v>46268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45567</v>
      </c>
      <c r="E553" s="1" t="n">
        <v>46268</v>
      </c>
      <c r="F553" t="inlineStr">
        <is>
          <t>VÄRMLANDS LÄN</t>
        </is>
      </c>
      <c r="G553" t="inlineStr">
        <is>
          <t>FILIPSTAD</t>
        </is>
      </c>
      <c r="H553" t="inlineStr">
        <is>
          <t>Kyrkan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6683-2025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45700</v>
      </c>
      <c r="E554" s="1" t="n">
        <v>46268</v>
      </c>
      <c r="F554" t="inlineStr">
        <is>
          <t>VÄRMLANDS LÄN</t>
        </is>
      </c>
      <c r="G554" t="inlineStr">
        <is>
          <t>FILIPSTAD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46259</v>
      </c>
      <c r="E555" s="1" t="n">
        <v>46268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46259</v>
      </c>
      <c r="E556" s="1" t="n">
        <v>46268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25376-2023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45088</v>
      </c>
      <c r="E557" s="1" t="n">
        <v>46268</v>
      </c>
      <c r="F557" t="inlineStr">
        <is>
          <t>VÄRMLANDS LÄN</t>
        </is>
      </c>
      <c r="G557" t="inlineStr">
        <is>
          <t>FILIPSTAD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69015-2021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44530</v>
      </c>
      <c r="E558" s="1" t="n">
        <v>46268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45439</v>
      </c>
      <c r="E559" s="1" t="n">
        <v>46268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44960</v>
      </c>
      <c r="E560" s="1" t="n">
        <v>46268</v>
      </c>
      <c r="F560" t="inlineStr">
        <is>
          <t>VÄRMLANDS LÄN</t>
        </is>
      </c>
      <c r="G560" t="inlineStr">
        <is>
          <t>FILIPSTAD</t>
        </is>
      </c>
      <c r="H560" t="inlineStr">
        <is>
          <t>Kommuner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46218</v>
      </c>
      <c r="E561" s="1" t="n">
        <v>46268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45436</v>
      </c>
      <c r="E562" s="1" t="n">
        <v>46268</v>
      </c>
      <c r="F562" t="inlineStr">
        <is>
          <t>VÄRMLANDS LÄN</t>
        </is>
      </c>
      <c r="G562" t="inlineStr">
        <is>
          <t>FILIPSTAD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35368-2026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46268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35314-2026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46261</v>
      </c>
      <c r="E564" s="1" t="n">
        <v>46268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46261</v>
      </c>
      <c r="E565" s="1" t="n">
        <v>46268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46261</v>
      </c>
      <c r="E566" s="1" t="n">
        <v>46268</v>
      </c>
      <c r="F566" t="inlineStr">
        <is>
          <t>VÄRMLANDS LÄN</t>
        </is>
      </c>
      <c r="G566" t="inlineStr">
        <is>
          <t>FILIPSTAD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53690-2022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44880</v>
      </c>
      <c r="E567" s="1" t="n">
        <v>46268</v>
      </c>
      <c r="F567" t="inlineStr">
        <is>
          <t>VÄRMLANDS LÄN</t>
        </is>
      </c>
      <c r="G567" t="inlineStr">
        <is>
          <t>FILIPSTAD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45700</v>
      </c>
      <c r="E568" s="1" t="n">
        <v>46268</v>
      </c>
      <c r="F568" t="inlineStr">
        <is>
          <t>VÄRMLANDS LÄN</t>
        </is>
      </c>
      <c r="G568" t="inlineStr">
        <is>
          <t>FILIPSTAD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46189</v>
      </c>
      <c r="E569" s="1" t="n">
        <v>46268</v>
      </c>
      <c r="F569" t="inlineStr">
        <is>
          <t>VÄRMLANDS LÄN</t>
        </is>
      </c>
      <c r="G569" t="inlineStr">
        <is>
          <t>FILIPSTAD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48040-2023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46268</v>
      </c>
      <c r="F570" t="inlineStr">
        <is>
          <t>VÄRMLANDS LÄN</t>
        </is>
      </c>
      <c r="G570" t="inlineStr">
        <is>
          <t>FILIPSTAD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52981-2021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44467</v>
      </c>
      <c r="E571" s="1" t="n">
        <v>46268</v>
      </c>
      <c r="F571" t="inlineStr">
        <is>
          <t>VÄRMLANDS LÄN</t>
        </is>
      </c>
      <c r="G571" t="inlineStr">
        <is>
          <t>FILIPSTAD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46268</v>
      </c>
      <c r="F572" t="inlineStr">
        <is>
          <t>VÄRMLANDS LÄN</t>
        </is>
      </c>
      <c r="G572" t="inlineStr">
        <is>
          <t>FILIPSTAD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46264</v>
      </c>
      <c r="E573" s="1" t="n">
        <v>46268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46265</v>
      </c>
      <c r="E574" s="1" t="n">
        <v>46268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46264</v>
      </c>
      <c r="E575" s="1" t="n">
        <v>46268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10306-2025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45720</v>
      </c>
      <c r="E576" s="1" t="n">
        <v>46268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31537-2026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46223</v>
      </c>
      <c r="E577" s="1" t="n">
        <v>46268</v>
      </c>
      <c r="F577" t="inlineStr">
        <is>
          <t>VÄRMLANDS LÄN</t>
        </is>
      </c>
      <c r="G577" t="inlineStr">
        <is>
          <t>FILIPSTAD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46268</v>
      </c>
      <c r="F578" t="inlineStr">
        <is>
          <t>VÄRMLANDS LÄN</t>
        </is>
      </c>
      <c r="G578" t="inlineStr">
        <is>
          <t>FILIPSTAD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46219</v>
      </c>
      <c r="E579" s="1" t="n">
        <v>46268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51266-2021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44461</v>
      </c>
      <c r="E580" s="1" t="n">
        <v>46268</v>
      </c>
      <c r="F580" t="inlineStr">
        <is>
          <t>VÄRMLANDS LÄN</t>
        </is>
      </c>
      <c r="G580" t="inlineStr">
        <is>
          <t>FILIPSTAD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51618-2022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44872</v>
      </c>
      <c r="E581" s="1" t="n">
        <v>46268</v>
      </c>
      <c r="F581" t="inlineStr">
        <is>
          <t>VÄRMLANDS LÄN</t>
        </is>
      </c>
      <c r="G581" t="inlineStr">
        <is>
          <t>FILIPSTAD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45516</v>
      </c>
      <c r="E582" s="1" t="n">
        <v>46268</v>
      </c>
      <c r="F582" t="inlineStr">
        <is>
          <t>VÄRMLANDS LÄN</t>
        </is>
      </c>
      <c r="G582" t="inlineStr">
        <is>
          <t>FILIPSTAD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35927-2026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46266</v>
      </c>
      <c r="E583" s="1" t="n">
        <v>46268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46266</v>
      </c>
      <c r="E584" s="1" t="n">
        <v>46268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37611-2022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44809</v>
      </c>
      <c r="E585" s="1" t="n">
        <v>46268</v>
      </c>
      <c r="F585" t="inlineStr">
        <is>
          <t>VÄRMLANDS LÄN</t>
        </is>
      </c>
      <c r="G585" t="inlineStr">
        <is>
          <t>FILIPSTAD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31648-2026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46225</v>
      </c>
      <c r="E586" s="1" t="n">
        <v>46268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46267</v>
      </c>
      <c r="E587" s="1" t="n">
        <v>46268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16591-2022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44672</v>
      </c>
      <c r="E588" s="1" t="n">
        <v>46268</v>
      </c>
      <c r="F588" t="inlineStr">
        <is>
          <t>VÄRMLANDS LÄN</t>
        </is>
      </c>
      <c r="G588" t="inlineStr">
        <is>
          <t>FILIPSTAD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44998</v>
      </c>
      <c r="E589" s="1" t="n">
        <v>46268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46978-2023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45195</v>
      </c>
      <c r="E590" s="1" t="n">
        <v>46268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35948-2026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46266</v>
      </c>
      <c r="E591" s="1" t="n">
        <v>46268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35995-2026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46266</v>
      </c>
      <c r="E592" s="1" t="n">
        <v>46268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45741</v>
      </c>
      <c r="E593" s="1" t="n">
        <v>46268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27139-2024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45471</v>
      </c>
      <c r="E594" s="1" t="n">
        <v>46268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17244-2024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45414</v>
      </c>
      <c r="E595" s="1" t="n">
        <v>46268</v>
      </c>
      <c r="F595" t="inlineStr">
        <is>
          <t>VÄRMLANDS LÄN</t>
        </is>
      </c>
      <c r="G595" t="inlineStr">
        <is>
          <t>FILIPSTAD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47002-2024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46268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45495</v>
      </c>
      <c r="E597" s="1" t="n">
        <v>46268</v>
      </c>
      <c r="F597" t="inlineStr">
        <is>
          <t>VÄRMLANDS LÄN</t>
        </is>
      </c>
      <c r="G597" t="inlineStr">
        <is>
          <t>FILIPSTAD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45667</v>
      </c>
      <c r="E598" s="1" t="n">
        <v>46268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45439</v>
      </c>
      <c r="E599" s="1" t="n">
        <v>46268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65167-2021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44515</v>
      </c>
      <c r="E600" s="1" t="n">
        <v>46268</v>
      </c>
      <c r="F600" t="inlineStr">
        <is>
          <t>VÄRMLANDS LÄN</t>
        </is>
      </c>
      <c r="G600" t="inlineStr">
        <is>
          <t>FILIPSTAD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28357-2024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45477</v>
      </c>
      <c r="E601" s="1" t="n">
        <v>46268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45530</v>
      </c>
      <c r="E602" s="1" t="n">
        <v>46268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23266-2025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45791</v>
      </c>
      <c r="E603" s="1" t="n">
        <v>46268</v>
      </c>
      <c r="F603" t="inlineStr">
        <is>
          <t>VÄRMLANDS LÄN</t>
        </is>
      </c>
      <c r="G603" t="inlineStr">
        <is>
          <t>FILIPSTAD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48702-2024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45593</v>
      </c>
      <c r="E604" s="1" t="n">
        <v>46268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22880-2025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46268</v>
      </c>
      <c r="F605" t="inlineStr">
        <is>
          <t>VÄRMLANDS LÄN</t>
        </is>
      </c>
      <c r="G605" t="inlineStr">
        <is>
          <t>FILIPSTAD</t>
        </is>
      </c>
      <c r="H605" t="inlineStr">
        <is>
          <t>Kyrkan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45667</v>
      </c>
      <c r="E606" s="1" t="n">
        <v>46268</v>
      </c>
      <c r="F606" t="inlineStr">
        <is>
          <t>VÄRMLANDS LÄN</t>
        </is>
      </c>
      <c r="G606" t="inlineStr">
        <is>
          <t>FILIPSTAD</t>
        </is>
      </c>
      <c r="H606" t="inlineStr">
        <is>
          <t>Kommuner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23775-2025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46268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23399-2025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45792</v>
      </c>
      <c r="E608" s="1" t="n">
        <v>46268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23475-2025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45792</v>
      </c>
      <c r="E609" s="1" t="n">
        <v>46268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8712-2024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45355</v>
      </c>
      <c r="E610" s="1" t="n">
        <v>46268</v>
      </c>
      <c r="F610" t="inlineStr">
        <is>
          <t>VÄRMLANDS LÄN</t>
        </is>
      </c>
      <c r="G610" t="inlineStr">
        <is>
          <t>FILIPSTAD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72118-2021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44543</v>
      </c>
      <c r="E611" s="1" t="n">
        <v>46268</v>
      </c>
      <c r="F611" t="inlineStr">
        <is>
          <t>VÄRMLANDS LÄN</t>
        </is>
      </c>
      <c r="G611" t="inlineStr">
        <is>
          <t>FILIPSTAD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45747</v>
      </c>
      <c r="E612" s="1" t="n">
        <v>46268</v>
      </c>
      <c r="F612" t="inlineStr">
        <is>
          <t>VÄRMLANDS LÄN</t>
        </is>
      </c>
      <c r="G612" t="inlineStr">
        <is>
          <t>FILIPSTAD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65174-2021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44515</v>
      </c>
      <c r="E613" s="1" t="n">
        <v>46268</v>
      </c>
      <c r="F613" t="inlineStr">
        <is>
          <t>VÄRMLANDS LÄN</t>
        </is>
      </c>
      <c r="G613" t="inlineStr">
        <is>
          <t>FILIPSTAD</t>
        </is>
      </c>
      <c r="I613" t="n">
        <v>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45796</v>
      </c>
      <c r="E614" s="1" t="n">
        <v>46268</v>
      </c>
      <c r="F614" t="inlineStr">
        <is>
          <t>VÄRMLANDS LÄN</t>
        </is>
      </c>
      <c r="G614" t="inlineStr">
        <is>
          <t>FILIPSTAD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20844-2024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46268</v>
      </c>
      <c r="F615" t="inlineStr">
        <is>
          <t>VÄRMLANDS LÄN</t>
        </is>
      </c>
      <c r="G615" t="inlineStr">
        <is>
          <t>FILIPSTAD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45322</v>
      </c>
      <c r="E616" s="1" t="n">
        <v>46268</v>
      </c>
      <c r="F616" t="inlineStr">
        <is>
          <t>VÄRMLANDS LÄN</t>
        </is>
      </c>
      <c r="G616" t="inlineStr">
        <is>
          <t>FILIPSTAD</t>
        </is>
      </c>
      <c r="I616" t="n">
        <v>8.199999999999999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15406-2025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45747</v>
      </c>
      <c r="E617" s="1" t="n">
        <v>46268</v>
      </c>
      <c r="F617" t="inlineStr">
        <is>
          <t>VÄRMLANDS LÄN</t>
        </is>
      </c>
      <c r="G617" t="inlineStr">
        <is>
          <t>FILIPSTAD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5757-2021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44438</v>
      </c>
      <c r="E618" s="1" t="n">
        <v>46268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1191-2021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44328</v>
      </c>
      <c r="E619" s="1" t="n">
        <v>46268</v>
      </c>
      <c r="F619" t="inlineStr">
        <is>
          <t>VÄRMLANDS LÄN</t>
        </is>
      </c>
      <c r="G619" t="inlineStr">
        <is>
          <t>FILIPSTAD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4134-2023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46268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4115-2023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45246</v>
      </c>
      <c r="E621" s="1" t="n">
        <v>46268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4137-2023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46268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4132-2023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46268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8.300000000000001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4130-2023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46268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4127-2023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46268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56.4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837-2023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46268</v>
      </c>
      <c r="F626" t="inlineStr">
        <is>
          <t>VÄRMLANDS LÄN</t>
        </is>
      </c>
      <c r="G626" t="inlineStr">
        <is>
          <t>FILIPSTAD</t>
        </is>
      </c>
      <c r="I626" t="n">
        <v>19.3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4129-2023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46268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3919-2023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45233</v>
      </c>
      <c r="E628" s="1" t="n">
        <v>46268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46268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18.9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6078-2021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44442</v>
      </c>
      <c r="E630" s="1" t="n">
        <v>46268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4126-2023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46268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294-2025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45687</v>
      </c>
      <c r="E632" s="1" t="n">
        <v>46268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186.4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4116-2023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46268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661-2025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45716</v>
      </c>
      <c r="E634" s="1" t="n">
        <v>46268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3429-2025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45995</v>
      </c>
      <c r="E635" s="1" t="n">
        <v>46268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3576-2025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46010</v>
      </c>
      <c r="E636" s="1" t="n">
        <v>46268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27.1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105-2026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46036</v>
      </c>
      <c r="E637" s="1" t="n">
        <v>46268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238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2026-09-03T02:05:47Z</dcterms:created>
  <dcterms:modified xmlns:dcterms="http://purl.org/dc/terms/" xmlns:xsi="http://www.w3.org/2001/XMLSchema-instance" xsi:type="dcterms:W3CDTF">2026-09-03T02:05:48Z</dcterms:modified>
</cp:coreProperties>
</file>