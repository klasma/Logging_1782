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45350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45350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45350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28168-2021</t>
        </is>
      </c>
      <c r="B5" s="1" t="n">
        <v>44355</v>
      </c>
      <c r="C5" s="1" t="n">
        <v>45350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12.4</v>
      </c>
      <c r="H5" t="n">
        <v>1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Dvärgbägarlav
Garnlav
Kortskaftad ärgspik
Flagellkvastmossa
Mindre märgborre
Nästlav
Plattlummer</t>
        </is>
      </c>
      <c r="S5">
        <f>HYPERLINK("https://klasma.github.io/Logging_1782/artfynd/A 28168-2021 artfynd.xlsx", "A 28168-2021")</f>
        <v/>
      </c>
      <c r="T5">
        <f>HYPERLINK("https://klasma.github.io/Logging_1782/kartor/A 28168-2021 karta.png", "A 28168-2021")</f>
        <v/>
      </c>
      <c r="V5">
        <f>HYPERLINK("https://klasma.github.io/Logging_1782/klagomål/A 28168-2021 FSC-klagomål.docx", "A 28168-2021")</f>
        <v/>
      </c>
      <c r="W5">
        <f>HYPERLINK("https://klasma.github.io/Logging_1782/klagomålsmail/A 28168-2021 FSC-klagomål mail.docx", "A 28168-2021")</f>
        <v/>
      </c>
      <c r="X5">
        <f>HYPERLINK("https://klasma.github.io/Logging_1782/tillsyn/A 28168-2021 tillsynsbegäran.docx", "A 28168-2021")</f>
        <v/>
      </c>
      <c r="Y5">
        <f>HYPERLINK("https://klasma.github.io/Logging_1782/tillsynsmail/A 28168-2021 tillsynsbegäran mail.docx", "A 28168-2021")</f>
        <v/>
      </c>
    </row>
    <row r="6" ht="15" customHeight="1">
      <c r="A6" t="inlineStr">
        <is>
          <t>A 47888-2021</t>
        </is>
      </c>
      <c r="B6" s="1" t="n">
        <v>44448</v>
      </c>
      <c r="C6" s="1" t="n">
        <v>45350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9</v>
      </c>
      <c r="H6" t="n">
        <v>3</v>
      </c>
      <c r="I6" t="n">
        <v>7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Grönkulla
Skogsknipprot
Svart trolldruva
Tibast
Tvåblad
Underviol
Vårärt</t>
        </is>
      </c>
      <c r="S6">
        <f>HYPERLINK("https://klasma.github.io/Logging_1782/artfynd/A 47888-2021 artfynd.xlsx", "A 47888-2021")</f>
        <v/>
      </c>
      <c r="T6">
        <f>HYPERLINK("https://klasma.github.io/Logging_1782/kartor/A 47888-2021 karta.png", "A 47888-2021")</f>
        <v/>
      </c>
      <c r="V6">
        <f>HYPERLINK("https://klasma.github.io/Logging_1782/klagomål/A 47888-2021 FSC-klagomål.docx", "A 47888-2021")</f>
        <v/>
      </c>
      <c r="W6">
        <f>HYPERLINK("https://klasma.github.io/Logging_1782/klagomålsmail/A 47888-2021 FSC-klagomål mail.docx", "A 47888-2021")</f>
        <v/>
      </c>
      <c r="X6">
        <f>HYPERLINK("https://klasma.github.io/Logging_1782/tillsyn/A 47888-2021 tillsynsbegäran.docx", "A 47888-2021")</f>
        <v/>
      </c>
      <c r="Y6">
        <f>HYPERLINK("https://klasma.github.io/Logging_1782/tillsynsmail/A 47888-2021 tillsynsbegäran mail.docx", "A 47888-2021")</f>
        <v/>
      </c>
    </row>
    <row r="7" ht="15" customHeight="1">
      <c r="A7" t="inlineStr">
        <is>
          <t>A 30023-2020</t>
        </is>
      </c>
      <c r="B7" s="1" t="n">
        <v>44006</v>
      </c>
      <c r="C7" s="1" t="n">
        <v>45350</v>
      </c>
      <c r="D7" t="inlineStr">
        <is>
          <t>VÄRMLANDS LÄN</t>
        </is>
      </c>
      <c r="E7" t="inlineStr">
        <is>
          <t>FILIPSTAD</t>
        </is>
      </c>
      <c r="G7" t="n">
        <v>1.1</v>
      </c>
      <c r="H7" t="n">
        <v>2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Rödgul trumpetsvamp
Tvåblad
Vårärt
Blåsippa</t>
        </is>
      </c>
      <c r="S7">
        <f>HYPERLINK("https://klasma.github.io/Logging_1782/artfynd/A 30023-2020 artfynd.xlsx", "A 30023-2020")</f>
        <v/>
      </c>
      <c r="T7">
        <f>HYPERLINK("https://klasma.github.io/Logging_1782/kartor/A 30023-2020 karta.png", "A 30023-2020")</f>
        <v/>
      </c>
      <c r="V7">
        <f>HYPERLINK("https://klasma.github.io/Logging_1782/klagomål/A 30023-2020 FSC-klagomål.docx", "A 30023-2020")</f>
        <v/>
      </c>
      <c r="W7">
        <f>HYPERLINK("https://klasma.github.io/Logging_1782/klagomålsmail/A 30023-2020 FSC-klagomål mail.docx", "A 30023-2020")</f>
        <v/>
      </c>
      <c r="X7">
        <f>HYPERLINK("https://klasma.github.io/Logging_1782/tillsyn/A 30023-2020 tillsynsbegäran.docx", "A 30023-2020")</f>
        <v/>
      </c>
      <c r="Y7">
        <f>HYPERLINK("https://klasma.github.io/Logging_1782/tillsynsmail/A 30023-2020 tillsynsbegäran mail.docx", "A 30023-2020")</f>
        <v/>
      </c>
    </row>
    <row r="8" ht="15" customHeight="1">
      <c r="A8" t="inlineStr">
        <is>
          <t>A 26276-2019</t>
        </is>
      </c>
      <c r="B8" s="1" t="n">
        <v>43611</v>
      </c>
      <c r="C8" s="1" t="n">
        <v>45350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18</v>
      </c>
      <c r="H8" t="n">
        <v>3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Purpurknipprot
Tvåblad
Brudsporre</t>
        </is>
      </c>
      <c r="S8">
        <f>HYPERLINK("https://klasma.github.io/Logging_1782/artfynd/A 26276-2019 artfynd.xlsx", "A 26276-2019")</f>
        <v/>
      </c>
      <c r="T8">
        <f>HYPERLINK("https://klasma.github.io/Logging_1782/kartor/A 26276-2019 karta.png", "A 26276-2019")</f>
        <v/>
      </c>
      <c r="V8">
        <f>HYPERLINK("https://klasma.github.io/Logging_1782/klagomål/A 26276-2019 FSC-klagomål.docx", "A 26276-2019")</f>
        <v/>
      </c>
      <c r="W8">
        <f>HYPERLINK("https://klasma.github.io/Logging_1782/klagomålsmail/A 26276-2019 FSC-klagomål mail.docx", "A 26276-2019")</f>
        <v/>
      </c>
      <c r="X8">
        <f>HYPERLINK("https://klasma.github.io/Logging_1782/tillsyn/A 26276-2019 tillsynsbegäran.docx", "A 26276-2019")</f>
        <v/>
      </c>
      <c r="Y8">
        <f>HYPERLINK("https://klasma.github.io/Logging_1782/tillsynsmail/A 26276-2019 tillsynsbegäran mail.docx", "A 26276-2019")</f>
        <v/>
      </c>
    </row>
    <row r="9" ht="15" customHeight="1">
      <c r="A9" t="inlineStr">
        <is>
          <t>A 28169-2021</t>
        </is>
      </c>
      <c r="B9" s="1" t="n">
        <v>44355</v>
      </c>
      <c r="C9" s="1" t="n">
        <v>45350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6.1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Garnlav
Mindre märgborre</t>
        </is>
      </c>
      <c r="S9">
        <f>HYPERLINK("https://klasma.github.io/Logging_1782/artfynd/A 28169-2021 artfynd.xlsx", "A 28169-2021")</f>
        <v/>
      </c>
      <c r="T9">
        <f>HYPERLINK("https://klasma.github.io/Logging_1782/kartor/A 28169-2021 karta.png", "A 28169-2021")</f>
        <v/>
      </c>
      <c r="U9">
        <f>HYPERLINK("https://klasma.github.io/Logging_1782/knärot/A 28169-2021 karta knärot.png", "A 28169-2021")</f>
        <v/>
      </c>
      <c r="V9">
        <f>HYPERLINK("https://klasma.github.io/Logging_1782/klagomål/A 28169-2021 FSC-klagomål.docx", "A 28169-2021")</f>
        <v/>
      </c>
      <c r="W9">
        <f>HYPERLINK("https://klasma.github.io/Logging_1782/klagomålsmail/A 28169-2021 FSC-klagomål mail.docx", "A 28169-2021")</f>
        <v/>
      </c>
      <c r="X9">
        <f>HYPERLINK("https://klasma.github.io/Logging_1782/tillsyn/A 28169-2021 tillsynsbegäran.docx", "A 28169-2021")</f>
        <v/>
      </c>
      <c r="Y9">
        <f>HYPERLINK("https://klasma.github.io/Logging_1782/tillsynsmail/A 28169-2021 tillsynsbegäran mail.docx", "A 28169-2021")</f>
        <v/>
      </c>
    </row>
    <row r="10" ht="15" customHeight="1">
      <c r="A10" t="inlineStr">
        <is>
          <t>A 2356-2023</t>
        </is>
      </c>
      <c r="B10" s="1" t="n">
        <v>44942</v>
      </c>
      <c r="C10" s="1" t="n">
        <v>45350</v>
      </c>
      <c r="D10" t="inlineStr">
        <is>
          <t>VÄRMLANDS LÄN</t>
        </is>
      </c>
      <c r="E10" t="inlineStr">
        <is>
          <t>FILIPSTAD</t>
        </is>
      </c>
      <c r="G10" t="n">
        <v>3.8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Loppstarr
Majviva
Guckusko</t>
        </is>
      </c>
      <c r="S10">
        <f>HYPERLINK("https://klasma.github.io/Logging_1782/artfynd/A 2356-2023 artfynd.xlsx", "A 2356-2023")</f>
        <v/>
      </c>
      <c r="T10">
        <f>HYPERLINK("https://klasma.github.io/Logging_1782/kartor/A 2356-2023 karta.png", "A 2356-2023")</f>
        <v/>
      </c>
      <c r="V10">
        <f>HYPERLINK("https://klasma.github.io/Logging_1782/klagomål/A 2356-2023 FSC-klagomål.docx", "A 2356-2023")</f>
        <v/>
      </c>
      <c r="W10">
        <f>HYPERLINK("https://klasma.github.io/Logging_1782/klagomålsmail/A 2356-2023 FSC-klagomål mail.docx", "A 2356-2023")</f>
        <v/>
      </c>
      <c r="X10">
        <f>HYPERLINK("https://klasma.github.io/Logging_1782/tillsyn/A 2356-2023 tillsynsbegäran.docx", "A 2356-2023")</f>
        <v/>
      </c>
      <c r="Y10">
        <f>HYPERLINK("https://klasma.github.io/Logging_1782/tillsynsmail/A 2356-2023 tillsynsbegäran mail.docx", "A 2356-2023")</f>
        <v/>
      </c>
    </row>
    <row r="11" ht="15" customHeight="1">
      <c r="A11" t="inlineStr">
        <is>
          <t>A 26303-2023</t>
        </is>
      </c>
      <c r="B11" s="1" t="n">
        <v>45091</v>
      </c>
      <c r="C11" s="1" t="n">
        <v>45350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Purpurknipprot
Tvåblad
Brudsporre</t>
        </is>
      </c>
      <c r="S11">
        <f>HYPERLINK("https://klasma.github.io/Logging_1782/artfynd/A 26303-2023 artfynd.xlsx", "A 26303-2023")</f>
        <v/>
      </c>
      <c r="T11">
        <f>HYPERLINK("https://klasma.github.io/Logging_1782/kartor/A 26303-2023 karta.png", "A 26303-2023")</f>
        <v/>
      </c>
      <c r="V11">
        <f>HYPERLINK("https://klasma.github.io/Logging_1782/klagomål/A 26303-2023 FSC-klagomål.docx", "A 26303-2023")</f>
        <v/>
      </c>
      <c r="W11">
        <f>HYPERLINK("https://klasma.github.io/Logging_1782/klagomålsmail/A 26303-2023 FSC-klagomål mail.docx", "A 26303-2023")</f>
        <v/>
      </c>
      <c r="X11">
        <f>HYPERLINK("https://klasma.github.io/Logging_1782/tillsyn/A 26303-2023 tillsynsbegäran.docx", "A 26303-2023")</f>
        <v/>
      </c>
      <c r="Y11">
        <f>HYPERLINK("https://klasma.github.io/Logging_1782/tillsynsmail/A 26303-2023 tillsynsbegäran mail.docx", "A 26303-2023")</f>
        <v/>
      </c>
    </row>
    <row r="12" ht="15" customHeight="1">
      <c r="A12" t="inlineStr">
        <is>
          <t>A 42882-2020</t>
        </is>
      </c>
      <c r="B12" s="1" t="n">
        <v>44078</v>
      </c>
      <c r="C12" s="1" t="n">
        <v>45350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2.2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Lunglav
Stjärntagging</t>
        </is>
      </c>
      <c r="S12">
        <f>HYPERLINK("https://klasma.github.io/Logging_1782/artfynd/A 42882-2020 artfynd.xlsx", "A 42882-2020")</f>
        <v/>
      </c>
      <c r="T12">
        <f>HYPERLINK("https://klasma.github.io/Logging_1782/kartor/A 42882-2020 karta.png", "A 42882-2020")</f>
        <v/>
      </c>
      <c r="V12">
        <f>HYPERLINK("https://klasma.github.io/Logging_1782/klagomål/A 42882-2020 FSC-klagomål.docx", "A 42882-2020")</f>
        <v/>
      </c>
      <c r="W12">
        <f>HYPERLINK("https://klasma.github.io/Logging_1782/klagomålsmail/A 42882-2020 FSC-klagomål mail.docx", "A 42882-2020")</f>
        <v/>
      </c>
      <c r="X12">
        <f>HYPERLINK("https://klasma.github.io/Logging_1782/tillsyn/A 42882-2020 tillsynsbegäran.docx", "A 42882-2020")</f>
        <v/>
      </c>
      <c r="Y12">
        <f>HYPERLINK("https://klasma.github.io/Logging_1782/tillsynsmail/A 42882-2020 tillsynsbegäran mail.docx", "A 42882-2020")</f>
        <v/>
      </c>
    </row>
    <row r="13" ht="15" customHeight="1">
      <c r="A13" t="inlineStr">
        <is>
          <t>A 22410-2021</t>
        </is>
      </c>
      <c r="B13" s="1" t="n">
        <v>44326</v>
      </c>
      <c r="C13" s="1" t="n">
        <v>45350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9.800000000000001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Brunklöver
Revlummer</t>
        </is>
      </c>
      <c r="S13">
        <f>HYPERLINK("https://klasma.github.io/Logging_1782/artfynd/A 22410-2021 artfynd.xlsx", "A 22410-2021")</f>
        <v/>
      </c>
      <c r="T13">
        <f>HYPERLINK("https://klasma.github.io/Logging_1782/kartor/A 22410-2021 karta.png", "A 22410-2021")</f>
        <v/>
      </c>
      <c r="V13">
        <f>HYPERLINK("https://klasma.github.io/Logging_1782/klagomål/A 22410-2021 FSC-klagomål.docx", "A 22410-2021")</f>
        <v/>
      </c>
      <c r="W13">
        <f>HYPERLINK("https://klasma.github.io/Logging_1782/klagomålsmail/A 22410-2021 FSC-klagomål mail.docx", "A 22410-2021")</f>
        <v/>
      </c>
      <c r="X13">
        <f>HYPERLINK("https://klasma.github.io/Logging_1782/tillsyn/A 22410-2021 tillsynsbegäran.docx", "A 22410-2021")</f>
        <v/>
      </c>
      <c r="Y13">
        <f>HYPERLINK("https://klasma.github.io/Logging_1782/tillsynsmail/A 22410-2021 tillsynsbegäran mail.docx", "A 22410-2021")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45350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19945-2023</t>
        </is>
      </c>
      <c r="B15" s="1" t="n">
        <v>45054</v>
      </c>
      <c r="C15" s="1" t="n">
        <v>45350</v>
      </c>
      <c r="D15" t="inlineStr">
        <is>
          <t>VÄRMLANDS LÄN</t>
        </is>
      </c>
      <c r="E15" t="inlineStr">
        <is>
          <t>FILIPSTAD</t>
        </is>
      </c>
      <c r="G15" t="n">
        <v>3.3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Guckusko
Kransrams</t>
        </is>
      </c>
      <c r="S15">
        <f>HYPERLINK("https://klasma.github.io/Logging_1782/artfynd/A 19945-2023 artfynd.xlsx", "A 19945-2023")</f>
        <v/>
      </c>
      <c r="T15">
        <f>HYPERLINK("https://klasma.github.io/Logging_1782/kartor/A 19945-2023 karta.png", "A 19945-2023")</f>
        <v/>
      </c>
      <c r="V15">
        <f>HYPERLINK("https://klasma.github.io/Logging_1782/klagomål/A 19945-2023 FSC-klagomål.docx", "A 19945-2023")</f>
        <v/>
      </c>
      <c r="W15">
        <f>HYPERLINK("https://klasma.github.io/Logging_1782/klagomålsmail/A 19945-2023 FSC-klagomål mail.docx", "A 19945-2023")</f>
        <v/>
      </c>
      <c r="X15">
        <f>HYPERLINK("https://klasma.github.io/Logging_1782/tillsyn/A 19945-2023 tillsynsbegäran.docx", "A 19945-2023")</f>
        <v/>
      </c>
      <c r="Y15">
        <f>HYPERLINK("https://klasma.github.io/Logging_1782/tillsynsmail/A 19945-2023 tillsynsbegäran mail.docx", "A 19945-2023")</f>
        <v/>
      </c>
    </row>
    <row r="16" ht="15" customHeight="1">
      <c r="A16" t="inlineStr">
        <is>
          <t>A 63625-2023</t>
        </is>
      </c>
      <c r="B16" s="1" t="n">
        <v>45275</v>
      </c>
      <c r="C16" s="1" t="n">
        <v>45350</v>
      </c>
      <c r="D16" t="inlineStr">
        <is>
          <t>VÄRMLANDS LÄN</t>
        </is>
      </c>
      <c r="E16" t="inlineStr">
        <is>
          <t>FILIPSTAD</t>
        </is>
      </c>
      <c r="G16" t="n">
        <v>1.9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Smalfotad taggsvamp
Vaddporing</t>
        </is>
      </c>
      <c r="S16">
        <f>HYPERLINK("https://klasma.github.io/Logging_1782/artfynd/A 63625-2023 artfynd.xlsx", "A 63625-2023")</f>
        <v/>
      </c>
      <c r="T16">
        <f>HYPERLINK("https://klasma.github.io/Logging_1782/kartor/A 63625-2023 karta.png", "A 63625-2023")</f>
        <v/>
      </c>
      <c r="V16">
        <f>HYPERLINK("https://klasma.github.io/Logging_1782/klagomål/A 63625-2023 FSC-klagomål.docx", "A 63625-2023")</f>
        <v/>
      </c>
      <c r="W16">
        <f>HYPERLINK("https://klasma.github.io/Logging_1782/klagomålsmail/A 63625-2023 FSC-klagomål mail.docx", "A 63625-2023")</f>
        <v/>
      </c>
      <c r="X16">
        <f>HYPERLINK("https://klasma.github.io/Logging_1782/tillsyn/A 63625-2023 tillsynsbegäran.docx", "A 63625-2023")</f>
        <v/>
      </c>
      <c r="Y16">
        <f>HYPERLINK("https://klasma.github.io/Logging_1782/tillsynsmail/A 63625-2023 tillsynsbegäran mail.docx", "A 63625-2023")</f>
        <v/>
      </c>
    </row>
    <row r="17" ht="15" customHeight="1">
      <c r="A17" t="inlineStr">
        <is>
          <t>A 65232-2023</t>
        </is>
      </c>
      <c r="B17" s="1" t="n">
        <v>45289</v>
      </c>
      <c r="C17" s="1" t="n">
        <v>45350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26.4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Spetsvaxskivling
Ögonpyrola</t>
        </is>
      </c>
      <c r="S17">
        <f>HYPERLINK("https://klasma.github.io/Logging_1782/artfynd/A 65232-2023 artfynd.xlsx", "A 65232-2023")</f>
        <v/>
      </c>
      <c r="T17">
        <f>HYPERLINK("https://klasma.github.io/Logging_1782/kartor/A 65232-2023 karta.png", "A 65232-2023")</f>
        <v/>
      </c>
      <c r="V17">
        <f>HYPERLINK("https://klasma.github.io/Logging_1782/klagomål/A 65232-2023 FSC-klagomål.docx", "A 65232-2023")</f>
        <v/>
      </c>
      <c r="W17">
        <f>HYPERLINK("https://klasma.github.io/Logging_1782/klagomålsmail/A 65232-2023 FSC-klagomål mail.docx", "A 65232-2023")</f>
        <v/>
      </c>
      <c r="X17">
        <f>HYPERLINK("https://klasma.github.io/Logging_1782/tillsyn/A 65232-2023 tillsynsbegäran.docx", "A 65232-2023")</f>
        <v/>
      </c>
      <c r="Y17">
        <f>HYPERLINK("https://klasma.github.io/Logging_1782/tillsynsmail/A 65232-2023 tillsynsbegäran mail.docx", "A 65232-2023")</f>
        <v/>
      </c>
    </row>
    <row r="18" ht="15" customHeight="1">
      <c r="A18" t="inlineStr">
        <is>
          <t>A 6077-2019</t>
        </is>
      </c>
      <c r="B18" s="1" t="n">
        <v>43493</v>
      </c>
      <c r="C18" s="1" t="n">
        <v>45350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5.8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HYPERLINK("https://klasma.github.io/Logging_1782/artfynd/A 6077-2019 artfynd.xlsx", "A 6077-2019")</f>
        <v/>
      </c>
      <c r="T18">
        <f>HYPERLINK("https://klasma.github.io/Logging_1782/kartor/A 6077-2019 karta.png", "A 6077-2019")</f>
        <v/>
      </c>
      <c r="V18">
        <f>HYPERLINK("https://klasma.github.io/Logging_1782/klagomål/A 6077-2019 FSC-klagomål.docx", "A 6077-2019")</f>
        <v/>
      </c>
      <c r="W18">
        <f>HYPERLINK("https://klasma.github.io/Logging_1782/klagomålsmail/A 6077-2019 FSC-klagomål mail.docx", "A 6077-2019")</f>
        <v/>
      </c>
      <c r="X18">
        <f>HYPERLINK("https://klasma.github.io/Logging_1782/tillsyn/A 6077-2019 tillsynsbegäran.docx", "A 6077-2019")</f>
        <v/>
      </c>
      <c r="Y18">
        <f>HYPERLINK("https://klasma.github.io/Logging_1782/tillsynsmail/A 6077-2019 tillsynsbegäran mail.docx", "A 6077-2019")</f>
        <v/>
      </c>
    </row>
    <row r="19" ht="15" customHeight="1">
      <c r="A19" t="inlineStr">
        <is>
          <t>A 31191-2019</t>
        </is>
      </c>
      <c r="B19" s="1" t="n">
        <v>43640</v>
      </c>
      <c r="C19" s="1" t="n">
        <v>45350</v>
      </c>
      <c r="D19" t="inlineStr">
        <is>
          <t>VÄRMLANDS LÄN</t>
        </is>
      </c>
      <c r="E19" t="inlineStr">
        <is>
          <t>FILIPSTAD</t>
        </is>
      </c>
      <c r="G19" t="n">
        <v>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HYPERLINK("https://klasma.github.io/Logging_1782/artfynd/A 31191-2019 artfynd.xlsx", "A 31191-2019")</f>
        <v/>
      </c>
      <c r="T19">
        <f>HYPERLINK("https://klasma.github.io/Logging_1782/kartor/A 31191-2019 karta.png", "A 31191-2019")</f>
        <v/>
      </c>
      <c r="V19">
        <f>HYPERLINK("https://klasma.github.io/Logging_1782/klagomål/A 31191-2019 FSC-klagomål.docx", "A 31191-2019")</f>
        <v/>
      </c>
      <c r="W19">
        <f>HYPERLINK("https://klasma.github.io/Logging_1782/klagomålsmail/A 31191-2019 FSC-klagomål mail.docx", "A 31191-2019")</f>
        <v/>
      </c>
      <c r="X19">
        <f>HYPERLINK("https://klasma.github.io/Logging_1782/tillsyn/A 31191-2019 tillsynsbegäran.docx", "A 31191-2019")</f>
        <v/>
      </c>
      <c r="Y19">
        <f>HYPERLINK("https://klasma.github.io/Logging_1782/tillsynsmail/A 31191-2019 tillsynsbegäran mail.docx", "A 31191-2019")</f>
        <v/>
      </c>
      <c r="Z19">
        <f>HYPERLINK("https://klasma.github.io/Logging_1782/fåglar/A 31191-2019 prioriterade fågelarter.docx", "A 31191-2019")</f>
        <v/>
      </c>
    </row>
    <row r="20" ht="15" customHeight="1">
      <c r="A20" t="inlineStr">
        <is>
          <t>A 65258-2019</t>
        </is>
      </c>
      <c r="B20" s="1" t="n">
        <v>43802</v>
      </c>
      <c r="C20" s="1" t="n">
        <v>45350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35.3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Strandlummer</t>
        </is>
      </c>
      <c r="S20">
        <f>HYPERLINK("https://klasma.github.io/Logging_1782/artfynd/A 65258-2019 artfynd.xlsx", "A 65258-2019")</f>
        <v/>
      </c>
      <c r="T20">
        <f>HYPERLINK("https://klasma.github.io/Logging_1782/kartor/A 65258-2019 karta.png", "A 65258-2019")</f>
        <v/>
      </c>
      <c r="V20">
        <f>HYPERLINK("https://klasma.github.io/Logging_1782/klagomål/A 65258-2019 FSC-klagomål.docx", "A 65258-2019")</f>
        <v/>
      </c>
      <c r="W20">
        <f>HYPERLINK("https://klasma.github.io/Logging_1782/klagomålsmail/A 65258-2019 FSC-klagomål mail.docx", "A 65258-2019")</f>
        <v/>
      </c>
      <c r="X20">
        <f>HYPERLINK("https://klasma.github.io/Logging_1782/tillsyn/A 65258-2019 tillsynsbegäran.docx", "A 65258-2019")</f>
        <v/>
      </c>
      <c r="Y20">
        <f>HYPERLINK("https://klasma.github.io/Logging_1782/tillsynsmail/A 65258-2019 tillsynsbegäran mail.docx", "A 65258-2019")</f>
        <v/>
      </c>
    </row>
    <row r="21" ht="15" customHeight="1">
      <c r="A21" t="inlineStr">
        <is>
          <t>A 42542-2020</t>
        </is>
      </c>
      <c r="B21" s="1" t="n">
        <v>44077</v>
      </c>
      <c r="C21" s="1" t="n">
        <v>45350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Brunpudrad nållav</t>
        </is>
      </c>
      <c r="S21">
        <f>HYPERLINK("https://klasma.github.io/Logging_1782/artfynd/A 42542-2020 artfynd.xlsx", "A 42542-2020")</f>
        <v/>
      </c>
      <c r="T21">
        <f>HYPERLINK("https://klasma.github.io/Logging_1782/kartor/A 42542-2020 karta.png", "A 42542-2020")</f>
        <v/>
      </c>
      <c r="V21">
        <f>HYPERLINK("https://klasma.github.io/Logging_1782/klagomål/A 42542-2020 FSC-klagomål.docx", "A 42542-2020")</f>
        <v/>
      </c>
      <c r="W21">
        <f>HYPERLINK("https://klasma.github.io/Logging_1782/klagomålsmail/A 42542-2020 FSC-klagomål mail.docx", "A 42542-2020")</f>
        <v/>
      </c>
      <c r="X21">
        <f>HYPERLINK("https://klasma.github.io/Logging_1782/tillsyn/A 42542-2020 tillsynsbegäran.docx", "A 42542-2020")</f>
        <v/>
      </c>
      <c r="Y21">
        <f>HYPERLINK("https://klasma.github.io/Logging_1782/tillsynsmail/A 42542-2020 tillsynsbegäran mail.docx", "A 42542-2020")</f>
        <v/>
      </c>
    </row>
    <row r="22" ht="15" customHeight="1">
      <c r="A22" t="inlineStr">
        <is>
          <t>A 62572-2021</t>
        </is>
      </c>
      <c r="B22" s="1" t="n">
        <v>44503</v>
      </c>
      <c r="C22" s="1" t="n">
        <v>45350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46.9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HYPERLINK("https://klasma.github.io/Logging_1782/artfynd/A 62572-2021 artfynd.xlsx", "A 62572-2021")</f>
        <v/>
      </c>
      <c r="T22">
        <f>HYPERLINK("https://klasma.github.io/Logging_1782/kartor/A 62572-2021 karta.png", "A 62572-2021")</f>
        <v/>
      </c>
      <c r="V22">
        <f>HYPERLINK("https://klasma.github.io/Logging_1782/klagomål/A 62572-2021 FSC-klagomål.docx", "A 62572-2021")</f>
        <v/>
      </c>
      <c r="W22">
        <f>HYPERLINK("https://klasma.github.io/Logging_1782/klagomålsmail/A 62572-2021 FSC-klagomål mail.docx", "A 62572-2021")</f>
        <v/>
      </c>
      <c r="X22">
        <f>HYPERLINK("https://klasma.github.io/Logging_1782/tillsyn/A 62572-2021 tillsynsbegäran.docx", "A 62572-2021")</f>
        <v/>
      </c>
      <c r="Y22">
        <f>HYPERLINK("https://klasma.github.io/Logging_1782/tillsynsmail/A 62572-2021 tillsynsbegäran mail.docx", "A 62572-2021")</f>
        <v/>
      </c>
    </row>
    <row r="23" ht="15" customHeight="1">
      <c r="A23" t="inlineStr">
        <is>
          <t>A 20754-2022</t>
        </is>
      </c>
      <c r="B23" s="1" t="n">
        <v>44701</v>
      </c>
      <c r="C23" s="1" t="n">
        <v>45350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HYPERLINK("https://klasma.github.io/Logging_1782/artfynd/A 20754-2022 artfynd.xlsx", "A 20754-2022")</f>
        <v/>
      </c>
      <c r="T23">
        <f>HYPERLINK("https://klasma.github.io/Logging_1782/kartor/A 20754-2022 karta.png", "A 20754-2022")</f>
        <v/>
      </c>
      <c r="V23">
        <f>HYPERLINK("https://klasma.github.io/Logging_1782/klagomål/A 20754-2022 FSC-klagomål.docx", "A 20754-2022")</f>
        <v/>
      </c>
      <c r="W23">
        <f>HYPERLINK("https://klasma.github.io/Logging_1782/klagomålsmail/A 20754-2022 FSC-klagomål mail.docx", "A 20754-2022")</f>
        <v/>
      </c>
      <c r="X23">
        <f>HYPERLINK("https://klasma.github.io/Logging_1782/tillsyn/A 20754-2022 tillsynsbegäran.docx", "A 20754-2022")</f>
        <v/>
      </c>
      <c r="Y23">
        <f>HYPERLINK("https://klasma.github.io/Logging_1782/tillsynsmail/A 20754-2022 tillsynsbegäran mail.docx", "A 20754-2022")</f>
        <v/>
      </c>
    </row>
    <row r="24" ht="15" customHeight="1">
      <c r="A24" t="inlineStr">
        <is>
          <t>A 27105-2022</t>
        </is>
      </c>
      <c r="B24" s="1" t="n">
        <v>44741</v>
      </c>
      <c r="C24" s="1" t="n">
        <v>45350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HYPERLINK("https://klasma.github.io/Logging_1782/artfynd/A 27105-2022 artfynd.xlsx", "A 27105-2022")</f>
        <v/>
      </c>
      <c r="T24">
        <f>HYPERLINK("https://klasma.github.io/Logging_1782/kartor/A 27105-2022 karta.png", "A 27105-2022")</f>
        <v/>
      </c>
      <c r="V24">
        <f>HYPERLINK("https://klasma.github.io/Logging_1782/klagomål/A 27105-2022 FSC-klagomål.docx", "A 27105-2022")</f>
        <v/>
      </c>
      <c r="W24">
        <f>HYPERLINK("https://klasma.github.io/Logging_1782/klagomålsmail/A 27105-2022 FSC-klagomål mail.docx", "A 27105-2022")</f>
        <v/>
      </c>
      <c r="X24">
        <f>HYPERLINK("https://klasma.github.io/Logging_1782/tillsyn/A 27105-2022 tillsynsbegäran.docx", "A 27105-2022")</f>
        <v/>
      </c>
      <c r="Y24">
        <f>HYPERLINK("https://klasma.github.io/Logging_1782/tillsynsmail/A 27105-2022 tillsynsbegäran mail.docx", "A 27105-2022")</f>
        <v/>
      </c>
    </row>
    <row r="25" ht="15" customHeight="1">
      <c r="A25" t="inlineStr">
        <is>
          <t>A 51522-2022</t>
        </is>
      </c>
      <c r="B25" s="1" t="n">
        <v>44869</v>
      </c>
      <c r="C25" s="1" t="n">
        <v>45350</v>
      </c>
      <c r="D25" t="inlineStr">
        <is>
          <t>VÄRMLANDS LÄN</t>
        </is>
      </c>
      <c r="E25" t="inlineStr">
        <is>
          <t>FILIPSTAD</t>
        </is>
      </c>
      <c r="G25" t="n">
        <v>4.1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HYPERLINK("https://klasma.github.io/Logging_1782/artfynd/A 51522-2022 artfynd.xlsx", "A 51522-2022")</f>
        <v/>
      </c>
      <c r="T25">
        <f>HYPERLINK("https://klasma.github.io/Logging_1782/kartor/A 51522-2022 karta.png", "A 51522-2022")</f>
        <v/>
      </c>
      <c r="V25">
        <f>HYPERLINK("https://klasma.github.io/Logging_1782/klagomål/A 51522-2022 FSC-klagomål.docx", "A 51522-2022")</f>
        <v/>
      </c>
      <c r="W25">
        <f>HYPERLINK("https://klasma.github.io/Logging_1782/klagomålsmail/A 51522-2022 FSC-klagomål mail.docx", "A 51522-2022")</f>
        <v/>
      </c>
      <c r="X25">
        <f>HYPERLINK("https://klasma.github.io/Logging_1782/tillsyn/A 51522-2022 tillsynsbegäran.docx", "A 51522-2022")</f>
        <v/>
      </c>
      <c r="Y25">
        <f>HYPERLINK("https://klasma.github.io/Logging_1782/tillsynsmail/A 51522-2022 tillsynsbegäran mail.docx", "A 51522-2022")</f>
        <v/>
      </c>
    </row>
    <row r="26" ht="15" customHeight="1">
      <c r="A26" t="inlineStr">
        <is>
          <t>A 37427-2023</t>
        </is>
      </c>
      <c r="B26" s="1" t="n">
        <v>45156</v>
      </c>
      <c r="C26" s="1" t="n">
        <v>45350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2.7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HYPERLINK("https://klasma.github.io/Logging_1782/artfynd/A 37427-2023 artfynd.xlsx", "A 37427-2023")</f>
        <v/>
      </c>
      <c r="T26">
        <f>HYPERLINK("https://klasma.github.io/Logging_1782/kartor/A 37427-2023 karta.png", "A 37427-2023")</f>
        <v/>
      </c>
      <c r="V26">
        <f>HYPERLINK("https://klasma.github.io/Logging_1782/klagomål/A 37427-2023 FSC-klagomål.docx", "A 37427-2023")</f>
        <v/>
      </c>
      <c r="W26">
        <f>HYPERLINK("https://klasma.github.io/Logging_1782/klagomålsmail/A 37427-2023 FSC-klagomål mail.docx", "A 37427-2023")</f>
        <v/>
      </c>
      <c r="X26">
        <f>HYPERLINK("https://klasma.github.io/Logging_1782/tillsyn/A 37427-2023 tillsynsbegäran.docx", "A 37427-2023")</f>
        <v/>
      </c>
      <c r="Y26">
        <f>HYPERLINK("https://klasma.github.io/Logging_1782/tillsynsmail/A 37427-2023 tillsynsbegäran mail.docx", "A 37427-2023")</f>
        <v/>
      </c>
    </row>
    <row r="27" ht="15" customHeight="1">
      <c r="A27" t="inlineStr">
        <is>
          <t>A 65201-2023</t>
        </is>
      </c>
      <c r="B27" s="1" t="n">
        <v>45289</v>
      </c>
      <c r="C27" s="1" t="n">
        <v>45350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7.5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HYPERLINK("https://klasma.github.io/Logging_1782/artfynd/A 65201-2023 artfynd.xlsx", "A 65201-2023")</f>
        <v/>
      </c>
      <c r="T27">
        <f>HYPERLINK("https://klasma.github.io/Logging_1782/kartor/A 65201-2023 karta.png", "A 65201-2023")</f>
        <v/>
      </c>
      <c r="V27">
        <f>HYPERLINK("https://klasma.github.io/Logging_1782/klagomål/A 65201-2023 FSC-klagomål.docx", "A 65201-2023")</f>
        <v/>
      </c>
      <c r="W27">
        <f>HYPERLINK("https://klasma.github.io/Logging_1782/klagomålsmail/A 65201-2023 FSC-klagomål mail.docx", "A 65201-2023")</f>
        <v/>
      </c>
      <c r="X27">
        <f>HYPERLINK("https://klasma.github.io/Logging_1782/tillsyn/A 65201-2023 tillsynsbegäran.docx", "A 65201-2023")</f>
        <v/>
      </c>
      <c r="Y27">
        <f>HYPERLINK("https://klasma.github.io/Logging_1782/tillsynsmail/A 65201-2023 tillsynsbegäran mail.docx", "A 65201-2023")</f>
        <v/>
      </c>
    </row>
    <row r="28" ht="15" customHeight="1">
      <c r="A28" t="inlineStr">
        <is>
          <t>A 34353-2018</t>
        </is>
      </c>
      <c r="B28" s="1" t="n">
        <v>43318</v>
      </c>
      <c r="C28" s="1" t="n">
        <v>45350</v>
      </c>
      <c r="D28" t="inlineStr">
        <is>
          <t>VÄRMLANDS LÄN</t>
        </is>
      </c>
      <c r="E28" t="inlineStr">
        <is>
          <t>FILIPSTAD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37081-2018</t>
        </is>
      </c>
      <c r="B29" s="1" t="n">
        <v>43332</v>
      </c>
      <c r="C29" s="1" t="n">
        <v>45350</v>
      </c>
      <c r="D29" t="inlineStr">
        <is>
          <t>VÄRMLANDS LÄN</t>
        </is>
      </c>
      <c r="E29" t="inlineStr">
        <is>
          <t>FILIPSTAD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39250-2018</t>
        </is>
      </c>
      <c r="B30" s="1" t="n">
        <v>43339</v>
      </c>
      <c r="C30" s="1" t="n">
        <v>45350</v>
      </c>
      <c r="D30" t="inlineStr">
        <is>
          <t>VÄRMLANDS LÄN</t>
        </is>
      </c>
      <c r="E30" t="inlineStr">
        <is>
          <t>FILIPSTAD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60260-2018</t>
        </is>
      </c>
      <c r="B31" s="1" t="n">
        <v>43412</v>
      </c>
      <c r="C31" s="1" t="n">
        <v>45350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11.4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59066-2018</t>
        </is>
      </c>
      <c r="B32" s="1" t="n">
        <v>43413</v>
      </c>
      <c r="C32" s="1" t="n">
        <v>45350</v>
      </c>
      <c r="D32" t="inlineStr">
        <is>
          <t>VÄRMLANDS LÄN</t>
        </is>
      </c>
      <c r="E32" t="inlineStr">
        <is>
          <t>FILIPSTAD</t>
        </is>
      </c>
      <c r="F32" t="inlineStr">
        <is>
          <t>Kyrkan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64877-2018</t>
        </is>
      </c>
      <c r="B33" s="1" t="n">
        <v>43431</v>
      </c>
      <c r="C33" s="1" t="n">
        <v>45350</v>
      </c>
      <c r="D33" t="inlineStr">
        <is>
          <t>VÄRMLANDS LÄN</t>
        </is>
      </c>
      <c r="E33" t="inlineStr">
        <is>
          <t>FILIPSTAD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66951-2018</t>
        </is>
      </c>
      <c r="B34" s="1" t="n">
        <v>43438</v>
      </c>
      <c r="C34" s="1" t="n">
        <v>45350</v>
      </c>
      <c r="D34" t="inlineStr">
        <is>
          <t>VÄRMLANDS LÄN</t>
        </is>
      </c>
      <c r="E34" t="inlineStr">
        <is>
          <t>FILIPSTAD</t>
        </is>
      </c>
      <c r="G34" t="n">
        <v>5.4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69336-2018</t>
        </is>
      </c>
      <c r="B35" s="1" t="n">
        <v>43446</v>
      </c>
      <c r="C35" s="1" t="n">
        <v>45350</v>
      </c>
      <c r="D35" t="inlineStr">
        <is>
          <t>VÄRMLANDS LÄN</t>
        </is>
      </c>
      <c r="E35" t="inlineStr">
        <is>
          <t>FILIPSTAD</t>
        </is>
      </c>
      <c r="F35" t="inlineStr">
        <is>
          <t>Bergvik skog väst AB</t>
        </is>
      </c>
      <c r="G35" t="n">
        <v>21.3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70514-2018</t>
        </is>
      </c>
      <c r="B36" s="1" t="n">
        <v>43451</v>
      </c>
      <c r="C36" s="1" t="n">
        <v>45350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13.2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34-2019</t>
        </is>
      </c>
      <c r="B37" s="1" t="n">
        <v>43454</v>
      </c>
      <c r="C37" s="1" t="n">
        <v>45350</v>
      </c>
      <c r="D37" t="inlineStr">
        <is>
          <t>VÄRMLANDS LÄN</t>
        </is>
      </c>
      <c r="E37" t="inlineStr">
        <is>
          <t>FILIPSTAD</t>
        </is>
      </c>
      <c r="G37" t="n">
        <v>10.7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71923-2018</t>
        </is>
      </c>
      <c r="B38" s="1" t="n">
        <v>43455</v>
      </c>
      <c r="C38" s="1" t="n">
        <v>45350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72425-2018</t>
        </is>
      </c>
      <c r="B39" s="1" t="n">
        <v>43461</v>
      </c>
      <c r="C39" s="1" t="n">
        <v>45350</v>
      </c>
      <c r="D39" t="inlineStr">
        <is>
          <t>VÄRMLANDS LÄN</t>
        </is>
      </c>
      <c r="E39" t="inlineStr">
        <is>
          <t>FILIPSTAD</t>
        </is>
      </c>
      <c r="F39" t="inlineStr">
        <is>
          <t>Bergvik skog väst AB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72526-2018</t>
        </is>
      </c>
      <c r="B40" s="1" t="n">
        <v>43462</v>
      </c>
      <c r="C40" s="1" t="n">
        <v>45350</v>
      </c>
      <c r="D40" t="inlineStr">
        <is>
          <t>VÄRMLANDS LÄN</t>
        </is>
      </c>
      <c r="E40" t="inlineStr">
        <is>
          <t>FILIPSTAD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1250-2019</t>
        </is>
      </c>
      <c r="B41" s="1" t="n">
        <v>43473</v>
      </c>
      <c r="C41" s="1" t="n">
        <v>45350</v>
      </c>
      <c r="D41" t="inlineStr">
        <is>
          <t>VÄRMLANDS LÄN</t>
        </is>
      </c>
      <c r="E41" t="inlineStr">
        <is>
          <t>FILIPSTAD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3216-2019</t>
        </is>
      </c>
      <c r="B42" s="1" t="n">
        <v>43473</v>
      </c>
      <c r="C42" s="1" t="n">
        <v>45350</v>
      </c>
      <c r="D42" t="inlineStr">
        <is>
          <t>VÄRMLANDS LÄN</t>
        </is>
      </c>
      <c r="E42" t="inlineStr">
        <is>
          <t>FILIPSTAD</t>
        </is>
      </c>
      <c r="F42" t="inlineStr">
        <is>
          <t>Kommuner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3210-2019</t>
        </is>
      </c>
      <c r="B43" s="1" t="n">
        <v>43473</v>
      </c>
      <c r="C43" s="1" t="n">
        <v>45350</v>
      </c>
      <c r="D43" t="inlineStr">
        <is>
          <t>VÄRMLANDS LÄN</t>
        </is>
      </c>
      <c r="E43" t="inlineStr">
        <is>
          <t>FILIPSTAD</t>
        </is>
      </c>
      <c r="F43" t="inlineStr">
        <is>
          <t>Kommuner</t>
        </is>
      </c>
      <c r="G43" t="n">
        <v>14.3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1244-2019</t>
        </is>
      </c>
      <c r="B44" s="1" t="n">
        <v>43473</v>
      </c>
      <c r="C44" s="1" t="n">
        <v>45350</v>
      </c>
      <c r="D44" t="inlineStr">
        <is>
          <t>VÄRMLANDS LÄN</t>
        </is>
      </c>
      <c r="E44" t="inlineStr">
        <is>
          <t>FILIPSTAD</t>
        </is>
      </c>
      <c r="F44" t="inlineStr">
        <is>
          <t>Bergvik skog väst AB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3220-2019</t>
        </is>
      </c>
      <c r="B45" s="1" t="n">
        <v>43473</v>
      </c>
      <c r="C45" s="1" t="n">
        <v>45350</v>
      </c>
      <c r="D45" t="inlineStr">
        <is>
          <t>VÄRMLANDS LÄN</t>
        </is>
      </c>
      <c r="E45" t="inlineStr">
        <is>
          <t>FILIPSTAD</t>
        </is>
      </c>
      <c r="F45" t="inlineStr">
        <is>
          <t>Kommuner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1395-2019</t>
        </is>
      </c>
      <c r="B46" s="1" t="n">
        <v>43473</v>
      </c>
      <c r="C46" s="1" t="n">
        <v>45350</v>
      </c>
      <c r="D46" t="inlineStr">
        <is>
          <t>VÄRMLANDS LÄN</t>
        </is>
      </c>
      <c r="E46" t="inlineStr">
        <is>
          <t>FILIPSTAD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1240-2019</t>
        </is>
      </c>
      <c r="B47" s="1" t="n">
        <v>43473</v>
      </c>
      <c r="C47" s="1" t="n">
        <v>45350</v>
      </c>
      <c r="D47" t="inlineStr">
        <is>
          <t>VÄRMLANDS LÄN</t>
        </is>
      </c>
      <c r="E47" t="inlineStr">
        <is>
          <t>FILIPSTAD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1664-2019</t>
        </is>
      </c>
      <c r="B48" s="1" t="n">
        <v>43474</v>
      </c>
      <c r="C48" s="1" t="n">
        <v>45350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1757-2019</t>
        </is>
      </c>
      <c r="B49" s="1" t="n">
        <v>43474</v>
      </c>
      <c r="C49" s="1" t="n">
        <v>45350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1734-2019</t>
        </is>
      </c>
      <c r="B50" s="1" t="n">
        <v>43474</v>
      </c>
      <c r="C50" s="1" t="n">
        <v>45350</v>
      </c>
      <c r="D50" t="inlineStr">
        <is>
          <t>VÄRMLANDS LÄN</t>
        </is>
      </c>
      <c r="E50" t="inlineStr">
        <is>
          <t>FILIPSTAD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1705-2019</t>
        </is>
      </c>
      <c r="B51" s="1" t="n">
        <v>43474</v>
      </c>
      <c r="C51" s="1" t="n">
        <v>45350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2140-2019</t>
        </is>
      </c>
      <c r="B52" s="1" t="n">
        <v>43475</v>
      </c>
      <c r="C52" s="1" t="n">
        <v>45350</v>
      </c>
      <c r="D52" t="inlineStr">
        <is>
          <t>VÄRMLANDS LÄN</t>
        </is>
      </c>
      <c r="E52" t="inlineStr">
        <is>
          <t>FILIPSTAD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2763-2019</t>
        </is>
      </c>
      <c r="B53" s="1" t="n">
        <v>43479</v>
      </c>
      <c r="C53" s="1" t="n">
        <v>45350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5311-2019</t>
        </is>
      </c>
      <c r="B54" s="1" t="n">
        <v>43488</v>
      </c>
      <c r="C54" s="1" t="n">
        <v>45350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5553-2019</t>
        </is>
      </c>
      <c r="B55" s="1" t="n">
        <v>43489</v>
      </c>
      <c r="C55" s="1" t="n">
        <v>45350</v>
      </c>
      <c r="D55" t="inlineStr">
        <is>
          <t>VÄRMLANDS LÄN</t>
        </is>
      </c>
      <c r="E55" t="inlineStr">
        <is>
          <t>FILIPSTAD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6041-2019</t>
        </is>
      </c>
      <c r="B56" s="1" t="n">
        <v>43493</v>
      </c>
      <c r="C56" s="1" t="n">
        <v>45350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6610-2019</t>
        </is>
      </c>
      <c r="B57" s="1" t="n">
        <v>43494</v>
      </c>
      <c r="C57" s="1" t="n">
        <v>45350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6945-2019</t>
        </is>
      </c>
      <c r="B58" s="1" t="n">
        <v>43495</v>
      </c>
      <c r="C58" s="1" t="n">
        <v>45350</v>
      </c>
      <c r="D58" t="inlineStr">
        <is>
          <t>VÄRMLANDS LÄN</t>
        </is>
      </c>
      <c r="E58" t="inlineStr">
        <is>
          <t>FILIPSTAD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7380-2019</t>
        </is>
      </c>
      <c r="B59" s="1" t="n">
        <v>43497</v>
      </c>
      <c r="C59" s="1" t="n">
        <v>45350</v>
      </c>
      <c r="D59" t="inlineStr">
        <is>
          <t>VÄRMLANDS LÄN</t>
        </is>
      </c>
      <c r="E59" t="inlineStr">
        <is>
          <t>FILIPSTAD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7387-2019</t>
        </is>
      </c>
      <c r="B60" s="1" t="n">
        <v>43497</v>
      </c>
      <c r="C60" s="1" t="n">
        <v>45350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7385-2019</t>
        </is>
      </c>
      <c r="B61" s="1" t="n">
        <v>43497</v>
      </c>
      <c r="C61" s="1" t="n">
        <v>45350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7383-2019</t>
        </is>
      </c>
      <c r="B62" s="1" t="n">
        <v>43497</v>
      </c>
      <c r="C62" s="1" t="n">
        <v>45350</v>
      </c>
      <c r="D62" t="inlineStr">
        <is>
          <t>VÄRMLANDS LÄN</t>
        </is>
      </c>
      <c r="E62" t="inlineStr">
        <is>
          <t>FILIPSTAD</t>
        </is>
      </c>
      <c r="F62" t="inlineStr">
        <is>
          <t>Bergvik skog väst AB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7530-2019</t>
        </is>
      </c>
      <c r="B63" s="1" t="n">
        <v>43497</v>
      </c>
      <c r="C63" s="1" t="n">
        <v>45350</v>
      </c>
      <c r="D63" t="inlineStr">
        <is>
          <t>VÄRMLANDS LÄN</t>
        </is>
      </c>
      <c r="E63" t="inlineStr">
        <is>
          <t>FILIPSTAD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7778-2019</t>
        </is>
      </c>
      <c r="B64" s="1" t="n">
        <v>43500</v>
      </c>
      <c r="C64" s="1" t="n">
        <v>45350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7968-2019</t>
        </is>
      </c>
      <c r="B65" s="1" t="n">
        <v>43501</v>
      </c>
      <c r="C65" s="1" t="n">
        <v>45350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9342-2019</t>
        </is>
      </c>
      <c r="B66" s="1" t="n">
        <v>43507</v>
      </c>
      <c r="C66" s="1" t="n">
        <v>45350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9798-2019</t>
        </is>
      </c>
      <c r="B67" s="1" t="n">
        <v>43509</v>
      </c>
      <c r="C67" s="1" t="n">
        <v>45350</v>
      </c>
      <c r="D67" t="inlineStr">
        <is>
          <t>VÄRMLANDS LÄN</t>
        </is>
      </c>
      <c r="E67" t="inlineStr">
        <is>
          <t>FILIPSTAD</t>
        </is>
      </c>
      <c r="F67" t="inlineStr">
        <is>
          <t>Bergvik skog väst AB</t>
        </is>
      </c>
      <c r="G67" t="n">
        <v>33.2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9865-2019</t>
        </is>
      </c>
      <c r="B68" s="1" t="n">
        <v>43509</v>
      </c>
      <c r="C68" s="1" t="n">
        <v>45350</v>
      </c>
      <c r="D68" t="inlineStr">
        <is>
          <t>VÄRMLANDS LÄN</t>
        </is>
      </c>
      <c r="E68" t="inlineStr">
        <is>
          <t>FILIPSTAD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9850-2019</t>
        </is>
      </c>
      <c r="B69" s="1" t="n">
        <v>43509</v>
      </c>
      <c r="C69" s="1" t="n">
        <v>45350</v>
      </c>
      <c r="D69" t="inlineStr">
        <is>
          <t>VÄRMLANDS LÄN</t>
        </is>
      </c>
      <c r="E69" t="inlineStr">
        <is>
          <t>FILIPSTAD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10404-2019</t>
        </is>
      </c>
      <c r="B70" s="1" t="n">
        <v>43511</v>
      </c>
      <c r="C70" s="1" t="n">
        <v>45350</v>
      </c>
      <c r="D70" t="inlineStr">
        <is>
          <t>VÄRMLANDS LÄN</t>
        </is>
      </c>
      <c r="E70" t="inlineStr">
        <is>
          <t>FILIPSTAD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10629-2019</t>
        </is>
      </c>
      <c r="B71" s="1" t="n">
        <v>43514</v>
      </c>
      <c r="C71" s="1" t="n">
        <v>45350</v>
      </c>
      <c r="D71" t="inlineStr">
        <is>
          <t>VÄRMLANDS LÄN</t>
        </is>
      </c>
      <c r="E71" t="inlineStr">
        <is>
          <t>FILIPSTAD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10598-2019</t>
        </is>
      </c>
      <c r="B72" s="1" t="n">
        <v>43514</v>
      </c>
      <c r="C72" s="1" t="n">
        <v>45350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10998-2019</t>
        </is>
      </c>
      <c r="B73" s="1" t="n">
        <v>43515</v>
      </c>
      <c r="C73" s="1" t="n">
        <v>45350</v>
      </c>
      <c r="D73" t="inlineStr">
        <is>
          <t>VÄRMLANDS LÄN</t>
        </is>
      </c>
      <c r="E73" t="inlineStr">
        <is>
          <t>FILIPSTAD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11135-2019</t>
        </is>
      </c>
      <c r="B74" s="1" t="n">
        <v>43516</v>
      </c>
      <c r="C74" s="1" t="n">
        <v>45350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13130-2019</t>
        </is>
      </c>
      <c r="B75" s="1" t="n">
        <v>43528</v>
      </c>
      <c r="C75" s="1" t="n">
        <v>45350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13094-2019</t>
        </is>
      </c>
      <c r="B76" s="1" t="n">
        <v>43528</v>
      </c>
      <c r="C76" s="1" t="n">
        <v>45350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13832-2019</t>
        </is>
      </c>
      <c r="B77" s="1" t="n">
        <v>43531</v>
      </c>
      <c r="C77" s="1" t="n">
        <v>45350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13833-2019</t>
        </is>
      </c>
      <c r="B78" s="1" t="n">
        <v>43531</v>
      </c>
      <c r="C78" s="1" t="n">
        <v>45350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12.3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14812-2019</t>
        </is>
      </c>
      <c r="B79" s="1" t="n">
        <v>43539</v>
      </c>
      <c r="C79" s="1" t="n">
        <v>45350</v>
      </c>
      <c r="D79" t="inlineStr">
        <is>
          <t>VÄRMLANDS LÄN</t>
        </is>
      </c>
      <c r="E79" t="inlineStr">
        <is>
          <t>FILIPSTAD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17596-2019</t>
        </is>
      </c>
      <c r="B80" s="1" t="n">
        <v>43553</v>
      </c>
      <c r="C80" s="1" t="n">
        <v>45350</v>
      </c>
      <c r="D80" t="inlineStr">
        <is>
          <t>VÄRMLANDS LÄN</t>
        </is>
      </c>
      <c r="E80" t="inlineStr">
        <is>
          <t>FILIPSTAD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17417-2019</t>
        </is>
      </c>
      <c r="B81" s="1" t="n">
        <v>43553</v>
      </c>
      <c r="C81" s="1" t="n">
        <v>45350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17586-2019</t>
        </is>
      </c>
      <c r="B82" s="1" t="n">
        <v>43553</v>
      </c>
      <c r="C82" s="1" t="n">
        <v>45350</v>
      </c>
      <c r="D82" t="inlineStr">
        <is>
          <t>VÄRMLANDS LÄN</t>
        </is>
      </c>
      <c r="E82" t="inlineStr">
        <is>
          <t>FILIPSTAD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19491-2019</t>
        </is>
      </c>
      <c r="B83" s="1" t="n">
        <v>43565</v>
      </c>
      <c r="C83" s="1" t="n">
        <v>45350</v>
      </c>
      <c r="D83" t="inlineStr">
        <is>
          <t>VÄRMLANDS LÄN</t>
        </is>
      </c>
      <c r="E83" t="inlineStr">
        <is>
          <t>FILIPSTAD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20047-2019</t>
        </is>
      </c>
      <c r="B84" s="1" t="n">
        <v>43570</v>
      </c>
      <c r="C84" s="1" t="n">
        <v>45350</v>
      </c>
      <c r="D84" t="inlineStr">
        <is>
          <t>VÄRMLANDS LÄN</t>
        </is>
      </c>
      <c r="E84" t="inlineStr">
        <is>
          <t>FILIPSTAD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20045-2019</t>
        </is>
      </c>
      <c r="B85" s="1" t="n">
        <v>43570</v>
      </c>
      <c r="C85" s="1" t="n">
        <v>45350</v>
      </c>
      <c r="D85" t="inlineStr">
        <is>
          <t>VÄRMLANDS LÄN</t>
        </is>
      </c>
      <c r="E85" t="inlineStr">
        <is>
          <t>FILIPSTAD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21222-2019</t>
        </is>
      </c>
      <c r="B86" s="1" t="n">
        <v>43579</v>
      </c>
      <c r="C86" s="1" t="n">
        <v>45350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23023-2019</t>
        </is>
      </c>
      <c r="B87" s="1" t="n">
        <v>43591</v>
      </c>
      <c r="C87" s="1" t="n">
        <v>45350</v>
      </c>
      <c r="D87" t="inlineStr">
        <is>
          <t>VÄRMLANDS LÄN</t>
        </is>
      </c>
      <c r="E87" t="inlineStr">
        <is>
          <t>FILIPSTAD</t>
        </is>
      </c>
      <c r="G87" t="n">
        <v>9.4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24902-2019</t>
        </is>
      </c>
      <c r="B88" s="1" t="n">
        <v>43602</v>
      </c>
      <c r="C88" s="1" t="n">
        <v>45350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25041-2019</t>
        </is>
      </c>
      <c r="B89" s="1" t="n">
        <v>43603</v>
      </c>
      <c r="C89" s="1" t="n">
        <v>45350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26274-2019</t>
        </is>
      </c>
      <c r="B90" s="1" t="n">
        <v>43611</v>
      </c>
      <c r="C90" s="1" t="n">
        <v>45350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26289-2019</t>
        </is>
      </c>
      <c r="B91" s="1" t="n">
        <v>43611</v>
      </c>
      <c r="C91" s="1" t="n">
        <v>45350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26280-2019</t>
        </is>
      </c>
      <c r="B92" s="1" t="n">
        <v>43611</v>
      </c>
      <c r="C92" s="1" t="n">
        <v>45350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22.8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26287-2019</t>
        </is>
      </c>
      <c r="B93" s="1" t="n">
        <v>43611</v>
      </c>
      <c r="C93" s="1" t="n">
        <v>45350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27199-2019</t>
        </is>
      </c>
      <c r="B94" s="1" t="n">
        <v>43614</v>
      </c>
      <c r="C94" s="1" t="n">
        <v>45350</v>
      </c>
      <c r="D94" t="inlineStr">
        <is>
          <t>VÄRMLANDS LÄN</t>
        </is>
      </c>
      <c r="E94" t="inlineStr">
        <is>
          <t>FILIPSTAD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27388-2019</t>
        </is>
      </c>
      <c r="B95" s="1" t="n">
        <v>43616</v>
      </c>
      <c r="C95" s="1" t="n">
        <v>45350</v>
      </c>
      <c r="D95" t="inlineStr">
        <is>
          <t>VÄRMLANDS LÄN</t>
        </is>
      </c>
      <c r="E95" t="inlineStr">
        <is>
          <t>FILIPSTAD</t>
        </is>
      </c>
      <c r="F95" t="inlineStr">
        <is>
          <t>Bergvik skog väst AB</t>
        </is>
      </c>
      <c r="G95" t="n">
        <v>34.4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27430-2019</t>
        </is>
      </c>
      <c r="B96" s="1" t="n">
        <v>43617</v>
      </c>
      <c r="C96" s="1" t="n">
        <v>45350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30777-2019</t>
        </is>
      </c>
      <c r="B97" s="1" t="n">
        <v>43636</v>
      </c>
      <c r="C97" s="1" t="n">
        <v>45350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31121-2019</t>
        </is>
      </c>
      <c r="B98" s="1" t="n">
        <v>43640</v>
      </c>
      <c r="C98" s="1" t="n">
        <v>45350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31122-2019</t>
        </is>
      </c>
      <c r="B99" s="1" t="n">
        <v>43640</v>
      </c>
      <c r="C99" s="1" t="n">
        <v>45350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31120-2019</t>
        </is>
      </c>
      <c r="B100" s="1" t="n">
        <v>43640</v>
      </c>
      <c r="C100" s="1" t="n">
        <v>45350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31664-2019</t>
        </is>
      </c>
      <c r="B101" s="1" t="n">
        <v>43640</v>
      </c>
      <c r="C101" s="1" t="n">
        <v>45350</v>
      </c>
      <c r="D101" t="inlineStr">
        <is>
          <t>VÄRMLANDS LÄN</t>
        </is>
      </c>
      <c r="E101" t="inlineStr">
        <is>
          <t>FILIPSTAD</t>
        </is>
      </c>
      <c r="F101" t="inlineStr">
        <is>
          <t>Kyrkan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31650-2019</t>
        </is>
      </c>
      <c r="B102" s="1" t="n">
        <v>43640</v>
      </c>
      <c r="C102" s="1" t="n">
        <v>45350</v>
      </c>
      <c r="D102" t="inlineStr">
        <is>
          <t>VÄRMLANDS LÄN</t>
        </is>
      </c>
      <c r="E102" t="inlineStr">
        <is>
          <t>FILIPSTAD</t>
        </is>
      </c>
      <c r="F102" t="inlineStr">
        <is>
          <t>Kyrkan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32562-2019</t>
        </is>
      </c>
      <c r="B103" s="1" t="n">
        <v>43647</v>
      </c>
      <c r="C103" s="1" t="n">
        <v>45350</v>
      </c>
      <c r="D103" t="inlineStr">
        <is>
          <t>VÄRMLANDS LÄN</t>
        </is>
      </c>
      <c r="E103" t="inlineStr">
        <is>
          <t>FILIPSTAD</t>
        </is>
      </c>
      <c r="F103" t="inlineStr">
        <is>
          <t>Bergvik skog väst AB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34513-2019</t>
        </is>
      </c>
      <c r="B104" s="1" t="n">
        <v>43657</v>
      </c>
      <c r="C104" s="1" t="n">
        <v>45350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35422-2019</t>
        </is>
      </c>
      <c r="B105" s="1" t="n">
        <v>43663</v>
      </c>
      <c r="C105" s="1" t="n">
        <v>45350</v>
      </c>
      <c r="D105" t="inlineStr">
        <is>
          <t>VÄRMLANDS LÄN</t>
        </is>
      </c>
      <c r="E105" t="inlineStr">
        <is>
          <t>FILIPSTAD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37216-2019</t>
        </is>
      </c>
      <c r="B106" s="1" t="n">
        <v>43677</v>
      </c>
      <c r="C106" s="1" t="n">
        <v>45350</v>
      </c>
      <c r="D106" t="inlineStr">
        <is>
          <t>VÄRMLANDS LÄN</t>
        </is>
      </c>
      <c r="E106" t="inlineStr">
        <is>
          <t>FILIPSTAD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37833-2019</t>
        </is>
      </c>
      <c r="B107" s="1" t="n">
        <v>43682</v>
      </c>
      <c r="C107" s="1" t="n">
        <v>45350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37867-2019</t>
        </is>
      </c>
      <c r="B108" s="1" t="n">
        <v>43682</v>
      </c>
      <c r="C108" s="1" t="n">
        <v>45350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37856-2019</t>
        </is>
      </c>
      <c r="B109" s="1" t="n">
        <v>43682</v>
      </c>
      <c r="C109" s="1" t="n">
        <v>45350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41821-2019</t>
        </is>
      </c>
      <c r="B110" s="1" t="n">
        <v>43700</v>
      </c>
      <c r="C110" s="1" t="n">
        <v>45350</v>
      </c>
      <c r="D110" t="inlineStr">
        <is>
          <t>VÄRMLANDS LÄN</t>
        </is>
      </c>
      <c r="E110" t="inlineStr">
        <is>
          <t>FILIPSTAD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42033-2019</t>
        </is>
      </c>
      <c r="B111" s="1" t="n">
        <v>43700</v>
      </c>
      <c r="C111" s="1" t="n">
        <v>45350</v>
      </c>
      <c r="D111" t="inlineStr">
        <is>
          <t>VÄRMLANDS LÄN</t>
        </is>
      </c>
      <c r="E111" t="inlineStr">
        <is>
          <t>FILIPSTAD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42131-2019</t>
        </is>
      </c>
      <c r="B112" s="1" t="n">
        <v>43703</v>
      </c>
      <c r="C112" s="1" t="n">
        <v>45350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42980-2019</t>
        </is>
      </c>
      <c r="B113" s="1" t="n">
        <v>43705</v>
      </c>
      <c r="C113" s="1" t="n">
        <v>45350</v>
      </c>
      <c r="D113" t="inlineStr">
        <is>
          <t>VÄRMLANDS LÄN</t>
        </is>
      </c>
      <c r="E113" t="inlineStr">
        <is>
          <t>FILIPSTAD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43291-2019</t>
        </is>
      </c>
      <c r="B114" s="1" t="n">
        <v>43706</v>
      </c>
      <c r="C114" s="1" t="n">
        <v>45350</v>
      </c>
      <c r="D114" t="inlineStr">
        <is>
          <t>VÄRMLANDS LÄN</t>
        </is>
      </c>
      <c r="E114" t="inlineStr">
        <is>
          <t>FILIPSTAD</t>
        </is>
      </c>
      <c r="G114" t="n">
        <v>15.5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44177-2019</t>
        </is>
      </c>
      <c r="B115" s="1" t="n">
        <v>43710</v>
      </c>
      <c r="C115" s="1" t="n">
        <v>45350</v>
      </c>
      <c r="D115" t="inlineStr">
        <is>
          <t>VÄRMLANDS LÄN</t>
        </is>
      </c>
      <c r="E115" t="inlineStr">
        <is>
          <t>FILIPSTAD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45704-2019</t>
        </is>
      </c>
      <c r="B116" s="1" t="n">
        <v>43717</v>
      </c>
      <c r="C116" s="1" t="n">
        <v>45350</v>
      </c>
      <c r="D116" t="inlineStr">
        <is>
          <t>VÄRMLANDS LÄN</t>
        </is>
      </c>
      <c r="E116" t="inlineStr">
        <is>
          <t>FILIPSTAD</t>
        </is>
      </c>
      <c r="F116" t="inlineStr">
        <is>
          <t>Bergvik skog väst AB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46822-2019</t>
        </is>
      </c>
      <c r="B117" s="1" t="n">
        <v>43720</v>
      </c>
      <c r="C117" s="1" t="n">
        <v>45350</v>
      </c>
      <c r="D117" t="inlineStr">
        <is>
          <t>VÄRMLANDS LÄN</t>
        </is>
      </c>
      <c r="E117" t="inlineStr">
        <is>
          <t>FILIPSTAD</t>
        </is>
      </c>
      <c r="F117" t="inlineStr">
        <is>
          <t>Bergvik skog väst AB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46904-2019</t>
        </is>
      </c>
      <c r="B118" s="1" t="n">
        <v>43720</v>
      </c>
      <c r="C118" s="1" t="n">
        <v>45350</v>
      </c>
      <c r="D118" t="inlineStr">
        <is>
          <t>VÄRMLANDS LÄN</t>
        </is>
      </c>
      <c r="E118" t="inlineStr">
        <is>
          <t>FILIPSTAD</t>
        </is>
      </c>
      <c r="F118" t="inlineStr">
        <is>
          <t>Bergvik skog väst AB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48936-2019</t>
        </is>
      </c>
      <c r="B119" s="1" t="n">
        <v>43728</v>
      </c>
      <c r="C119" s="1" t="n">
        <v>45350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50933-2019</t>
        </is>
      </c>
      <c r="B120" s="1" t="n">
        <v>43738</v>
      </c>
      <c r="C120" s="1" t="n">
        <v>45350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50939-2019</t>
        </is>
      </c>
      <c r="B121" s="1" t="n">
        <v>43738</v>
      </c>
      <c r="C121" s="1" t="n">
        <v>45350</v>
      </c>
      <c r="D121" t="inlineStr">
        <is>
          <t>VÄRMLANDS LÄN</t>
        </is>
      </c>
      <c r="E121" t="inlineStr">
        <is>
          <t>FILIPSTAD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50840-2019</t>
        </is>
      </c>
      <c r="B122" s="1" t="n">
        <v>43738</v>
      </c>
      <c r="C122" s="1" t="n">
        <v>45350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51260-2019</t>
        </is>
      </c>
      <c r="B123" s="1" t="n">
        <v>43739</v>
      </c>
      <c r="C123" s="1" t="n">
        <v>45350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53932-2019</t>
        </is>
      </c>
      <c r="B124" s="1" t="n">
        <v>43742</v>
      </c>
      <c r="C124" s="1" t="n">
        <v>45350</v>
      </c>
      <c r="D124" t="inlineStr">
        <is>
          <t>VÄRMLANDS LÄN</t>
        </is>
      </c>
      <c r="E124" t="inlineStr">
        <is>
          <t>FILIPSTAD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54839-2019</t>
        </is>
      </c>
      <c r="B125" s="1" t="n">
        <v>43755</v>
      </c>
      <c r="C125" s="1" t="n">
        <v>45350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54778-2019</t>
        </is>
      </c>
      <c r="B126" s="1" t="n">
        <v>43755</v>
      </c>
      <c r="C126" s="1" t="n">
        <v>45350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54706-2019</t>
        </is>
      </c>
      <c r="B127" s="1" t="n">
        <v>43755</v>
      </c>
      <c r="C127" s="1" t="n">
        <v>45350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59883-2019</t>
        </is>
      </c>
      <c r="B128" s="1" t="n">
        <v>43777</v>
      </c>
      <c r="C128" s="1" t="n">
        <v>45350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64342-2019</t>
        </is>
      </c>
      <c r="B129" s="1" t="n">
        <v>43797</v>
      </c>
      <c r="C129" s="1" t="n">
        <v>45350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64343-2019</t>
        </is>
      </c>
      <c r="B130" s="1" t="n">
        <v>43797</v>
      </c>
      <c r="C130" s="1" t="n">
        <v>45350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64353-2019</t>
        </is>
      </c>
      <c r="B131" s="1" t="n">
        <v>43797</v>
      </c>
      <c r="C131" s="1" t="n">
        <v>45350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65089-2019</t>
        </is>
      </c>
      <c r="B132" s="1" t="n">
        <v>43802</v>
      </c>
      <c r="C132" s="1" t="n">
        <v>45350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9.1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65078-2019</t>
        </is>
      </c>
      <c r="B133" s="1" t="n">
        <v>43802</v>
      </c>
      <c r="C133" s="1" t="n">
        <v>45350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65235-2019</t>
        </is>
      </c>
      <c r="B134" s="1" t="n">
        <v>43802</v>
      </c>
      <c r="C134" s="1" t="n">
        <v>45350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65345-2019</t>
        </is>
      </c>
      <c r="B135" s="1" t="n">
        <v>43803</v>
      </c>
      <c r="C135" s="1" t="n">
        <v>45350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8.1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65366-2019</t>
        </is>
      </c>
      <c r="B136" s="1" t="n">
        <v>43803</v>
      </c>
      <c r="C136" s="1" t="n">
        <v>45350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40.5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66877-2019</t>
        </is>
      </c>
      <c r="B137" s="1" t="n">
        <v>43810</v>
      </c>
      <c r="C137" s="1" t="n">
        <v>45350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67904-2019</t>
        </is>
      </c>
      <c r="B138" s="1" t="n">
        <v>43816</v>
      </c>
      <c r="C138" s="1" t="n">
        <v>45350</v>
      </c>
      <c r="D138" t="inlineStr">
        <is>
          <t>VÄRMLANDS LÄN</t>
        </is>
      </c>
      <c r="E138" t="inlineStr">
        <is>
          <t>FILIPSTAD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68495-2019</t>
        </is>
      </c>
      <c r="B139" s="1" t="n">
        <v>43818</v>
      </c>
      <c r="C139" s="1" t="n">
        <v>45350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9.800000000000001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69138-2019</t>
        </is>
      </c>
      <c r="B140" s="1" t="n">
        <v>43829</v>
      </c>
      <c r="C140" s="1" t="n">
        <v>45350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11.5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69113-2019</t>
        </is>
      </c>
      <c r="B141" s="1" t="n">
        <v>43829</v>
      </c>
      <c r="C141" s="1" t="n">
        <v>45350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5196-2020</t>
        </is>
      </c>
      <c r="B142" s="1" t="n">
        <v>43860</v>
      </c>
      <c r="C142" s="1" t="n">
        <v>45350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5229-2020</t>
        </is>
      </c>
      <c r="B143" s="1" t="n">
        <v>43860</v>
      </c>
      <c r="C143" s="1" t="n">
        <v>45350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5280-2020</t>
        </is>
      </c>
      <c r="B144" s="1" t="n">
        <v>43860</v>
      </c>
      <c r="C144" s="1" t="n">
        <v>45350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49.8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6181-2020</t>
        </is>
      </c>
      <c r="B145" s="1" t="n">
        <v>43865</v>
      </c>
      <c r="C145" s="1" t="n">
        <v>45350</v>
      </c>
      <c r="D145" t="inlineStr">
        <is>
          <t>VÄRMLANDS LÄN</t>
        </is>
      </c>
      <c r="E145" t="inlineStr">
        <is>
          <t>FILIPSTAD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7656-2020</t>
        </is>
      </c>
      <c r="B146" s="1" t="n">
        <v>43872</v>
      </c>
      <c r="C146" s="1" t="n">
        <v>45350</v>
      </c>
      <c r="D146" t="inlineStr">
        <is>
          <t>VÄRMLANDS LÄN</t>
        </is>
      </c>
      <c r="E146" t="inlineStr">
        <is>
          <t>FILIPSTAD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7831-2020</t>
        </is>
      </c>
      <c r="B147" s="1" t="n">
        <v>43872</v>
      </c>
      <c r="C147" s="1" t="n">
        <v>45350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7859-2020</t>
        </is>
      </c>
      <c r="B148" s="1" t="n">
        <v>43872</v>
      </c>
      <c r="C148" s="1" t="n">
        <v>45350</v>
      </c>
      <c r="D148" t="inlineStr">
        <is>
          <t>VÄRMLANDS LÄN</t>
        </is>
      </c>
      <c r="E148" t="inlineStr">
        <is>
          <t>FILIPSTAD</t>
        </is>
      </c>
      <c r="F148" t="inlineStr">
        <is>
          <t>Kommuner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7828-2020</t>
        </is>
      </c>
      <c r="B149" s="1" t="n">
        <v>43872</v>
      </c>
      <c r="C149" s="1" t="n">
        <v>45350</v>
      </c>
      <c r="D149" t="inlineStr">
        <is>
          <t>VÄRMLANDS LÄN</t>
        </is>
      </c>
      <c r="E149" t="inlineStr">
        <is>
          <t>FILIPSTAD</t>
        </is>
      </c>
      <c r="F149" t="inlineStr">
        <is>
          <t>Kommuner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9117-2020</t>
        </is>
      </c>
      <c r="B150" s="1" t="n">
        <v>43879</v>
      </c>
      <c r="C150" s="1" t="n">
        <v>45350</v>
      </c>
      <c r="D150" t="inlineStr">
        <is>
          <t>VÄRMLANDS LÄN</t>
        </is>
      </c>
      <c r="E150" t="inlineStr">
        <is>
          <t>FILIPSTAD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9395-2020</t>
        </is>
      </c>
      <c r="B151" s="1" t="n">
        <v>43880</v>
      </c>
      <c r="C151" s="1" t="n">
        <v>45350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9931-2020</t>
        </is>
      </c>
      <c r="B152" s="1" t="n">
        <v>43882</v>
      </c>
      <c r="C152" s="1" t="n">
        <v>45350</v>
      </c>
      <c r="D152" t="inlineStr">
        <is>
          <t>VÄRMLANDS LÄN</t>
        </is>
      </c>
      <c r="E152" t="inlineStr">
        <is>
          <t>FILIPSTAD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9939-2020</t>
        </is>
      </c>
      <c r="B153" s="1" t="n">
        <v>43882</v>
      </c>
      <c r="C153" s="1" t="n">
        <v>45350</v>
      </c>
      <c r="D153" t="inlineStr">
        <is>
          <t>VÄRMLANDS LÄN</t>
        </is>
      </c>
      <c r="E153" t="inlineStr">
        <is>
          <t>FILIPSTAD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10721-2020</t>
        </is>
      </c>
      <c r="B154" s="1" t="n">
        <v>43885</v>
      </c>
      <c r="C154" s="1" t="n">
        <v>45350</v>
      </c>
      <c r="D154" t="inlineStr">
        <is>
          <t>VÄRMLANDS LÄN</t>
        </is>
      </c>
      <c r="E154" t="inlineStr">
        <is>
          <t>FILIPSTAD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11219-2020</t>
        </is>
      </c>
      <c r="B155" s="1" t="n">
        <v>43886</v>
      </c>
      <c r="C155" s="1" t="n">
        <v>45350</v>
      </c>
      <c r="D155" t="inlineStr">
        <is>
          <t>VÄRMLANDS LÄN</t>
        </is>
      </c>
      <c r="E155" t="inlineStr">
        <is>
          <t>FILIPSTAD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10464-2020</t>
        </is>
      </c>
      <c r="B156" s="1" t="n">
        <v>43886</v>
      </c>
      <c r="C156" s="1" t="n">
        <v>45350</v>
      </c>
      <c r="D156" t="inlineStr">
        <is>
          <t>VÄRMLANDS LÄN</t>
        </is>
      </c>
      <c r="E156" t="inlineStr">
        <is>
          <t>FILIPSTAD</t>
        </is>
      </c>
      <c r="G156" t="n">
        <v>17.3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10497-2020</t>
        </is>
      </c>
      <c r="B157" s="1" t="n">
        <v>43886</v>
      </c>
      <c r="C157" s="1" t="n">
        <v>45350</v>
      </c>
      <c r="D157" t="inlineStr">
        <is>
          <t>VÄRMLANDS LÄN</t>
        </is>
      </c>
      <c r="E157" t="inlineStr">
        <is>
          <t>FILIPSTAD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10319-2020</t>
        </is>
      </c>
      <c r="B158" s="1" t="n">
        <v>43887</v>
      </c>
      <c r="C158" s="1" t="n">
        <v>45350</v>
      </c>
      <c r="D158" t="inlineStr">
        <is>
          <t>VÄRMLANDS LÄN</t>
        </is>
      </c>
      <c r="E158" t="inlineStr">
        <is>
          <t>FILIPSTAD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10560-2020</t>
        </is>
      </c>
      <c r="B159" s="1" t="n">
        <v>43887</v>
      </c>
      <c r="C159" s="1" t="n">
        <v>45350</v>
      </c>
      <c r="D159" t="inlineStr">
        <is>
          <t>VÄRMLANDS LÄN</t>
        </is>
      </c>
      <c r="E159" t="inlineStr">
        <is>
          <t>FILIPSTAD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11944-2020</t>
        </is>
      </c>
      <c r="B160" s="1" t="n">
        <v>43889</v>
      </c>
      <c r="C160" s="1" t="n">
        <v>45350</v>
      </c>
      <c r="D160" t="inlineStr">
        <is>
          <t>VÄRMLANDS LÄN</t>
        </is>
      </c>
      <c r="E160" t="inlineStr">
        <is>
          <t>FILIPSTAD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11160-2020</t>
        </is>
      </c>
      <c r="B161" s="1" t="n">
        <v>43891</v>
      </c>
      <c r="C161" s="1" t="n">
        <v>45350</v>
      </c>
      <c r="D161" t="inlineStr">
        <is>
          <t>VÄRMLANDS LÄN</t>
        </is>
      </c>
      <c r="E161" t="inlineStr">
        <is>
          <t>FILIPSTAD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12372-2020</t>
        </is>
      </c>
      <c r="B162" s="1" t="n">
        <v>43896</v>
      </c>
      <c r="C162" s="1" t="n">
        <v>45350</v>
      </c>
      <c r="D162" t="inlineStr">
        <is>
          <t>VÄRMLANDS LÄN</t>
        </is>
      </c>
      <c r="E162" t="inlineStr">
        <is>
          <t>FILIPSTAD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13740-2020</t>
        </is>
      </c>
      <c r="B163" s="1" t="n">
        <v>43903</v>
      </c>
      <c r="C163" s="1" t="n">
        <v>45350</v>
      </c>
      <c r="D163" t="inlineStr">
        <is>
          <t>VÄRMLANDS LÄN</t>
        </is>
      </c>
      <c r="E163" t="inlineStr">
        <is>
          <t>FILIPSTAD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16322-2020</t>
        </is>
      </c>
      <c r="B164" s="1" t="n">
        <v>43907</v>
      </c>
      <c r="C164" s="1" t="n">
        <v>45350</v>
      </c>
      <c r="D164" t="inlineStr">
        <is>
          <t>VÄRMLANDS LÄN</t>
        </is>
      </c>
      <c r="E164" t="inlineStr">
        <is>
          <t>FILIPSTAD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16305-2020</t>
        </is>
      </c>
      <c r="B165" s="1" t="n">
        <v>43907</v>
      </c>
      <c r="C165" s="1" t="n">
        <v>45350</v>
      </c>
      <c r="D165" t="inlineStr">
        <is>
          <t>VÄRMLANDS LÄN</t>
        </is>
      </c>
      <c r="E165" t="inlineStr">
        <is>
          <t>FILIPSTAD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14501-2020</t>
        </is>
      </c>
      <c r="B166" s="1" t="n">
        <v>43908</v>
      </c>
      <c r="C166" s="1" t="n">
        <v>45350</v>
      </c>
      <c r="D166" t="inlineStr">
        <is>
          <t>VÄRMLANDS LÄN</t>
        </is>
      </c>
      <c r="E166" t="inlineStr">
        <is>
          <t>FILIPSTAD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15598-2020</t>
        </is>
      </c>
      <c r="B167" s="1" t="n">
        <v>43914</v>
      </c>
      <c r="C167" s="1" t="n">
        <v>45350</v>
      </c>
      <c r="D167" t="inlineStr">
        <is>
          <t>VÄRMLANDS LÄN</t>
        </is>
      </c>
      <c r="E167" t="inlineStr">
        <is>
          <t>FILIPSTAD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15702-2020</t>
        </is>
      </c>
      <c r="B168" s="1" t="n">
        <v>43915</v>
      </c>
      <c r="C168" s="1" t="n">
        <v>45350</v>
      </c>
      <c r="D168" t="inlineStr">
        <is>
          <t>VÄRMLANDS LÄN</t>
        </is>
      </c>
      <c r="E168" t="inlineStr">
        <is>
          <t>FILIPSTAD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17892-2020</t>
        </is>
      </c>
      <c r="B169" s="1" t="n">
        <v>43924</v>
      </c>
      <c r="C169" s="1" t="n">
        <v>45350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17879-2020</t>
        </is>
      </c>
      <c r="B170" s="1" t="n">
        <v>43924</v>
      </c>
      <c r="C170" s="1" t="n">
        <v>45350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18707-2020</t>
        </is>
      </c>
      <c r="B171" s="1" t="n">
        <v>43930</v>
      </c>
      <c r="C171" s="1" t="n">
        <v>45350</v>
      </c>
      <c r="D171" t="inlineStr">
        <is>
          <t>VÄRMLANDS LÄN</t>
        </is>
      </c>
      <c r="E171" t="inlineStr">
        <is>
          <t>FILIPSTAD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18804-2020</t>
        </is>
      </c>
      <c r="B172" s="1" t="n">
        <v>43933</v>
      </c>
      <c r="C172" s="1" t="n">
        <v>45350</v>
      </c>
      <c r="D172" t="inlineStr">
        <is>
          <t>VÄRMLANDS LÄN</t>
        </is>
      </c>
      <c r="E172" t="inlineStr">
        <is>
          <t>FILIPSTAD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19282-2020</t>
        </is>
      </c>
      <c r="B173" s="1" t="n">
        <v>43937</v>
      </c>
      <c r="C173" s="1" t="n">
        <v>45350</v>
      </c>
      <c r="D173" t="inlineStr">
        <is>
          <t>VÄRMLANDS LÄN</t>
        </is>
      </c>
      <c r="E173" t="inlineStr">
        <is>
          <t>FILIPSTAD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20706-2020</t>
        </is>
      </c>
      <c r="B174" s="1" t="n">
        <v>43949</v>
      </c>
      <c r="C174" s="1" t="n">
        <v>45350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20735-2020</t>
        </is>
      </c>
      <c r="B175" s="1" t="n">
        <v>43949</v>
      </c>
      <c r="C175" s="1" t="n">
        <v>45350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5.8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20671-2020</t>
        </is>
      </c>
      <c r="B176" s="1" t="n">
        <v>43949</v>
      </c>
      <c r="C176" s="1" t="n">
        <v>45350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20744-2020</t>
        </is>
      </c>
      <c r="B177" s="1" t="n">
        <v>43949</v>
      </c>
      <c r="C177" s="1" t="n">
        <v>45350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20753-2020</t>
        </is>
      </c>
      <c r="B178" s="1" t="n">
        <v>43949</v>
      </c>
      <c r="C178" s="1" t="n">
        <v>45350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20.2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20670-2020</t>
        </is>
      </c>
      <c r="B179" s="1" t="n">
        <v>43949</v>
      </c>
      <c r="C179" s="1" t="n">
        <v>45350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20702-2020</t>
        </is>
      </c>
      <c r="B180" s="1" t="n">
        <v>43949</v>
      </c>
      <c r="C180" s="1" t="n">
        <v>45350</v>
      </c>
      <c r="D180" t="inlineStr">
        <is>
          <t>VÄRMLANDS LÄN</t>
        </is>
      </c>
      <c r="E180" t="inlineStr">
        <is>
          <t>FILIPSTAD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20709-2020</t>
        </is>
      </c>
      <c r="B181" s="1" t="n">
        <v>43949</v>
      </c>
      <c r="C181" s="1" t="n">
        <v>45350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10.1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20726-2020</t>
        </is>
      </c>
      <c r="B182" s="1" t="n">
        <v>43949</v>
      </c>
      <c r="C182" s="1" t="n">
        <v>45350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16.6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20751-2020</t>
        </is>
      </c>
      <c r="B183" s="1" t="n">
        <v>43949</v>
      </c>
      <c r="C183" s="1" t="n">
        <v>45350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20741-2020</t>
        </is>
      </c>
      <c r="B184" s="1" t="n">
        <v>43949</v>
      </c>
      <c r="C184" s="1" t="n">
        <v>45350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20729-2020</t>
        </is>
      </c>
      <c r="B185" s="1" t="n">
        <v>43949</v>
      </c>
      <c r="C185" s="1" t="n">
        <v>45350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22086-2020</t>
        </is>
      </c>
      <c r="B186" s="1" t="n">
        <v>43959</v>
      </c>
      <c r="C186" s="1" t="n">
        <v>45350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22125-2020</t>
        </is>
      </c>
      <c r="B187" s="1" t="n">
        <v>43960</v>
      </c>
      <c r="C187" s="1" t="n">
        <v>45350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22600-2020</t>
        </is>
      </c>
      <c r="B188" s="1" t="n">
        <v>43963</v>
      </c>
      <c r="C188" s="1" t="n">
        <v>45350</v>
      </c>
      <c r="D188" t="inlineStr">
        <is>
          <t>VÄRMLANDS LÄN</t>
        </is>
      </c>
      <c r="E188" t="inlineStr">
        <is>
          <t>FILIPSTAD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22871-2020</t>
        </is>
      </c>
      <c r="B189" s="1" t="n">
        <v>43964</v>
      </c>
      <c r="C189" s="1" t="n">
        <v>45350</v>
      </c>
      <c r="D189" t="inlineStr">
        <is>
          <t>VÄRMLANDS LÄN</t>
        </is>
      </c>
      <c r="E189" t="inlineStr">
        <is>
          <t>FILIPSTAD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22869-2020</t>
        </is>
      </c>
      <c r="B190" s="1" t="n">
        <v>43964</v>
      </c>
      <c r="C190" s="1" t="n">
        <v>45350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23293-2020</t>
        </is>
      </c>
      <c r="B191" s="1" t="n">
        <v>43966</v>
      </c>
      <c r="C191" s="1" t="n">
        <v>45350</v>
      </c>
      <c r="D191" t="inlineStr">
        <is>
          <t>VÄRMLANDS LÄN</t>
        </is>
      </c>
      <c r="E191" t="inlineStr">
        <is>
          <t>FILIPSTAD</t>
        </is>
      </c>
      <c r="G191" t="n">
        <v>13.1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25528-2020</t>
        </is>
      </c>
      <c r="B192" s="1" t="n">
        <v>43983</v>
      </c>
      <c r="C192" s="1" t="n">
        <v>45350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25971-2020</t>
        </is>
      </c>
      <c r="B193" s="1" t="n">
        <v>43985</v>
      </c>
      <c r="C193" s="1" t="n">
        <v>45350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26440-2020</t>
        </is>
      </c>
      <c r="B194" s="1" t="n">
        <v>43987</v>
      </c>
      <c r="C194" s="1" t="n">
        <v>45350</v>
      </c>
      <c r="D194" t="inlineStr">
        <is>
          <t>VÄRMLANDS LÄN</t>
        </is>
      </c>
      <c r="E194" t="inlineStr">
        <is>
          <t>FILIPSTAD</t>
        </is>
      </c>
      <c r="F194" t="inlineStr">
        <is>
          <t>Bergvik skog väst AB</t>
        </is>
      </c>
      <c r="G194" t="n">
        <v>12.9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26545-2020</t>
        </is>
      </c>
      <c r="B195" s="1" t="n">
        <v>43987</v>
      </c>
      <c r="C195" s="1" t="n">
        <v>45350</v>
      </c>
      <c r="D195" t="inlineStr">
        <is>
          <t>VÄRMLANDS LÄN</t>
        </is>
      </c>
      <c r="E195" t="inlineStr">
        <is>
          <t>FILIPSTAD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26517-2020</t>
        </is>
      </c>
      <c r="B196" s="1" t="n">
        <v>43987</v>
      </c>
      <c r="C196" s="1" t="n">
        <v>45350</v>
      </c>
      <c r="D196" t="inlineStr">
        <is>
          <t>VÄRMLANDS LÄN</t>
        </is>
      </c>
      <c r="E196" t="inlineStr">
        <is>
          <t>FILIPSTAD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28301-2020</t>
        </is>
      </c>
      <c r="B197" s="1" t="n">
        <v>43998</v>
      </c>
      <c r="C197" s="1" t="n">
        <v>45350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28522-2020</t>
        </is>
      </c>
      <c r="B198" s="1" t="n">
        <v>43999</v>
      </c>
      <c r="C198" s="1" t="n">
        <v>45350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30017-2020</t>
        </is>
      </c>
      <c r="B199" s="1" t="n">
        <v>44006</v>
      </c>
      <c r="C199" s="1" t="n">
        <v>45350</v>
      </c>
      <c r="D199" t="inlineStr">
        <is>
          <t>VÄRMLANDS LÄN</t>
        </is>
      </c>
      <c r="E199" t="inlineStr">
        <is>
          <t>FILIPSTAD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30028-2020</t>
        </is>
      </c>
      <c r="B200" s="1" t="n">
        <v>44006</v>
      </c>
      <c r="C200" s="1" t="n">
        <v>45350</v>
      </c>
      <c r="D200" t="inlineStr">
        <is>
          <t>VÄRMLANDS LÄN</t>
        </is>
      </c>
      <c r="E200" t="inlineStr">
        <is>
          <t>FILIPSTAD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30085-2020</t>
        </is>
      </c>
      <c r="B201" s="1" t="n">
        <v>44006</v>
      </c>
      <c r="C201" s="1" t="n">
        <v>45350</v>
      </c>
      <c r="D201" t="inlineStr">
        <is>
          <t>VÄRMLANDS LÄN</t>
        </is>
      </c>
      <c r="E201" t="inlineStr">
        <is>
          <t>FILIPSTAD</t>
        </is>
      </c>
      <c r="F201" t="inlineStr">
        <is>
          <t>Bergvik skog väst AB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30007-2020</t>
        </is>
      </c>
      <c r="B202" s="1" t="n">
        <v>44006</v>
      </c>
      <c r="C202" s="1" t="n">
        <v>45350</v>
      </c>
      <c r="D202" t="inlineStr">
        <is>
          <t>VÄRMLANDS LÄN</t>
        </is>
      </c>
      <c r="E202" t="inlineStr">
        <is>
          <t>FILIPSTAD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30768-2020</t>
        </is>
      </c>
      <c r="B203" s="1" t="n">
        <v>44008</v>
      </c>
      <c r="C203" s="1" t="n">
        <v>45350</v>
      </c>
      <c r="D203" t="inlineStr">
        <is>
          <t>VÄRMLANDS LÄN</t>
        </is>
      </c>
      <c r="E203" t="inlineStr">
        <is>
          <t>FILIPSTAD</t>
        </is>
      </c>
      <c r="F203" t="inlineStr">
        <is>
          <t>Bergvik skog väst AB</t>
        </is>
      </c>
      <c r="G203" t="n">
        <v>21.9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30767-2020</t>
        </is>
      </c>
      <c r="B204" s="1" t="n">
        <v>44008</v>
      </c>
      <c r="C204" s="1" t="n">
        <v>45350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33872-2020</t>
        </is>
      </c>
      <c r="B205" s="1" t="n">
        <v>44027</v>
      </c>
      <c r="C205" s="1" t="n">
        <v>45350</v>
      </c>
      <c r="D205" t="inlineStr">
        <is>
          <t>VÄRMLANDS LÄN</t>
        </is>
      </c>
      <c r="E205" t="inlineStr">
        <is>
          <t>FILIPSTAD</t>
        </is>
      </c>
      <c r="F205" t="inlineStr">
        <is>
          <t>Bergvik skog väst AB</t>
        </is>
      </c>
      <c r="G205" t="n">
        <v>10.9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34105-2020</t>
        </is>
      </c>
      <c r="B206" s="1" t="n">
        <v>44028</v>
      </c>
      <c r="C206" s="1" t="n">
        <v>45350</v>
      </c>
      <c r="D206" t="inlineStr">
        <is>
          <t>VÄRMLANDS LÄN</t>
        </is>
      </c>
      <c r="E206" t="inlineStr">
        <is>
          <t>FILIPSTAD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33969-2020</t>
        </is>
      </c>
      <c r="B207" s="1" t="n">
        <v>44028</v>
      </c>
      <c r="C207" s="1" t="n">
        <v>45350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34461-2020</t>
        </is>
      </c>
      <c r="B208" s="1" t="n">
        <v>44032</v>
      </c>
      <c r="C208" s="1" t="n">
        <v>45350</v>
      </c>
      <c r="D208" t="inlineStr">
        <is>
          <t>VÄRMLANDS LÄN</t>
        </is>
      </c>
      <c r="E208" t="inlineStr">
        <is>
          <t>FILIPSTAD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35194-2020</t>
        </is>
      </c>
      <c r="B209" s="1" t="n">
        <v>44040</v>
      </c>
      <c r="C209" s="1" t="n">
        <v>45350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36126-2020</t>
        </is>
      </c>
      <c r="B210" s="1" t="n">
        <v>44048</v>
      </c>
      <c r="C210" s="1" t="n">
        <v>45350</v>
      </c>
      <c r="D210" t="inlineStr">
        <is>
          <t>VÄRMLANDS LÄN</t>
        </is>
      </c>
      <c r="E210" t="inlineStr">
        <is>
          <t>FILIPSTAD</t>
        </is>
      </c>
      <c r="F210" t="inlineStr">
        <is>
          <t>Bergvik skog väst AB</t>
        </is>
      </c>
      <c r="G210" t="n">
        <v>18.7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36090-2020</t>
        </is>
      </c>
      <c r="B211" s="1" t="n">
        <v>44048</v>
      </c>
      <c r="C211" s="1" t="n">
        <v>45350</v>
      </c>
      <c r="D211" t="inlineStr">
        <is>
          <t>VÄRMLANDS LÄN</t>
        </is>
      </c>
      <c r="E211" t="inlineStr">
        <is>
          <t>FILIPSTAD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37465-2020</t>
        </is>
      </c>
      <c r="B212" s="1" t="n">
        <v>44055</v>
      </c>
      <c r="C212" s="1" t="n">
        <v>45350</v>
      </c>
      <c r="D212" t="inlineStr">
        <is>
          <t>VÄRMLANDS LÄN</t>
        </is>
      </c>
      <c r="E212" t="inlineStr">
        <is>
          <t>FILIPSTAD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37458-2020</t>
        </is>
      </c>
      <c r="B213" s="1" t="n">
        <v>44055</v>
      </c>
      <c r="C213" s="1" t="n">
        <v>45350</v>
      </c>
      <c r="D213" t="inlineStr">
        <is>
          <t>VÄRMLANDS LÄN</t>
        </is>
      </c>
      <c r="E213" t="inlineStr">
        <is>
          <t>FILIPSTAD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37880-2020</t>
        </is>
      </c>
      <c r="B214" s="1" t="n">
        <v>44057</v>
      </c>
      <c r="C214" s="1" t="n">
        <v>45350</v>
      </c>
      <c r="D214" t="inlineStr">
        <is>
          <t>VÄRMLANDS LÄN</t>
        </is>
      </c>
      <c r="E214" t="inlineStr">
        <is>
          <t>FILIPSTAD</t>
        </is>
      </c>
      <c r="F214" t="inlineStr">
        <is>
          <t>Bergvik skog väst AB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39813-2020</t>
        </is>
      </c>
      <c r="B215" s="1" t="n">
        <v>44067</v>
      </c>
      <c r="C215" s="1" t="n">
        <v>45350</v>
      </c>
      <c r="D215" t="inlineStr">
        <is>
          <t>VÄRMLANDS LÄN</t>
        </is>
      </c>
      <c r="E215" t="inlineStr">
        <is>
          <t>FILIPSTAD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40873-2020</t>
        </is>
      </c>
      <c r="B216" s="1" t="n">
        <v>44070</v>
      </c>
      <c r="C216" s="1" t="n">
        <v>45350</v>
      </c>
      <c r="D216" t="inlineStr">
        <is>
          <t>VÄRMLANDS LÄN</t>
        </is>
      </c>
      <c r="E216" t="inlineStr">
        <is>
          <t>FILIPSTAD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40829-2020</t>
        </is>
      </c>
      <c r="B217" s="1" t="n">
        <v>44070</v>
      </c>
      <c r="C217" s="1" t="n">
        <v>45350</v>
      </c>
      <c r="D217" t="inlineStr">
        <is>
          <t>VÄRMLANDS LÄN</t>
        </is>
      </c>
      <c r="E217" t="inlineStr">
        <is>
          <t>FILIPSTAD</t>
        </is>
      </c>
      <c r="G217" t="n">
        <v>12.5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42584-2020</t>
        </is>
      </c>
      <c r="B218" s="1" t="n">
        <v>44077</v>
      </c>
      <c r="C218" s="1" t="n">
        <v>45350</v>
      </c>
      <c r="D218" t="inlineStr">
        <is>
          <t>VÄRMLANDS LÄN</t>
        </is>
      </c>
      <c r="E218" t="inlineStr">
        <is>
          <t>FILIPSTAD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42597-2020</t>
        </is>
      </c>
      <c r="B219" s="1" t="n">
        <v>44077</v>
      </c>
      <c r="C219" s="1" t="n">
        <v>45350</v>
      </c>
      <c r="D219" t="inlineStr">
        <is>
          <t>VÄRMLANDS LÄN</t>
        </is>
      </c>
      <c r="E219" t="inlineStr">
        <is>
          <t>FILIPSTAD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43613-2020</t>
        </is>
      </c>
      <c r="B220" s="1" t="n">
        <v>44082</v>
      </c>
      <c r="C220" s="1" t="n">
        <v>45350</v>
      </c>
      <c r="D220" t="inlineStr">
        <is>
          <t>VÄRMLANDS LÄN</t>
        </is>
      </c>
      <c r="E220" t="inlineStr">
        <is>
          <t>FILIPSTAD</t>
        </is>
      </c>
      <c r="F220" t="inlineStr">
        <is>
          <t>Bergvik skog väst AB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43671-2020</t>
        </is>
      </c>
      <c r="B221" s="1" t="n">
        <v>44082</v>
      </c>
      <c r="C221" s="1" t="n">
        <v>45350</v>
      </c>
      <c r="D221" t="inlineStr">
        <is>
          <t>VÄRMLANDS LÄN</t>
        </is>
      </c>
      <c r="E221" t="inlineStr">
        <is>
          <t>FILIPSTAD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46072-2020</t>
        </is>
      </c>
      <c r="B222" s="1" t="n">
        <v>44091</v>
      </c>
      <c r="C222" s="1" t="n">
        <v>45350</v>
      </c>
      <c r="D222" t="inlineStr">
        <is>
          <t>VÄRMLANDS LÄN</t>
        </is>
      </c>
      <c r="E222" t="inlineStr">
        <is>
          <t>FILIPSTAD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46113-2020</t>
        </is>
      </c>
      <c r="B223" s="1" t="n">
        <v>44091</v>
      </c>
      <c r="C223" s="1" t="n">
        <v>45350</v>
      </c>
      <c r="D223" t="inlineStr">
        <is>
          <t>VÄRMLANDS LÄN</t>
        </is>
      </c>
      <c r="E223" t="inlineStr">
        <is>
          <t>FILIPSTAD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47434-2020</t>
        </is>
      </c>
      <c r="B224" s="1" t="n">
        <v>44097</v>
      </c>
      <c r="C224" s="1" t="n">
        <v>45350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47540-2020</t>
        </is>
      </c>
      <c r="B225" s="1" t="n">
        <v>44098</v>
      </c>
      <c r="C225" s="1" t="n">
        <v>45350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47674-2020</t>
        </is>
      </c>
      <c r="B226" s="1" t="n">
        <v>44098</v>
      </c>
      <c r="C226" s="1" t="n">
        <v>45350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50210-2020</t>
        </is>
      </c>
      <c r="B227" s="1" t="n">
        <v>44109</v>
      </c>
      <c r="C227" s="1" t="n">
        <v>45350</v>
      </c>
      <c r="D227" t="inlineStr">
        <is>
          <t>VÄRMLANDS LÄN</t>
        </is>
      </c>
      <c r="E227" t="inlineStr">
        <is>
          <t>FILIPSTAD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51254-2020</t>
        </is>
      </c>
      <c r="B228" s="1" t="n">
        <v>44112</v>
      </c>
      <c r="C228" s="1" t="n">
        <v>45350</v>
      </c>
      <c r="D228" t="inlineStr">
        <is>
          <t>VÄRMLANDS LÄN</t>
        </is>
      </c>
      <c r="E228" t="inlineStr">
        <is>
          <t>FILIPSTAD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51300-2020</t>
        </is>
      </c>
      <c r="B229" s="1" t="n">
        <v>44112</v>
      </c>
      <c r="C229" s="1" t="n">
        <v>45350</v>
      </c>
      <c r="D229" t="inlineStr">
        <is>
          <t>VÄRMLANDS LÄN</t>
        </is>
      </c>
      <c r="E229" t="inlineStr">
        <is>
          <t>FILIPSTAD</t>
        </is>
      </c>
      <c r="F229" t="inlineStr">
        <is>
          <t>Bergvik skog väst AB</t>
        </is>
      </c>
      <c r="G229" t="n">
        <v>10.8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51742-2020</t>
        </is>
      </c>
      <c r="B230" s="1" t="n">
        <v>44114</v>
      </c>
      <c r="C230" s="1" t="n">
        <v>45350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51743-2020</t>
        </is>
      </c>
      <c r="B231" s="1" t="n">
        <v>44114</v>
      </c>
      <c r="C231" s="1" t="n">
        <v>45350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53417-2020</t>
        </is>
      </c>
      <c r="B232" s="1" t="n">
        <v>44123</v>
      </c>
      <c r="C232" s="1" t="n">
        <v>45350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53786-2020</t>
        </is>
      </c>
      <c r="B233" s="1" t="n">
        <v>44124</v>
      </c>
      <c r="C233" s="1" t="n">
        <v>45350</v>
      </c>
      <c r="D233" t="inlineStr">
        <is>
          <t>VÄRMLANDS LÄN</t>
        </is>
      </c>
      <c r="E233" t="inlineStr">
        <is>
          <t>FILIPSTAD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54162-2020</t>
        </is>
      </c>
      <c r="B234" s="1" t="n">
        <v>44125</v>
      </c>
      <c r="C234" s="1" t="n">
        <v>45350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54623-2020</t>
        </is>
      </c>
      <c r="B235" s="1" t="n">
        <v>44127</v>
      </c>
      <c r="C235" s="1" t="n">
        <v>45350</v>
      </c>
      <c r="D235" t="inlineStr">
        <is>
          <t>VÄRMLANDS LÄN</t>
        </is>
      </c>
      <c r="E235" t="inlineStr">
        <is>
          <t>FILIPSTAD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55806-2020</t>
        </is>
      </c>
      <c r="B236" s="1" t="n">
        <v>44132</v>
      </c>
      <c r="C236" s="1" t="n">
        <v>45350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55802-2020</t>
        </is>
      </c>
      <c r="B237" s="1" t="n">
        <v>44132</v>
      </c>
      <c r="C237" s="1" t="n">
        <v>45350</v>
      </c>
      <c r="D237" t="inlineStr">
        <is>
          <t>VÄRMLANDS LÄN</t>
        </is>
      </c>
      <c r="E237" t="inlineStr">
        <is>
          <t>FILIPSTAD</t>
        </is>
      </c>
      <c r="F237" t="inlineStr">
        <is>
          <t>Bergvik skog väst AB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55923-2020</t>
        </is>
      </c>
      <c r="B238" s="1" t="n">
        <v>44132</v>
      </c>
      <c r="C238" s="1" t="n">
        <v>45350</v>
      </c>
      <c r="D238" t="inlineStr">
        <is>
          <t>VÄRMLANDS LÄN</t>
        </is>
      </c>
      <c r="E238" t="inlineStr">
        <is>
          <t>FILIPSTAD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56279-2020</t>
        </is>
      </c>
      <c r="B239" s="1" t="n">
        <v>44134</v>
      </c>
      <c r="C239" s="1" t="n">
        <v>45350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56406-2020</t>
        </is>
      </c>
      <c r="B240" s="1" t="n">
        <v>44137</v>
      </c>
      <c r="C240" s="1" t="n">
        <v>45350</v>
      </c>
      <c r="D240" t="inlineStr">
        <is>
          <t>VÄRMLANDS LÄN</t>
        </is>
      </c>
      <c r="E240" t="inlineStr">
        <is>
          <t>FILIPSTAD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56861-2020</t>
        </is>
      </c>
      <c r="B241" s="1" t="n">
        <v>44138</v>
      </c>
      <c r="C241" s="1" t="n">
        <v>45350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58532-2020</t>
        </is>
      </c>
      <c r="B242" s="1" t="n">
        <v>44145</v>
      </c>
      <c r="C242" s="1" t="n">
        <v>45350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58843-2020</t>
        </is>
      </c>
      <c r="B243" s="1" t="n">
        <v>44146</v>
      </c>
      <c r="C243" s="1" t="n">
        <v>45350</v>
      </c>
      <c r="D243" t="inlineStr">
        <is>
          <t>VÄRMLANDS LÄN</t>
        </is>
      </c>
      <c r="E243" t="inlineStr">
        <is>
          <t>FILIPSTAD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59849-2020</t>
        </is>
      </c>
      <c r="B244" s="1" t="n">
        <v>44151</v>
      </c>
      <c r="C244" s="1" t="n">
        <v>45350</v>
      </c>
      <c r="D244" t="inlineStr">
        <is>
          <t>VÄRMLANDS LÄN</t>
        </is>
      </c>
      <c r="E244" t="inlineStr">
        <is>
          <t>FILIPSTAD</t>
        </is>
      </c>
      <c r="G244" t="n">
        <v>6.5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59854-2020</t>
        </is>
      </c>
      <c r="B245" s="1" t="n">
        <v>44151</v>
      </c>
      <c r="C245" s="1" t="n">
        <v>45350</v>
      </c>
      <c r="D245" t="inlineStr">
        <is>
          <t>VÄRMLANDS LÄN</t>
        </is>
      </c>
      <c r="E245" t="inlineStr">
        <is>
          <t>FILIPSTAD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60912-2020</t>
        </is>
      </c>
      <c r="B246" s="1" t="n">
        <v>44152</v>
      </c>
      <c r="C246" s="1" t="n">
        <v>45350</v>
      </c>
      <c r="D246" t="inlineStr">
        <is>
          <t>VÄRMLANDS LÄN</t>
        </is>
      </c>
      <c r="E246" t="inlineStr">
        <is>
          <t>FILIPSTAD</t>
        </is>
      </c>
      <c r="G246" t="n">
        <v>12.6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60289-2020</t>
        </is>
      </c>
      <c r="B247" s="1" t="n">
        <v>44152</v>
      </c>
      <c r="C247" s="1" t="n">
        <v>45350</v>
      </c>
      <c r="D247" t="inlineStr">
        <is>
          <t>VÄRMLANDS LÄN</t>
        </is>
      </c>
      <c r="E247" t="inlineStr">
        <is>
          <t>FILIPSTAD</t>
        </is>
      </c>
      <c r="G247" t="n">
        <v>7.6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60740-2020</t>
        </is>
      </c>
      <c r="B248" s="1" t="n">
        <v>44153</v>
      </c>
      <c r="C248" s="1" t="n">
        <v>45350</v>
      </c>
      <c r="D248" t="inlineStr">
        <is>
          <t>VÄRMLANDS LÄN</t>
        </is>
      </c>
      <c r="E248" t="inlineStr">
        <is>
          <t>FILIPSTAD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62644-2020</t>
        </is>
      </c>
      <c r="B249" s="1" t="n">
        <v>44161</v>
      </c>
      <c r="C249" s="1" t="n">
        <v>45350</v>
      </c>
      <c r="D249" t="inlineStr">
        <is>
          <t>VÄRMLANDS LÄN</t>
        </is>
      </c>
      <c r="E249" t="inlineStr">
        <is>
          <t>FILIPSTAD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63224-2020</t>
        </is>
      </c>
      <c r="B250" s="1" t="n">
        <v>44163</v>
      </c>
      <c r="C250" s="1" t="n">
        <v>45350</v>
      </c>
      <c r="D250" t="inlineStr">
        <is>
          <t>VÄRMLANDS LÄN</t>
        </is>
      </c>
      <c r="E250" t="inlineStr">
        <is>
          <t>FILIPSTAD</t>
        </is>
      </c>
      <c r="G250" t="n">
        <v>9.9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64025-2020</t>
        </is>
      </c>
      <c r="B251" s="1" t="n">
        <v>44167</v>
      </c>
      <c r="C251" s="1" t="n">
        <v>45350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64756-2020</t>
        </is>
      </c>
      <c r="B252" s="1" t="n">
        <v>44169</v>
      </c>
      <c r="C252" s="1" t="n">
        <v>45350</v>
      </c>
      <c r="D252" t="inlineStr">
        <is>
          <t>VÄRMLANDS LÄN</t>
        </is>
      </c>
      <c r="E252" t="inlineStr">
        <is>
          <t>FILIPSTAD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64622-2020</t>
        </is>
      </c>
      <c r="B253" s="1" t="n">
        <v>44169</v>
      </c>
      <c r="C253" s="1" t="n">
        <v>45350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64787-2020</t>
        </is>
      </c>
      <c r="B254" s="1" t="n">
        <v>44169</v>
      </c>
      <c r="C254" s="1" t="n">
        <v>45350</v>
      </c>
      <c r="D254" t="inlineStr">
        <is>
          <t>VÄRMLANDS LÄN</t>
        </is>
      </c>
      <c r="E254" t="inlineStr">
        <is>
          <t>FILIPSTAD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64786-2020</t>
        </is>
      </c>
      <c r="B255" s="1" t="n">
        <v>44169</v>
      </c>
      <c r="C255" s="1" t="n">
        <v>45350</v>
      </c>
      <c r="D255" t="inlineStr">
        <is>
          <t>VÄRMLANDS LÄN</t>
        </is>
      </c>
      <c r="E255" t="inlineStr">
        <is>
          <t>FILIPSTAD</t>
        </is>
      </c>
      <c r="G255" t="n">
        <v>9.9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64754-2020</t>
        </is>
      </c>
      <c r="B256" s="1" t="n">
        <v>44169</v>
      </c>
      <c r="C256" s="1" t="n">
        <v>45350</v>
      </c>
      <c r="D256" t="inlineStr">
        <is>
          <t>VÄRMLANDS LÄN</t>
        </is>
      </c>
      <c r="E256" t="inlineStr">
        <is>
          <t>FILIPSTAD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64776-2020</t>
        </is>
      </c>
      <c r="B257" s="1" t="n">
        <v>44169</v>
      </c>
      <c r="C257" s="1" t="n">
        <v>45350</v>
      </c>
      <c r="D257" t="inlineStr">
        <is>
          <t>VÄRMLANDS LÄN</t>
        </is>
      </c>
      <c r="E257" t="inlineStr">
        <is>
          <t>FILIPSTAD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66363-2020</t>
        </is>
      </c>
      <c r="B258" s="1" t="n">
        <v>44176</v>
      </c>
      <c r="C258" s="1" t="n">
        <v>45350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66427-2020</t>
        </is>
      </c>
      <c r="B259" s="1" t="n">
        <v>44176</v>
      </c>
      <c r="C259" s="1" t="n">
        <v>45350</v>
      </c>
      <c r="D259" t="inlineStr">
        <is>
          <t>VÄRMLANDS LÄN</t>
        </is>
      </c>
      <c r="E259" t="inlineStr">
        <is>
          <t>FILIPSTAD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66415-2020</t>
        </is>
      </c>
      <c r="B260" s="1" t="n">
        <v>44176</v>
      </c>
      <c r="C260" s="1" t="n">
        <v>45350</v>
      </c>
      <c r="D260" t="inlineStr">
        <is>
          <t>VÄRMLANDS LÄN</t>
        </is>
      </c>
      <c r="E260" t="inlineStr">
        <is>
          <t>FILIPSTAD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66804-2020</t>
        </is>
      </c>
      <c r="B261" s="1" t="n">
        <v>44179</v>
      </c>
      <c r="C261" s="1" t="n">
        <v>45350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67843-2020</t>
        </is>
      </c>
      <c r="B262" s="1" t="n">
        <v>44182</v>
      </c>
      <c r="C262" s="1" t="n">
        <v>45350</v>
      </c>
      <c r="D262" t="inlineStr">
        <is>
          <t>VÄRMLANDS LÄN</t>
        </is>
      </c>
      <c r="E262" t="inlineStr">
        <is>
          <t>FILIPSTAD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67852-2020</t>
        </is>
      </c>
      <c r="B263" s="1" t="n">
        <v>44182</v>
      </c>
      <c r="C263" s="1" t="n">
        <v>45350</v>
      </c>
      <c r="D263" t="inlineStr">
        <is>
          <t>VÄRMLANDS LÄN</t>
        </is>
      </c>
      <c r="E263" t="inlineStr">
        <is>
          <t>FILIPSTAD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68517-2020</t>
        </is>
      </c>
      <c r="B264" s="1" t="n">
        <v>44186</v>
      </c>
      <c r="C264" s="1" t="n">
        <v>45350</v>
      </c>
      <c r="D264" t="inlineStr">
        <is>
          <t>VÄRMLANDS LÄN</t>
        </is>
      </c>
      <c r="E264" t="inlineStr">
        <is>
          <t>FILIPSTAD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68515-2020</t>
        </is>
      </c>
      <c r="B265" s="1" t="n">
        <v>44186</v>
      </c>
      <c r="C265" s="1" t="n">
        <v>45350</v>
      </c>
      <c r="D265" t="inlineStr">
        <is>
          <t>VÄRMLANDS LÄN</t>
        </is>
      </c>
      <c r="E265" t="inlineStr">
        <is>
          <t>FILIPSTAD</t>
        </is>
      </c>
      <c r="G265" t="n">
        <v>14.7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68620-2020</t>
        </is>
      </c>
      <c r="B266" s="1" t="n">
        <v>44186</v>
      </c>
      <c r="C266" s="1" t="n">
        <v>45350</v>
      </c>
      <c r="D266" t="inlineStr">
        <is>
          <t>VÄRMLANDS LÄN</t>
        </is>
      </c>
      <c r="E266" t="inlineStr">
        <is>
          <t>FILIPSTAD</t>
        </is>
      </c>
      <c r="G266" t="n">
        <v>29.6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68877-2020</t>
        </is>
      </c>
      <c r="B267" s="1" t="n">
        <v>44187</v>
      </c>
      <c r="C267" s="1" t="n">
        <v>45350</v>
      </c>
      <c r="D267" t="inlineStr">
        <is>
          <t>VÄRMLANDS LÄN</t>
        </is>
      </c>
      <c r="E267" t="inlineStr">
        <is>
          <t>FILIPSTAD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1391-2021</t>
        </is>
      </c>
      <c r="B268" s="1" t="n">
        <v>44208</v>
      </c>
      <c r="C268" s="1" t="n">
        <v>45350</v>
      </c>
      <c r="D268" t="inlineStr">
        <is>
          <t>VÄRMLANDS LÄN</t>
        </is>
      </c>
      <c r="E268" t="inlineStr">
        <is>
          <t>FILIPSTAD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2672-2021</t>
        </is>
      </c>
      <c r="B269" s="1" t="n">
        <v>44214</v>
      </c>
      <c r="C269" s="1" t="n">
        <v>45350</v>
      </c>
      <c r="D269" t="inlineStr">
        <is>
          <t>VÄRMLANDS LÄN</t>
        </is>
      </c>
      <c r="E269" t="inlineStr">
        <is>
          <t>FILIPSTAD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4420-2021</t>
        </is>
      </c>
      <c r="B270" s="1" t="n">
        <v>44224</v>
      </c>
      <c r="C270" s="1" t="n">
        <v>45350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4617-2021</t>
        </is>
      </c>
      <c r="B271" s="1" t="n">
        <v>44224</v>
      </c>
      <c r="C271" s="1" t="n">
        <v>45350</v>
      </c>
      <c r="D271" t="inlineStr">
        <is>
          <t>VÄRMLANDS LÄN</t>
        </is>
      </c>
      <c r="E271" t="inlineStr">
        <is>
          <t>FILIPSTAD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4475-2021</t>
        </is>
      </c>
      <c r="B272" s="1" t="n">
        <v>44224</v>
      </c>
      <c r="C272" s="1" t="n">
        <v>45350</v>
      </c>
      <c r="D272" t="inlineStr">
        <is>
          <t>VÄRMLANDS LÄN</t>
        </is>
      </c>
      <c r="E272" t="inlineStr">
        <is>
          <t>FILIPSTAD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4619-2021</t>
        </is>
      </c>
      <c r="B273" s="1" t="n">
        <v>44224</v>
      </c>
      <c r="C273" s="1" t="n">
        <v>45350</v>
      </c>
      <c r="D273" t="inlineStr">
        <is>
          <t>VÄRMLANDS LÄN</t>
        </is>
      </c>
      <c r="E273" t="inlineStr">
        <is>
          <t>FILIPSTAD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4738-2021</t>
        </is>
      </c>
      <c r="B274" s="1" t="n">
        <v>44225</v>
      </c>
      <c r="C274" s="1" t="n">
        <v>45350</v>
      </c>
      <c r="D274" t="inlineStr">
        <is>
          <t>VÄRMLANDS LÄN</t>
        </is>
      </c>
      <c r="E274" t="inlineStr">
        <is>
          <t>FILIPSTAD</t>
        </is>
      </c>
      <c r="F274" t="inlineStr">
        <is>
          <t>Bergvik skog väst AB</t>
        </is>
      </c>
      <c r="G274" t="n">
        <v>14.7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5141-2021</t>
        </is>
      </c>
      <c r="B275" s="1" t="n">
        <v>44228</v>
      </c>
      <c r="C275" s="1" t="n">
        <v>45350</v>
      </c>
      <c r="D275" t="inlineStr">
        <is>
          <t>VÄRMLANDS LÄN</t>
        </is>
      </c>
      <c r="E275" t="inlineStr">
        <is>
          <t>FILIPSTAD</t>
        </is>
      </c>
      <c r="F275" t="inlineStr">
        <is>
          <t>Bergvik skog väst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5176-2021</t>
        </is>
      </c>
      <c r="B276" s="1" t="n">
        <v>44228</v>
      </c>
      <c r="C276" s="1" t="n">
        <v>45350</v>
      </c>
      <c r="D276" t="inlineStr">
        <is>
          <t>VÄRMLANDS LÄN</t>
        </is>
      </c>
      <c r="E276" t="inlineStr">
        <is>
          <t>FILIPSTAD</t>
        </is>
      </c>
      <c r="F276" t="inlineStr">
        <is>
          <t>Bergvik skog väst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5342-2021</t>
        </is>
      </c>
      <c r="B277" s="1" t="n">
        <v>44229</v>
      </c>
      <c r="C277" s="1" t="n">
        <v>45350</v>
      </c>
      <c r="D277" t="inlineStr">
        <is>
          <t>VÄRMLANDS LÄN</t>
        </is>
      </c>
      <c r="E277" t="inlineStr">
        <is>
          <t>FILIPSTAD</t>
        </is>
      </c>
      <c r="F277" t="inlineStr">
        <is>
          <t>Bergvik skog väst AB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5729-2021</t>
        </is>
      </c>
      <c r="B278" s="1" t="n">
        <v>44229</v>
      </c>
      <c r="C278" s="1" t="n">
        <v>45350</v>
      </c>
      <c r="D278" t="inlineStr">
        <is>
          <t>VÄRMLANDS LÄN</t>
        </is>
      </c>
      <c r="E278" t="inlineStr">
        <is>
          <t>FILIPSTAD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5834-2021</t>
        </is>
      </c>
      <c r="B279" s="1" t="n">
        <v>44231</v>
      </c>
      <c r="C279" s="1" t="n">
        <v>45350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9.699999999999999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6539-2021</t>
        </is>
      </c>
      <c r="B280" s="1" t="n">
        <v>44235</v>
      </c>
      <c r="C280" s="1" t="n">
        <v>45350</v>
      </c>
      <c r="D280" t="inlineStr">
        <is>
          <t>VÄRMLANDS LÄN</t>
        </is>
      </c>
      <c r="E280" t="inlineStr">
        <is>
          <t>FILIPSTAD</t>
        </is>
      </c>
      <c r="F280" t="inlineStr">
        <is>
          <t>Bergvik skog väst AB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6542-2021</t>
        </is>
      </c>
      <c r="B281" s="1" t="n">
        <v>44235</v>
      </c>
      <c r="C281" s="1" t="n">
        <v>45350</v>
      </c>
      <c r="D281" t="inlineStr">
        <is>
          <t>VÄRMLANDS LÄN</t>
        </is>
      </c>
      <c r="E281" t="inlineStr">
        <is>
          <t>FILIPSTAD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6770-2021</t>
        </is>
      </c>
      <c r="B282" s="1" t="n">
        <v>44236</v>
      </c>
      <c r="C282" s="1" t="n">
        <v>45350</v>
      </c>
      <c r="D282" t="inlineStr">
        <is>
          <t>VÄRMLANDS LÄN</t>
        </is>
      </c>
      <c r="E282" t="inlineStr">
        <is>
          <t>FILIPSTAD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7593-2021</t>
        </is>
      </c>
      <c r="B283" s="1" t="n">
        <v>44241</v>
      </c>
      <c r="C283" s="1" t="n">
        <v>45350</v>
      </c>
      <c r="D283" t="inlineStr">
        <is>
          <t>VÄRMLANDS LÄN</t>
        </is>
      </c>
      <c r="E283" t="inlineStr">
        <is>
          <t>FILIPSTAD</t>
        </is>
      </c>
      <c r="G283" t="n">
        <v>10.8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10501-2021</t>
        </is>
      </c>
      <c r="B284" s="1" t="n">
        <v>44258</v>
      </c>
      <c r="C284" s="1" t="n">
        <v>45350</v>
      </c>
      <c r="D284" t="inlineStr">
        <is>
          <t>VÄRMLANDS LÄN</t>
        </is>
      </c>
      <c r="E284" t="inlineStr">
        <is>
          <t>FILIPSTAD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13932-2021</t>
        </is>
      </c>
      <c r="B285" s="1" t="n">
        <v>44277</v>
      </c>
      <c r="C285" s="1" t="n">
        <v>45350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13.7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17809-2021</t>
        </is>
      </c>
      <c r="B286" s="1" t="n">
        <v>44300</v>
      </c>
      <c r="C286" s="1" t="n">
        <v>45350</v>
      </c>
      <c r="D286" t="inlineStr">
        <is>
          <t>VÄRMLANDS LÄN</t>
        </is>
      </c>
      <c r="E286" t="inlineStr">
        <is>
          <t>FILIPSTAD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17807-2021</t>
        </is>
      </c>
      <c r="B287" s="1" t="n">
        <v>44300</v>
      </c>
      <c r="C287" s="1" t="n">
        <v>45350</v>
      </c>
      <c r="D287" t="inlineStr">
        <is>
          <t>VÄRMLANDS LÄN</t>
        </is>
      </c>
      <c r="E287" t="inlineStr">
        <is>
          <t>FILIPSTAD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17813-2021</t>
        </is>
      </c>
      <c r="B288" s="1" t="n">
        <v>44300</v>
      </c>
      <c r="C288" s="1" t="n">
        <v>45350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18235-2021</t>
        </is>
      </c>
      <c r="B289" s="1" t="n">
        <v>44303</v>
      </c>
      <c r="C289" s="1" t="n">
        <v>45350</v>
      </c>
      <c r="D289" t="inlineStr">
        <is>
          <t>VÄRMLANDS LÄN</t>
        </is>
      </c>
      <c r="E289" t="inlineStr">
        <is>
          <t>FILIPSTAD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20954-2021</t>
        </is>
      </c>
      <c r="B290" s="1" t="n">
        <v>44319</v>
      </c>
      <c r="C290" s="1" t="n">
        <v>45350</v>
      </c>
      <c r="D290" t="inlineStr">
        <is>
          <t>VÄRMLANDS LÄN</t>
        </is>
      </c>
      <c r="E290" t="inlineStr">
        <is>
          <t>FILIPSTAD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22654-2021</t>
        </is>
      </c>
      <c r="B291" s="1" t="n">
        <v>44327</v>
      </c>
      <c r="C291" s="1" t="n">
        <v>45350</v>
      </c>
      <c r="D291" t="inlineStr">
        <is>
          <t>VÄRMLANDS LÄN</t>
        </is>
      </c>
      <c r="E291" t="inlineStr">
        <is>
          <t>FILIPSTAD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22933-2021</t>
        </is>
      </c>
      <c r="B292" s="1" t="n">
        <v>44327</v>
      </c>
      <c r="C292" s="1" t="n">
        <v>45350</v>
      </c>
      <c r="D292" t="inlineStr">
        <is>
          <t>VÄRMLANDS LÄN</t>
        </is>
      </c>
      <c r="E292" t="inlineStr">
        <is>
          <t>FILIPSTAD</t>
        </is>
      </c>
      <c r="G292" t="n">
        <v>9.1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22930-2021</t>
        </is>
      </c>
      <c r="B293" s="1" t="n">
        <v>44327</v>
      </c>
      <c r="C293" s="1" t="n">
        <v>45350</v>
      </c>
      <c r="D293" t="inlineStr">
        <is>
          <t>VÄRMLANDS LÄN</t>
        </is>
      </c>
      <c r="E293" t="inlineStr">
        <is>
          <t>FILIPSTAD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23236-2021</t>
        </is>
      </c>
      <c r="B294" s="1" t="n">
        <v>44333</v>
      </c>
      <c r="C294" s="1" t="n">
        <v>45350</v>
      </c>
      <c r="D294" t="inlineStr">
        <is>
          <t>VÄRMLANDS LÄN</t>
        </is>
      </c>
      <c r="E294" t="inlineStr">
        <is>
          <t>FILIPSTAD</t>
        </is>
      </c>
      <c r="F294" t="inlineStr">
        <is>
          <t>Kyrkan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26377-2021</t>
        </is>
      </c>
      <c r="B295" s="1" t="n">
        <v>44347</v>
      </c>
      <c r="C295" s="1" t="n">
        <v>45350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25.9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28351-2021</t>
        </is>
      </c>
      <c r="B296" s="1" t="n">
        <v>44356</v>
      </c>
      <c r="C296" s="1" t="n">
        <v>45350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30524-2021</t>
        </is>
      </c>
      <c r="B297" s="1" t="n">
        <v>44364</v>
      </c>
      <c r="C297" s="1" t="n">
        <v>45350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31189-2021</t>
        </is>
      </c>
      <c r="B298" s="1" t="n">
        <v>44368</v>
      </c>
      <c r="C298" s="1" t="n">
        <v>45350</v>
      </c>
      <c r="D298" t="inlineStr">
        <is>
          <t>VÄRMLANDS LÄN</t>
        </is>
      </c>
      <c r="E298" t="inlineStr">
        <is>
          <t>FILIPSTAD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35737-2021</t>
        </is>
      </c>
      <c r="B299" s="1" t="n">
        <v>44386</v>
      </c>
      <c r="C299" s="1" t="n">
        <v>45350</v>
      </c>
      <c r="D299" t="inlineStr">
        <is>
          <t>VÄRMLANDS LÄN</t>
        </is>
      </c>
      <c r="E299" t="inlineStr">
        <is>
          <t>FILIPSTAD</t>
        </is>
      </c>
      <c r="F299" t="inlineStr">
        <is>
          <t>Bergvik skog väst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36042-2021</t>
        </is>
      </c>
      <c r="B300" s="1" t="n">
        <v>44386</v>
      </c>
      <c r="C300" s="1" t="n">
        <v>45350</v>
      </c>
      <c r="D300" t="inlineStr">
        <is>
          <t>VÄRMLANDS LÄN</t>
        </is>
      </c>
      <c r="E300" t="inlineStr">
        <is>
          <t>FILIPSTAD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37008-2021</t>
        </is>
      </c>
      <c r="B301" s="1" t="n">
        <v>44393</v>
      </c>
      <c r="C301" s="1" t="n">
        <v>45350</v>
      </c>
      <c r="D301" t="inlineStr">
        <is>
          <t>VÄRMLANDS LÄN</t>
        </is>
      </c>
      <c r="E301" t="inlineStr">
        <is>
          <t>FILIPSTAD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37784-2021</t>
        </is>
      </c>
      <c r="B302" s="1" t="n">
        <v>44401</v>
      </c>
      <c r="C302" s="1" t="n">
        <v>45350</v>
      </c>
      <c r="D302" t="inlineStr">
        <is>
          <t>VÄRMLANDS LÄN</t>
        </is>
      </c>
      <c r="E302" t="inlineStr">
        <is>
          <t>FILIPSTAD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37783-2021</t>
        </is>
      </c>
      <c r="B303" s="1" t="n">
        <v>44401</v>
      </c>
      <c r="C303" s="1" t="n">
        <v>45350</v>
      </c>
      <c r="D303" t="inlineStr">
        <is>
          <t>VÄRMLANDS LÄN</t>
        </is>
      </c>
      <c r="E303" t="inlineStr">
        <is>
          <t>FILIPSTAD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40953-2021</t>
        </is>
      </c>
      <c r="B304" s="1" t="n">
        <v>44421</v>
      </c>
      <c r="C304" s="1" t="n">
        <v>45350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12.9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43643-2021</t>
        </is>
      </c>
      <c r="B305" s="1" t="n">
        <v>44433</v>
      </c>
      <c r="C305" s="1" t="n">
        <v>45350</v>
      </c>
      <c r="D305" t="inlineStr">
        <is>
          <t>VÄRMLANDS LÄN</t>
        </is>
      </c>
      <c r="E305" t="inlineStr">
        <is>
          <t>FILIPSTAD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43634-2021</t>
        </is>
      </c>
      <c r="B306" s="1" t="n">
        <v>44433</v>
      </c>
      <c r="C306" s="1" t="n">
        <v>45350</v>
      </c>
      <c r="D306" t="inlineStr">
        <is>
          <t>VÄRMLANDS LÄN</t>
        </is>
      </c>
      <c r="E306" t="inlineStr">
        <is>
          <t>FILIPSTAD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44178-2021</t>
        </is>
      </c>
      <c r="B307" s="1" t="n">
        <v>44434</v>
      </c>
      <c r="C307" s="1" t="n">
        <v>45350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44384-2021</t>
        </is>
      </c>
      <c r="B308" s="1" t="n">
        <v>44435</v>
      </c>
      <c r="C308" s="1" t="n">
        <v>45350</v>
      </c>
      <c r="D308" t="inlineStr">
        <is>
          <t>VÄRMLANDS LÄN</t>
        </is>
      </c>
      <c r="E308" t="inlineStr">
        <is>
          <t>FILIPSTAD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44401-2021</t>
        </is>
      </c>
      <c r="B309" s="1" t="n">
        <v>44435</v>
      </c>
      <c r="C309" s="1" t="n">
        <v>45350</v>
      </c>
      <c r="D309" t="inlineStr">
        <is>
          <t>VÄRMLANDS LÄN</t>
        </is>
      </c>
      <c r="E309" t="inlineStr">
        <is>
          <t>FILIPSTAD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45139-2021</t>
        </is>
      </c>
      <c r="B310" s="1" t="n">
        <v>44439</v>
      </c>
      <c r="C310" s="1" t="n">
        <v>45350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46546-2021</t>
        </is>
      </c>
      <c r="B311" s="1" t="n">
        <v>44445</v>
      </c>
      <c r="C311" s="1" t="n">
        <v>45350</v>
      </c>
      <c r="D311" t="inlineStr">
        <is>
          <t>VÄRMLANDS LÄN</t>
        </is>
      </c>
      <c r="E311" t="inlineStr">
        <is>
          <t>FILIPSTAD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47673-2021</t>
        </is>
      </c>
      <c r="B312" s="1" t="n">
        <v>44448</v>
      </c>
      <c r="C312" s="1" t="n">
        <v>45350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48101-2021</t>
        </is>
      </c>
      <c r="B313" s="1" t="n">
        <v>44449</v>
      </c>
      <c r="C313" s="1" t="n">
        <v>45350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49736-2021</t>
        </is>
      </c>
      <c r="B314" s="1" t="n">
        <v>44453</v>
      </c>
      <c r="C314" s="1" t="n">
        <v>45350</v>
      </c>
      <c r="D314" t="inlineStr">
        <is>
          <t>VÄRMLANDS LÄN</t>
        </is>
      </c>
      <c r="E314" t="inlineStr">
        <is>
          <t>FILIPSTAD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50009-2021</t>
        </is>
      </c>
      <c r="B315" s="1" t="n">
        <v>44454</v>
      </c>
      <c r="C315" s="1" t="n">
        <v>45350</v>
      </c>
      <c r="D315" t="inlineStr">
        <is>
          <t>VÄRMLANDS LÄN</t>
        </is>
      </c>
      <c r="E315" t="inlineStr">
        <is>
          <t>FILIPSTAD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49999-2021</t>
        </is>
      </c>
      <c r="B316" s="1" t="n">
        <v>44454</v>
      </c>
      <c r="C316" s="1" t="n">
        <v>45350</v>
      </c>
      <c r="D316" t="inlineStr">
        <is>
          <t>VÄRMLANDS LÄN</t>
        </is>
      </c>
      <c r="E316" t="inlineStr">
        <is>
          <t>FILIPSTAD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50063-2021</t>
        </is>
      </c>
      <c r="B317" s="1" t="n">
        <v>44456</v>
      </c>
      <c r="C317" s="1" t="n">
        <v>45350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50914-2021</t>
        </is>
      </c>
      <c r="B318" s="1" t="n">
        <v>44460</v>
      </c>
      <c r="C318" s="1" t="n">
        <v>45350</v>
      </c>
      <c r="D318" t="inlineStr">
        <is>
          <t>VÄRMLANDS LÄN</t>
        </is>
      </c>
      <c r="E318" t="inlineStr">
        <is>
          <t>FILIPSTAD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51266-2021</t>
        </is>
      </c>
      <c r="B319" s="1" t="n">
        <v>44461</v>
      </c>
      <c r="C319" s="1" t="n">
        <v>45350</v>
      </c>
      <c r="D319" t="inlineStr">
        <is>
          <t>VÄRMLANDS LÄN</t>
        </is>
      </c>
      <c r="E319" t="inlineStr">
        <is>
          <t>FILIPSTAD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52384-2021</t>
        </is>
      </c>
      <c r="B320" s="1" t="n">
        <v>44465</v>
      </c>
      <c r="C320" s="1" t="n">
        <v>45350</v>
      </c>
      <c r="D320" t="inlineStr">
        <is>
          <t>VÄRMLANDS LÄN</t>
        </is>
      </c>
      <c r="E320" t="inlineStr">
        <is>
          <t>FILIPSTAD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52977-2021</t>
        </is>
      </c>
      <c r="B321" s="1" t="n">
        <v>44467</v>
      </c>
      <c r="C321" s="1" t="n">
        <v>45350</v>
      </c>
      <c r="D321" t="inlineStr">
        <is>
          <t>VÄRMLANDS LÄN</t>
        </is>
      </c>
      <c r="E321" t="inlineStr">
        <is>
          <t>FILIPSTAD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52986-2021</t>
        </is>
      </c>
      <c r="B322" s="1" t="n">
        <v>44467</v>
      </c>
      <c r="C322" s="1" t="n">
        <v>45350</v>
      </c>
      <c r="D322" t="inlineStr">
        <is>
          <t>VÄRMLANDS LÄN</t>
        </is>
      </c>
      <c r="E322" t="inlineStr">
        <is>
          <t>FILIPSTAD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52992-2021</t>
        </is>
      </c>
      <c r="B323" s="1" t="n">
        <v>44467</v>
      </c>
      <c r="C323" s="1" t="n">
        <v>45350</v>
      </c>
      <c r="D323" t="inlineStr">
        <is>
          <t>VÄRMLANDS LÄN</t>
        </is>
      </c>
      <c r="E323" t="inlineStr">
        <is>
          <t>FILIPSTAD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52981-2021</t>
        </is>
      </c>
      <c r="B324" s="1" t="n">
        <v>44467</v>
      </c>
      <c r="C324" s="1" t="n">
        <v>45350</v>
      </c>
      <c r="D324" t="inlineStr">
        <is>
          <t>VÄRMLANDS LÄN</t>
        </is>
      </c>
      <c r="E324" t="inlineStr">
        <is>
          <t>FILIPSTAD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54008-2021</t>
        </is>
      </c>
      <c r="B325" s="1" t="n">
        <v>44470</v>
      </c>
      <c r="C325" s="1" t="n">
        <v>45350</v>
      </c>
      <c r="D325" t="inlineStr">
        <is>
          <t>VÄRMLANDS LÄN</t>
        </is>
      </c>
      <c r="E325" t="inlineStr">
        <is>
          <t>FILIPSTAD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54247-2021</t>
        </is>
      </c>
      <c r="B326" s="1" t="n">
        <v>44470</v>
      </c>
      <c r="C326" s="1" t="n">
        <v>45350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55548-2021</t>
        </is>
      </c>
      <c r="B327" s="1" t="n">
        <v>44475</v>
      </c>
      <c r="C327" s="1" t="n">
        <v>45350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57090-2021</t>
        </is>
      </c>
      <c r="B328" s="1" t="n">
        <v>44482</v>
      </c>
      <c r="C328" s="1" t="n">
        <v>45350</v>
      </c>
      <c r="D328" t="inlineStr">
        <is>
          <t>VÄRMLANDS LÄN</t>
        </is>
      </c>
      <c r="E328" t="inlineStr">
        <is>
          <t>FILIPSTAD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57087-2021</t>
        </is>
      </c>
      <c r="B329" s="1" t="n">
        <v>44482</v>
      </c>
      <c r="C329" s="1" t="n">
        <v>45350</v>
      </c>
      <c r="D329" t="inlineStr">
        <is>
          <t>VÄRMLANDS LÄN</t>
        </is>
      </c>
      <c r="E329" t="inlineStr">
        <is>
          <t>FILIPSTAD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58718-2021</t>
        </is>
      </c>
      <c r="B330" s="1" t="n">
        <v>44489</v>
      </c>
      <c r="C330" s="1" t="n">
        <v>45350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12.2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59954-2021</t>
        </is>
      </c>
      <c r="B331" s="1" t="n">
        <v>44494</v>
      </c>
      <c r="C331" s="1" t="n">
        <v>45350</v>
      </c>
      <c r="D331" t="inlineStr">
        <is>
          <t>VÄRMLANDS LÄN</t>
        </is>
      </c>
      <c r="E331" t="inlineStr">
        <is>
          <t>FILIPSTAD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60374-2021</t>
        </is>
      </c>
      <c r="B332" s="1" t="n">
        <v>44496</v>
      </c>
      <c r="C332" s="1" t="n">
        <v>45350</v>
      </c>
      <c r="D332" t="inlineStr">
        <is>
          <t>VÄRMLANDS LÄN</t>
        </is>
      </c>
      <c r="E332" t="inlineStr">
        <is>
          <t>FILIPSTAD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60377-2021</t>
        </is>
      </c>
      <c r="B333" s="1" t="n">
        <v>44496</v>
      </c>
      <c r="C333" s="1" t="n">
        <v>45350</v>
      </c>
      <c r="D333" t="inlineStr">
        <is>
          <t>VÄRMLANDS LÄN</t>
        </is>
      </c>
      <c r="E333" t="inlineStr">
        <is>
          <t>FILIPSTAD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61673-2021</t>
        </is>
      </c>
      <c r="B334" s="1" t="n">
        <v>44501</v>
      </c>
      <c r="C334" s="1" t="n">
        <v>45350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14.1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62313-2021</t>
        </is>
      </c>
      <c r="B335" s="1" t="n">
        <v>44503</v>
      </c>
      <c r="C335" s="1" t="n">
        <v>45350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14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63140-2021</t>
        </is>
      </c>
      <c r="B336" s="1" t="n">
        <v>44505</v>
      </c>
      <c r="C336" s="1" t="n">
        <v>45350</v>
      </c>
      <c r="D336" t="inlineStr">
        <is>
          <t>VÄRMLANDS LÄN</t>
        </is>
      </c>
      <c r="E336" t="inlineStr">
        <is>
          <t>FILIPSTAD</t>
        </is>
      </c>
      <c r="G336" t="n">
        <v>11.5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63144-2021</t>
        </is>
      </c>
      <c r="B337" s="1" t="n">
        <v>44505</v>
      </c>
      <c r="C337" s="1" t="n">
        <v>45350</v>
      </c>
      <c r="D337" t="inlineStr">
        <is>
          <t>VÄRMLANDS LÄN</t>
        </is>
      </c>
      <c r="E337" t="inlineStr">
        <is>
          <t>FILIPSTAD</t>
        </is>
      </c>
      <c r="G337" t="n">
        <v>24.3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63714-2021</t>
        </is>
      </c>
      <c r="B338" s="1" t="n">
        <v>44505</v>
      </c>
      <c r="C338" s="1" t="n">
        <v>45350</v>
      </c>
      <c r="D338" t="inlineStr">
        <is>
          <t>VÄRMLANDS LÄN</t>
        </is>
      </c>
      <c r="E338" t="inlineStr">
        <is>
          <t>FILIPSTAD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63482-2021</t>
        </is>
      </c>
      <c r="B339" s="1" t="n">
        <v>44508</v>
      </c>
      <c r="C339" s="1" t="n">
        <v>45350</v>
      </c>
      <c r="D339" t="inlineStr">
        <is>
          <t>VÄRMLANDS LÄN</t>
        </is>
      </c>
      <c r="E339" t="inlineStr">
        <is>
          <t>FILIPSTAD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63766-2021</t>
        </is>
      </c>
      <c r="B340" s="1" t="n">
        <v>44509</v>
      </c>
      <c r="C340" s="1" t="n">
        <v>45350</v>
      </c>
      <c r="D340" t="inlineStr">
        <is>
          <t>VÄRMLANDS LÄN</t>
        </is>
      </c>
      <c r="E340" t="inlineStr">
        <is>
          <t>FILIPSTAD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64526-2021</t>
        </is>
      </c>
      <c r="B341" s="1" t="n">
        <v>44511</v>
      </c>
      <c r="C341" s="1" t="n">
        <v>45350</v>
      </c>
      <c r="D341" t="inlineStr">
        <is>
          <t>VÄRMLANDS LÄN</t>
        </is>
      </c>
      <c r="E341" t="inlineStr">
        <is>
          <t>FILIPSTAD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65174-2021</t>
        </is>
      </c>
      <c r="B342" s="1" t="n">
        <v>44515</v>
      </c>
      <c r="C342" s="1" t="n">
        <v>45350</v>
      </c>
      <c r="D342" t="inlineStr">
        <is>
          <t>VÄRMLANDS LÄN</t>
        </is>
      </c>
      <c r="E342" t="inlineStr">
        <is>
          <t>FILIPSTAD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65183-2021</t>
        </is>
      </c>
      <c r="B343" s="1" t="n">
        <v>44515</v>
      </c>
      <c r="C343" s="1" t="n">
        <v>45350</v>
      </c>
      <c r="D343" t="inlineStr">
        <is>
          <t>VÄRMLANDS LÄN</t>
        </is>
      </c>
      <c r="E343" t="inlineStr">
        <is>
          <t>FILIPSTAD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65167-2021</t>
        </is>
      </c>
      <c r="B344" s="1" t="n">
        <v>44515</v>
      </c>
      <c r="C344" s="1" t="n">
        <v>45350</v>
      </c>
      <c r="D344" t="inlineStr">
        <is>
          <t>VÄRMLANDS LÄN</t>
        </is>
      </c>
      <c r="E344" t="inlineStr">
        <is>
          <t>FILIPSTAD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65354-2021</t>
        </is>
      </c>
      <c r="B345" s="1" t="n">
        <v>44515</v>
      </c>
      <c r="C345" s="1" t="n">
        <v>45350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32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65298-2021</t>
        </is>
      </c>
      <c r="B346" s="1" t="n">
        <v>44515</v>
      </c>
      <c r="C346" s="1" t="n">
        <v>45350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66376-2021</t>
        </is>
      </c>
      <c r="B347" s="1" t="n">
        <v>44518</v>
      </c>
      <c r="C347" s="1" t="n">
        <v>45350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9.800000000000001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67445-2021</t>
        </is>
      </c>
      <c r="B348" s="1" t="n">
        <v>44524</v>
      </c>
      <c r="C348" s="1" t="n">
        <v>45350</v>
      </c>
      <c r="D348" t="inlineStr">
        <is>
          <t>VÄRMLANDS LÄN</t>
        </is>
      </c>
      <c r="E348" t="inlineStr">
        <is>
          <t>FILIPSTAD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67734-2021</t>
        </is>
      </c>
      <c r="B349" s="1" t="n">
        <v>44525</v>
      </c>
      <c r="C349" s="1" t="n">
        <v>45350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69015-2021</t>
        </is>
      </c>
      <c r="B350" s="1" t="n">
        <v>44530</v>
      </c>
      <c r="C350" s="1" t="n">
        <v>45350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69658-2021</t>
        </is>
      </c>
      <c r="B351" s="1" t="n">
        <v>44532</v>
      </c>
      <c r="C351" s="1" t="n">
        <v>45350</v>
      </c>
      <c r="D351" t="inlineStr">
        <is>
          <t>VÄRMLANDS LÄN</t>
        </is>
      </c>
      <c r="E351" t="inlineStr">
        <is>
          <t>FILIPSTAD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70276-2021</t>
        </is>
      </c>
      <c r="B352" s="1" t="n">
        <v>44536</v>
      </c>
      <c r="C352" s="1" t="n">
        <v>45350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70405-2021</t>
        </is>
      </c>
      <c r="B353" s="1" t="n">
        <v>44536</v>
      </c>
      <c r="C353" s="1" t="n">
        <v>45350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70732-2021</t>
        </is>
      </c>
      <c r="B354" s="1" t="n">
        <v>44537</v>
      </c>
      <c r="C354" s="1" t="n">
        <v>45350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13.8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72118-2021</t>
        </is>
      </c>
      <c r="B355" s="1" t="n">
        <v>44543</v>
      </c>
      <c r="C355" s="1" t="n">
        <v>45350</v>
      </c>
      <c r="D355" t="inlineStr">
        <is>
          <t>VÄRMLANDS LÄN</t>
        </is>
      </c>
      <c r="E355" t="inlineStr">
        <is>
          <t>FILIPSTAD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71971-2021</t>
        </is>
      </c>
      <c r="B356" s="1" t="n">
        <v>44544</v>
      </c>
      <c r="C356" s="1" t="n">
        <v>45350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72076-2021</t>
        </is>
      </c>
      <c r="B357" s="1" t="n">
        <v>44544</v>
      </c>
      <c r="C357" s="1" t="n">
        <v>45350</v>
      </c>
      <c r="D357" t="inlineStr">
        <is>
          <t>VÄRMLANDS LÄN</t>
        </is>
      </c>
      <c r="E357" t="inlineStr">
        <is>
          <t>FILIPSTAD</t>
        </is>
      </c>
      <c r="F357" t="inlineStr">
        <is>
          <t>Bergvik skog väst AB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72334-2021</t>
        </is>
      </c>
      <c r="B358" s="1" t="n">
        <v>44545</v>
      </c>
      <c r="C358" s="1" t="n">
        <v>45350</v>
      </c>
      <c r="D358" t="inlineStr">
        <is>
          <t>VÄRMLANDS LÄN</t>
        </is>
      </c>
      <c r="E358" t="inlineStr">
        <is>
          <t>FILIPSTAD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72564-2021</t>
        </is>
      </c>
      <c r="B359" s="1" t="n">
        <v>44546</v>
      </c>
      <c r="C359" s="1" t="n">
        <v>45350</v>
      </c>
      <c r="D359" t="inlineStr">
        <is>
          <t>VÄRMLANDS LÄN</t>
        </is>
      </c>
      <c r="E359" t="inlineStr">
        <is>
          <t>FILIPSTAD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73664-2021</t>
        </is>
      </c>
      <c r="B360" s="1" t="n">
        <v>44552</v>
      </c>
      <c r="C360" s="1" t="n">
        <v>45350</v>
      </c>
      <c r="D360" t="inlineStr">
        <is>
          <t>VÄRMLANDS LÄN</t>
        </is>
      </c>
      <c r="E360" t="inlineStr">
        <is>
          <t>FILIPSTAD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2440-2022</t>
        </is>
      </c>
      <c r="B361" s="1" t="n">
        <v>44579</v>
      </c>
      <c r="C361" s="1" t="n">
        <v>45350</v>
      </c>
      <c r="D361" t="inlineStr">
        <is>
          <t>VÄRMLANDS LÄN</t>
        </is>
      </c>
      <c r="E361" t="inlineStr">
        <is>
          <t>FILIPSTAD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2443-2022</t>
        </is>
      </c>
      <c r="B362" s="1" t="n">
        <v>44579</v>
      </c>
      <c r="C362" s="1" t="n">
        <v>45350</v>
      </c>
      <c r="D362" t="inlineStr">
        <is>
          <t>VÄRMLANDS LÄN</t>
        </is>
      </c>
      <c r="E362" t="inlineStr">
        <is>
          <t>FILIPSTAD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4191-2022</t>
        </is>
      </c>
      <c r="B363" s="1" t="n">
        <v>44588</v>
      </c>
      <c r="C363" s="1" t="n">
        <v>45350</v>
      </c>
      <c r="D363" t="inlineStr">
        <is>
          <t>VÄRMLANDS LÄN</t>
        </is>
      </c>
      <c r="E363" t="inlineStr">
        <is>
          <t>FILIPSTAD</t>
        </is>
      </c>
      <c r="F363" t="inlineStr">
        <is>
          <t>Kommuner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5750-2022</t>
        </is>
      </c>
      <c r="B364" s="1" t="n">
        <v>44596</v>
      </c>
      <c r="C364" s="1" t="n">
        <v>45350</v>
      </c>
      <c r="D364" t="inlineStr">
        <is>
          <t>VÄRMLANDS LÄN</t>
        </is>
      </c>
      <c r="E364" t="inlineStr">
        <is>
          <t>FILIPSTAD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5754-2022</t>
        </is>
      </c>
      <c r="B365" s="1" t="n">
        <v>44596</v>
      </c>
      <c r="C365" s="1" t="n">
        <v>45350</v>
      </c>
      <c r="D365" t="inlineStr">
        <is>
          <t>VÄRMLANDS LÄN</t>
        </is>
      </c>
      <c r="E365" t="inlineStr">
        <is>
          <t>FILIPSTAD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5928-2022</t>
        </is>
      </c>
      <c r="B366" s="1" t="n">
        <v>44598</v>
      </c>
      <c r="C366" s="1" t="n">
        <v>45350</v>
      </c>
      <c r="D366" t="inlineStr">
        <is>
          <t>VÄRMLANDS LÄN</t>
        </is>
      </c>
      <c r="E366" t="inlineStr">
        <is>
          <t>FILIPSTAD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7292-2022</t>
        </is>
      </c>
      <c r="B367" s="1" t="n">
        <v>44606</v>
      </c>
      <c r="C367" s="1" t="n">
        <v>45350</v>
      </c>
      <c r="D367" t="inlineStr">
        <is>
          <t>VÄRMLANDS LÄN</t>
        </is>
      </c>
      <c r="E367" t="inlineStr">
        <is>
          <t>FILIPSTAD</t>
        </is>
      </c>
      <c r="F367" t="inlineStr">
        <is>
          <t>Bergvik skog väst AB</t>
        </is>
      </c>
      <c r="G367" t="n">
        <v>4.8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7415-2022</t>
        </is>
      </c>
      <c r="B368" s="1" t="n">
        <v>44606</v>
      </c>
      <c r="C368" s="1" t="n">
        <v>45350</v>
      </c>
      <c r="D368" t="inlineStr">
        <is>
          <t>VÄRMLANDS LÄN</t>
        </is>
      </c>
      <c r="E368" t="inlineStr">
        <is>
          <t>FILIPSTAD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8482-2022</t>
        </is>
      </c>
      <c r="B369" s="1" t="n">
        <v>44613</v>
      </c>
      <c r="C369" s="1" t="n">
        <v>45350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12247-2022</t>
        </is>
      </c>
      <c r="B370" s="1" t="n">
        <v>44637</v>
      </c>
      <c r="C370" s="1" t="n">
        <v>45350</v>
      </c>
      <c r="D370" t="inlineStr">
        <is>
          <t>VÄRMLANDS LÄN</t>
        </is>
      </c>
      <c r="E370" t="inlineStr">
        <is>
          <t>FILIPSTAD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14077-2022</t>
        </is>
      </c>
      <c r="B371" s="1" t="n">
        <v>44651</v>
      </c>
      <c r="C371" s="1" t="n">
        <v>45350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18.7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14074-2022</t>
        </is>
      </c>
      <c r="B372" s="1" t="n">
        <v>44651</v>
      </c>
      <c r="C372" s="1" t="n">
        <v>45350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14582-2022</t>
        </is>
      </c>
      <c r="B373" s="1" t="n">
        <v>44655</v>
      </c>
      <c r="C373" s="1" t="n">
        <v>45350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15932-2022</t>
        </is>
      </c>
      <c r="B374" s="1" t="n">
        <v>44664</v>
      </c>
      <c r="C374" s="1" t="n">
        <v>45350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11.5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15901-2022</t>
        </is>
      </c>
      <c r="B375" s="1" t="n">
        <v>44664</v>
      </c>
      <c r="C375" s="1" t="n">
        <v>45350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23.7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16303-2022</t>
        </is>
      </c>
      <c r="B376" s="1" t="n">
        <v>44670</v>
      </c>
      <c r="C376" s="1" t="n">
        <v>45350</v>
      </c>
      <c r="D376" t="inlineStr">
        <is>
          <t>VÄRMLANDS LÄN</t>
        </is>
      </c>
      <c r="E376" t="inlineStr">
        <is>
          <t>FILIPSTAD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16591-2022</t>
        </is>
      </c>
      <c r="B377" s="1" t="n">
        <v>44672</v>
      </c>
      <c r="C377" s="1" t="n">
        <v>45350</v>
      </c>
      <c r="D377" t="inlineStr">
        <is>
          <t>VÄRMLANDS LÄN</t>
        </is>
      </c>
      <c r="E377" t="inlineStr">
        <is>
          <t>FILIPSTAD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18138-2022</t>
        </is>
      </c>
      <c r="B378" s="1" t="n">
        <v>44684</v>
      </c>
      <c r="C378" s="1" t="n">
        <v>45350</v>
      </c>
      <c r="D378" t="inlineStr">
        <is>
          <t>VÄRMLANDS LÄN</t>
        </is>
      </c>
      <c r="E378" t="inlineStr">
        <is>
          <t>FILIPSTAD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19018-2022</t>
        </is>
      </c>
      <c r="B379" s="1" t="n">
        <v>44691</v>
      </c>
      <c r="C379" s="1" t="n">
        <v>45350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19030-2022</t>
        </is>
      </c>
      <c r="B380" s="1" t="n">
        <v>44691</v>
      </c>
      <c r="C380" s="1" t="n">
        <v>45350</v>
      </c>
      <c r="D380" t="inlineStr">
        <is>
          <t>VÄRMLANDS LÄN</t>
        </is>
      </c>
      <c r="E380" t="inlineStr">
        <is>
          <t>FILIPSTAD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19626-2022</t>
        </is>
      </c>
      <c r="B381" s="1" t="n">
        <v>44694</v>
      </c>
      <c r="C381" s="1" t="n">
        <v>45350</v>
      </c>
      <c r="D381" t="inlineStr">
        <is>
          <t>VÄRMLANDS LÄN</t>
        </is>
      </c>
      <c r="E381" t="inlineStr">
        <is>
          <t>FILIPSTAD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21311-2022</t>
        </is>
      </c>
      <c r="B382" s="1" t="n">
        <v>44705</v>
      </c>
      <c r="C382" s="1" t="n">
        <v>45350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22356-2022</t>
        </is>
      </c>
      <c r="B383" s="1" t="n">
        <v>44713</v>
      </c>
      <c r="C383" s="1" t="n">
        <v>45350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23063-2022</t>
        </is>
      </c>
      <c r="B384" s="1" t="n">
        <v>44719</v>
      </c>
      <c r="C384" s="1" t="n">
        <v>45350</v>
      </c>
      <c r="D384" t="inlineStr">
        <is>
          <t>VÄRMLANDS LÄN</t>
        </is>
      </c>
      <c r="E384" t="inlineStr">
        <is>
          <t>FILIPSTAD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24442-2022</t>
        </is>
      </c>
      <c r="B385" s="1" t="n">
        <v>44726</v>
      </c>
      <c r="C385" s="1" t="n">
        <v>45350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30.7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24412-2022</t>
        </is>
      </c>
      <c r="B386" s="1" t="n">
        <v>44726</v>
      </c>
      <c r="C386" s="1" t="n">
        <v>45350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13.2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24463-2022</t>
        </is>
      </c>
      <c r="B387" s="1" t="n">
        <v>44726</v>
      </c>
      <c r="C387" s="1" t="n">
        <v>45350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26831-2022</t>
        </is>
      </c>
      <c r="B388" s="1" t="n">
        <v>44740</v>
      </c>
      <c r="C388" s="1" t="n">
        <v>45350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18.6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26859-2022</t>
        </is>
      </c>
      <c r="B389" s="1" t="n">
        <v>44740</v>
      </c>
      <c r="C389" s="1" t="n">
        <v>45350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27789-2022</t>
        </is>
      </c>
      <c r="B390" s="1" t="n">
        <v>44743</v>
      </c>
      <c r="C390" s="1" t="n">
        <v>45350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28198-2022</t>
        </is>
      </c>
      <c r="B391" s="1" t="n">
        <v>44746</v>
      </c>
      <c r="C391" s="1" t="n">
        <v>45350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31133-2022</t>
        </is>
      </c>
      <c r="B392" s="1" t="n">
        <v>44770</v>
      </c>
      <c r="C392" s="1" t="n">
        <v>45350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32680-2022</t>
        </is>
      </c>
      <c r="B393" s="1" t="n">
        <v>44783</v>
      </c>
      <c r="C393" s="1" t="n">
        <v>45350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33368-2022</t>
        </is>
      </c>
      <c r="B394" s="1" t="n">
        <v>44788</v>
      </c>
      <c r="C394" s="1" t="n">
        <v>45350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33671-2022</t>
        </is>
      </c>
      <c r="B395" s="1" t="n">
        <v>44789</v>
      </c>
      <c r="C395" s="1" t="n">
        <v>45350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34559-2022</t>
        </is>
      </c>
      <c r="B396" s="1" t="n">
        <v>44794</v>
      </c>
      <c r="C396" s="1" t="n">
        <v>45350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35712-2022</t>
        </is>
      </c>
      <c r="B397" s="1" t="n">
        <v>44799</v>
      </c>
      <c r="C397" s="1" t="n">
        <v>45350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35799-2022</t>
        </is>
      </c>
      <c r="B398" s="1" t="n">
        <v>44802</v>
      </c>
      <c r="C398" s="1" t="n">
        <v>45350</v>
      </c>
      <c r="D398" t="inlineStr">
        <is>
          <t>VÄRMLANDS LÄN</t>
        </is>
      </c>
      <c r="E398" t="inlineStr">
        <is>
          <t>FILIPSTAD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36251-2022</t>
        </is>
      </c>
      <c r="B399" s="1" t="n">
        <v>44803</v>
      </c>
      <c r="C399" s="1" t="n">
        <v>45350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36809-2022</t>
        </is>
      </c>
      <c r="B400" s="1" t="n">
        <v>44805</v>
      </c>
      <c r="C400" s="1" t="n">
        <v>45350</v>
      </c>
      <c r="D400" t="inlineStr">
        <is>
          <t>VÄRMLANDS LÄN</t>
        </is>
      </c>
      <c r="E400" t="inlineStr">
        <is>
          <t>FILIPSTAD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36827-2022</t>
        </is>
      </c>
      <c r="B401" s="1" t="n">
        <v>44805</v>
      </c>
      <c r="C401" s="1" t="n">
        <v>45350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37611-2022</t>
        </is>
      </c>
      <c r="B402" s="1" t="n">
        <v>44809</v>
      </c>
      <c r="C402" s="1" t="n">
        <v>45350</v>
      </c>
      <c r="D402" t="inlineStr">
        <is>
          <t>VÄRMLANDS LÄN</t>
        </is>
      </c>
      <c r="E402" t="inlineStr">
        <is>
          <t>FILIPSTAD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42759-2022</t>
        </is>
      </c>
      <c r="B403" s="1" t="n">
        <v>44832</v>
      </c>
      <c r="C403" s="1" t="n">
        <v>45350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42958-2022</t>
        </is>
      </c>
      <c r="B404" s="1" t="n">
        <v>44833</v>
      </c>
      <c r="C404" s="1" t="n">
        <v>45350</v>
      </c>
      <c r="D404" t="inlineStr">
        <is>
          <t>VÄRMLANDS LÄN</t>
        </is>
      </c>
      <c r="E404" t="inlineStr">
        <is>
          <t>FILIPSTAD</t>
        </is>
      </c>
      <c r="F404" t="inlineStr">
        <is>
          <t>Bergvik skog väst AB</t>
        </is>
      </c>
      <c r="G404" t="n">
        <v>6.7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43313-2022</t>
        </is>
      </c>
      <c r="B405" s="1" t="n">
        <v>44834</v>
      </c>
      <c r="C405" s="1" t="n">
        <v>45350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14.7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43514-2022</t>
        </is>
      </c>
      <c r="B406" s="1" t="n">
        <v>44837</v>
      </c>
      <c r="C406" s="1" t="n">
        <v>45350</v>
      </c>
      <c r="D406" t="inlineStr">
        <is>
          <t>VÄRMLANDS LÄN</t>
        </is>
      </c>
      <c r="E406" t="inlineStr">
        <is>
          <t>FILIPSTAD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43586-2022</t>
        </is>
      </c>
      <c r="B407" s="1" t="n">
        <v>44837</v>
      </c>
      <c r="C407" s="1" t="n">
        <v>45350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44180-2022</t>
        </is>
      </c>
      <c r="B408" s="1" t="n">
        <v>44839</v>
      </c>
      <c r="C408" s="1" t="n">
        <v>45350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44683-2022</t>
        </is>
      </c>
      <c r="B409" s="1" t="n">
        <v>44840</v>
      </c>
      <c r="C409" s="1" t="n">
        <v>45350</v>
      </c>
      <c r="D409" t="inlineStr">
        <is>
          <t>VÄRMLANDS LÄN</t>
        </is>
      </c>
      <c r="E409" t="inlineStr">
        <is>
          <t>FILIPSTAD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44971-2022</t>
        </is>
      </c>
      <c r="B410" s="1" t="n">
        <v>44841</v>
      </c>
      <c r="C410" s="1" t="n">
        <v>45350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45372-2022</t>
        </is>
      </c>
      <c r="B411" s="1" t="n">
        <v>44844</v>
      </c>
      <c r="C411" s="1" t="n">
        <v>45350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9.300000000000001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46257-2022</t>
        </is>
      </c>
      <c r="B412" s="1" t="n">
        <v>44847</v>
      </c>
      <c r="C412" s="1" t="n">
        <v>45350</v>
      </c>
      <c r="D412" t="inlineStr">
        <is>
          <t>VÄRMLANDS LÄN</t>
        </is>
      </c>
      <c r="E412" t="inlineStr">
        <is>
          <t>FILIPSTAD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47188-2022</t>
        </is>
      </c>
      <c r="B413" s="1" t="n">
        <v>44852</v>
      </c>
      <c r="C413" s="1" t="n">
        <v>45350</v>
      </c>
      <c r="D413" t="inlineStr">
        <is>
          <t>VÄRMLANDS LÄN</t>
        </is>
      </c>
      <c r="E413" t="inlineStr">
        <is>
          <t>FILIPSTAD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47693-2022</t>
        </is>
      </c>
      <c r="B414" s="1" t="n">
        <v>44854</v>
      </c>
      <c r="C414" s="1" t="n">
        <v>45350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5.9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49046-2022</t>
        </is>
      </c>
      <c r="B415" s="1" t="n">
        <v>44860</v>
      </c>
      <c r="C415" s="1" t="n">
        <v>45350</v>
      </c>
      <c r="D415" t="inlineStr">
        <is>
          <t>VÄRMLANDS LÄN</t>
        </is>
      </c>
      <c r="E415" t="inlineStr">
        <is>
          <t>FILIPSTAD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50856-2022</t>
        </is>
      </c>
      <c r="B416" s="1" t="n">
        <v>44867</v>
      </c>
      <c r="C416" s="1" t="n">
        <v>45350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51492-2022</t>
        </is>
      </c>
      <c r="B417" s="1" t="n">
        <v>44869</v>
      </c>
      <c r="C417" s="1" t="n">
        <v>45350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7.2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51589-2022</t>
        </is>
      </c>
      <c r="B418" s="1" t="n">
        <v>44871</v>
      </c>
      <c r="C418" s="1" t="n">
        <v>45350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51618-2022</t>
        </is>
      </c>
      <c r="B419" s="1" t="n">
        <v>44872</v>
      </c>
      <c r="C419" s="1" t="n">
        <v>45350</v>
      </c>
      <c r="D419" t="inlineStr">
        <is>
          <t>VÄRMLANDS LÄN</t>
        </is>
      </c>
      <c r="E419" t="inlineStr">
        <is>
          <t>FILIPSTAD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53034-2022</t>
        </is>
      </c>
      <c r="B420" s="1" t="n">
        <v>44876</v>
      </c>
      <c r="C420" s="1" t="n">
        <v>45350</v>
      </c>
      <c r="D420" t="inlineStr">
        <is>
          <t>VÄRMLANDS LÄN</t>
        </is>
      </c>
      <c r="E420" t="inlineStr">
        <is>
          <t>FILIPSTAD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53208-2022</t>
        </is>
      </c>
      <c r="B421" s="1" t="n">
        <v>44876</v>
      </c>
      <c r="C421" s="1" t="n">
        <v>45350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53291-2022</t>
        </is>
      </c>
      <c r="B422" s="1" t="n">
        <v>44877</v>
      </c>
      <c r="C422" s="1" t="n">
        <v>45350</v>
      </c>
      <c r="D422" t="inlineStr">
        <is>
          <t>VÄRMLANDS LÄN</t>
        </is>
      </c>
      <c r="E422" t="inlineStr">
        <is>
          <t>FILIPSTAD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53422-2022</t>
        </is>
      </c>
      <c r="B423" s="1" t="n">
        <v>44879</v>
      </c>
      <c r="C423" s="1" t="n">
        <v>45350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17.8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53690-2022</t>
        </is>
      </c>
      <c r="B424" s="1" t="n">
        <v>44880</v>
      </c>
      <c r="C424" s="1" t="n">
        <v>45350</v>
      </c>
      <c r="D424" t="inlineStr">
        <is>
          <t>VÄRMLANDS LÄN</t>
        </is>
      </c>
      <c r="E424" t="inlineStr">
        <is>
          <t>FILIPSTAD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55268-2022</t>
        </is>
      </c>
      <c r="B425" s="1" t="n">
        <v>44887</v>
      </c>
      <c r="C425" s="1" t="n">
        <v>45350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55397-2022</t>
        </is>
      </c>
      <c r="B426" s="1" t="n">
        <v>44887</v>
      </c>
      <c r="C426" s="1" t="n">
        <v>45350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55782-2022</t>
        </is>
      </c>
      <c r="B427" s="1" t="n">
        <v>44888</v>
      </c>
      <c r="C427" s="1" t="n">
        <v>45350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55835-2022</t>
        </is>
      </c>
      <c r="B428" s="1" t="n">
        <v>44888</v>
      </c>
      <c r="C428" s="1" t="n">
        <v>45350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55978-2022</t>
        </is>
      </c>
      <c r="B429" s="1" t="n">
        <v>44889</v>
      </c>
      <c r="C429" s="1" t="n">
        <v>45350</v>
      </c>
      <c r="D429" t="inlineStr">
        <is>
          <t>VÄRMLANDS LÄN</t>
        </is>
      </c>
      <c r="E429" t="inlineStr">
        <is>
          <t>FILIPSTAD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55946-2022</t>
        </is>
      </c>
      <c r="B430" s="1" t="n">
        <v>44889</v>
      </c>
      <c r="C430" s="1" t="n">
        <v>45350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55960-2022</t>
        </is>
      </c>
      <c r="B431" s="1" t="n">
        <v>44889</v>
      </c>
      <c r="C431" s="1" t="n">
        <v>45350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27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56222-2022</t>
        </is>
      </c>
      <c r="B432" s="1" t="n">
        <v>44890</v>
      </c>
      <c r="C432" s="1" t="n">
        <v>45350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56334-2022</t>
        </is>
      </c>
      <c r="B433" s="1" t="n">
        <v>44890</v>
      </c>
      <c r="C433" s="1" t="n">
        <v>45350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56594-2022</t>
        </is>
      </c>
      <c r="B434" s="1" t="n">
        <v>44893</v>
      </c>
      <c r="C434" s="1" t="n">
        <v>45350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14.1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56693-2022</t>
        </is>
      </c>
      <c r="B435" s="1" t="n">
        <v>44893</v>
      </c>
      <c r="C435" s="1" t="n">
        <v>45350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40.1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57456-2022</t>
        </is>
      </c>
      <c r="B436" s="1" t="n">
        <v>44896</v>
      </c>
      <c r="C436" s="1" t="n">
        <v>45350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58855-2022</t>
        </is>
      </c>
      <c r="B437" s="1" t="n">
        <v>44903</v>
      </c>
      <c r="C437" s="1" t="n">
        <v>45350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59196-2022</t>
        </is>
      </c>
      <c r="B438" s="1" t="n">
        <v>44904</v>
      </c>
      <c r="C438" s="1" t="n">
        <v>45350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3.4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59342-2022</t>
        </is>
      </c>
      <c r="B439" s="1" t="n">
        <v>44904</v>
      </c>
      <c r="C439" s="1" t="n">
        <v>45350</v>
      </c>
      <c r="D439" t="inlineStr">
        <is>
          <t>VÄRMLANDS LÄN</t>
        </is>
      </c>
      <c r="E439" t="inlineStr">
        <is>
          <t>FILIPSTAD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59347-2022</t>
        </is>
      </c>
      <c r="B440" s="1" t="n">
        <v>44904</v>
      </c>
      <c r="C440" s="1" t="n">
        <v>45350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59343-2022</t>
        </is>
      </c>
      <c r="B441" s="1" t="n">
        <v>44904</v>
      </c>
      <c r="C441" s="1" t="n">
        <v>45350</v>
      </c>
      <c r="D441" t="inlineStr">
        <is>
          <t>VÄRMLANDS LÄN</t>
        </is>
      </c>
      <c r="E441" t="inlineStr">
        <is>
          <t>FILIPSTAD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60108-2022</t>
        </is>
      </c>
      <c r="B442" s="1" t="n">
        <v>44909</v>
      </c>
      <c r="C442" s="1" t="n">
        <v>45350</v>
      </c>
      <c r="D442" t="inlineStr">
        <is>
          <t>VÄRMLANDS LÄN</t>
        </is>
      </c>
      <c r="E442" t="inlineStr">
        <is>
          <t>FILIPSTAD</t>
        </is>
      </c>
      <c r="G442" t="n">
        <v>11.4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61628-2022</t>
        </is>
      </c>
      <c r="B443" s="1" t="n">
        <v>44911</v>
      </c>
      <c r="C443" s="1" t="n">
        <v>45350</v>
      </c>
      <c r="D443" t="inlineStr">
        <is>
          <t>VÄRMLANDS LÄN</t>
        </is>
      </c>
      <c r="E443" t="inlineStr">
        <is>
          <t>FILIPSTAD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61741-2022</t>
        </is>
      </c>
      <c r="B444" s="1" t="n">
        <v>44911</v>
      </c>
      <c r="C444" s="1" t="n">
        <v>45350</v>
      </c>
      <c r="D444" t="inlineStr">
        <is>
          <t>VÄRMLANDS LÄN</t>
        </is>
      </c>
      <c r="E444" t="inlineStr">
        <is>
          <t>FILIPSTAD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1042-2023</t>
        </is>
      </c>
      <c r="B445" s="1" t="n">
        <v>44935</v>
      </c>
      <c r="C445" s="1" t="n">
        <v>45350</v>
      </c>
      <c r="D445" t="inlineStr">
        <is>
          <t>VÄRMLANDS LÄN</t>
        </is>
      </c>
      <c r="E445" t="inlineStr">
        <is>
          <t>FILIPSTAD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1170-2023</t>
        </is>
      </c>
      <c r="B446" s="1" t="n">
        <v>44935</v>
      </c>
      <c r="C446" s="1" t="n">
        <v>45350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3844-2023</t>
        </is>
      </c>
      <c r="B447" s="1" t="n">
        <v>44951</v>
      </c>
      <c r="C447" s="1" t="n">
        <v>45350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4819-2023</t>
        </is>
      </c>
      <c r="B448" s="1" t="n">
        <v>44957</v>
      </c>
      <c r="C448" s="1" t="n">
        <v>45350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5992-2023</t>
        </is>
      </c>
      <c r="B449" s="1" t="n">
        <v>44959</v>
      </c>
      <c r="C449" s="1" t="n">
        <v>45350</v>
      </c>
      <c r="D449" t="inlineStr">
        <is>
          <t>VÄRMLANDS LÄN</t>
        </is>
      </c>
      <c r="E449" t="inlineStr">
        <is>
          <t>FILIPSTAD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6555-2023</t>
        </is>
      </c>
      <c r="B450" s="1" t="n">
        <v>44960</v>
      </c>
      <c r="C450" s="1" t="n">
        <v>45350</v>
      </c>
      <c r="D450" t="inlineStr">
        <is>
          <t>VÄRMLANDS LÄN</t>
        </is>
      </c>
      <c r="E450" t="inlineStr">
        <is>
          <t>FILIPSTAD</t>
        </is>
      </c>
      <c r="F450" t="inlineStr">
        <is>
          <t>Kommuner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6520-2023</t>
        </is>
      </c>
      <c r="B451" s="1" t="n">
        <v>44960</v>
      </c>
      <c r="C451" s="1" t="n">
        <v>45350</v>
      </c>
      <c r="D451" t="inlineStr">
        <is>
          <t>VÄRMLANDS LÄN</t>
        </is>
      </c>
      <c r="E451" t="inlineStr">
        <is>
          <t>FILIPSTAD</t>
        </is>
      </c>
      <c r="F451" t="inlineStr">
        <is>
          <t>Kommuner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6561-2023</t>
        </is>
      </c>
      <c r="B452" s="1" t="n">
        <v>44960</v>
      </c>
      <c r="C452" s="1" t="n">
        <v>45350</v>
      </c>
      <c r="D452" t="inlineStr">
        <is>
          <t>VÄRMLANDS LÄN</t>
        </is>
      </c>
      <c r="E452" t="inlineStr">
        <is>
          <t>FILIPSTAD</t>
        </is>
      </c>
      <c r="F452" t="inlineStr">
        <is>
          <t>Kommuner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6523-2023</t>
        </is>
      </c>
      <c r="B453" s="1" t="n">
        <v>44960</v>
      </c>
      <c r="C453" s="1" t="n">
        <v>45350</v>
      </c>
      <c r="D453" t="inlineStr">
        <is>
          <t>VÄRMLANDS LÄN</t>
        </is>
      </c>
      <c r="E453" t="inlineStr">
        <is>
          <t>FILIPSTAD</t>
        </is>
      </c>
      <c r="F453" t="inlineStr">
        <is>
          <t>Kommuner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6568-2023</t>
        </is>
      </c>
      <c r="B454" s="1" t="n">
        <v>44960</v>
      </c>
      <c r="C454" s="1" t="n">
        <v>45350</v>
      </c>
      <c r="D454" t="inlineStr">
        <is>
          <t>VÄRMLANDS LÄN</t>
        </is>
      </c>
      <c r="E454" t="inlineStr">
        <is>
          <t>FILIPSTAD</t>
        </is>
      </c>
      <c r="F454" t="inlineStr">
        <is>
          <t>Kommuner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6573-2023</t>
        </is>
      </c>
      <c r="B455" s="1" t="n">
        <v>44960</v>
      </c>
      <c r="C455" s="1" t="n">
        <v>45350</v>
      </c>
      <c r="D455" t="inlineStr">
        <is>
          <t>VÄRMLANDS LÄN</t>
        </is>
      </c>
      <c r="E455" t="inlineStr">
        <is>
          <t>FILIPSTAD</t>
        </is>
      </c>
      <c r="F455" t="inlineStr">
        <is>
          <t>Kommuner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5846-2023</t>
        </is>
      </c>
      <c r="B456" s="1" t="n">
        <v>44963</v>
      </c>
      <c r="C456" s="1" t="n">
        <v>45350</v>
      </c>
      <c r="D456" t="inlineStr">
        <is>
          <t>VÄRMLANDS LÄN</t>
        </is>
      </c>
      <c r="E456" t="inlineStr">
        <is>
          <t>FILIPSTAD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5803-2023</t>
        </is>
      </c>
      <c r="B457" s="1" t="n">
        <v>44963</v>
      </c>
      <c r="C457" s="1" t="n">
        <v>45350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6503-2023</t>
        </is>
      </c>
      <c r="B458" s="1" t="n">
        <v>44966</v>
      </c>
      <c r="C458" s="1" t="n">
        <v>45350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6498-2023</t>
        </is>
      </c>
      <c r="B459" s="1" t="n">
        <v>44966</v>
      </c>
      <c r="C459" s="1" t="n">
        <v>45350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6709-2023</t>
        </is>
      </c>
      <c r="B460" s="1" t="n">
        <v>44966</v>
      </c>
      <c r="C460" s="1" t="n">
        <v>45350</v>
      </c>
      <c r="D460" t="inlineStr">
        <is>
          <t>VÄRMLANDS LÄN</t>
        </is>
      </c>
      <c r="E460" t="inlineStr">
        <is>
          <t>FILIPSTAD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7248-2023</t>
        </is>
      </c>
      <c r="B461" s="1" t="n">
        <v>44970</v>
      </c>
      <c r="C461" s="1" t="n">
        <v>45350</v>
      </c>
      <c r="D461" t="inlineStr">
        <is>
          <t>VÄRMLANDS LÄN</t>
        </is>
      </c>
      <c r="E461" t="inlineStr">
        <is>
          <t>FILIPSTAD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8301-2023</t>
        </is>
      </c>
      <c r="B462" s="1" t="n">
        <v>44974</v>
      </c>
      <c r="C462" s="1" t="n">
        <v>45350</v>
      </c>
      <c r="D462" t="inlineStr">
        <is>
          <t>VÄRMLANDS LÄN</t>
        </is>
      </c>
      <c r="E462" t="inlineStr">
        <is>
          <t>FILIPSTAD</t>
        </is>
      </c>
      <c r="G462" t="n">
        <v>4.1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8788-2023</t>
        </is>
      </c>
      <c r="B463" s="1" t="n">
        <v>44978</v>
      </c>
      <c r="C463" s="1" t="n">
        <v>45350</v>
      </c>
      <c r="D463" t="inlineStr">
        <is>
          <t>VÄRMLANDS LÄN</t>
        </is>
      </c>
      <c r="E463" t="inlineStr">
        <is>
          <t>FILIPSTAD</t>
        </is>
      </c>
      <c r="F463" t="inlineStr">
        <is>
          <t>Bergvik skog väst AB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9270-2023</t>
        </is>
      </c>
      <c r="B464" s="1" t="n">
        <v>44980</v>
      </c>
      <c r="C464" s="1" t="n">
        <v>45350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9388-2023</t>
        </is>
      </c>
      <c r="B465" s="1" t="n">
        <v>44981</v>
      </c>
      <c r="C465" s="1" t="n">
        <v>45350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16.6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45350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10395-2023</t>
        </is>
      </c>
      <c r="B467" s="1" t="n">
        <v>44987</v>
      </c>
      <c r="C467" s="1" t="n">
        <v>45350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7.4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11129-2023</t>
        </is>
      </c>
      <c r="B468" s="1" t="n">
        <v>44992</v>
      </c>
      <c r="C468" s="1" t="n">
        <v>45350</v>
      </c>
      <c r="D468" t="inlineStr">
        <is>
          <t>VÄRMLANDS LÄN</t>
        </is>
      </c>
      <c r="E468" t="inlineStr">
        <is>
          <t>FILIPSTAD</t>
        </is>
      </c>
      <c r="F468" t="inlineStr">
        <is>
          <t>Bergvik skog väst AB</t>
        </is>
      </c>
      <c r="G468" t="n">
        <v>29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11866-2023</t>
        </is>
      </c>
      <c r="B469" s="1" t="n">
        <v>44993</v>
      </c>
      <c r="C469" s="1" t="n">
        <v>45350</v>
      </c>
      <c r="D469" t="inlineStr">
        <is>
          <t>VÄRMLANDS LÄN</t>
        </is>
      </c>
      <c r="E469" t="inlineStr">
        <is>
          <t>FILIPSTAD</t>
        </is>
      </c>
      <c r="G469" t="n">
        <v>4.5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11680-2023</t>
        </is>
      </c>
      <c r="B470" s="1" t="n">
        <v>44994</v>
      </c>
      <c r="C470" s="1" t="n">
        <v>45350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11745-2023</t>
        </is>
      </c>
      <c r="B471" s="1" t="n">
        <v>44994</v>
      </c>
      <c r="C471" s="1" t="n">
        <v>45350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12160-2023</t>
        </is>
      </c>
      <c r="B472" s="1" t="n">
        <v>44998</v>
      </c>
      <c r="C472" s="1" t="n">
        <v>45350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12566-2023</t>
        </is>
      </c>
      <c r="B473" s="1" t="n">
        <v>45000</v>
      </c>
      <c r="C473" s="1" t="n">
        <v>45350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13623-2023</t>
        </is>
      </c>
      <c r="B474" s="1" t="n">
        <v>45006</v>
      </c>
      <c r="C474" s="1" t="n">
        <v>45350</v>
      </c>
      <c r="D474" t="inlineStr">
        <is>
          <t>VÄRMLANDS LÄN</t>
        </is>
      </c>
      <c r="E474" t="inlineStr">
        <is>
          <t>FILIPSTAD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14204-2023</t>
        </is>
      </c>
      <c r="B475" s="1" t="n">
        <v>45009</v>
      </c>
      <c r="C475" s="1" t="n">
        <v>45350</v>
      </c>
      <c r="D475" t="inlineStr">
        <is>
          <t>VÄRMLANDS LÄN</t>
        </is>
      </c>
      <c r="E475" t="inlineStr">
        <is>
          <t>FILIPSTAD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14459-2023</t>
        </is>
      </c>
      <c r="B476" s="1" t="n">
        <v>45012</v>
      </c>
      <c r="C476" s="1" t="n">
        <v>45350</v>
      </c>
      <c r="D476" t="inlineStr">
        <is>
          <t>VÄRMLANDS LÄN</t>
        </is>
      </c>
      <c r="E476" t="inlineStr">
        <is>
          <t>FILIPSTAD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14608-2023</t>
        </is>
      </c>
      <c r="B477" s="1" t="n">
        <v>45013</v>
      </c>
      <c r="C477" s="1" t="n">
        <v>45350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14726-2023</t>
        </is>
      </c>
      <c r="B478" s="1" t="n">
        <v>45014</v>
      </c>
      <c r="C478" s="1" t="n">
        <v>45350</v>
      </c>
      <c r="D478" t="inlineStr">
        <is>
          <t>VÄRMLANDS LÄN</t>
        </is>
      </c>
      <c r="E478" t="inlineStr">
        <is>
          <t>FILIPSTAD</t>
        </is>
      </c>
      <c r="F478" t="inlineStr">
        <is>
          <t>Bergvik skog väst AB</t>
        </is>
      </c>
      <c r="G478" t="n">
        <v>8.800000000000001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14840-2023</t>
        </is>
      </c>
      <c r="B479" s="1" t="n">
        <v>45014</v>
      </c>
      <c r="C479" s="1" t="n">
        <v>45350</v>
      </c>
      <c r="D479" t="inlineStr">
        <is>
          <t>VÄRMLANDS LÄN</t>
        </is>
      </c>
      <c r="E479" t="inlineStr">
        <is>
          <t>FILIPSTAD</t>
        </is>
      </c>
      <c r="F479" t="inlineStr">
        <is>
          <t>Kyrkan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14920-2023</t>
        </is>
      </c>
      <c r="B480" s="1" t="n">
        <v>45015</v>
      </c>
      <c r="C480" s="1" t="n">
        <v>45350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15003-2023</t>
        </is>
      </c>
      <c r="B481" s="1" t="n">
        <v>45015</v>
      </c>
      <c r="C481" s="1" t="n">
        <v>45350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10.4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15136-2023</t>
        </is>
      </c>
      <c r="B482" s="1" t="n">
        <v>45016</v>
      </c>
      <c r="C482" s="1" t="n">
        <v>45350</v>
      </c>
      <c r="D482" t="inlineStr">
        <is>
          <t>VÄRMLANDS LÄN</t>
        </is>
      </c>
      <c r="E482" t="inlineStr">
        <is>
          <t>FILIPSTAD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15989-2023</t>
        </is>
      </c>
      <c r="B483" s="1" t="n">
        <v>45023</v>
      </c>
      <c r="C483" s="1" t="n">
        <v>45350</v>
      </c>
      <c r="D483" t="inlineStr">
        <is>
          <t>VÄRMLANDS LÄN</t>
        </is>
      </c>
      <c r="E483" t="inlineStr">
        <is>
          <t>FILIPSTAD</t>
        </is>
      </c>
      <c r="G483" t="n">
        <v>10.5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16335-2023</t>
        </is>
      </c>
      <c r="B484" s="1" t="n">
        <v>45028</v>
      </c>
      <c r="C484" s="1" t="n">
        <v>45350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15.1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16479-2023</t>
        </is>
      </c>
      <c r="B485" s="1" t="n">
        <v>45029</v>
      </c>
      <c r="C485" s="1" t="n">
        <v>45350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17684-2023</t>
        </is>
      </c>
      <c r="B486" s="1" t="n">
        <v>45037</v>
      </c>
      <c r="C486" s="1" t="n">
        <v>45350</v>
      </c>
      <c r="D486" t="inlineStr">
        <is>
          <t>VÄRMLANDS LÄN</t>
        </is>
      </c>
      <c r="E486" t="inlineStr">
        <is>
          <t>FILIPSTAD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17686-2023</t>
        </is>
      </c>
      <c r="B487" s="1" t="n">
        <v>45037</v>
      </c>
      <c r="C487" s="1" t="n">
        <v>45350</v>
      </c>
      <c r="D487" t="inlineStr">
        <is>
          <t>VÄRMLANDS LÄN</t>
        </is>
      </c>
      <c r="E487" t="inlineStr">
        <is>
          <t>FILIPSTAD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18181-2023</t>
        </is>
      </c>
      <c r="B488" s="1" t="n">
        <v>45040</v>
      </c>
      <c r="C488" s="1" t="n">
        <v>45350</v>
      </c>
      <c r="D488" t="inlineStr">
        <is>
          <t>VÄRMLANDS LÄN</t>
        </is>
      </c>
      <c r="E488" t="inlineStr">
        <is>
          <t>FILIPSTAD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18256-2023</t>
        </is>
      </c>
      <c r="B489" s="1" t="n">
        <v>45041</v>
      </c>
      <c r="C489" s="1" t="n">
        <v>45350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18630-2023</t>
        </is>
      </c>
      <c r="B490" s="1" t="n">
        <v>45043</v>
      </c>
      <c r="C490" s="1" t="n">
        <v>45350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20791-2023</t>
        </is>
      </c>
      <c r="B491" s="1" t="n">
        <v>45058</v>
      </c>
      <c r="C491" s="1" t="n">
        <v>45350</v>
      </c>
      <c r="D491" t="inlineStr">
        <is>
          <t>VÄRMLANDS LÄN</t>
        </is>
      </c>
      <c r="E491" t="inlineStr">
        <is>
          <t>FILIPSTAD</t>
        </is>
      </c>
      <c r="F491" t="inlineStr">
        <is>
          <t>Bergvik skog väst AB</t>
        </is>
      </c>
      <c r="G491" t="n">
        <v>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20832-2023</t>
        </is>
      </c>
      <c r="B492" s="1" t="n">
        <v>45058</v>
      </c>
      <c r="C492" s="1" t="n">
        <v>45350</v>
      </c>
      <c r="D492" t="inlineStr">
        <is>
          <t>VÄRMLANDS LÄN</t>
        </is>
      </c>
      <c r="E492" t="inlineStr">
        <is>
          <t>FILIPSTAD</t>
        </is>
      </c>
      <c r="F492" t="inlineStr">
        <is>
          <t>Bergvik skog väst AB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21593-2023</t>
        </is>
      </c>
      <c r="B493" s="1" t="n">
        <v>45063</v>
      </c>
      <c r="C493" s="1" t="n">
        <v>45350</v>
      </c>
      <c r="D493" t="inlineStr">
        <is>
          <t>VÄRMLANDS LÄN</t>
        </is>
      </c>
      <c r="E493" t="inlineStr">
        <is>
          <t>FILIPSTAD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21605-2023</t>
        </is>
      </c>
      <c r="B494" s="1" t="n">
        <v>45063</v>
      </c>
      <c r="C494" s="1" t="n">
        <v>45350</v>
      </c>
      <c r="D494" t="inlineStr">
        <is>
          <t>VÄRMLANDS LÄN</t>
        </is>
      </c>
      <c r="E494" t="inlineStr">
        <is>
          <t>FILIPSTAD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21608-2023</t>
        </is>
      </c>
      <c r="B495" s="1" t="n">
        <v>45063</v>
      </c>
      <c r="C495" s="1" t="n">
        <v>45350</v>
      </c>
      <c r="D495" t="inlineStr">
        <is>
          <t>VÄRMLANDS LÄN</t>
        </is>
      </c>
      <c r="E495" t="inlineStr">
        <is>
          <t>FILIPSTAD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22132-2023</t>
        </is>
      </c>
      <c r="B496" s="1" t="n">
        <v>45069</v>
      </c>
      <c r="C496" s="1" t="n">
        <v>45350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22268-2023</t>
        </is>
      </c>
      <c r="B497" s="1" t="n">
        <v>45070</v>
      </c>
      <c r="C497" s="1" t="n">
        <v>45350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22681-2023</t>
        </is>
      </c>
      <c r="B498" s="1" t="n">
        <v>45071</v>
      </c>
      <c r="C498" s="1" t="n">
        <v>45350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22666-2023</t>
        </is>
      </c>
      <c r="B499" s="1" t="n">
        <v>45071</v>
      </c>
      <c r="C499" s="1" t="n">
        <v>45350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22665-2023</t>
        </is>
      </c>
      <c r="B500" s="1" t="n">
        <v>45071</v>
      </c>
      <c r="C500" s="1" t="n">
        <v>45350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22830-2023</t>
        </is>
      </c>
      <c r="B501" s="1" t="n">
        <v>45072</v>
      </c>
      <c r="C501" s="1" t="n">
        <v>45350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22866-2023</t>
        </is>
      </c>
      <c r="B502" s="1" t="n">
        <v>45072</v>
      </c>
      <c r="C502" s="1" t="n">
        <v>45350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23045-2023</t>
        </is>
      </c>
      <c r="B503" s="1" t="n">
        <v>45075</v>
      </c>
      <c r="C503" s="1" t="n">
        <v>45350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HYPERLINK("https://klasma.github.io/Logging_1782/knärot/A 23045-2023 karta knärot.png", "A 23045-2023")</f>
        <v/>
      </c>
      <c r="V503">
        <f>HYPERLINK("https://klasma.github.io/Logging_1782/klagomål/A 23045-2023 FSC-klagomål.docx", "A 23045-2023")</f>
        <v/>
      </c>
      <c r="W503">
        <f>HYPERLINK("https://klasma.github.io/Logging_1782/klagomålsmail/A 23045-2023 FSC-klagomål mail.docx", "A 23045-2023")</f>
        <v/>
      </c>
      <c r="X503">
        <f>HYPERLINK("https://klasma.github.io/Logging_1782/tillsyn/A 23045-2023 tillsynsbegäran.docx", "A 23045-2023")</f>
        <v/>
      </c>
      <c r="Y503">
        <f>HYPERLINK("https://klasma.github.io/Logging_1782/tillsynsmail/A 23045-2023 tillsynsbegäran mail.docx", "A 23045-2023")</f>
        <v/>
      </c>
    </row>
    <row r="504" ht="15" customHeight="1">
      <c r="A504" t="inlineStr">
        <is>
          <t>A 23046-2023</t>
        </is>
      </c>
      <c r="B504" s="1" t="n">
        <v>45075</v>
      </c>
      <c r="C504" s="1" t="n">
        <v>45350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  <c r="U504">
        <f>HYPERLINK("https://klasma.github.io/Logging_1782/knärot/A 23046-2023 karta knärot.png", "A 23046-2023")</f>
        <v/>
      </c>
      <c r="V504">
        <f>HYPERLINK("https://klasma.github.io/Logging_1782/klagomål/A 23046-2023 FSC-klagomål.docx", "A 23046-2023")</f>
        <v/>
      </c>
      <c r="W504">
        <f>HYPERLINK("https://klasma.github.io/Logging_1782/klagomålsmail/A 23046-2023 FSC-klagomål mail.docx", "A 23046-2023")</f>
        <v/>
      </c>
      <c r="X504">
        <f>HYPERLINK("https://klasma.github.io/Logging_1782/tillsyn/A 23046-2023 tillsynsbegäran.docx", "A 23046-2023")</f>
        <v/>
      </c>
      <c r="Y504">
        <f>HYPERLINK("https://klasma.github.io/Logging_1782/tillsynsmail/A 23046-2023 tillsynsbegäran mail.docx", "A 23046-2023")</f>
        <v/>
      </c>
    </row>
    <row r="505" ht="15" customHeight="1">
      <c r="A505" t="inlineStr">
        <is>
          <t>A 23335-2023</t>
        </is>
      </c>
      <c r="B505" s="1" t="n">
        <v>45076</v>
      </c>
      <c r="C505" s="1" t="n">
        <v>45350</v>
      </c>
      <c r="D505" t="inlineStr">
        <is>
          <t>VÄRMLANDS LÄN</t>
        </is>
      </c>
      <c r="E505" t="inlineStr">
        <is>
          <t>FILIPSTAD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23617-2023</t>
        </is>
      </c>
      <c r="B506" s="1" t="n">
        <v>45077</v>
      </c>
      <c r="C506" s="1" t="n">
        <v>45350</v>
      </c>
      <c r="D506" t="inlineStr">
        <is>
          <t>VÄRMLANDS LÄN</t>
        </is>
      </c>
      <c r="E506" t="inlineStr">
        <is>
          <t>FILIPSTAD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23618-2023</t>
        </is>
      </c>
      <c r="B507" s="1" t="n">
        <v>45077</v>
      </c>
      <c r="C507" s="1" t="n">
        <v>45350</v>
      </c>
      <c r="D507" t="inlineStr">
        <is>
          <t>VÄRMLANDS LÄN</t>
        </is>
      </c>
      <c r="E507" t="inlineStr">
        <is>
          <t>FILIPSTAD</t>
        </is>
      </c>
      <c r="G507" t="n">
        <v>15.8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23620-2023</t>
        </is>
      </c>
      <c r="B508" s="1" t="n">
        <v>45077</v>
      </c>
      <c r="C508" s="1" t="n">
        <v>45350</v>
      </c>
      <c r="D508" t="inlineStr">
        <is>
          <t>VÄRMLANDS LÄN</t>
        </is>
      </c>
      <c r="E508" t="inlineStr">
        <is>
          <t>FILIPSTAD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23696-2023</t>
        </is>
      </c>
      <c r="B509" s="1" t="n">
        <v>45077</v>
      </c>
      <c r="C509" s="1" t="n">
        <v>45350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23822-2023</t>
        </is>
      </c>
      <c r="B510" s="1" t="n">
        <v>45078</v>
      </c>
      <c r="C510" s="1" t="n">
        <v>45350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23837-2023</t>
        </is>
      </c>
      <c r="B511" s="1" t="n">
        <v>45078</v>
      </c>
      <c r="C511" s="1" t="n">
        <v>45350</v>
      </c>
      <c r="D511" t="inlineStr">
        <is>
          <t>VÄRMLANDS LÄN</t>
        </is>
      </c>
      <c r="E511" t="inlineStr">
        <is>
          <t>FILIPSTAD</t>
        </is>
      </c>
      <c r="F511" t="inlineStr">
        <is>
          <t>Bergvik skog väst AB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25338-2023</t>
        </is>
      </c>
      <c r="B512" s="1" t="n">
        <v>45087</v>
      </c>
      <c r="C512" s="1" t="n">
        <v>45350</v>
      </c>
      <c r="D512" t="inlineStr">
        <is>
          <t>VÄRMLANDS LÄN</t>
        </is>
      </c>
      <c r="E512" t="inlineStr">
        <is>
          <t>FILIPSTAD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25376-2023</t>
        </is>
      </c>
      <c r="B513" s="1" t="n">
        <v>45089</v>
      </c>
      <c r="C513" s="1" t="n">
        <v>45350</v>
      </c>
      <c r="D513" t="inlineStr">
        <is>
          <t>VÄRMLANDS LÄN</t>
        </is>
      </c>
      <c r="E513" t="inlineStr">
        <is>
          <t>FILIPSTAD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25375-2023</t>
        </is>
      </c>
      <c r="B514" s="1" t="n">
        <v>45089</v>
      </c>
      <c r="C514" s="1" t="n">
        <v>45350</v>
      </c>
      <c r="D514" t="inlineStr">
        <is>
          <t>VÄRMLANDS LÄN</t>
        </is>
      </c>
      <c r="E514" t="inlineStr">
        <is>
          <t>FILIPSTAD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25368-2023</t>
        </is>
      </c>
      <c r="B515" s="1" t="n">
        <v>45089</v>
      </c>
      <c r="C515" s="1" t="n">
        <v>45350</v>
      </c>
      <c r="D515" t="inlineStr">
        <is>
          <t>VÄRMLANDS LÄN</t>
        </is>
      </c>
      <c r="E515" t="inlineStr">
        <is>
          <t>FILIPSTAD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25386-2023</t>
        </is>
      </c>
      <c r="B516" s="1" t="n">
        <v>45089</v>
      </c>
      <c r="C516" s="1" t="n">
        <v>45350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25406-2023</t>
        </is>
      </c>
      <c r="B517" s="1" t="n">
        <v>45089</v>
      </c>
      <c r="C517" s="1" t="n">
        <v>45350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25586-2023</t>
        </is>
      </c>
      <c r="B518" s="1" t="n">
        <v>45089</v>
      </c>
      <c r="C518" s="1" t="n">
        <v>45350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10.8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25738-2023</t>
        </is>
      </c>
      <c r="B519" s="1" t="n">
        <v>45090</v>
      </c>
      <c r="C519" s="1" t="n">
        <v>45350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25737-2023</t>
        </is>
      </c>
      <c r="B520" s="1" t="n">
        <v>45090</v>
      </c>
      <c r="C520" s="1" t="n">
        <v>45350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26804-2023</t>
        </is>
      </c>
      <c r="B521" s="1" t="n">
        <v>45090</v>
      </c>
      <c r="C521" s="1" t="n">
        <v>45350</v>
      </c>
      <c r="D521" t="inlineStr">
        <is>
          <t>VÄRMLANDS LÄN</t>
        </is>
      </c>
      <c r="E521" t="inlineStr">
        <is>
          <t>FILIPSTAD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26280-2023</t>
        </is>
      </c>
      <c r="B522" s="1" t="n">
        <v>45091</v>
      </c>
      <c r="C522" s="1" t="n">
        <v>45350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28161-2023</t>
        </is>
      </c>
      <c r="B523" s="1" t="n">
        <v>45093</v>
      </c>
      <c r="C523" s="1" t="n">
        <v>45350</v>
      </c>
      <c r="D523" t="inlineStr">
        <is>
          <t>VÄRMLANDS LÄN</t>
        </is>
      </c>
      <c r="E523" t="inlineStr">
        <is>
          <t>FILIPSTAD</t>
        </is>
      </c>
      <c r="F523" t="inlineStr">
        <is>
          <t>Kommuner</t>
        </is>
      </c>
      <c r="G523" t="n">
        <v>15.4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27059-2023</t>
        </is>
      </c>
      <c r="B524" s="1" t="n">
        <v>45096</v>
      </c>
      <c r="C524" s="1" t="n">
        <v>45350</v>
      </c>
      <c r="D524" t="inlineStr">
        <is>
          <t>VÄRMLANDS LÄN</t>
        </is>
      </c>
      <c r="E524" t="inlineStr">
        <is>
          <t>FILIPSTAD</t>
        </is>
      </c>
      <c r="F524" t="inlineStr">
        <is>
          <t>Bergvik skog väst AB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27080-2023</t>
        </is>
      </c>
      <c r="B525" s="1" t="n">
        <v>45096</v>
      </c>
      <c r="C525" s="1" t="n">
        <v>45350</v>
      </c>
      <c r="D525" t="inlineStr">
        <is>
          <t>VÄRMLANDS LÄN</t>
        </is>
      </c>
      <c r="E525" t="inlineStr">
        <is>
          <t>FILIPSTAD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27319-2023</t>
        </is>
      </c>
      <c r="B526" s="1" t="n">
        <v>45096</v>
      </c>
      <c r="C526" s="1" t="n">
        <v>45350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27.6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27861-2023</t>
        </is>
      </c>
      <c r="B527" s="1" t="n">
        <v>45098</v>
      </c>
      <c r="C527" s="1" t="n">
        <v>45350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27953-2023</t>
        </is>
      </c>
      <c r="B528" s="1" t="n">
        <v>45098</v>
      </c>
      <c r="C528" s="1" t="n">
        <v>45350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17.7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28223-2023</t>
        </is>
      </c>
      <c r="B529" s="1" t="n">
        <v>45099</v>
      </c>
      <c r="C529" s="1" t="n">
        <v>45350</v>
      </c>
      <c r="D529" t="inlineStr">
        <is>
          <t>VÄRMLANDS LÄN</t>
        </is>
      </c>
      <c r="E529" t="inlineStr">
        <is>
          <t>FILIPSTAD</t>
        </is>
      </c>
      <c r="F529" t="inlineStr">
        <is>
          <t>Kommuner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28234-2023</t>
        </is>
      </c>
      <c r="B530" s="1" t="n">
        <v>45099</v>
      </c>
      <c r="C530" s="1" t="n">
        <v>45350</v>
      </c>
      <c r="D530" t="inlineStr">
        <is>
          <t>VÄRMLANDS LÄN</t>
        </is>
      </c>
      <c r="E530" t="inlineStr">
        <is>
          <t>FILIPSTAD</t>
        </is>
      </c>
      <c r="F530" t="inlineStr">
        <is>
          <t>Kommuner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28229-2023</t>
        </is>
      </c>
      <c r="B531" s="1" t="n">
        <v>45099</v>
      </c>
      <c r="C531" s="1" t="n">
        <v>45350</v>
      </c>
      <c r="D531" t="inlineStr">
        <is>
          <t>VÄRMLANDS LÄN</t>
        </is>
      </c>
      <c r="E531" t="inlineStr">
        <is>
          <t>FILIPSTAD</t>
        </is>
      </c>
      <c r="F531" t="inlineStr">
        <is>
          <t>Kommuner</t>
        </is>
      </c>
      <c r="G531" t="n">
        <v>12.7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28686-2023</t>
        </is>
      </c>
      <c r="B532" s="1" t="n">
        <v>45103</v>
      </c>
      <c r="C532" s="1" t="n">
        <v>45350</v>
      </c>
      <c r="D532" t="inlineStr">
        <is>
          <t>VÄRMLANDS LÄN</t>
        </is>
      </c>
      <c r="E532" t="inlineStr">
        <is>
          <t>FILIPSTAD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29429-2023</t>
        </is>
      </c>
      <c r="B533" s="1" t="n">
        <v>45106</v>
      </c>
      <c r="C533" s="1" t="n">
        <v>45350</v>
      </c>
      <c r="D533" t="inlineStr">
        <is>
          <t>VÄRMLANDS LÄN</t>
        </is>
      </c>
      <c r="E533" t="inlineStr">
        <is>
          <t>FILIPSTAD</t>
        </is>
      </c>
      <c r="F533" t="inlineStr">
        <is>
          <t>Kyrkan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29444-2023</t>
        </is>
      </c>
      <c r="B534" s="1" t="n">
        <v>45106</v>
      </c>
      <c r="C534" s="1" t="n">
        <v>45350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14.1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29426-2023</t>
        </is>
      </c>
      <c r="B535" s="1" t="n">
        <v>45106</v>
      </c>
      <c r="C535" s="1" t="n">
        <v>45350</v>
      </c>
      <c r="D535" t="inlineStr">
        <is>
          <t>VÄRMLANDS LÄN</t>
        </is>
      </c>
      <c r="E535" t="inlineStr">
        <is>
          <t>FILIPSTAD</t>
        </is>
      </c>
      <c r="F535" t="inlineStr">
        <is>
          <t>Kyrkan</t>
        </is>
      </c>
      <c r="G535" t="n">
        <v>5.9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29668-2023</t>
        </is>
      </c>
      <c r="B536" s="1" t="n">
        <v>45107</v>
      </c>
      <c r="C536" s="1" t="n">
        <v>45350</v>
      </c>
      <c r="D536" t="inlineStr">
        <is>
          <t>VÄRMLANDS LÄN</t>
        </is>
      </c>
      <c r="E536" t="inlineStr">
        <is>
          <t>FILIPSTAD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29825-2023</t>
        </is>
      </c>
      <c r="B537" s="1" t="n">
        <v>45107</v>
      </c>
      <c r="C537" s="1" t="n">
        <v>45350</v>
      </c>
      <c r="D537" t="inlineStr">
        <is>
          <t>VÄRMLANDS LÄN</t>
        </is>
      </c>
      <c r="E537" t="inlineStr">
        <is>
          <t>FILIPSTAD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30037-2023</t>
        </is>
      </c>
      <c r="B538" s="1" t="n">
        <v>45110</v>
      </c>
      <c r="C538" s="1" t="n">
        <v>45350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31020-2023</t>
        </is>
      </c>
      <c r="B539" s="1" t="n">
        <v>45113</v>
      </c>
      <c r="C539" s="1" t="n">
        <v>45350</v>
      </c>
      <c r="D539" t="inlineStr">
        <is>
          <t>VÄRMLANDS LÄN</t>
        </is>
      </c>
      <c r="E539" t="inlineStr">
        <is>
          <t>FILIPSTAD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31107-2023</t>
        </is>
      </c>
      <c r="B540" s="1" t="n">
        <v>45113</v>
      </c>
      <c r="C540" s="1" t="n">
        <v>45350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31350-2023</t>
        </is>
      </c>
      <c r="B541" s="1" t="n">
        <v>45114</v>
      </c>
      <c r="C541" s="1" t="n">
        <v>45350</v>
      </c>
      <c r="D541" t="inlineStr">
        <is>
          <t>VÄRMLANDS LÄN</t>
        </is>
      </c>
      <c r="E541" t="inlineStr">
        <is>
          <t>FILIPSTAD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31358-2023</t>
        </is>
      </c>
      <c r="B542" s="1" t="n">
        <v>45114</v>
      </c>
      <c r="C542" s="1" t="n">
        <v>45350</v>
      </c>
      <c r="D542" t="inlineStr">
        <is>
          <t>VÄRMLANDS LÄN</t>
        </is>
      </c>
      <c r="E542" t="inlineStr">
        <is>
          <t>FILIPSTAD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31306-2023</t>
        </is>
      </c>
      <c r="B543" s="1" t="n">
        <v>45114</v>
      </c>
      <c r="C543" s="1" t="n">
        <v>45350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31451-2023</t>
        </is>
      </c>
      <c r="B544" s="1" t="n">
        <v>45114</v>
      </c>
      <c r="C544" s="1" t="n">
        <v>45350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31300-2023</t>
        </is>
      </c>
      <c r="B545" s="1" t="n">
        <v>45114</v>
      </c>
      <c r="C545" s="1" t="n">
        <v>45350</v>
      </c>
      <c r="D545" t="inlineStr">
        <is>
          <t>VÄRMLANDS LÄN</t>
        </is>
      </c>
      <c r="E545" t="inlineStr">
        <is>
          <t>FILIPSTAD</t>
        </is>
      </c>
      <c r="F545" t="inlineStr">
        <is>
          <t>Bergvik skog väst AB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31342-2023</t>
        </is>
      </c>
      <c r="B546" s="1" t="n">
        <v>45114</v>
      </c>
      <c r="C546" s="1" t="n">
        <v>45350</v>
      </c>
      <c r="D546" t="inlineStr">
        <is>
          <t>VÄRMLANDS LÄN</t>
        </is>
      </c>
      <c r="E546" t="inlineStr">
        <is>
          <t>FILIPSTAD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31299-2023</t>
        </is>
      </c>
      <c r="B547" s="1" t="n">
        <v>45114</v>
      </c>
      <c r="C547" s="1" t="n">
        <v>45350</v>
      </c>
      <c r="D547" t="inlineStr">
        <is>
          <t>VÄRMLANDS LÄN</t>
        </is>
      </c>
      <c r="E547" t="inlineStr">
        <is>
          <t>FILIPSTAD</t>
        </is>
      </c>
      <c r="F547" t="inlineStr">
        <is>
          <t>Bergvik skog väst AB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31351-2023</t>
        </is>
      </c>
      <c r="B548" s="1" t="n">
        <v>45114</v>
      </c>
      <c r="C548" s="1" t="n">
        <v>45350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32262-2023</t>
        </is>
      </c>
      <c r="B549" s="1" t="n">
        <v>45120</v>
      </c>
      <c r="C549" s="1" t="n">
        <v>45350</v>
      </c>
      <c r="D549" t="inlineStr">
        <is>
          <t>VÄRMLANDS LÄN</t>
        </is>
      </c>
      <c r="E549" t="inlineStr">
        <is>
          <t>FILIPSTAD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32376-2023</t>
        </is>
      </c>
      <c r="B550" s="1" t="n">
        <v>45120</v>
      </c>
      <c r="C550" s="1" t="n">
        <v>45350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32804-2023</t>
        </is>
      </c>
      <c r="B551" s="1" t="n">
        <v>45124</v>
      </c>
      <c r="C551" s="1" t="n">
        <v>45350</v>
      </c>
      <c r="D551" t="inlineStr">
        <is>
          <t>VÄRMLANDS LÄN</t>
        </is>
      </c>
      <c r="E551" t="inlineStr">
        <is>
          <t>FILIPSTAD</t>
        </is>
      </c>
      <c r="F551" t="inlineStr">
        <is>
          <t>Bergvik skog väst AB</t>
        </is>
      </c>
      <c r="G551" t="n">
        <v>19.5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33966-2023</t>
        </is>
      </c>
      <c r="B552" s="1" t="n">
        <v>45124</v>
      </c>
      <c r="C552" s="1" t="n">
        <v>45350</v>
      </c>
      <c r="D552" t="inlineStr">
        <is>
          <t>VÄRMLANDS LÄN</t>
        </is>
      </c>
      <c r="E552" t="inlineStr">
        <is>
          <t>FILIPSTAD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33973-2023</t>
        </is>
      </c>
      <c r="B553" s="1" t="n">
        <v>45124</v>
      </c>
      <c r="C553" s="1" t="n">
        <v>45350</v>
      </c>
      <c r="D553" t="inlineStr">
        <is>
          <t>VÄRMLANDS LÄN</t>
        </is>
      </c>
      <c r="E553" t="inlineStr">
        <is>
          <t>FILIPSTAD</t>
        </is>
      </c>
      <c r="G553" t="n">
        <v>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33967-2023</t>
        </is>
      </c>
      <c r="B554" s="1" t="n">
        <v>45124</v>
      </c>
      <c r="C554" s="1" t="n">
        <v>45350</v>
      </c>
      <c r="D554" t="inlineStr">
        <is>
          <t>VÄRMLANDS LÄN</t>
        </is>
      </c>
      <c r="E554" t="inlineStr">
        <is>
          <t>FILIPSTAD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33971-2023</t>
        </is>
      </c>
      <c r="B555" s="1" t="n">
        <v>45124</v>
      </c>
      <c r="C555" s="1" t="n">
        <v>45350</v>
      </c>
      <c r="D555" t="inlineStr">
        <is>
          <t>VÄRMLANDS LÄN</t>
        </is>
      </c>
      <c r="E555" t="inlineStr">
        <is>
          <t>FILIPSTAD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33969-2023</t>
        </is>
      </c>
      <c r="B556" s="1" t="n">
        <v>45124</v>
      </c>
      <c r="C556" s="1" t="n">
        <v>45350</v>
      </c>
      <c r="D556" t="inlineStr">
        <is>
          <t>VÄRMLANDS LÄN</t>
        </is>
      </c>
      <c r="E556" t="inlineStr">
        <is>
          <t>FILIPSTAD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34512-2023</t>
        </is>
      </c>
      <c r="B557" s="1" t="n">
        <v>45133</v>
      </c>
      <c r="C557" s="1" t="n">
        <v>45350</v>
      </c>
      <c r="D557" t="inlineStr">
        <is>
          <t>VÄRMLANDS LÄN</t>
        </is>
      </c>
      <c r="E557" t="inlineStr">
        <is>
          <t>FILIPSTAD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36377-2023</t>
        </is>
      </c>
      <c r="B558" s="1" t="n">
        <v>45152</v>
      </c>
      <c r="C558" s="1" t="n">
        <v>45350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36291-2023</t>
        </is>
      </c>
      <c r="B559" s="1" t="n">
        <v>45152</v>
      </c>
      <c r="C559" s="1" t="n">
        <v>45350</v>
      </c>
      <c r="D559" t="inlineStr">
        <is>
          <t>VÄRMLANDS LÄN</t>
        </is>
      </c>
      <c r="E559" t="inlineStr">
        <is>
          <t>FILIPSTAD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36317-2023</t>
        </is>
      </c>
      <c r="B560" s="1" t="n">
        <v>45152</v>
      </c>
      <c r="C560" s="1" t="n">
        <v>45350</v>
      </c>
      <c r="D560" t="inlineStr">
        <is>
          <t>VÄRMLANDS LÄN</t>
        </is>
      </c>
      <c r="E560" t="inlineStr">
        <is>
          <t>FILIPSTAD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36637-2023</t>
        </is>
      </c>
      <c r="B561" s="1" t="n">
        <v>45153</v>
      </c>
      <c r="C561" s="1" t="n">
        <v>45350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36680-2023</t>
        </is>
      </c>
      <c r="B562" s="1" t="n">
        <v>45153</v>
      </c>
      <c r="C562" s="1" t="n">
        <v>45350</v>
      </c>
      <c r="D562" t="inlineStr">
        <is>
          <t>VÄRMLANDS LÄN</t>
        </is>
      </c>
      <c r="E562" t="inlineStr">
        <is>
          <t>FILIPSTAD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37577-2023</t>
        </is>
      </c>
      <c r="B563" s="1" t="n">
        <v>45159</v>
      </c>
      <c r="C563" s="1" t="n">
        <v>45350</v>
      </c>
      <c r="D563" t="inlineStr">
        <is>
          <t>VÄRMLANDS LÄN</t>
        </is>
      </c>
      <c r="E563" t="inlineStr">
        <is>
          <t>FILIPSTAD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38463-2023</t>
        </is>
      </c>
      <c r="B564" s="1" t="n">
        <v>45162</v>
      </c>
      <c r="C564" s="1" t="n">
        <v>45350</v>
      </c>
      <c r="D564" t="inlineStr">
        <is>
          <t>VÄRMLANDS LÄN</t>
        </is>
      </c>
      <c r="E564" t="inlineStr">
        <is>
          <t>FILIPSTAD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39651-2023</t>
        </is>
      </c>
      <c r="B565" s="1" t="n">
        <v>45167</v>
      </c>
      <c r="C565" s="1" t="n">
        <v>45350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39725-2023</t>
        </is>
      </c>
      <c r="B566" s="1" t="n">
        <v>45167</v>
      </c>
      <c r="C566" s="1" t="n">
        <v>45350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17.6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39633-2023</t>
        </is>
      </c>
      <c r="B567" s="1" t="n">
        <v>45167</v>
      </c>
      <c r="C567" s="1" t="n">
        <v>45350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39631-2023</t>
        </is>
      </c>
      <c r="B568" s="1" t="n">
        <v>45167</v>
      </c>
      <c r="C568" s="1" t="n">
        <v>45350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39803-2023</t>
        </is>
      </c>
      <c r="B569" s="1" t="n">
        <v>45168</v>
      </c>
      <c r="C569" s="1" t="n">
        <v>45350</v>
      </c>
      <c r="D569" t="inlineStr">
        <is>
          <t>VÄRMLANDS LÄN</t>
        </is>
      </c>
      <c r="E569" t="inlineStr">
        <is>
          <t>FILIPSTAD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39566-2023</t>
        </is>
      </c>
      <c r="B570" s="1" t="n">
        <v>45167</v>
      </c>
      <c r="C570" s="1" t="n">
        <v>45350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40239-2023</t>
        </is>
      </c>
      <c r="B571" s="1" t="n">
        <v>45169</v>
      </c>
      <c r="C571" s="1" t="n">
        <v>45350</v>
      </c>
      <c r="D571" t="inlineStr">
        <is>
          <t>VÄRMLANDS LÄN</t>
        </is>
      </c>
      <c r="E571" t="inlineStr">
        <is>
          <t>FILIPSTAD</t>
        </is>
      </c>
      <c r="F571" t="inlineStr">
        <is>
          <t>Bergvik skog väst AB</t>
        </is>
      </c>
      <c r="G571" t="n">
        <v>17.4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40244-2023</t>
        </is>
      </c>
      <c r="B572" s="1" t="n">
        <v>45169</v>
      </c>
      <c r="C572" s="1" t="n">
        <v>45350</v>
      </c>
      <c r="D572" t="inlineStr">
        <is>
          <t>VÄRMLANDS LÄN</t>
        </is>
      </c>
      <c r="E572" t="inlineStr">
        <is>
          <t>FILIPSTAD</t>
        </is>
      </c>
      <c r="F572" t="inlineStr">
        <is>
          <t>Bergvik skog väst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40362-2023</t>
        </is>
      </c>
      <c r="B573" s="1" t="n">
        <v>45169</v>
      </c>
      <c r="C573" s="1" t="n">
        <v>45350</v>
      </c>
      <c r="D573" t="inlineStr">
        <is>
          <t>VÄRMLANDS LÄN</t>
        </is>
      </c>
      <c r="E573" t="inlineStr">
        <is>
          <t>FILIPSTAD</t>
        </is>
      </c>
      <c r="G573" t="n">
        <v>7.1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40246-2023</t>
        </is>
      </c>
      <c r="B574" s="1" t="n">
        <v>45169</v>
      </c>
      <c r="C574" s="1" t="n">
        <v>45350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41075-2023</t>
        </is>
      </c>
      <c r="B575" s="1" t="n">
        <v>45173</v>
      </c>
      <c r="C575" s="1" t="n">
        <v>45350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41304-2023</t>
        </is>
      </c>
      <c r="B576" s="1" t="n">
        <v>45174</v>
      </c>
      <c r="C576" s="1" t="n">
        <v>45350</v>
      </c>
      <c r="D576" t="inlineStr">
        <is>
          <t>VÄRMLANDS LÄN</t>
        </is>
      </c>
      <c r="E576" t="inlineStr">
        <is>
          <t>FILIPSTAD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41983-2023</t>
        </is>
      </c>
      <c r="B577" s="1" t="n">
        <v>45177</v>
      </c>
      <c r="C577" s="1" t="n">
        <v>45350</v>
      </c>
      <c r="D577" t="inlineStr">
        <is>
          <t>VÄRMLANDS LÄN</t>
        </is>
      </c>
      <c r="E577" t="inlineStr">
        <is>
          <t>FILIPSTAD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43239-2023</t>
        </is>
      </c>
      <c r="B578" s="1" t="n">
        <v>45180</v>
      </c>
      <c r="C578" s="1" t="n">
        <v>45350</v>
      </c>
      <c r="D578" t="inlineStr">
        <is>
          <t>VÄRMLANDS LÄN</t>
        </is>
      </c>
      <c r="E578" t="inlineStr">
        <is>
          <t>FILIPSTAD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43233-2023</t>
        </is>
      </c>
      <c r="B579" s="1" t="n">
        <v>45180</v>
      </c>
      <c r="C579" s="1" t="n">
        <v>45350</v>
      </c>
      <c r="D579" t="inlineStr">
        <is>
          <t>VÄRMLANDS LÄN</t>
        </is>
      </c>
      <c r="E579" t="inlineStr">
        <is>
          <t>FILIPSTAD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43209-2023</t>
        </is>
      </c>
      <c r="B580" s="1" t="n">
        <v>45183</v>
      </c>
      <c r="C580" s="1" t="n">
        <v>45350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8.9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43243-2023</t>
        </is>
      </c>
      <c r="B581" s="1" t="n">
        <v>45183</v>
      </c>
      <c r="C581" s="1" t="n">
        <v>45350</v>
      </c>
      <c r="D581" t="inlineStr">
        <is>
          <t>VÄRMLANDS LÄN</t>
        </is>
      </c>
      <c r="E581" t="inlineStr">
        <is>
          <t>FILIPSTAD</t>
        </is>
      </c>
      <c r="F581" t="inlineStr">
        <is>
          <t>Bergvik skog väst AB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43260-2023</t>
        </is>
      </c>
      <c r="B582" s="1" t="n">
        <v>45183</v>
      </c>
      <c r="C582" s="1" t="n">
        <v>45350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43333-2023</t>
        </is>
      </c>
      <c r="B583" s="1" t="n">
        <v>45183</v>
      </c>
      <c r="C583" s="1" t="n">
        <v>45350</v>
      </c>
      <c r="D583" t="inlineStr">
        <is>
          <t>VÄRMLANDS LÄN</t>
        </is>
      </c>
      <c r="E583" t="inlineStr">
        <is>
          <t>FILIPSTAD</t>
        </is>
      </c>
      <c r="F583" t="inlineStr">
        <is>
          <t>Bergvik skog väst AB</t>
        </is>
      </c>
      <c r="G583" t="n">
        <v>19.4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43352-2023</t>
        </is>
      </c>
      <c r="B584" s="1" t="n">
        <v>45183</v>
      </c>
      <c r="C584" s="1" t="n">
        <v>45350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20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43484-2023</t>
        </is>
      </c>
      <c r="B585" s="1" t="n">
        <v>45184</v>
      </c>
      <c r="C585" s="1" t="n">
        <v>45350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43542-2023</t>
        </is>
      </c>
      <c r="B586" s="1" t="n">
        <v>45184</v>
      </c>
      <c r="C586" s="1" t="n">
        <v>45350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5.1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43577-2023</t>
        </is>
      </c>
      <c r="B587" s="1" t="n">
        <v>45184</v>
      </c>
      <c r="C587" s="1" t="n">
        <v>45350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24.7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43571-2023</t>
        </is>
      </c>
      <c r="B588" s="1" t="n">
        <v>45184</v>
      </c>
      <c r="C588" s="1" t="n">
        <v>45350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43635-2023</t>
        </is>
      </c>
      <c r="B589" s="1" t="n">
        <v>45186</v>
      </c>
      <c r="C589" s="1" t="n">
        <v>45350</v>
      </c>
      <c r="D589" t="inlineStr">
        <is>
          <t>VÄRMLANDS LÄN</t>
        </is>
      </c>
      <c r="E589" t="inlineStr">
        <is>
          <t>FILIPSTAD</t>
        </is>
      </c>
      <c r="G589" t="n">
        <v>15.3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43717-2023</t>
        </is>
      </c>
      <c r="B590" s="1" t="n">
        <v>45187</v>
      </c>
      <c r="C590" s="1" t="n">
        <v>45350</v>
      </c>
      <c r="D590" t="inlineStr">
        <is>
          <t>VÄRMLANDS LÄN</t>
        </is>
      </c>
      <c r="E590" t="inlineStr">
        <is>
          <t>FILIPSTAD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44134-2023</t>
        </is>
      </c>
      <c r="B591" s="1" t="n">
        <v>45188</v>
      </c>
      <c r="C591" s="1" t="n">
        <v>45350</v>
      </c>
      <c r="D591" t="inlineStr">
        <is>
          <t>VÄRMLANDS LÄN</t>
        </is>
      </c>
      <c r="E591" t="inlineStr">
        <is>
          <t>FILIPSTAD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44119-2023</t>
        </is>
      </c>
      <c r="B592" s="1" t="n">
        <v>45188</v>
      </c>
      <c r="C592" s="1" t="n">
        <v>45350</v>
      </c>
      <c r="D592" t="inlineStr">
        <is>
          <t>VÄRMLANDS LÄN</t>
        </is>
      </c>
      <c r="E592" t="inlineStr">
        <is>
          <t>FILIPSTAD</t>
        </is>
      </c>
      <c r="G592" t="n">
        <v>19.4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44503-2023</t>
        </is>
      </c>
      <c r="B593" s="1" t="n">
        <v>45189</v>
      </c>
      <c r="C593" s="1" t="n">
        <v>45350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44657-2023</t>
        </is>
      </c>
      <c r="B594" s="1" t="n">
        <v>45189</v>
      </c>
      <c r="C594" s="1" t="n">
        <v>45350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14.3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44509-2023</t>
        </is>
      </c>
      <c r="B595" s="1" t="n">
        <v>45189</v>
      </c>
      <c r="C595" s="1" t="n">
        <v>45350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44792-2023</t>
        </is>
      </c>
      <c r="B596" s="1" t="n">
        <v>45190</v>
      </c>
      <c r="C596" s="1" t="n">
        <v>45350</v>
      </c>
      <c r="D596" t="inlineStr">
        <is>
          <t>VÄRMLANDS LÄN</t>
        </is>
      </c>
      <c r="E596" t="inlineStr">
        <is>
          <t>FILIPSTAD</t>
        </is>
      </c>
      <c r="G596" t="n">
        <v>18.4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44818-2023</t>
        </is>
      </c>
      <c r="B597" s="1" t="n">
        <v>45190</v>
      </c>
      <c r="C597" s="1" t="n">
        <v>45350</v>
      </c>
      <c r="D597" t="inlineStr">
        <is>
          <t>VÄRMLANDS LÄN</t>
        </is>
      </c>
      <c r="E597" t="inlineStr">
        <is>
          <t>FILIPSTAD</t>
        </is>
      </c>
      <c r="F597" t="inlineStr">
        <is>
          <t>Bergvik skog väst AB</t>
        </is>
      </c>
      <c r="G597" t="n">
        <v>18.4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44868-2023</t>
        </is>
      </c>
      <c r="B598" s="1" t="n">
        <v>45190</v>
      </c>
      <c r="C598" s="1" t="n">
        <v>45350</v>
      </c>
      <c r="D598" t="inlineStr">
        <is>
          <t>VÄRMLANDS LÄN</t>
        </is>
      </c>
      <c r="E598" t="inlineStr">
        <is>
          <t>FILIPSTAD</t>
        </is>
      </c>
      <c r="F598" t="inlineStr">
        <is>
          <t>Bergvik skog väst AB</t>
        </is>
      </c>
      <c r="G598" t="n">
        <v>10.1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46978-2023</t>
        </is>
      </c>
      <c r="B599" s="1" t="n">
        <v>45195</v>
      </c>
      <c r="C599" s="1" t="n">
        <v>45350</v>
      </c>
      <c r="D599" t="inlineStr">
        <is>
          <t>VÄRMLANDS LÄN</t>
        </is>
      </c>
      <c r="E599" t="inlineStr">
        <is>
          <t>FILIPSTAD</t>
        </is>
      </c>
      <c r="F599" t="inlineStr">
        <is>
          <t>Bergvik skog väst AB</t>
        </is>
      </c>
      <c r="G599" t="n">
        <v>11.2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48908-2023</t>
        </is>
      </c>
      <c r="B600" s="1" t="n">
        <v>45195</v>
      </c>
      <c r="C600" s="1" t="n">
        <v>45350</v>
      </c>
      <c r="D600" t="inlineStr">
        <is>
          <t>VÄRMLANDS LÄN</t>
        </is>
      </c>
      <c r="E600" t="inlineStr">
        <is>
          <t>FILIPSTAD</t>
        </is>
      </c>
      <c r="F600" t="inlineStr">
        <is>
          <t>Bergvik skog väst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45987-2023</t>
        </is>
      </c>
      <c r="B601" s="1" t="n">
        <v>45196</v>
      </c>
      <c r="C601" s="1" t="n">
        <v>45350</v>
      </c>
      <c r="D601" t="inlineStr">
        <is>
          <t>VÄRMLANDS LÄN</t>
        </is>
      </c>
      <c r="E601" t="inlineStr">
        <is>
          <t>FILIPSTAD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46419-2023</t>
        </is>
      </c>
      <c r="B602" s="1" t="n">
        <v>45197</v>
      </c>
      <c r="C602" s="1" t="n">
        <v>45350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21.8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46403-2023</t>
        </is>
      </c>
      <c r="B603" s="1" t="n">
        <v>45197</v>
      </c>
      <c r="C603" s="1" t="n">
        <v>45350</v>
      </c>
      <c r="D603" t="inlineStr">
        <is>
          <t>VÄRMLANDS LÄN</t>
        </is>
      </c>
      <c r="E603" t="inlineStr">
        <is>
          <t>FILIPSTAD</t>
        </is>
      </c>
      <c r="G603" t="n">
        <v>16.8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46513-2023</t>
        </is>
      </c>
      <c r="B604" s="1" t="n">
        <v>45197</v>
      </c>
      <c r="C604" s="1" t="n">
        <v>45350</v>
      </c>
      <c r="D604" t="inlineStr">
        <is>
          <t>VÄRMLANDS LÄN</t>
        </is>
      </c>
      <c r="E604" t="inlineStr">
        <is>
          <t>FILIPSTAD</t>
        </is>
      </c>
      <c r="F604" t="inlineStr">
        <is>
          <t>Bergvik skog väst AB</t>
        </is>
      </c>
      <c r="G604" t="n">
        <v>3.9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46405-2023</t>
        </is>
      </c>
      <c r="B605" s="1" t="n">
        <v>45197</v>
      </c>
      <c r="C605" s="1" t="n">
        <v>45350</v>
      </c>
      <c r="D605" t="inlineStr">
        <is>
          <t>VÄRMLANDS LÄN</t>
        </is>
      </c>
      <c r="E605" t="inlineStr">
        <is>
          <t>FILIPSTAD</t>
        </is>
      </c>
      <c r="F605" t="inlineStr">
        <is>
          <t>Bergvik skog väst AB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47344-2023</t>
        </is>
      </c>
      <c r="B606" s="1" t="n">
        <v>45202</v>
      </c>
      <c r="C606" s="1" t="n">
        <v>45350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47361-2023</t>
        </is>
      </c>
      <c r="B607" s="1" t="n">
        <v>45202</v>
      </c>
      <c r="C607" s="1" t="n">
        <v>45350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7.6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47381-2023</t>
        </is>
      </c>
      <c r="B608" s="1" t="n">
        <v>45202</v>
      </c>
      <c r="C608" s="1" t="n">
        <v>45350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47403-2023</t>
        </is>
      </c>
      <c r="B609" s="1" t="n">
        <v>45202</v>
      </c>
      <c r="C609" s="1" t="n">
        <v>45350</v>
      </c>
      <c r="D609" t="inlineStr">
        <is>
          <t>VÄRMLANDS LÄN</t>
        </is>
      </c>
      <c r="E609" t="inlineStr">
        <is>
          <t>FILIPSTAD</t>
        </is>
      </c>
      <c r="F609" t="inlineStr">
        <is>
          <t>Bergvik skog väst AB</t>
        </is>
      </c>
      <c r="G609" t="n">
        <v>17.9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47339-2023</t>
        </is>
      </c>
      <c r="B610" s="1" t="n">
        <v>45202</v>
      </c>
      <c r="C610" s="1" t="n">
        <v>45350</v>
      </c>
      <c r="D610" t="inlineStr">
        <is>
          <t>VÄRMLANDS LÄN</t>
        </is>
      </c>
      <c r="E610" t="inlineStr">
        <is>
          <t>FILIPSTAD</t>
        </is>
      </c>
      <c r="F610" t="inlineStr">
        <is>
          <t>Bergvik skog väst AB</t>
        </is>
      </c>
      <c r="G610" t="n">
        <v>15.6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47458-2023</t>
        </is>
      </c>
      <c r="B611" s="1" t="n">
        <v>45202</v>
      </c>
      <c r="C611" s="1" t="n">
        <v>45350</v>
      </c>
      <c r="D611" t="inlineStr">
        <is>
          <t>VÄRMLANDS LÄN</t>
        </is>
      </c>
      <c r="E611" t="inlineStr">
        <is>
          <t>FILIPSTAD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47455-2023</t>
        </is>
      </c>
      <c r="B612" s="1" t="n">
        <v>45202</v>
      </c>
      <c r="C612" s="1" t="n">
        <v>45350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5.1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47573-2023</t>
        </is>
      </c>
      <c r="B613" s="1" t="n">
        <v>45203</v>
      </c>
      <c r="C613" s="1" t="n">
        <v>45350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47585-2023</t>
        </is>
      </c>
      <c r="B614" s="1" t="n">
        <v>45203</v>
      </c>
      <c r="C614" s="1" t="n">
        <v>45350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47536-2023</t>
        </is>
      </c>
      <c r="B615" s="1" t="n">
        <v>45203</v>
      </c>
      <c r="C615" s="1" t="n">
        <v>45350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48040-2023</t>
        </is>
      </c>
      <c r="B616" s="1" t="n">
        <v>45204</v>
      </c>
      <c r="C616" s="1" t="n">
        <v>45350</v>
      </c>
      <c r="D616" t="inlineStr">
        <is>
          <t>VÄRMLANDS LÄN</t>
        </is>
      </c>
      <c r="E616" t="inlineStr">
        <is>
          <t>FILIPSTAD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48524-2023</t>
        </is>
      </c>
      <c r="B617" s="1" t="n">
        <v>45208</v>
      </c>
      <c r="C617" s="1" t="n">
        <v>45350</v>
      </c>
      <c r="D617" t="inlineStr">
        <is>
          <t>VÄRMLANDS LÄN</t>
        </is>
      </c>
      <c r="E617" t="inlineStr">
        <is>
          <t>FILIPSTAD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48963-2023</t>
        </is>
      </c>
      <c r="B618" s="1" t="n">
        <v>45209</v>
      </c>
      <c r="C618" s="1" t="n">
        <v>45350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6.7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49167-2023</t>
        </is>
      </c>
      <c r="B619" s="1" t="n">
        <v>45210</v>
      </c>
      <c r="C619" s="1" t="n">
        <v>45350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27.4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49208-2023</t>
        </is>
      </c>
      <c r="B620" s="1" t="n">
        <v>45210</v>
      </c>
      <c r="C620" s="1" t="n">
        <v>45350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49436-2023</t>
        </is>
      </c>
      <c r="B621" s="1" t="n">
        <v>45211</v>
      </c>
      <c r="C621" s="1" t="n">
        <v>45350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15.7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49818-2023</t>
        </is>
      </c>
      <c r="B622" s="1" t="n">
        <v>45212</v>
      </c>
      <c r="C622" s="1" t="n">
        <v>45350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50243-2023</t>
        </is>
      </c>
      <c r="B623" s="1" t="n">
        <v>45216</v>
      </c>
      <c r="C623" s="1" t="n">
        <v>45350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50904-2023</t>
        </is>
      </c>
      <c r="B624" s="1" t="n">
        <v>45218</v>
      </c>
      <c r="C624" s="1" t="n">
        <v>45350</v>
      </c>
      <c r="D624" t="inlineStr">
        <is>
          <t>VÄRMLANDS LÄN</t>
        </is>
      </c>
      <c r="E624" t="inlineStr">
        <is>
          <t>FILIPSTAD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50995-2023</t>
        </is>
      </c>
      <c r="B625" s="1" t="n">
        <v>45218</v>
      </c>
      <c r="C625" s="1" t="n">
        <v>45350</v>
      </c>
      <c r="D625" t="inlineStr">
        <is>
          <t>VÄRMLANDS LÄN</t>
        </is>
      </c>
      <c r="E625" t="inlineStr">
        <is>
          <t>FILIPSTAD</t>
        </is>
      </c>
      <c r="F625" t="inlineStr">
        <is>
          <t>Bergvik skog väst AB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51014-2023</t>
        </is>
      </c>
      <c r="B626" s="1" t="n">
        <v>45218</v>
      </c>
      <c r="C626" s="1" t="n">
        <v>45350</v>
      </c>
      <c r="D626" t="inlineStr">
        <is>
          <t>VÄRMLANDS LÄN</t>
        </is>
      </c>
      <c r="E626" t="inlineStr">
        <is>
          <t>FILIPSTAD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51654-2023</t>
        </is>
      </c>
      <c r="B627" s="1" t="n">
        <v>45222</v>
      </c>
      <c r="C627" s="1" t="n">
        <v>45350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11.4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53210-2023</t>
        </is>
      </c>
      <c r="B628" s="1" t="n">
        <v>45222</v>
      </c>
      <c r="C628" s="1" t="n">
        <v>45350</v>
      </c>
      <c r="D628" t="inlineStr">
        <is>
          <t>VÄRMLANDS LÄN</t>
        </is>
      </c>
      <c r="E628" t="inlineStr">
        <is>
          <t>FILIPSTAD</t>
        </is>
      </c>
      <c r="G628" t="n">
        <v>4.9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51985-2023</t>
        </is>
      </c>
      <c r="B629" s="1" t="n">
        <v>45223</v>
      </c>
      <c r="C629" s="1" t="n">
        <v>45350</v>
      </c>
      <c r="D629" t="inlineStr">
        <is>
          <t>VÄRMLANDS LÄN</t>
        </is>
      </c>
      <c r="E629" t="inlineStr">
        <is>
          <t>FILIPSTAD</t>
        </is>
      </c>
      <c r="F629" t="inlineStr">
        <is>
          <t>Bergvik skog väst AB</t>
        </is>
      </c>
      <c r="G629" t="n">
        <v>6.7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51945-2023</t>
        </is>
      </c>
      <c r="B630" s="1" t="n">
        <v>45223</v>
      </c>
      <c r="C630" s="1" t="n">
        <v>45350</v>
      </c>
      <c r="D630" t="inlineStr">
        <is>
          <t>VÄRMLANDS LÄN</t>
        </is>
      </c>
      <c r="E630" t="inlineStr">
        <is>
          <t>FILIPSTAD</t>
        </is>
      </c>
      <c r="F630" t="inlineStr">
        <is>
          <t>Bergvik skog väst AB</t>
        </is>
      </c>
      <c r="G630" t="n">
        <v>4.6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52994-2023</t>
        </is>
      </c>
      <c r="B631" s="1" t="n">
        <v>45226</v>
      </c>
      <c r="C631" s="1" t="n">
        <v>45350</v>
      </c>
      <c r="D631" t="inlineStr">
        <is>
          <t>VÄRMLANDS LÄN</t>
        </is>
      </c>
      <c r="E631" t="inlineStr">
        <is>
          <t>FILIPSTAD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52849-2023</t>
        </is>
      </c>
      <c r="B632" s="1" t="n">
        <v>45226</v>
      </c>
      <c r="C632" s="1" t="n">
        <v>45350</v>
      </c>
      <c r="D632" t="inlineStr">
        <is>
          <t>VÄRMLANDS LÄN</t>
        </is>
      </c>
      <c r="E632" t="inlineStr">
        <is>
          <t>FILIPSTAD</t>
        </is>
      </c>
      <c r="F632" t="inlineStr">
        <is>
          <t>Bergvik skog väst AB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53348-2023</t>
        </is>
      </c>
      <c r="B633" s="1" t="n">
        <v>45229</v>
      </c>
      <c r="C633" s="1" t="n">
        <v>45350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53216-2023</t>
        </is>
      </c>
      <c r="B634" s="1" t="n">
        <v>45229</v>
      </c>
      <c r="C634" s="1" t="n">
        <v>45350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10.8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54828-2023</t>
        </is>
      </c>
      <c r="B635" s="1" t="n">
        <v>45229</v>
      </c>
      <c r="C635" s="1" t="n">
        <v>45350</v>
      </c>
      <c r="D635" t="inlineStr">
        <is>
          <t>VÄRMLANDS LÄN</t>
        </is>
      </c>
      <c r="E635" t="inlineStr">
        <is>
          <t>FILIPSTAD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54836-2023</t>
        </is>
      </c>
      <c r="B636" s="1" t="n">
        <v>45229</v>
      </c>
      <c r="C636" s="1" t="n">
        <v>45350</v>
      </c>
      <c r="D636" t="inlineStr">
        <is>
          <t>VÄRMLANDS LÄN</t>
        </is>
      </c>
      <c r="E636" t="inlineStr">
        <is>
          <t>FILIPSTAD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53744-2023</t>
        </is>
      </c>
      <c r="B637" s="1" t="n">
        <v>45230</v>
      </c>
      <c r="C637" s="1" t="n">
        <v>45350</v>
      </c>
      <c r="D637" t="inlineStr">
        <is>
          <t>VÄRMLANDS LÄN</t>
        </is>
      </c>
      <c r="E637" t="inlineStr">
        <is>
          <t>FILIPSTAD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53619-2023</t>
        </is>
      </c>
      <c r="B638" s="1" t="n">
        <v>45230</v>
      </c>
      <c r="C638" s="1" t="n">
        <v>45350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53562-2023</t>
        </is>
      </c>
      <c r="B639" s="1" t="n">
        <v>45230</v>
      </c>
      <c r="C639" s="1" t="n">
        <v>45350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9.9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53872-2023</t>
        </is>
      </c>
      <c r="B640" s="1" t="n">
        <v>45231</v>
      </c>
      <c r="C640" s="1" t="n">
        <v>45350</v>
      </c>
      <c r="D640" t="inlineStr">
        <is>
          <t>VÄRMLANDS LÄN</t>
        </is>
      </c>
      <c r="E640" t="inlineStr">
        <is>
          <t>FILIPSTAD</t>
        </is>
      </c>
      <c r="F640" t="inlineStr">
        <is>
          <t>Bergvik skog väst AB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53853-2023</t>
        </is>
      </c>
      <c r="B641" s="1" t="n">
        <v>45231</v>
      </c>
      <c r="C641" s="1" t="n">
        <v>45350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12.7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54127-2023</t>
        </is>
      </c>
      <c r="B642" s="1" t="n">
        <v>45232</v>
      </c>
      <c r="C642" s="1" t="n">
        <v>45350</v>
      </c>
      <c r="D642" t="inlineStr">
        <is>
          <t>VÄRMLANDS LÄN</t>
        </is>
      </c>
      <c r="E642" t="inlineStr">
        <is>
          <t>FILIPSTAD</t>
        </is>
      </c>
      <c r="G642" t="n">
        <v>15.5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55093-2023</t>
        </is>
      </c>
      <c r="B643" s="1" t="n">
        <v>45237</v>
      </c>
      <c r="C643" s="1" t="n">
        <v>45350</v>
      </c>
      <c r="D643" t="inlineStr">
        <is>
          <t>VÄRMLANDS LÄN</t>
        </is>
      </c>
      <c r="E643" t="inlineStr">
        <is>
          <t>FILIPSTAD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55088-2023</t>
        </is>
      </c>
      <c r="B644" s="1" t="n">
        <v>45237</v>
      </c>
      <c r="C644" s="1" t="n">
        <v>45350</v>
      </c>
      <c r="D644" t="inlineStr">
        <is>
          <t>VÄRMLANDS LÄN</t>
        </is>
      </c>
      <c r="E644" t="inlineStr">
        <is>
          <t>FILIPSTAD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55096-2023</t>
        </is>
      </c>
      <c r="B645" s="1" t="n">
        <v>45237</v>
      </c>
      <c r="C645" s="1" t="n">
        <v>45350</v>
      </c>
      <c r="D645" t="inlineStr">
        <is>
          <t>VÄRMLANDS LÄN</t>
        </is>
      </c>
      <c r="E645" t="inlineStr">
        <is>
          <t>FILIPSTAD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55102-2023</t>
        </is>
      </c>
      <c r="B646" s="1" t="n">
        <v>45237</v>
      </c>
      <c r="C646" s="1" t="n">
        <v>45350</v>
      </c>
      <c r="D646" t="inlineStr">
        <is>
          <t>VÄRMLANDS LÄN</t>
        </is>
      </c>
      <c r="E646" t="inlineStr">
        <is>
          <t>FILIPSTAD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55509-2023</t>
        </is>
      </c>
      <c r="B647" s="1" t="n">
        <v>45238</v>
      </c>
      <c r="C647" s="1" t="n">
        <v>45350</v>
      </c>
      <c r="D647" t="inlineStr">
        <is>
          <t>VÄRMLANDS LÄN</t>
        </is>
      </c>
      <c r="E647" t="inlineStr">
        <is>
          <t>FILIPSTAD</t>
        </is>
      </c>
      <c r="F647" t="inlineStr">
        <is>
          <t>Bergvik skog väst AB</t>
        </is>
      </c>
      <c r="G647" t="n">
        <v>6.3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55537-2023</t>
        </is>
      </c>
      <c r="B648" s="1" t="n">
        <v>45238</v>
      </c>
      <c r="C648" s="1" t="n">
        <v>45350</v>
      </c>
      <c r="D648" t="inlineStr">
        <is>
          <t>VÄRMLANDS LÄN</t>
        </is>
      </c>
      <c r="E648" t="inlineStr">
        <is>
          <t>FILIPSTAD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55751-2023</t>
        </is>
      </c>
      <c r="B649" s="1" t="n">
        <v>45239</v>
      </c>
      <c r="C649" s="1" t="n">
        <v>45350</v>
      </c>
      <c r="D649" t="inlineStr">
        <is>
          <t>VÄRMLANDS LÄN</t>
        </is>
      </c>
      <c r="E649" t="inlineStr">
        <is>
          <t>FILIPSTAD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56151-2023</t>
        </is>
      </c>
      <c r="B650" s="1" t="n">
        <v>45240</v>
      </c>
      <c r="C650" s="1" t="n">
        <v>45350</v>
      </c>
      <c r="D650" t="inlineStr">
        <is>
          <t>VÄRMLANDS LÄN</t>
        </is>
      </c>
      <c r="E650" t="inlineStr">
        <is>
          <t>FILIPSTAD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56070-2023</t>
        </is>
      </c>
      <c r="B651" s="1" t="n">
        <v>45240</v>
      </c>
      <c r="C651" s="1" t="n">
        <v>45350</v>
      </c>
      <c r="D651" t="inlineStr">
        <is>
          <t>VÄRMLANDS LÄN</t>
        </is>
      </c>
      <c r="E651" t="inlineStr">
        <is>
          <t>FILIPSTAD</t>
        </is>
      </c>
      <c r="F651" t="inlineStr">
        <is>
          <t>Bergvik skog väst AB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56559-2023</t>
        </is>
      </c>
      <c r="B652" s="1" t="n">
        <v>45243</v>
      </c>
      <c r="C652" s="1" t="n">
        <v>45350</v>
      </c>
      <c r="D652" t="inlineStr">
        <is>
          <t>VÄRMLANDS LÄN</t>
        </is>
      </c>
      <c r="E652" t="inlineStr">
        <is>
          <t>FILIPSTAD</t>
        </is>
      </c>
      <c r="F652" t="inlineStr">
        <is>
          <t>Bergvik skog väst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56557-2023</t>
        </is>
      </c>
      <c r="B653" s="1" t="n">
        <v>45243</v>
      </c>
      <c r="C653" s="1" t="n">
        <v>45350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19.2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57026-2023</t>
        </is>
      </c>
      <c r="B654" s="1" t="n">
        <v>45244</v>
      </c>
      <c r="C654" s="1" t="n">
        <v>45350</v>
      </c>
      <c r="D654" t="inlineStr">
        <is>
          <t>VÄRMLANDS LÄN</t>
        </is>
      </c>
      <c r="E654" t="inlineStr">
        <is>
          <t>FILIPSTAD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57027-2023</t>
        </is>
      </c>
      <c r="B655" s="1" t="n">
        <v>45244</v>
      </c>
      <c r="C655" s="1" t="n">
        <v>45350</v>
      </c>
      <c r="D655" t="inlineStr">
        <is>
          <t>VÄRMLANDS LÄN</t>
        </is>
      </c>
      <c r="E655" t="inlineStr">
        <is>
          <t>FILIPSTAD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57244-2023</t>
        </is>
      </c>
      <c r="B656" s="1" t="n">
        <v>45245</v>
      </c>
      <c r="C656" s="1" t="n">
        <v>45350</v>
      </c>
      <c r="D656" t="inlineStr">
        <is>
          <t>VÄRMLANDS LÄN</t>
        </is>
      </c>
      <c r="E656" t="inlineStr">
        <is>
          <t>FILIPSTAD</t>
        </is>
      </c>
      <c r="F656" t="inlineStr">
        <is>
          <t>Bergvik skog väst AB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57218-2023</t>
        </is>
      </c>
      <c r="B657" s="1" t="n">
        <v>45245</v>
      </c>
      <c r="C657" s="1" t="n">
        <v>45350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57189-2023</t>
        </is>
      </c>
      <c r="B658" s="1" t="n">
        <v>45245</v>
      </c>
      <c r="C658" s="1" t="n">
        <v>45350</v>
      </c>
      <c r="D658" t="inlineStr">
        <is>
          <t>VÄRMLANDS LÄN</t>
        </is>
      </c>
      <c r="E658" t="inlineStr">
        <is>
          <t>FILIPSTAD</t>
        </is>
      </c>
      <c r="F658" t="inlineStr">
        <is>
          <t>Bergvik skog väst AB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57212-2023</t>
        </is>
      </c>
      <c r="B659" s="1" t="n">
        <v>45245</v>
      </c>
      <c r="C659" s="1" t="n">
        <v>45350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57247-2023</t>
        </is>
      </c>
      <c r="B660" s="1" t="n">
        <v>45245</v>
      </c>
      <c r="C660" s="1" t="n">
        <v>45350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57506-2023</t>
        </is>
      </c>
      <c r="B661" s="1" t="n">
        <v>45246</v>
      </c>
      <c r="C661" s="1" t="n">
        <v>45350</v>
      </c>
      <c r="D661" t="inlineStr">
        <is>
          <t>VÄRMLANDS LÄN</t>
        </is>
      </c>
      <c r="E661" t="inlineStr">
        <is>
          <t>FILIPSTAD</t>
        </is>
      </c>
      <c r="F661" t="inlineStr">
        <is>
          <t>Bergvik skog väst AB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57517-2023</t>
        </is>
      </c>
      <c r="B662" s="1" t="n">
        <v>45246</v>
      </c>
      <c r="C662" s="1" t="n">
        <v>45350</v>
      </c>
      <c r="D662" t="inlineStr">
        <is>
          <t>VÄRMLANDS LÄN</t>
        </is>
      </c>
      <c r="E662" t="inlineStr">
        <is>
          <t>FILIPSTAD</t>
        </is>
      </c>
      <c r="F662" t="inlineStr">
        <is>
          <t>Bergvik skog väst AB</t>
        </is>
      </c>
      <c r="G662" t="n">
        <v>9.1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57522-2023</t>
        </is>
      </c>
      <c r="B663" s="1" t="n">
        <v>45246</v>
      </c>
      <c r="C663" s="1" t="n">
        <v>45350</v>
      </c>
      <c r="D663" t="inlineStr">
        <is>
          <t>VÄRMLANDS LÄN</t>
        </is>
      </c>
      <c r="E663" t="inlineStr">
        <is>
          <t>FILIPSTAD</t>
        </is>
      </c>
      <c r="F663" t="inlineStr">
        <is>
          <t>Bergvik skog väst AB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57643-2023</t>
        </is>
      </c>
      <c r="B664" s="1" t="n">
        <v>45246</v>
      </c>
      <c r="C664" s="1" t="n">
        <v>45350</v>
      </c>
      <c r="D664" t="inlineStr">
        <is>
          <t>VÄRMLANDS LÄN</t>
        </is>
      </c>
      <c r="E664" t="inlineStr">
        <is>
          <t>FILIPSTAD</t>
        </is>
      </c>
      <c r="F664" t="inlineStr">
        <is>
          <t>Bergvik skog väst AB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57535-2023</t>
        </is>
      </c>
      <c r="B665" s="1" t="n">
        <v>45246</v>
      </c>
      <c r="C665" s="1" t="n">
        <v>45350</v>
      </c>
      <c r="D665" t="inlineStr">
        <is>
          <t>VÄRMLANDS LÄN</t>
        </is>
      </c>
      <c r="E665" t="inlineStr">
        <is>
          <t>FILIPSTAD</t>
        </is>
      </c>
      <c r="F665" t="inlineStr">
        <is>
          <t>Bergvik skog väst AB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57595-2023</t>
        </is>
      </c>
      <c r="B666" s="1" t="n">
        <v>45246</v>
      </c>
      <c r="C666" s="1" t="n">
        <v>45350</v>
      </c>
      <c r="D666" t="inlineStr">
        <is>
          <t>VÄRMLANDS LÄN</t>
        </is>
      </c>
      <c r="E666" t="inlineStr">
        <is>
          <t>FILIPSTAD</t>
        </is>
      </c>
      <c r="F666" t="inlineStr">
        <is>
          <t>Bergvik skog väst AB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57601-2023</t>
        </is>
      </c>
      <c r="B667" s="1" t="n">
        <v>45246</v>
      </c>
      <c r="C667" s="1" t="n">
        <v>45350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57528-2023</t>
        </is>
      </c>
      <c r="B668" s="1" t="n">
        <v>45246</v>
      </c>
      <c r="C668" s="1" t="n">
        <v>45350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57588-2023</t>
        </is>
      </c>
      <c r="B669" s="1" t="n">
        <v>45246</v>
      </c>
      <c r="C669" s="1" t="n">
        <v>45350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57610-2023</t>
        </is>
      </c>
      <c r="B670" s="1" t="n">
        <v>45246</v>
      </c>
      <c r="C670" s="1" t="n">
        <v>45350</v>
      </c>
      <c r="D670" t="inlineStr">
        <is>
          <t>VÄRMLANDS LÄN</t>
        </is>
      </c>
      <c r="E670" t="inlineStr">
        <is>
          <t>FILIPSTAD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57576-2023</t>
        </is>
      </c>
      <c r="B671" s="1" t="n">
        <v>45246</v>
      </c>
      <c r="C671" s="1" t="n">
        <v>45350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11.3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57591-2023</t>
        </is>
      </c>
      <c r="B672" s="1" t="n">
        <v>45246</v>
      </c>
      <c r="C672" s="1" t="n">
        <v>45350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9.199999999999999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57634-2023</t>
        </is>
      </c>
      <c r="B673" s="1" t="n">
        <v>45246</v>
      </c>
      <c r="C673" s="1" t="n">
        <v>45350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58147-2023</t>
        </is>
      </c>
      <c r="B674" s="1" t="n">
        <v>45250</v>
      </c>
      <c r="C674" s="1" t="n">
        <v>45350</v>
      </c>
      <c r="D674" t="inlineStr">
        <is>
          <t>VÄRMLANDS LÄN</t>
        </is>
      </c>
      <c r="E674" t="inlineStr">
        <is>
          <t>FILIPSTAD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58183-2023</t>
        </is>
      </c>
      <c r="B675" s="1" t="n">
        <v>45250</v>
      </c>
      <c r="C675" s="1" t="n">
        <v>45350</v>
      </c>
      <c r="D675" t="inlineStr">
        <is>
          <t>VÄRMLANDS LÄN</t>
        </is>
      </c>
      <c r="E675" t="inlineStr">
        <is>
          <t>FILIPSTAD</t>
        </is>
      </c>
      <c r="F675" t="inlineStr">
        <is>
          <t>Kyrkan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58150-2023</t>
        </is>
      </c>
      <c r="B676" s="1" t="n">
        <v>45250</v>
      </c>
      <c r="C676" s="1" t="n">
        <v>45350</v>
      </c>
      <c r="D676" t="inlineStr">
        <is>
          <t>VÄRMLANDS LÄN</t>
        </is>
      </c>
      <c r="E676" t="inlineStr">
        <is>
          <t>FILIPSTAD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59296-2023</t>
        </is>
      </c>
      <c r="B677" s="1" t="n">
        <v>45253</v>
      </c>
      <c r="C677" s="1" t="n">
        <v>45350</v>
      </c>
      <c r="D677" t="inlineStr">
        <is>
          <t>VÄRMLANDS LÄN</t>
        </is>
      </c>
      <c r="E677" t="inlineStr">
        <is>
          <t>FILIPSTAD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59347-2023</t>
        </is>
      </c>
      <c r="B678" s="1" t="n">
        <v>45253</v>
      </c>
      <c r="C678" s="1" t="n">
        <v>45350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59336-2023</t>
        </is>
      </c>
      <c r="B679" s="1" t="n">
        <v>45253</v>
      </c>
      <c r="C679" s="1" t="n">
        <v>45350</v>
      </c>
      <c r="D679" t="inlineStr">
        <is>
          <t>VÄRMLANDS LÄN</t>
        </is>
      </c>
      <c r="E679" t="inlineStr">
        <is>
          <t>FILIPSTAD</t>
        </is>
      </c>
      <c r="F679" t="inlineStr">
        <is>
          <t>Bergvik skog väst AB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60296-2023</t>
        </is>
      </c>
      <c r="B680" s="1" t="n">
        <v>45257</v>
      </c>
      <c r="C680" s="1" t="n">
        <v>45350</v>
      </c>
      <c r="D680" t="inlineStr">
        <is>
          <t>VÄRMLANDS LÄN</t>
        </is>
      </c>
      <c r="E680" t="inlineStr">
        <is>
          <t>FILIPSTAD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60240-2023</t>
        </is>
      </c>
      <c r="B681" s="1" t="n">
        <v>45258</v>
      </c>
      <c r="C681" s="1" t="n">
        <v>45350</v>
      </c>
      <c r="D681" t="inlineStr">
        <is>
          <t>VÄRMLANDS LÄN</t>
        </is>
      </c>
      <c r="E681" t="inlineStr">
        <is>
          <t>FILIPSTAD</t>
        </is>
      </c>
      <c r="F681" t="inlineStr">
        <is>
          <t>Bergvik skog väst AB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60350-2023</t>
        </is>
      </c>
      <c r="B682" s="1" t="n">
        <v>45258</v>
      </c>
      <c r="C682" s="1" t="n">
        <v>45350</v>
      </c>
      <c r="D682" t="inlineStr">
        <is>
          <t>VÄRMLANDS LÄN</t>
        </is>
      </c>
      <c r="E682" t="inlineStr">
        <is>
          <t>FILIPSTAD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60968-2023</t>
        </is>
      </c>
      <c r="B683" s="1" t="n">
        <v>45261</v>
      </c>
      <c r="C683" s="1" t="n">
        <v>45350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61383-2023</t>
        </is>
      </c>
      <c r="B684" s="1" t="n">
        <v>45264</v>
      </c>
      <c r="C684" s="1" t="n">
        <v>45350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8.1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61906-2023</t>
        </is>
      </c>
      <c r="B685" s="1" t="n">
        <v>45264</v>
      </c>
      <c r="C685" s="1" t="n">
        <v>45350</v>
      </c>
      <c r="D685" t="inlineStr">
        <is>
          <t>VÄRMLANDS LÄN</t>
        </is>
      </c>
      <c r="E685" t="inlineStr">
        <is>
          <t>FILIPSTAD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61939-2023</t>
        </is>
      </c>
      <c r="B686" s="1" t="n">
        <v>45266</v>
      </c>
      <c r="C686" s="1" t="n">
        <v>45350</v>
      </c>
      <c r="D686" t="inlineStr">
        <is>
          <t>VÄRMLANDS LÄN</t>
        </is>
      </c>
      <c r="E686" t="inlineStr">
        <is>
          <t>FILIPSTAD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62197-2023</t>
        </is>
      </c>
      <c r="B687" s="1" t="n">
        <v>45267</v>
      </c>
      <c r="C687" s="1" t="n">
        <v>45350</v>
      </c>
      <c r="D687" t="inlineStr">
        <is>
          <t>VÄRMLANDS LÄN</t>
        </is>
      </c>
      <c r="E687" t="inlineStr">
        <is>
          <t>FILIPSTAD</t>
        </is>
      </c>
      <c r="F687" t="inlineStr">
        <is>
          <t>Bergvik skog väst AB</t>
        </is>
      </c>
      <c r="G687" t="n">
        <v>9.9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62218-2023</t>
        </is>
      </c>
      <c r="B688" s="1" t="n">
        <v>45267</v>
      </c>
      <c r="C688" s="1" t="n">
        <v>45350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62335-2023</t>
        </is>
      </c>
      <c r="B689" s="1" t="n">
        <v>45267</v>
      </c>
      <c r="C689" s="1" t="n">
        <v>45350</v>
      </c>
      <c r="D689" t="inlineStr">
        <is>
          <t>VÄRMLANDS LÄN</t>
        </is>
      </c>
      <c r="E689" t="inlineStr">
        <is>
          <t>FILIPSTAD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62540-2023</t>
        </is>
      </c>
      <c r="B690" s="1" t="n">
        <v>45267</v>
      </c>
      <c r="C690" s="1" t="n">
        <v>45350</v>
      </c>
      <c r="D690" t="inlineStr">
        <is>
          <t>VÄRMLANDS LÄN</t>
        </is>
      </c>
      <c r="E690" t="inlineStr">
        <is>
          <t>FILIPSTAD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62366-2023</t>
        </is>
      </c>
      <c r="B691" s="1" t="n">
        <v>45267</v>
      </c>
      <c r="C691" s="1" t="n">
        <v>45350</v>
      </c>
      <c r="D691" t="inlineStr">
        <is>
          <t>VÄRMLANDS LÄN</t>
        </is>
      </c>
      <c r="E691" t="inlineStr">
        <is>
          <t>FILIPSTAD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62787-2023</t>
        </is>
      </c>
      <c r="B692" s="1" t="n">
        <v>45271</v>
      </c>
      <c r="C692" s="1" t="n">
        <v>45350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63416-2023</t>
        </is>
      </c>
      <c r="B693" s="1" t="n">
        <v>45274</v>
      </c>
      <c r="C693" s="1" t="n">
        <v>45350</v>
      </c>
      <c r="D693" t="inlineStr">
        <is>
          <t>VÄRMLANDS LÄN</t>
        </is>
      </c>
      <c r="E693" t="inlineStr">
        <is>
          <t>FILIPSTAD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63421-2023</t>
        </is>
      </c>
      <c r="B694" s="1" t="n">
        <v>45274</v>
      </c>
      <c r="C694" s="1" t="n">
        <v>45350</v>
      </c>
      <c r="D694" t="inlineStr">
        <is>
          <t>VÄRMLANDS LÄN</t>
        </is>
      </c>
      <c r="E694" t="inlineStr">
        <is>
          <t>FILIPSTAD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63411-2023</t>
        </is>
      </c>
      <c r="B695" s="1" t="n">
        <v>45274</v>
      </c>
      <c r="C695" s="1" t="n">
        <v>45350</v>
      </c>
      <c r="D695" t="inlineStr">
        <is>
          <t>VÄRMLANDS LÄN</t>
        </is>
      </c>
      <c r="E695" t="inlineStr">
        <is>
          <t>FILIPSTAD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63621-2023</t>
        </is>
      </c>
      <c r="B696" s="1" t="n">
        <v>45275</v>
      </c>
      <c r="C696" s="1" t="n">
        <v>45350</v>
      </c>
      <c r="D696" t="inlineStr">
        <is>
          <t>VÄRMLANDS LÄN</t>
        </is>
      </c>
      <c r="E696" t="inlineStr">
        <is>
          <t>FILIPSTAD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63617-2023</t>
        </is>
      </c>
      <c r="B697" s="1" t="n">
        <v>45275</v>
      </c>
      <c r="C697" s="1" t="n">
        <v>45350</v>
      </c>
      <c r="D697" t="inlineStr">
        <is>
          <t>VÄRMLANDS LÄN</t>
        </is>
      </c>
      <c r="E697" t="inlineStr">
        <is>
          <t>FILIPSTAD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63622-2023</t>
        </is>
      </c>
      <c r="B698" s="1" t="n">
        <v>45275</v>
      </c>
      <c r="C698" s="1" t="n">
        <v>45350</v>
      </c>
      <c r="D698" t="inlineStr">
        <is>
          <t>VÄRMLANDS LÄN</t>
        </is>
      </c>
      <c r="E698" t="inlineStr">
        <is>
          <t>FILIPSTAD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491-2024</t>
        </is>
      </c>
      <c r="B699" s="1" t="n">
        <v>45299</v>
      </c>
      <c r="C699" s="1" t="n">
        <v>45350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1320-2024</t>
        </is>
      </c>
      <c r="B700" s="1" t="n">
        <v>45303</v>
      </c>
      <c r="C700" s="1" t="n">
        <v>45350</v>
      </c>
      <c r="D700" t="inlineStr">
        <is>
          <t>VÄRMLANDS LÄN</t>
        </is>
      </c>
      <c r="E700" t="inlineStr">
        <is>
          <t>FILIPSTAD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2361-2024</t>
        </is>
      </c>
      <c r="B701" s="1" t="n">
        <v>45310</v>
      </c>
      <c r="C701" s="1" t="n">
        <v>45350</v>
      </c>
      <c r="D701" t="inlineStr">
        <is>
          <t>VÄRMLANDS LÄN</t>
        </is>
      </c>
      <c r="E701" t="inlineStr">
        <is>
          <t>FILIPSTAD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3659-2024</t>
        </is>
      </c>
      <c r="B702" s="1" t="n">
        <v>45321</v>
      </c>
      <c r="C702" s="1" t="n">
        <v>45350</v>
      </c>
      <c r="D702" t="inlineStr">
        <is>
          <t>VÄRMLANDS LÄN</t>
        </is>
      </c>
      <c r="E702" t="inlineStr">
        <is>
          <t>FILIPSTAD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3786-2024</t>
        </is>
      </c>
      <c r="B703" s="1" t="n">
        <v>45321</v>
      </c>
      <c r="C703" s="1" t="n">
        <v>45350</v>
      </c>
      <c r="D703" t="inlineStr">
        <is>
          <t>VÄRMLANDS LÄN</t>
        </is>
      </c>
      <c r="E703" t="inlineStr">
        <is>
          <t>FILIPSTAD</t>
        </is>
      </c>
      <c r="F703" t="inlineStr">
        <is>
          <t>Bergvik skog väst AB</t>
        </is>
      </c>
      <c r="G703" t="n">
        <v>13.4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3979-2024</t>
        </is>
      </c>
      <c r="B704" s="1" t="n">
        <v>45322</v>
      </c>
      <c r="C704" s="1" t="n">
        <v>45350</v>
      </c>
      <c r="D704" t="inlineStr">
        <is>
          <t>VÄRMLANDS LÄN</t>
        </is>
      </c>
      <c r="E704" t="inlineStr">
        <is>
          <t>FILIPSTAD</t>
        </is>
      </c>
      <c r="G704" t="n">
        <v>8.199999999999999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4418-2024</t>
        </is>
      </c>
      <c r="B705" s="1" t="n">
        <v>45327</v>
      </c>
      <c r="C705" s="1" t="n">
        <v>45350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9.300000000000001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4620-2024</t>
        </is>
      </c>
      <c r="B706" s="1" t="n">
        <v>45328</v>
      </c>
      <c r="C706" s="1" t="n">
        <v>45350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6860-2024</t>
        </is>
      </c>
      <c r="B707" s="1" t="n">
        <v>45342</v>
      </c>
      <c r="C707" s="1" t="n">
        <v>45350</v>
      </c>
      <c r="D707" t="inlineStr">
        <is>
          <t>VÄRMLANDS LÄN</t>
        </is>
      </c>
      <c r="E707" t="inlineStr">
        <is>
          <t>FILIPSTAD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7071-2024</t>
        </is>
      </c>
      <c r="B708" s="1" t="n">
        <v>45343</v>
      </c>
      <c r="C708" s="1" t="n">
        <v>45350</v>
      </c>
      <c r="D708" t="inlineStr">
        <is>
          <t>VÄRMLANDS LÄN</t>
        </is>
      </c>
      <c r="E708" t="inlineStr">
        <is>
          <t>FILIPSTAD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>
      <c r="A709" t="inlineStr">
        <is>
          <t>A 7223-2024</t>
        </is>
      </c>
      <c r="B709" s="1" t="n">
        <v>45344</v>
      </c>
      <c r="C709" s="1" t="n">
        <v>45350</v>
      </c>
      <c r="D709" t="inlineStr">
        <is>
          <t>VÄRMLANDS LÄN</t>
        </is>
      </c>
      <c r="E709" t="inlineStr">
        <is>
          <t>FILIPSTAD</t>
        </is>
      </c>
      <c r="G709" t="n">
        <v>5.6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2024-02-28T12:30:18Z</dcterms:created>
  <dcterms:modified xmlns:dcterms="http://purl.org/dc/terms/" xmlns:xsi="http://www.w3.org/2001/XMLSchema-instance" xsi:type="dcterms:W3CDTF">2024-02-28T12:30:18Z</dcterms:modified>
</cp:coreProperties>
</file>