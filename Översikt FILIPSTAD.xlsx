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46218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3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20</v>
      </c>
      <c r="T2" t="n">
        <v>101</v>
      </c>
      <c r="U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</t>
        </is>
      </c>
      <c r="V2">
        <f>HYPERLINK("https://klasma.github.io/Logging_1782/artfynd/S 862-2020 artfynd.xlsx", "S 862-2020")</f>
        <v/>
      </c>
      <c r="W2">
        <f>HYPERLINK("https://klasma.github.io/Logging_1782/kartor/S 862-2020 karta.png", "S 862-2020")</f>
        <v/>
      </c>
      <c r="X2">
        <f>HYPERLINK("https://klasma.github.io/Logging_1782/knärot/S 862-2020 karta knärot.png", "S 862-2020")</f>
        <v/>
      </c>
      <c r="Y2">
        <f>HYPERLINK("https://klasma.github.io/Logging_1782/klagomål/S 862-2020 FSC-klagomål.docx", "S 862-2020")</f>
        <v/>
      </c>
      <c r="Z2">
        <f>HYPERLINK("https://klasma.github.io/Logging_1782/klagomålsmail/S 862-2020 FSC-klagomål mail.docx", "S 862-2020")</f>
        <v/>
      </c>
      <c r="AA2">
        <f>HYPERLINK("https://klasma.github.io/Logging_1782/tillsyn/S 862-2020 tillsynsbegäran.docx", "S 862-2020")</f>
        <v/>
      </c>
      <c r="AB2">
        <f>HYPERLINK("https://klasma.github.io/Logging_1782/tillsynsmail/S 862-2020 tillsynsbegäran mail.docx", "S 862-2020")</f>
        <v/>
      </c>
      <c r="AC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46218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s="2" t="inlineStr">
        <is>
          <t>Gränsticka
Knärot
Dropptaggsvamp
Tallticka
Ullticka
Vedtrappmossa
Grön sköldmossa
Rostfläck
Vedticka
Spillkråka
Tjäder</t>
        </is>
      </c>
      <c r="V3">
        <f>HYPERLINK("https://klasma.github.io/Logging_1782/artfynd/A 39323-2024 artfynd.xlsx", "A 39323-2024")</f>
        <v/>
      </c>
      <c r="W3">
        <f>HYPERLINK("https://klasma.github.io/Logging_1782/kartor/A 39323-2024 karta.png", "A 39323-2024")</f>
        <v/>
      </c>
      <c r="X3">
        <f>HYPERLINK("https://klasma.github.io/Logging_1782/knärot/A 39323-2024 karta knärot.png", "A 39323-2024")</f>
        <v/>
      </c>
      <c r="Y3">
        <f>HYPERLINK("https://klasma.github.io/Logging_1782/klagomål/A 39323-2024 FSC-klagomål.docx", "A 39323-2024")</f>
        <v/>
      </c>
      <c r="Z3">
        <f>HYPERLINK("https://klasma.github.io/Logging_1782/klagomålsmail/A 39323-2024 FSC-klagomål mail.docx", "A 39323-2024")</f>
        <v/>
      </c>
      <c r="AA3">
        <f>HYPERLINK("https://klasma.github.io/Logging_1782/tillsyn/A 39323-2024 tillsynsbegäran.docx", "A 39323-2024")</f>
        <v/>
      </c>
      <c r="AB3">
        <f>HYPERLINK("https://klasma.github.io/Logging_1782/tillsynsmail/A 39323-2024 tillsynsbegäran mail.docx", "A 39323-2024")</f>
        <v/>
      </c>
      <c r="AC3">
        <f>HYPERLINK("https://klasma.github.io/Logging_1782/fåglar/A 39323-2024 prioriterade fågelarter.docx", "A 39323-2024")</f>
        <v/>
      </c>
    </row>
    <row r="4" ht="15" customHeight="1">
      <c r="A4" t="inlineStr">
        <is>
          <t>A 47888-2021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44448</v>
      </c>
      <c r="E4" s="1" t="n">
        <v>46218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9</v>
      </c>
      <c r="J4" t="n">
        <v>3</v>
      </c>
      <c r="K4" t="n">
        <v>6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7</v>
      </c>
      <c r="U4" s="2" t="inlineStr">
        <is>
          <t>Vårärt
Grönkulla
Skogsknipprot
Svart trolldruva
Tibast
Tvåblad
Underviol</t>
        </is>
      </c>
      <c r="V4">
        <f>HYPERLINK("https://klasma.github.io/Logging_1782/artfynd/A 47888-2021 artfynd.xlsx", "A 47888-2021")</f>
        <v/>
      </c>
      <c r="W4">
        <f>HYPERLINK("https://klasma.github.io/Logging_1782/kartor/A 47888-2021 karta.png", "A 47888-2021")</f>
        <v/>
      </c>
      <c r="Y4">
        <f>HYPERLINK("https://klasma.github.io/Logging_1782/klagomål/A 47888-2021 FSC-klagomål.docx", "A 47888-2021")</f>
        <v/>
      </c>
      <c r="Z4">
        <f>HYPERLINK("https://klasma.github.io/Logging_1782/klagomålsmail/A 47888-2021 FSC-klagomål mail.docx", "A 47888-2021")</f>
        <v/>
      </c>
      <c r="AA4">
        <f>HYPERLINK("https://klasma.github.io/Logging_1782/tillsyn/A 47888-2021 tillsynsbegäran.docx", "A 47888-2021")</f>
        <v/>
      </c>
      <c r="AB4">
        <f>HYPERLINK("https://klasma.github.io/Logging_1782/tillsynsmail/A 47888-2021 tillsynsbegäran mail.docx", "A 47888-2021")</f>
        <v/>
      </c>
    </row>
    <row r="5" ht="15" customHeight="1">
      <c r="A5" t="inlineStr">
        <is>
          <t>A 58718-2021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44489</v>
      </c>
      <c r="E5" s="1" t="n">
        <v>46218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12.2</v>
      </c>
      <c r="J5" t="n">
        <v>0</v>
      </c>
      <c r="K5" t="n">
        <v>2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12</v>
      </c>
      <c r="U5" s="2" t="inlineStr">
        <is>
          <t>Garnlav
Dropptaggsvamp
Skuggblåslav
Ullticka
Vedtrappmossa
Bollvitmossa
Bronshjon</t>
        </is>
      </c>
      <c r="V5">
        <f>HYPERLINK("https://klasma.github.io/Logging_1782/artfynd/A 58718-2021 artfynd.xlsx", "A 58718-2021")</f>
        <v/>
      </c>
      <c r="W5">
        <f>HYPERLINK("https://klasma.github.io/Logging_1782/kartor/A 58718-2021 karta.png", "A 58718-2021")</f>
        <v/>
      </c>
      <c r="Y5">
        <f>HYPERLINK("https://klasma.github.io/Logging_1782/klagomål/A 58718-2021 FSC-klagomål.docx", "A 58718-2021")</f>
        <v/>
      </c>
      <c r="Z5">
        <f>HYPERLINK("https://klasma.github.io/Logging_1782/klagomålsmail/A 58718-2021 FSC-klagomål mail.docx", "A 58718-2021")</f>
        <v/>
      </c>
      <c r="AA5">
        <f>HYPERLINK("https://klasma.github.io/Logging_1782/tillsyn/A 58718-2021 tillsynsbegäran.docx", "A 58718-2021")</f>
        <v/>
      </c>
      <c r="AB5">
        <f>HYPERLINK("https://klasma.github.io/Logging_1782/tillsynsmail/A 58718-2021 tillsynsbegäran mail.docx", "A 58718-2021")</f>
        <v/>
      </c>
    </row>
    <row r="6" ht="15" customHeight="1">
      <c r="A6" t="inlineStr">
        <is>
          <t>A 45602-2025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45922</v>
      </c>
      <c r="E6" s="1" t="n">
        <v>46218</v>
      </c>
      <c r="F6" t="inlineStr">
        <is>
          <t>VÄRMLANDS LÄN</t>
        </is>
      </c>
      <c r="G6" t="inlineStr">
        <is>
          <t>FILIPSTAD</t>
        </is>
      </c>
      <c r="I6" t="n">
        <v>6.2</v>
      </c>
      <c r="J6" t="n">
        <v>0</v>
      </c>
      <c r="K6" t="n">
        <v>3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9</v>
      </c>
      <c r="U6" s="2" t="inlineStr">
        <is>
          <t>Veckticka
Vårärt
Blåsfliksmossa
Mörk husmossa
Tibast</t>
        </is>
      </c>
      <c r="V6">
        <f>HYPERLINK("https://klasma.github.io/Logging_1782/artfynd/A 45602-2025 artfynd.xlsx", "A 45602-2025")</f>
        <v/>
      </c>
      <c r="W6">
        <f>HYPERLINK("https://klasma.github.io/Logging_1782/kartor/A 45602-2025 karta.png", "A 45602-2025")</f>
        <v/>
      </c>
      <c r="Y6">
        <f>HYPERLINK("https://klasma.github.io/Logging_1782/klagomål/A 45602-2025 FSC-klagomål.docx", "A 45602-2025")</f>
        <v/>
      </c>
      <c r="Z6">
        <f>HYPERLINK("https://klasma.github.io/Logging_1782/klagomålsmail/A 45602-2025 FSC-klagomål mail.docx", "A 45602-2025")</f>
        <v/>
      </c>
      <c r="AA6">
        <f>HYPERLINK("https://klasma.github.io/Logging_1782/tillsyn/A 45602-2025 tillsynsbegäran.docx", "A 45602-2025")</f>
        <v/>
      </c>
      <c r="AB6">
        <f>HYPERLINK("https://klasma.github.io/Logging_1782/tillsynsmail/A 45602-2025 tillsynsbegäran mail.docx", "A 45602-2025")</f>
        <v/>
      </c>
    </row>
    <row r="7" ht="15" customHeight="1">
      <c r="A7" t="inlineStr">
        <is>
          <t>A 57471-2025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45980</v>
      </c>
      <c r="E7" s="1" t="n">
        <v>46218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14.4</v>
      </c>
      <c r="J7" t="n">
        <v>1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36</v>
      </c>
      <c r="U7" s="2" t="inlineStr">
        <is>
          <t>Garnlav
Kattfotslav
Bollvitmossa
Vågbandad barkbock
Fläcknycklar</t>
        </is>
      </c>
      <c r="V7">
        <f>HYPERLINK("https://klasma.github.io/Logging_1782/artfynd/A 57471-2025 artfynd.xlsx", "A 57471-2025")</f>
        <v/>
      </c>
      <c r="W7">
        <f>HYPERLINK("https://klasma.github.io/Logging_1782/kartor/A 57471-2025 karta.png", "A 57471-2025")</f>
        <v/>
      </c>
      <c r="Y7">
        <f>HYPERLINK("https://klasma.github.io/Logging_1782/klagomål/A 57471-2025 FSC-klagomål.docx", "A 57471-2025")</f>
        <v/>
      </c>
      <c r="Z7">
        <f>HYPERLINK("https://klasma.github.io/Logging_1782/klagomålsmail/A 57471-2025 FSC-klagomål mail.docx", "A 57471-2025")</f>
        <v/>
      </c>
      <c r="AA7">
        <f>HYPERLINK("https://klasma.github.io/Logging_1782/tillsyn/A 57471-2025 tillsynsbegäran.docx", "A 57471-2025")</f>
        <v/>
      </c>
      <c r="AB7">
        <f>HYPERLINK("https://klasma.github.io/Logging_1782/tillsynsmail/A 57471-2025 tillsynsbegäran mail.docx", "A 57471-2025")</f>
        <v/>
      </c>
    </row>
    <row r="8" ht="15" customHeight="1">
      <c r="A8" t="inlineStr">
        <is>
          <t>A 26186-2026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46182</v>
      </c>
      <c r="E8" s="1" t="n">
        <v>46218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5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6</v>
      </c>
      <c r="U8" s="2" t="inlineStr">
        <is>
          <t>Ullticka
Grön sköldmossa
Korallblylav
Mörk husmossa
Blåsippa</t>
        </is>
      </c>
      <c r="V8">
        <f>HYPERLINK("https://klasma.github.io/Logging_1782/artfynd/A 26186-2026 artfynd.xlsx", "A 26186-2026")</f>
        <v/>
      </c>
      <c r="W8">
        <f>HYPERLINK("https://klasma.github.io/Logging_1782/kartor/A 26186-2026 karta.png", "A 26186-2026")</f>
        <v/>
      </c>
      <c r="Y8">
        <f>HYPERLINK("https://klasma.github.io/Logging_1782/klagomål/A 26186-2026 FSC-klagomål.docx", "A 26186-2026")</f>
        <v/>
      </c>
      <c r="Z8">
        <f>HYPERLINK("https://klasma.github.io/Logging_1782/klagomålsmail/A 26186-2026 FSC-klagomål mail.docx", "A 26186-2026")</f>
        <v/>
      </c>
      <c r="AA8">
        <f>HYPERLINK("https://klasma.github.io/Logging_1782/tillsyn/A 26186-2026 tillsynsbegäran.docx", "A 26186-2026")</f>
        <v/>
      </c>
      <c r="AB8">
        <f>HYPERLINK("https://klasma.github.io/Logging_1782/tillsynsmail/A 26186-2026 tillsynsbegäran mail.docx", "A 26186-2026")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46218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s="2" t="inlineStr">
        <is>
          <t>Garnlav
Skuggblåslav
Korallblylav
Mindre märgborre
Vanlig flatbagge</t>
        </is>
      </c>
      <c r="V9">
        <f>HYPERLINK("https://klasma.github.io/Logging_1782/artfynd/S 219-2025 artfynd.xlsx", "S 219-2025")</f>
        <v/>
      </c>
      <c r="W9">
        <f>HYPERLINK("https://klasma.github.io/Logging_1782/kartor/S 219-2025 karta.png", "S 219-2025")</f>
        <v/>
      </c>
      <c r="Y9">
        <f>HYPERLINK("https://klasma.github.io/Logging_1782/klagomål/S 219-2025 FSC-klagomål.docx", "S 219-2025")</f>
        <v/>
      </c>
      <c r="Z9">
        <f>HYPERLINK("https://klasma.github.io/Logging_1782/klagomålsmail/S 219-2025 FSC-klagomål mail.docx", "S 219-2025")</f>
        <v/>
      </c>
      <c r="AA9">
        <f>HYPERLINK("https://klasma.github.io/Logging_1782/tillsyn/S 219-2025 tillsynsbegäran.docx", "S 219-2025")</f>
        <v/>
      </c>
      <c r="AB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46218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s="2" t="inlineStr">
        <is>
          <t>Knärot
Brunpudrad nållav
Vedtrappmossa
Blåsippa</t>
        </is>
      </c>
      <c r="V10">
        <f>HYPERLINK("https://klasma.github.io/Logging_1782/artfynd/A 65201-2023 artfynd.xlsx", "A 65201-2023")</f>
        <v/>
      </c>
      <c r="W10">
        <f>HYPERLINK("https://klasma.github.io/Logging_1782/kartor/A 65201-2023 karta.png", "A 65201-2023")</f>
        <v/>
      </c>
      <c r="X10">
        <f>HYPERLINK("https://klasma.github.io/Logging_1782/knärot/A 65201-2023 karta knärot.png", "A 65201-2023")</f>
        <v/>
      </c>
      <c r="Y10">
        <f>HYPERLINK("https://klasma.github.io/Logging_1782/klagomål/A 65201-2023 FSC-klagomål.docx", "A 65201-2023")</f>
        <v/>
      </c>
      <c r="Z10">
        <f>HYPERLINK("https://klasma.github.io/Logging_1782/klagomålsmail/A 65201-2023 FSC-klagomål mail.docx", "A 65201-2023")</f>
        <v/>
      </c>
      <c r="AA10">
        <f>HYPERLINK("https://klasma.github.io/Logging_1782/tillsyn/A 65201-2023 tillsynsbegäran.docx", "A 65201-2023")</f>
        <v/>
      </c>
      <c r="AB10">
        <f>HYPERLINK("https://klasma.github.io/Logging_1782/tillsynsmail/A 65201-2023 tillsynsbegäran mail.docx", "A 65201-2023")</f>
        <v/>
      </c>
    </row>
    <row r="11" ht="15" customHeight="1">
      <c r="A11" t="inlineStr">
        <is>
          <t>A 38138-2024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45545</v>
      </c>
      <c r="E11" s="1" t="n">
        <v>46218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1.6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4</v>
      </c>
      <c r="U11" s="2" t="inlineStr">
        <is>
          <t>Garnlav
Dropptaggsvamp
Skuggblåslav
Fläcknycklar</t>
        </is>
      </c>
      <c r="V11">
        <f>HYPERLINK("https://klasma.github.io/Logging_1782/artfynd/A 38138-2024 artfynd.xlsx", "A 38138-2024")</f>
        <v/>
      </c>
      <c r="W11">
        <f>HYPERLINK("https://klasma.github.io/Logging_1782/kartor/A 38138-2024 karta.png", "A 38138-2024")</f>
        <v/>
      </c>
      <c r="Y11">
        <f>HYPERLINK("https://klasma.github.io/Logging_1782/klagomål/A 38138-2024 FSC-klagomål.docx", "A 38138-2024")</f>
        <v/>
      </c>
      <c r="Z11">
        <f>HYPERLINK("https://klasma.github.io/Logging_1782/klagomålsmail/A 38138-2024 FSC-klagomål mail.docx", "A 38138-2024")</f>
        <v/>
      </c>
      <c r="AA11">
        <f>HYPERLINK("https://klasma.github.io/Logging_1782/tillsyn/A 38138-2024 tillsynsbegäran.docx", "A 38138-2024")</f>
        <v/>
      </c>
      <c r="AB11">
        <f>HYPERLINK("https://klasma.github.io/Logging_1782/tillsynsmail/A 38138-2024 tillsynsbegäran mail.docx", "A 38138-2024")</f>
        <v/>
      </c>
    </row>
    <row r="12" ht="15" customHeight="1">
      <c r="A12" t="inlineStr">
        <is>
          <t>A 43333-2023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46218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19.4</v>
      </c>
      <c r="J12" t="n">
        <v>1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s="2" t="inlineStr">
        <is>
          <t>Norsk näverlav
Skuggblåslav
Grön sköldmossa</t>
        </is>
      </c>
      <c r="V12">
        <f>HYPERLINK("https://klasma.github.io/Logging_1782/artfynd/A 43333-2023 artfynd.xlsx", "A 43333-2023")</f>
        <v/>
      </c>
      <c r="W12">
        <f>HYPERLINK("https://klasma.github.io/Logging_1782/kartor/A 43333-2023 karta.png", "A 43333-2023")</f>
        <v/>
      </c>
      <c r="Y12">
        <f>HYPERLINK("https://klasma.github.io/Logging_1782/klagomål/A 43333-2023 FSC-klagomål.docx", "A 43333-2023")</f>
        <v/>
      </c>
      <c r="Z12">
        <f>HYPERLINK("https://klasma.github.io/Logging_1782/klagomålsmail/A 43333-2023 FSC-klagomål mail.docx", "A 43333-2023")</f>
        <v/>
      </c>
      <c r="AA12">
        <f>HYPERLINK("https://klasma.github.io/Logging_1782/tillsyn/A 43333-2023 tillsynsbegäran.docx", "A 43333-2023")</f>
        <v/>
      </c>
      <c r="AB12">
        <f>HYPERLINK("https://klasma.github.io/Logging_1782/tillsynsmail/A 43333-2023 tillsynsbegäran mail.docx", "A 43333-2023")</f>
        <v/>
      </c>
    </row>
    <row r="13" ht="15" customHeight="1">
      <c r="A13" t="inlineStr">
        <is>
          <t>A 45714-2025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45923</v>
      </c>
      <c r="E13" s="1" t="n">
        <v>46218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2.5</v>
      </c>
      <c r="J13" t="n">
        <v>0</v>
      </c>
      <c r="K13" t="n">
        <v>1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5</v>
      </c>
      <c r="U13" s="2" t="inlineStr">
        <is>
          <t>Brunklöver
Skuggblåslav
Bårdlav</t>
        </is>
      </c>
      <c r="V13">
        <f>HYPERLINK("https://klasma.github.io/Logging_1782/artfynd/A 45714-2025 artfynd.xlsx", "A 45714-2025")</f>
        <v/>
      </c>
      <c r="W13">
        <f>HYPERLINK("https://klasma.github.io/Logging_1782/kartor/A 45714-2025 karta.png", "A 45714-2025")</f>
        <v/>
      </c>
      <c r="Y13">
        <f>HYPERLINK("https://klasma.github.io/Logging_1782/klagomål/A 45714-2025 FSC-klagomål.docx", "A 45714-2025")</f>
        <v/>
      </c>
      <c r="Z13">
        <f>HYPERLINK("https://klasma.github.io/Logging_1782/klagomålsmail/A 45714-2025 FSC-klagomål mail.docx", "A 45714-2025")</f>
        <v/>
      </c>
      <c r="AA13">
        <f>HYPERLINK("https://klasma.github.io/Logging_1782/tillsyn/A 45714-2025 tillsynsbegäran.docx", "A 45714-2025")</f>
        <v/>
      </c>
      <c r="AB13">
        <f>HYPERLINK("https://klasma.github.io/Logging_1782/tillsynsmail/A 45714-2025 tillsynsbegäran mail.docx", "A 45714-2025")</f>
        <v/>
      </c>
    </row>
    <row r="14" ht="15" customHeight="1">
      <c r="A14" t="inlineStr">
        <is>
          <t>A 63625-2023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45275</v>
      </c>
      <c r="E14" s="1" t="n">
        <v>46218</v>
      </c>
      <c r="F14" t="inlineStr">
        <is>
          <t>VÄRMLANDS LÄN</t>
        </is>
      </c>
      <c r="G14" t="inlineStr">
        <is>
          <t>FILIPSTAD</t>
        </is>
      </c>
      <c r="I14" t="n">
        <v>1.9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s="2" t="inlineStr">
        <is>
          <t>Smalfotad taggsvamp
Vaddporing
Utter</t>
        </is>
      </c>
      <c r="V14">
        <f>HYPERLINK("https://klasma.github.io/Logging_1782/artfynd/A 63625-2023 artfynd.xlsx", "A 63625-2023")</f>
        <v/>
      </c>
      <c r="W14">
        <f>HYPERLINK("https://klasma.github.io/Logging_1782/kartor/A 63625-2023 karta.png", "A 63625-2023")</f>
        <v/>
      </c>
      <c r="Y14">
        <f>HYPERLINK("https://klasma.github.io/Logging_1782/klagomål/A 63625-2023 FSC-klagomål.docx", "A 63625-2023")</f>
        <v/>
      </c>
      <c r="Z14">
        <f>HYPERLINK("https://klasma.github.io/Logging_1782/klagomålsmail/A 63625-2023 FSC-klagomål mail.docx", "A 63625-2023")</f>
        <v/>
      </c>
      <c r="AA14">
        <f>HYPERLINK("https://klasma.github.io/Logging_1782/tillsyn/A 63625-2023 tillsynsbegäran.docx", "A 63625-2023")</f>
        <v/>
      </c>
      <c r="AB14">
        <f>HYPERLINK("https://klasma.github.io/Logging_1782/tillsynsmail/A 63625-2023 tillsynsbegäran mail.docx", "A 63625-2023")</f>
        <v/>
      </c>
    </row>
    <row r="15" ht="15" customHeight="1">
      <c r="A15" t="inlineStr">
        <is>
          <t>A 62116-2025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46006</v>
      </c>
      <c r="E15" s="1" t="n">
        <v>46218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13.6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Tjäder
Orre
Fläcknycklar</t>
        </is>
      </c>
      <c r="V15">
        <f>HYPERLINK("https://klasma.github.io/Logging_1782/artfynd/A 62116-2025 artfynd.xlsx", "A 62116-2025")</f>
        <v/>
      </c>
      <c r="W15">
        <f>HYPERLINK("https://klasma.github.io/Logging_1782/kartor/A 62116-2025 karta.png", "A 62116-2025")</f>
        <v/>
      </c>
      <c r="Y15">
        <f>HYPERLINK("https://klasma.github.io/Logging_1782/klagomål/A 62116-2025 FSC-klagomål.docx", "A 62116-2025")</f>
        <v/>
      </c>
      <c r="Z15">
        <f>HYPERLINK("https://klasma.github.io/Logging_1782/klagomålsmail/A 62116-2025 FSC-klagomål mail.docx", "A 62116-2025")</f>
        <v/>
      </c>
      <c r="AA15">
        <f>HYPERLINK("https://klasma.github.io/Logging_1782/tillsyn/A 62116-2025 tillsynsbegäran.docx", "A 62116-2025")</f>
        <v/>
      </c>
      <c r="AB15">
        <f>HYPERLINK("https://klasma.github.io/Logging_1782/tillsynsmail/A 62116-2025 tillsynsbegäran mail.docx", "A 62116-2025")</f>
        <v/>
      </c>
      <c r="AC15">
        <f>HYPERLINK("https://klasma.github.io/Logging_1782/fåglar/A 62116-2025 prioriterade fågelarter.docx", "A 62116-2025")</f>
        <v/>
      </c>
    </row>
    <row r="16" ht="15" customHeight="1">
      <c r="A16" t="inlineStr">
        <is>
          <t>A 38134-2024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45545</v>
      </c>
      <c r="E16" s="1" t="n">
        <v>46218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2.4</v>
      </c>
      <c r="J16" t="n">
        <v>0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3</v>
      </c>
      <c r="T16" t="n">
        <v>3</v>
      </c>
      <c r="U16" s="2" t="inlineStr">
        <is>
          <t>Garnlav
Dropptaggsvamp
Skuggblåslav</t>
        </is>
      </c>
      <c r="V16">
        <f>HYPERLINK("https://klasma.github.io/Logging_1782/artfynd/A 38134-2024 artfynd.xlsx", "A 38134-2024")</f>
        <v/>
      </c>
      <c r="W16">
        <f>HYPERLINK("https://klasma.github.io/Logging_1782/kartor/A 38134-2024 karta.png", "A 38134-2024")</f>
        <v/>
      </c>
      <c r="Y16">
        <f>HYPERLINK("https://klasma.github.io/Logging_1782/klagomål/A 38134-2024 FSC-klagomål.docx", "A 38134-2024")</f>
        <v/>
      </c>
      <c r="Z16">
        <f>HYPERLINK("https://klasma.github.io/Logging_1782/klagomålsmail/A 38134-2024 FSC-klagomål mail.docx", "A 38134-2024")</f>
        <v/>
      </c>
      <c r="AA16">
        <f>HYPERLINK("https://klasma.github.io/Logging_1782/tillsyn/A 38134-2024 tillsynsbegäran.docx", "A 38134-2024")</f>
        <v/>
      </c>
      <c r="AB16">
        <f>HYPERLINK("https://klasma.github.io/Logging_1782/tillsynsmail/A 38134-2024 tillsynsbegäran mail.docx", "A 38134-2024")</f>
        <v/>
      </c>
    </row>
    <row r="17" ht="15" customHeight="1">
      <c r="A17" t="inlineStr">
        <is>
          <t>S 145-2023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44942</v>
      </c>
      <c r="E17" s="1" t="n">
        <v>46218</v>
      </c>
      <c r="F17" t="inlineStr">
        <is>
          <t>VÄRMLANDS LÄN</t>
        </is>
      </c>
      <c r="G17" t="inlineStr">
        <is>
          <t>FILIPSTAD</t>
        </is>
      </c>
      <c r="I17" t="n">
        <v>3.8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4</v>
      </c>
      <c r="U17" s="2" t="inlineStr">
        <is>
          <t>Loppstarr
Majviva
Guckusko</t>
        </is>
      </c>
      <c r="V17">
        <f>HYPERLINK("https://klasma.github.io/Logging_1782/artfynd/S 145-2023 artfynd.xlsx", "S 145-2023")</f>
        <v/>
      </c>
      <c r="W17">
        <f>HYPERLINK("https://klasma.github.io/Logging_1782/kartor/S 145-2023 karta.png", "S 145-2023")</f>
        <v/>
      </c>
      <c r="Y17">
        <f>HYPERLINK("https://klasma.github.io/Logging_1782/klagomål/S 145-2023 FSC-klagomål.docx", "S 145-2023")</f>
        <v/>
      </c>
      <c r="Z17">
        <f>HYPERLINK("https://klasma.github.io/Logging_1782/klagomålsmail/S 145-2023 FSC-klagomål mail.docx", "S 145-2023")</f>
        <v/>
      </c>
      <c r="AA17">
        <f>HYPERLINK("https://klasma.github.io/Logging_1782/tillsyn/S 145-2023 tillsynsbegäran.docx", "S 145-2023")</f>
        <v/>
      </c>
      <c r="AB17">
        <f>HYPERLINK("https://klasma.github.io/Logging_1782/tillsynsmail/S 145-2023 tillsynsbegäran mail.docx", "S 145-2023")</f>
        <v/>
      </c>
    </row>
    <row r="18" ht="15" customHeight="1">
      <c r="A18" t="inlineStr">
        <is>
          <t>A 38132-2024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45545</v>
      </c>
      <c r="E18" s="1" t="n">
        <v>46218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Bronshjon
Fläcknycklar</t>
        </is>
      </c>
      <c r="V18">
        <f>HYPERLINK("https://klasma.github.io/Logging_1782/artfynd/A 38132-2024 artfynd.xlsx", "A 38132-2024")</f>
        <v/>
      </c>
      <c r="W18">
        <f>HYPERLINK("https://klasma.github.io/Logging_1782/kartor/A 38132-2024 karta.png", "A 38132-2024")</f>
        <v/>
      </c>
      <c r="Y18">
        <f>HYPERLINK("https://klasma.github.io/Logging_1782/klagomål/A 38132-2024 FSC-klagomål.docx", "A 38132-2024")</f>
        <v/>
      </c>
      <c r="Z18">
        <f>HYPERLINK("https://klasma.github.io/Logging_1782/klagomålsmail/A 38132-2024 FSC-klagomål mail.docx", "A 38132-2024")</f>
        <v/>
      </c>
      <c r="AA18">
        <f>HYPERLINK("https://klasma.github.io/Logging_1782/tillsyn/A 38132-2024 tillsynsbegäran.docx", "A 38132-2024")</f>
        <v/>
      </c>
      <c r="AB18">
        <f>HYPERLINK("https://klasma.github.io/Logging_1782/tillsynsmail/A 38132-2024 tillsynsbegäran mail.docx", "A 38132-2024")</f>
        <v/>
      </c>
    </row>
    <row r="19" ht="15" customHeight="1">
      <c r="A19" t="inlineStr">
        <is>
          <t>A 51103-2025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45947</v>
      </c>
      <c r="E19" s="1" t="n">
        <v>46218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8.300000000000001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Grönsiska
Smålom</t>
        </is>
      </c>
      <c r="V19">
        <f>HYPERLINK("https://klasma.github.io/Logging_1782/artfynd/A 51103-2025 artfynd.xlsx", "A 51103-2025")</f>
        <v/>
      </c>
      <c r="W19">
        <f>HYPERLINK("https://klasma.github.io/Logging_1782/kartor/A 51103-2025 karta.png", "A 51103-2025")</f>
        <v/>
      </c>
      <c r="Y19">
        <f>HYPERLINK("https://klasma.github.io/Logging_1782/klagomål/A 51103-2025 FSC-klagomål.docx", "A 51103-2025")</f>
        <v/>
      </c>
      <c r="Z19">
        <f>HYPERLINK("https://klasma.github.io/Logging_1782/klagomålsmail/A 51103-2025 FSC-klagomål mail.docx", "A 51103-2025")</f>
        <v/>
      </c>
      <c r="AA19">
        <f>HYPERLINK("https://klasma.github.io/Logging_1782/tillsyn/A 51103-2025 tillsynsbegäran.docx", "A 51103-2025")</f>
        <v/>
      </c>
      <c r="AB19">
        <f>HYPERLINK("https://klasma.github.io/Logging_1782/tillsynsmail/A 51103-2025 tillsynsbegäran mail.docx", "A 51103-2025")</f>
        <v/>
      </c>
      <c r="AC19">
        <f>HYPERLINK("https://klasma.github.io/Logging_1782/fåglar/A 51103-2025 prioriterade fågelarter.docx", "A 51103-2025")</f>
        <v/>
      </c>
    </row>
    <row r="20" ht="15" customHeight="1">
      <c r="A20" t="inlineStr">
        <is>
          <t>A 16139-2025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45750</v>
      </c>
      <c r="E20" s="1" t="n">
        <v>46218</v>
      </c>
      <c r="F20" t="inlineStr">
        <is>
          <t>VÄRMLANDS LÄN</t>
        </is>
      </c>
      <c r="G20" t="inlineStr">
        <is>
          <t>FILIPSTAD</t>
        </is>
      </c>
      <c r="I20" t="n">
        <v>18.2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s="2" t="inlineStr">
        <is>
          <t>Garnlav
Bronshjon</t>
        </is>
      </c>
      <c r="V20">
        <f>HYPERLINK("https://klasma.github.io/Logging_1782/artfynd/A 16139-2025 artfynd.xlsx", "A 16139-2025")</f>
        <v/>
      </c>
      <c r="W20">
        <f>HYPERLINK("https://klasma.github.io/Logging_1782/kartor/A 16139-2025 karta.png", "A 16139-2025")</f>
        <v/>
      </c>
      <c r="Y20">
        <f>HYPERLINK("https://klasma.github.io/Logging_1782/klagomål/A 16139-2025 FSC-klagomål.docx", "A 16139-2025")</f>
        <v/>
      </c>
      <c r="Z20">
        <f>HYPERLINK("https://klasma.github.io/Logging_1782/klagomålsmail/A 16139-2025 FSC-klagomål mail.docx", "A 16139-2025")</f>
        <v/>
      </c>
      <c r="AA20">
        <f>HYPERLINK("https://klasma.github.io/Logging_1782/tillsyn/A 16139-2025 tillsynsbegäran.docx", "A 16139-2025")</f>
        <v/>
      </c>
      <c r="AB20">
        <f>HYPERLINK("https://klasma.github.io/Logging_1782/tillsynsmail/A 16139-2025 tillsynsbegäran mail.docx", "A 16139-2025")</f>
        <v/>
      </c>
    </row>
    <row r="21" ht="15" customHeight="1">
      <c r="A21" t="inlineStr">
        <is>
          <t>A 17274-2024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45414</v>
      </c>
      <c r="E21" s="1" t="n">
        <v>46218</v>
      </c>
      <c r="F21" t="inlineStr">
        <is>
          <t>VÄRMLANDS LÄN</t>
        </is>
      </c>
      <c r="G21" t="inlineStr">
        <is>
          <t>FILIPSTAD</t>
        </is>
      </c>
      <c r="H21" t="inlineStr">
        <is>
          <t>Kommuner</t>
        </is>
      </c>
      <c r="I21" t="n">
        <v>5.8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s="2" t="inlineStr">
        <is>
          <t>Dropptaggsvamp
Talltita</t>
        </is>
      </c>
      <c r="V21">
        <f>HYPERLINK("https://klasma.github.io/Logging_1782/artfynd/A 17274-2024 artfynd.xlsx", "A 17274-2024")</f>
        <v/>
      </c>
      <c r="W21">
        <f>HYPERLINK("https://klasma.github.io/Logging_1782/kartor/A 17274-2024 karta.png", "A 17274-2024")</f>
        <v/>
      </c>
      <c r="Y21">
        <f>HYPERLINK("https://klasma.github.io/Logging_1782/klagomål/A 17274-2024 FSC-klagomål.docx", "A 17274-2024")</f>
        <v/>
      </c>
      <c r="Z21">
        <f>HYPERLINK("https://klasma.github.io/Logging_1782/klagomålsmail/A 17274-2024 FSC-klagomål mail.docx", "A 17274-2024")</f>
        <v/>
      </c>
      <c r="AA21">
        <f>HYPERLINK("https://klasma.github.io/Logging_1782/tillsyn/A 17274-2024 tillsynsbegäran.docx", "A 17274-2024")</f>
        <v/>
      </c>
      <c r="AB21">
        <f>HYPERLINK("https://klasma.github.io/Logging_1782/tillsynsmail/A 17274-2024 tillsynsbegäran mail.docx", "A 17274-2024")</f>
        <v/>
      </c>
      <c r="AC21">
        <f>HYPERLINK("https://klasma.github.io/Logging_1782/fåglar/A 17274-2024 prioriterade fågelarter.docx", "A 17274-2024")</f>
        <v/>
      </c>
    </row>
    <row r="22" ht="15" customHeight="1">
      <c r="A22" t="inlineStr">
        <is>
          <t>A 19945-2023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45054</v>
      </c>
      <c r="E22" s="1" t="n">
        <v>46218</v>
      </c>
      <c r="F22" t="inlineStr">
        <is>
          <t>VÄRMLANDS LÄN</t>
        </is>
      </c>
      <c r="G22" t="inlineStr">
        <is>
          <t>FILIPSTAD</t>
        </is>
      </c>
      <c r="I22" t="n">
        <v>3.3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4</v>
      </c>
      <c r="U22" s="2" t="inlineStr">
        <is>
          <t>Guckusko
Kransrams</t>
        </is>
      </c>
      <c r="V22">
        <f>HYPERLINK("https://klasma.github.io/Logging_1782/artfynd/A 19945-2023 artfynd.xlsx", "A 19945-2023")</f>
        <v/>
      </c>
      <c r="W22">
        <f>HYPERLINK("https://klasma.github.io/Logging_1782/kartor/A 19945-2023 karta.png", "A 19945-2023")</f>
        <v/>
      </c>
      <c r="Y22">
        <f>HYPERLINK("https://klasma.github.io/Logging_1782/klagomål/A 19945-2023 FSC-klagomål.docx", "A 19945-2023")</f>
        <v/>
      </c>
      <c r="Z22">
        <f>HYPERLINK("https://klasma.github.io/Logging_1782/klagomålsmail/A 19945-2023 FSC-klagomål mail.docx", "A 19945-2023")</f>
        <v/>
      </c>
      <c r="AA22">
        <f>HYPERLINK("https://klasma.github.io/Logging_1782/tillsyn/A 19945-2023 tillsynsbegäran.docx", "A 19945-2023")</f>
        <v/>
      </c>
      <c r="AB22">
        <f>HYPERLINK("https://klasma.github.io/Logging_1782/tillsynsmail/A 19945-2023 tillsynsbegäran mail.docx", "A 19945-2023")</f>
        <v/>
      </c>
    </row>
    <row r="23" ht="15" customHeight="1">
      <c r="A23" t="inlineStr">
        <is>
          <t>A 45523-2022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44845</v>
      </c>
      <c r="E23" s="1" t="n">
        <v>46218</v>
      </c>
      <c r="F23" t="inlineStr">
        <is>
          <t>VÄRMLANDS LÄN</t>
        </is>
      </c>
      <c r="G23" t="inlineStr">
        <is>
          <t>FILIPSTAD</t>
        </is>
      </c>
      <c r="I23" t="n">
        <v>7.7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s="2" t="inlineStr">
        <is>
          <t>Bronshjon
Korallblylav</t>
        </is>
      </c>
      <c r="V23">
        <f>HYPERLINK("https://klasma.github.io/Logging_1782/artfynd/A 45523-2022 artfynd.xlsx", "A 45523-2022")</f>
        <v/>
      </c>
      <c r="W23">
        <f>HYPERLINK("https://klasma.github.io/Logging_1782/kartor/A 45523-2022 karta.png", "A 45523-2022")</f>
        <v/>
      </c>
      <c r="Y23">
        <f>HYPERLINK("https://klasma.github.io/Logging_1782/klagomål/A 45523-2022 FSC-klagomål.docx", "A 45523-2022")</f>
        <v/>
      </c>
      <c r="Z23">
        <f>HYPERLINK("https://klasma.github.io/Logging_1782/klagomålsmail/A 45523-2022 FSC-klagomål mail.docx", "A 45523-2022")</f>
        <v/>
      </c>
      <c r="AA23">
        <f>HYPERLINK("https://klasma.github.io/Logging_1782/tillsyn/A 45523-2022 tillsynsbegäran.docx", "A 45523-2022")</f>
        <v/>
      </c>
      <c r="AB23">
        <f>HYPERLINK("https://klasma.github.io/Logging_1782/tillsynsmail/A 45523-2022 tillsynsbegäran mail.docx", "A 45523-2022")</f>
        <v/>
      </c>
    </row>
    <row r="24" ht="15" customHeight="1">
      <c r="A24" t="inlineStr">
        <is>
          <t>A 51922-2024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45607</v>
      </c>
      <c r="E24" s="1" t="n">
        <v>46218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8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s="2" t="inlineStr">
        <is>
          <t>Läderlappslav
Tjäder</t>
        </is>
      </c>
      <c r="V24">
        <f>HYPERLINK("https://klasma.github.io/Logging_1782/artfynd/A 51922-2024 artfynd.xlsx", "A 51922-2024")</f>
        <v/>
      </c>
      <c r="W24">
        <f>HYPERLINK("https://klasma.github.io/Logging_1782/kartor/A 51922-2024 karta.png", "A 51922-2024")</f>
        <v/>
      </c>
      <c r="Y24">
        <f>HYPERLINK("https://klasma.github.io/Logging_1782/klagomål/A 51922-2024 FSC-klagomål.docx", "A 51922-2024")</f>
        <v/>
      </c>
      <c r="Z24">
        <f>HYPERLINK("https://klasma.github.io/Logging_1782/klagomålsmail/A 51922-2024 FSC-klagomål mail.docx", "A 51922-2024")</f>
        <v/>
      </c>
      <c r="AA24">
        <f>HYPERLINK("https://klasma.github.io/Logging_1782/tillsyn/A 51922-2024 tillsynsbegäran.docx", "A 51922-2024")</f>
        <v/>
      </c>
      <c r="AB24">
        <f>HYPERLINK("https://klasma.github.io/Logging_1782/tillsynsmail/A 51922-2024 tillsynsbegäran mail.docx", "A 51922-2024")</f>
        <v/>
      </c>
      <c r="AC24">
        <f>HYPERLINK("https://klasma.github.io/Logging_1782/fåglar/A 51922-2024 prioriterade fågelarter.docx", "A 51922-2024")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46218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s="2" t="inlineStr">
        <is>
          <t>Igelkott
Fläcknycklar</t>
        </is>
      </c>
      <c r="V25">
        <f>HYPERLINK("https://klasma.github.io/Logging_1782/artfynd/A 29469-2026 artfynd.xlsx", "A 29469-2026")</f>
        <v/>
      </c>
      <c r="W25">
        <f>HYPERLINK("https://klasma.github.io/Logging_1782/kartor/A 29469-2026 karta.png", "A 29469-2026")</f>
        <v/>
      </c>
      <c r="Y25">
        <f>HYPERLINK("https://klasma.github.io/Logging_1782/klagomål/A 29469-2026 FSC-klagomål.docx", "A 29469-2026")</f>
        <v/>
      </c>
      <c r="Z25">
        <f>HYPERLINK("https://klasma.github.io/Logging_1782/klagomålsmail/A 29469-2026 FSC-klagomål mail.docx", "A 29469-2026")</f>
        <v/>
      </c>
      <c r="AA25">
        <f>HYPERLINK("https://klasma.github.io/Logging_1782/tillsyn/A 29469-2026 tillsynsbegäran.docx", "A 29469-2026")</f>
        <v/>
      </c>
      <c r="AB25">
        <f>HYPERLINK("https://klasma.github.io/Logging_1782/tillsynsmail/A 29469-2026 tillsynsbegäran mail.docx", "A 29469-2026")</f>
        <v/>
      </c>
    </row>
    <row r="26" ht="15" customHeight="1">
      <c r="A26" t="inlineStr">
        <is>
          <t>S 3485-2022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44732</v>
      </c>
      <c r="E26" s="1" t="n">
        <v>46218</v>
      </c>
      <c r="F26" t="inlineStr">
        <is>
          <t>VÄRMLANDS LÄN</t>
        </is>
      </c>
      <c r="G26" t="inlineStr">
        <is>
          <t>FILIPSTAD</t>
        </is>
      </c>
      <c r="I26" t="n">
        <v>147.3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s="2" t="inlineStr">
        <is>
          <t>Grönsiska
Smålom</t>
        </is>
      </c>
      <c r="V26">
        <f>HYPERLINK("https://klasma.github.io/Logging_1782/artfynd/S 3485-2022 artfynd.xlsx", "S 3485-2022")</f>
        <v/>
      </c>
      <c r="W26">
        <f>HYPERLINK("https://klasma.github.io/Logging_1782/kartor/S 3485-2022 karta.png", "S 3485-2022")</f>
        <v/>
      </c>
      <c r="Y26">
        <f>HYPERLINK("https://klasma.github.io/Logging_1782/klagomål/S 3485-2022 FSC-klagomål.docx", "S 3485-2022")</f>
        <v/>
      </c>
      <c r="Z26">
        <f>HYPERLINK("https://klasma.github.io/Logging_1782/klagomålsmail/S 3485-2022 FSC-klagomål mail.docx", "S 3485-2022")</f>
        <v/>
      </c>
      <c r="AA26">
        <f>HYPERLINK("https://klasma.github.io/Logging_1782/tillsyn/S 3485-2022 tillsynsbegäran.docx", "S 3485-2022")</f>
        <v/>
      </c>
      <c r="AB26">
        <f>HYPERLINK("https://klasma.github.io/Logging_1782/tillsynsmail/S 3485-2022 tillsynsbegäran mail.docx", "S 3485-2022")</f>
        <v/>
      </c>
      <c r="AC26">
        <f>HYPERLINK("https://klasma.github.io/Logging_1782/fåglar/S 3485-2022 prioriterade fågelarter.docx", "S 3485-2022")</f>
        <v/>
      </c>
    </row>
    <row r="27" ht="15" customHeight="1">
      <c r="A27" t="inlineStr">
        <is>
          <t>A 62572-2021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44503</v>
      </c>
      <c r="E27" s="1" t="n">
        <v>46218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46.9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s="2" t="inlineStr">
        <is>
          <t>Garnlav</t>
        </is>
      </c>
      <c r="V27">
        <f>HYPERLINK("https://klasma.github.io/Logging_1782/artfynd/A 62572-2021 artfynd.xlsx", "A 62572-2021")</f>
        <v/>
      </c>
      <c r="W27">
        <f>HYPERLINK("https://klasma.github.io/Logging_1782/kartor/A 62572-2021 karta.png", "A 62572-2021")</f>
        <v/>
      </c>
      <c r="Y27">
        <f>HYPERLINK("https://klasma.github.io/Logging_1782/klagomål/A 62572-2021 FSC-klagomål.docx", "A 62572-2021")</f>
        <v/>
      </c>
      <c r="Z27">
        <f>HYPERLINK("https://klasma.github.io/Logging_1782/klagomålsmail/A 62572-2021 FSC-klagomål mail.docx", "A 62572-2021")</f>
        <v/>
      </c>
      <c r="AA27">
        <f>HYPERLINK("https://klasma.github.io/Logging_1782/tillsyn/A 62572-2021 tillsynsbegäran.docx", "A 62572-2021")</f>
        <v/>
      </c>
      <c r="AB27">
        <f>HYPERLINK("https://klasma.github.io/Logging_1782/tillsynsmail/A 62572-2021 tillsynsbegäran mail.docx", "A 62572-2021")</f>
        <v/>
      </c>
    </row>
    <row r="28" ht="15" customHeight="1">
      <c r="A28" t="inlineStr">
        <is>
          <t>A 20754-2022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44701</v>
      </c>
      <c r="E28" s="1" t="n">
        <v>46218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13.6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s="2" t="inlineStr">
        <is>
          <t>Mattlummer</t>
        </is>
      </c>
      <c r="V28">
        <f>HYPERLINK("https://klasma.github.io/Logging_1782/artfynd/A 20754-2022 artfynd.xlsx", "A 20754-2022")</f>
        <v/>
      </c>
      <c r="W28">
        <f>HYPERLINK("https://klasma.github.io/Logging_1782/kartor/A 20754-2022 karta.png", "A 20754-2022")</f>
        <v/>
      </c>
      <c r="Y28">
        <f>HYPERLINK("https://klasma.github.io/Logging_1782/klagomål/A 20754-2022 FSC-klagomål.docx", "A 20754-2022")</f>
        <v/>
      </c>
      <c r="Z28">
        <f>HYPERLINK("https://klasma.github.io/Logging_1782/klagomålsmail/A 20754-2022 FSC-klagomål mail.docx", "A 20754-2022")</f>
        <v/>
      </c>
      <c r="AA28">
        <f>HYPERLINK("https://klasma.github.io/Logging_1782/tillsyn/A 20754-2022 tillsynsbegäran.docx", "A 20754-2022")</f>
        <v/>
      </c>
      <c r="AB28">
        <f>HYPERLINK("https://klasma.github.io/Logging_1782/tillsynsmail/A 20754-2022 tillsynsbegäran mail.docx", "A 20754-2022")</f>
        <v/>
      </c>
    </row>
    <row r="29" ht="15" customHeight="1">
      <c r="A29" t="inlineStr">
        <is>
          <t>A 38140-2024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45545</v>
      </c>
      <c r="E29" s="1" t="n">
        <v>46218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1.4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s="2" t="inlineStr">
        <is>
          <t>Dropptaggsvamp</t>
        </is>
      </c>
      <c r="V29">
        <f>HYPERLINK("https://klasma.github.io/Logging_1782/artfynd/A 38140-2024 artfynd.xlsx", "A 38140-2024")</f>
        <v/>
      </c>
      <c r="W29">
        <f>HYPERLINK("https://klasma.github.io/Logging_1782/kartor/A 38140-2024 karta.png", "A 38140-2024")</f>
        <v/>
      </c>
      <c r="Y29">
        <f>HYPERLINK("https://klasma.github.io/Logging_1782/klagomål/A 38140-2024 FSC-klagomål.docx", "A 38140-2024")</f>
        <v/>
      </c>
      <c r="Z29">
        <f>HYPERLINK("https://klasma.github.io/Logging_1782/klagomålsmail/A 38140-2024 FSC-klagomål mail.docx", "A 38140-2024")</f>
        <v/>
      </c>
      <c r="AA29">
        <f>HYPERLINK("https://klasma.github.io/Logging_1782/tillsyn/A 38140-2024 tillsynsbegäran.docx", "A 38140-2024")</f>
        <v/>
      </c>
      <c r="AB29">
        <f>HYPERLINK("https://klasma.github.io/Logging_1782/tillsynsmail/A 38140-2024 tillsynsbegäran mail.docx", "A 38140-2024")</f>
        <v/>
      </c>
    </row>
    <row r="30" ht="15" customHeight="1">
      <c r="A30" t="inlineStr">
        <is>
          <t>A 45781-2025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45923</v>
      </c>
      <c r="E30" s="1" t="n">
        <v>46218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Brunklöver</t>
        </is>
      </c>
      <c r="V30">
        <f>HYPERLINK("https://klasma.github.io/Logging_1782/artfynd/A 45781-2025 artfynd.xlsx", "A 45781-2025")</f>
        <v/>
      </c>
      <c r="W30">
        <f>HYPERLINK("https://klasma.github.io/Logging_1782/kartor/A 45781-2025 karta.png", "A 45781-2025")</f>
        <v/>
      </c>
      <c r="Y30">
        <f>HYPERLINK("https://klasma.github.io/Logging_1782/klagomål/A 45781-2025 FSC-klagomål.docx", "A 45781-2025")</f>
        <v/>
      </c>
      <c r="Z30">
        <f>HYPERLINK("https://klasma.github.io/Logging_1782/klagomålsmail/A 45781-2025 FSC-klagomål mail.docx", "A 45781-2025")</f>
        <v/>
      </c>
      <c r="AA30">
        <f>HYPERLINK("https://klasma.github.io/Logging_1782/tillsyn/A 45781-2025 tillsynsbegäran.docx", "A 45781-2025")</f>
        <v/>
      </c>
      <c r="AB30">
        <f>HYPERLINK("https://klasma.github.io/Logging_1782/tillsynsmail/A 45781-2025 tillsynsbegäran mail.docx", "A 45781-2025")</f>
        <v/>
      </c>
    </row>
    <row r="31" ht="15" customHeight="1">
      <c r="A31" t="inlineStr">
        <is>
          <t>A 23046-2023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45075</v>
      </c>
      <c r="E31" s="1" t="n">
        <v>46218</v>
      </c>
      <c r="F31" t="inlineStr">
        <is>
          <t>VÄRMLANDS LÄN</t>
        </is>
      </c>
      <c r="G31" t="inlineStr">
        <is>
          <t>FILIPSTAD</t>
        </is>
      </c>
      <c r="H31" t="inlineStr">
        <is>
          <t>Bergvik skog väst AB</t>
        </is>
      </c>
      <c r="I31" t="n">
        <v>1.7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s="2" t="inlineStr">
        <is>
          <t>Knärot</t>
        </is>
      </c>
      <c r="V31">
        <f>HYPERLINK("https://klasma.github.io/Logging_1782/artfynd/A 23046-2023 artfynd.xlsx", "A 23046-2023")</f>
        <v/>
      </c>
      <c r="W31">
        <f>HYPERLINK("https://klasma.github.io/Logging_1782/kartor/A 23046-2023 karta.png", "A 23046-2023")</f>
        <v/>
      </c>
      <c r="X31">
        <f>HYPERLINK("https://klasma.github.io/Logging_1782/knärot/A 23046-2023 karta knärot.png", "A 23046-2023")</f>
        <v/>
      </c>
      <c r="Y31">
        <f>HYPERLINK("https://klasma.github.io/Logging_1782/klagomål/A 23046-2023 FSC-klagomål.docx", "A 23046-2023")</f>
        <v/>
      </c>
      <c r="Z31">
        <f>HYPERLINK("https://klasma.github.io/Logging_1782/klagomålsmail/A 23046-2023 FSC-klagomål mail.docx", "A 23046-2023")</f>
        <v/>
      </c>
      <c r="AA31">
        <f>HYPERLINK("https://klasma.github.io/Logging_1782/tillsyn/A 23046-2023 tillsynsbegäran.docx", "A 23046-2023")</f>
        <v/>
      </c>
      <c r="AB31">
        <f>HYPERLINK("https://klasma.github.io/Logging_1782/tillsynsmail/A 23046-2023 tillsynsbegäran mail.docx", "A 23046-2023")</f>
        <v/>
      </c>
    </row>
    <row r="32" ht="15" customHeight="1">
      <c r="A32" t="inlineStr">
        <is>
          <t>A 11453-2025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45726</v>
      </c>
      <c r="E32" s="1" t="n">
        <v>46218</v>
      </c>
      <c r="F32" t="inlineStr">
        <is>
          <t>VÄRMLANDS LÄN</t>
        </is>
      </c>
      <c r="G32" t="inlineStr">
        <is>
          <t>FILIPSTAD</t>
        </is>
      </c>
      <c r="I32" t="n">
        <v>7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Purpurknipprot</t>
        </is>
      </c>
      <c r="V32">
        <f>HYPERLINK("https://klasma.github.io/Logging_1782/artfynd/A 11453-2025 artfynd.xlsx", "A 11453-2025")</f>
        <v/>
      </c>
      <c r="W32">
        <f>HYPERLINK("https://klasma.github.io/Logging_1782/kartor/A 11453-2025 karta.png", "A 11453-2025")</f>
        <v/>
      </c>
      <c r="Y32">
        <f>HYPERLINK("https://klasma.github.io/Logging_1782/klagomål/A 11453-2025 FSC-klagomål.docx", "A 11453-2025")</f>
        <v/>
      </c>
      <c r="Z32">
        <f>HYPERLINK("https://klasma.github.io/Logging_1782/klagomålsmail/A 11453-2025 FSC-klagomål mail.docx", "A 11453-2025")</f>
        <v/>
      </c>
      <c r="AA32">
        <f>HYPERLINK("https://klasma.github.io/Logging_1782/tillsyn/A 11453-2025 tillsynsbegäran.docx", "A 11453-2025")</f>
        <v/>
      </c>
      <c r="AB32">
        <f>HYPERLINK("https://klasma.github.io/Logging_1782/tillsynsmail/A 11453-2025 tillsynsbegäran mail.docx", "A 11453-2025")</f>
        <v/>
      </c>
    </row>
    <row r="33" ht="15" customHeight="1">
      <c r="A33" t="inlineStr">
        <is>
          <t>A 25916-2025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45804</v>
      </c>
      <c r="E33" s="1" t="n">
        <v>46218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26.4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s="2" t="inlineStr">
        <is>
          <t>Lunglav</t>
        </is>
      </c>
      <c r="V33">
        <f>HYPERLINK("https://klasma.github.io/Logging_1782/artfynd/A 25916-2025 artfynd.xlsx", "A 25916-2025")</f>
        <v/>
      </c>
      <c r="W33">
        <f>HYPERLINK("https://klasma.github.io/Logging_1782/kartor/A 25916-2025 karta.png", "A 25916-2025")</f>
        <v/>
      </c>
      <c r="Y33">
        <f>HYPERLINK("https://klasma.github.io/Logging_1782/klagomål/A 25916-2025 FSC-klagomål.docx", "A 25916-2025")</f>
        <v/>
      </c>
      <c r="Z33">
        <f>HYPERLINK("https://klasma.github.io/Logging_1782/klagomålsmail/A 25916-2025 FSC-klagomål mail.docx", "A 25916-2025")</f>
        <v/>
      </c>
      <c r="AA33">
        <f>HYPERLINK("https://klasma.github.io/Logging_1782/tillsyn/A 25916-2025 tillsynsbegäran.docx", "A 25916-2025")</f>
        <v/>
      </c>
      <c r="AB33">
        <f>HYPERLINK("https://klasma.github.io/Logging_1782/tillsynsmail/A 25916-2025 tillsynsbegäran mail.docx", "A 25916-2025")</f>
        <v/>
      </c>
    </row>
    <row r="34" ht="15" customHeight="1">
      <c r="A34" t="inlineStr">
        <is>
          <t>A 874-2025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45665</v>
      </c>
      <c r="E34" s="1" t="n">
        <v>46218</v>
      </c>
      <c r="F34" t="inlineStr">
        <is>
          <t>VÄRMLANDS LÄN</t>
        </is>
      </c>
      <c r="G34" t="inlineStr">
        <is>
          <t>FILIPSTAD</t>
        </is>
      </c>
      <c r="H34" t="inlineStr">
        <is>
          <t>Kyrkan</t>
        </is>
      </c>
      <c r="I34" t="n">
        <v>4.8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Kamjordstjärna</t>
        </is>
      </c>
      <c r="V34">
        <f>HYPERLINK("https://klasma.github.io/Logging_1782/artfynd/A 874-2025 artfynd.xlsx", "A 874-2025")</f>
        <v/>
      </c>
      <c r="W34">
        <f>HYPERLINK("https://klasma.github.io/Logging_1782/kartor/A 874-2025 karta.png", "A 874-2025")</f>
        <v/>
      </c>
      <c r="Y34">
        <f>HYPERLINK("https://klasma.github.io/Logging_1782/klagomål/A 874-2025 FSC-klagomål.docx", "A 874-2025")</f>
        <v/>
      </c>
      <c r="Z34">
        <f>HYPERLINK("https://klasma.github.io/Logging_1782/klagomålsmail/A 874-2025 FSC-klagomål mail.docx", "A 874-2025")</f>
        <v/>
      </c>
      <c r="AA34">
        <f>HYPERLINK("https://klasma.github.io/Logging_1782/tillsyn/A 874-2025 tillsynsbegäran.docx", "A 874-2025")</f>
        <v/>
      </c>
      <c r="AB34">
        <f>HYPERLINK("https://klasma.github.io/Logging_1782/tillsynsmail/A 874-2025 tillsynsbegäran mail.docx", "A 874-2025")</f>
        <v/>
      </c>
    </row>
    <row r="35" ht="15" customHeight="1">
      <c r="A35" t="inlineStr">
        <is>
          <t>A 30652-2025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45831</v>
      </c>
      <c r="E35" s="1" t="n">
        <v>46218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4.3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Tjäder</t>
        </is>
      </c>
      <c r="V35">
        <f>HYPERLINK("https://klasma.github.io/Logging_1782/artfynd/A 30652-2025 artfynd.xlsx", "A 30652-2025")</f>
        <v/>
      </c>
      <c r="W35">
        <f>HYPERLINK("https://klasma.github.io/Logging_1782/kartor/A 30652-2025 karta.png", "A 30652-2025")</f>
        <v/>
      </c>
      <c r="Y35">
        <f>HYPERLINK("https://klasma.github.io/Logging_1782/klagomål/A 30652-2025 FSC-klagomål.docx", "A 30652-2025")</f>
        <v/>
      </c>
      <c r="Z35">
        <f>HYPERLINK("https://klasma.github.io/Logging_1782/klagomålsmail/A 30652-2025 FSC-klagomål mail.docx", "A 30652-2025")</f>
        <v/>
      </c>
      <c r="AA35">
        <f>HYPERLINK("https://klasma.github.io/Logging_1782/tillsyn/A 30652-2025 tillsynsbegäran.docx", "A 30652-2025")</f>
        <v/>
      </c>
      <c r="AB35">
        <f>HYPERLINK("https://klasma.github.io/Logging_1782/tillsynsmail/A 30652-2025 tillsynsbegäran mail.docx", "A 30652-2025")</f>
        <v/>
      </c>
      <c r="AC35">
        <f>HYPERLINK("https://klasma.github.io/Logging_1782/fåglar/A 30652-2025 prioriterade fågelarter.docx", "A 30652-2025")</f>
        <v/>
      </c>
    </row>
    <row r="36" ht="15" customHeight="1">
      <c r="A36" t="inlineStr">
        <is>
          <t>A 58734-2025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45986</v>
      </c>
      <c r="E36" s="1" t="n">
        <v>46218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18.2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s="2" t="inlineStr">
        <is>
          <t>Tretåig hackspett</t>
        </is>
      </c>
      <c r="V36">
        <f>HYPERLINK("https://klasma.github.io/Logging_1782/artfynd/A 58734-2025 artfynd.xlsx", "A 58734-2025")</f>
        <v/>
      </c>
      <c r="W36">
        <f>HYPERLINK("https://klasma.github.io/Logging_1782/kartor/A 58734-2025 karta.png", "A 58734-2025")</f>
        <v/>
      </c>
      <c r="Y36">
        <f>HYPERLINK("https://klasma.github.io/Logging_1782/klagomål/A 58734-2025 FSC-klagomål.docx", "A 58734-2025")</f>
        <v/>
      </c>
      <c r="Z36">
        <f>HYPERLINK("https://klasma.github.io/Logging_1782/klagomålsmail/A 58734-2025 FSC-klagomål mail.docx", "A 58734-2025")</f>
        <v/>
      </c>
      <c r="AA36">
        <f>HYPERLINK("https://klasma.github.io/Logging_1782/tillsyn/A 58734-2025 tillsynsbegäran.docx", "A 58734-2025")</f>
        <v/>
      </c>
      <c r="AB36">
        <f>HYPERLINK("https://klasma.github.io/Logging_1782/tillsynsmail/A 58734-2025 tillsynsbegäran mail.docx", "A 58734-2025")</f>
        <v/>
      </c>
      <c r="AC36">
        <f>HYPERLINK("https://klasma.github.io/Logging_1782/fåglar/A 58734-2025 prioriterade fågelarter.docx", "A 58734-2025")</f>
        <v/>
      </c>
    </row>
    <row r="37" ht="15" customHeight="1">
      <c r="A37" t="inlineStr">
        <is>
          <t>A 25862-2026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46178</v>
      </c>
      <c r="E37" s="1" t="n">
        <v>46218</v>
      </c>
      <c r="F37" t="inlineStr">
        <is>
          <t>VÄRMLANDS LÄN</t>
        </is>
      </c>
      <c r="G37" t="inlineStr">
        <is>
          <t>FILIPSTAD</t>
        </is>
      </c>
      <c r="H37" t="inlineStr">
        <is>
          <t>Bergvik skog väst AB</t>
        </is>
      </c>
      <c r="I37" t="n">
        <v>3.5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s="2" t="inlineStr">
        <is>
          <t>Talltaggsvamp</t>
        </is>
      </c>
      <c r="V37">
        <f>HYPERLINK("https://klasma.github.io/Logging_1782/artfynd/A 25862-2026 artfynd.xlsx", "A 25862-2026")</f>
        <v/>
      </c>
      <c r="W37">
        <f>HYPERLINK("https://klasma.github.io/Logging_1782/kartor/A 25862-2026 karta.png", "A 25862-2026")</f>
        <v/>
      </c>
      <c r="Y37">
        <f>HYPERLINK("https://klasma.github.io/Logging_1782/klagomål/A 25862-2026 FSC-klagomål.docx", "A 25862-2026")</f>
        <v/>
      </c>
      <c r="Z37">
        <f>HYPERLINK("https://klasma.github.io/Logging_1782/klagomålsmail/A 25862-2026 FSC-klagomål mail.docx", "A 25862-2026")</f>
        <v/>
      </c>
      <c r="AA37">
        <f>HYPERLINK("https://klasma.github.io/Logging_1782/tillsyn/A 25862-2026 tillsynsbegäran.docx", "A 25862-2026")</f>
        <v/>
      </c>
      <c r="AB37">
        <f>HYPERLINK("https://klasma.github.io/Logging_1782/tillsynsmail/A 25862-2026 tillsynsbegäran mail.docx", "A 25862-2026")</f>
        <v/>
      </c>
    </row>
    <row r="38" ht="15" customHeight="1">
      <c r="A38" t="inlineStr">
        <is>
          <t>A 10138-2024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45364</v>
      </c>
      <c r="E38" s="1" t="n">
        <v>46218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6.8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s="2" t="inlineStr">
        <is>
          <t>Purpurknipprot</t>
        </is>
      </c>
      <c r="V38">
        <f>HYPERLINK("https://klasma.github.io/Logging_1782/artfynd/A 10138-2024 artfynd.xlsx", "A 10138-2024")</f>
        <v/>
      </c>
      <c r="W38">
        <f>HYPERLINK("https://klasma.github.io/Logging_1782/kartor/A 10138-2024 karta.png", "A 10138-2024")</f>
        <v/>
      </c>
      <c r="Y38">
        <f>HYPERLINK("https://klasma.github.io/Logging_1782/klagomål/A 10138-2024 FSC-klagomål.docx", "A 10138-2024")</f>
        <v/>
      </c>
      <c r="Z38">
        <f>HYPERLINK("https://klasma.github.io/Logging_1782/klagomålsmail/A 10138-2024 FSC-klagomål mail.docx", "A 10138-2024")</f>
        <v/>
      </c>
      <c r="AA38">
        <f>HYPERLINK("https://klasma.github.io/Logging_1782/tillsyn/A 10138-2024 tillsynsbegäran.docx", "A 10138-2024")</f>
        <v/>
      </c>
      <c r="AB38">
        <f>HYPERLINK("https://klasma.github.io/Logging_1782/tillsynsmail/A 10138-2024 tillsynsbegäran mail.docx", "A 10138-2024")</f>
        <v/>
      </c>
    </row>
    <row r="39" ht="15" customHeight="1">
      <c r="A39" t="inlineStr">
        <is>
          <t>A 34145-2024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45524</v>
      </c>
      <c r="E39" s="1" t="n">
        <v>46218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4.5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s="2" t="inlineStr">
        <is>
          <t>Brunklöver</t>
        </is>
      </c>
      <c r="V39">
        <f>HYPERLINK("https://klasma.github.io/Logging_1782/artfynd/A 34145-2024 artfynd.xlsx", "A 34145-2024")</f>
        <v/>
      </c>
      <c r="W39">
        <f>HYPERLINK("https://klasma.github.io/Logging_1782/kartor/A 34145-2024 karta.png", "A 34145-2024")</f>
        <v/>
      </c>
      <c r="Y39">
        <f>HYPERLINK("https://klasma.github.io/Logging_1782/klagomål/A 34145-2024 FSC-klagomål.docx", "A 34145-2024")</f>
        <v/>
      </c>
      <c r="Z39">
        <f>HYPERLINK("https://klasma.github.io/Logging_1782/klagomålsmail/A 34145-2024 FSC-klagomål mail.docx", "A 34145-2024")</f>
        <v/>
      </c>
      <c r="AA39">
        <f>HYPERLINK("https://klasma.github.io/Logging_1782/tillsyn/A 34145-2024 tillsynsbegäran.docx", "A 34145-2024")</f>
        <v/>
      </c>
      <c r="AB39">
        <f>HYPERLINK("https://klasma.github.io/Logging_1782/tillsynsmail/A 34145-2024 tillsynsbegäran mail.docx", "A 34145-2024")</f>
        <v/>
      </c>
    </row>
    <row r="40" ht="15" customHeight="1">
      <c r="A40" t="inlineStr">
        <is>
          <t>A 4560-2025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45687</v>
      </c>
      <c r="E40" s="1" t="n">
        <v>46218</v>
      </c>
      <c r="F40" t="inlineStr">
        <is>
          <t>VÄRMLANDS LÄN</t>
        </is>
      </c>
      <c r="G40" t="inlineStr">
        <is>
          <t>FILIPSTAD</t>
        </is>
      </c>
      <c r="I40" t="n">
        <v>13.6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s="2" t="inlineStr">
        <is>
          <t>Skrovlig taggsvamp</t>
        </is>
      </c>
      <c r="V40">
        <f>HYPERLINK("https://klasma.github.io/Logging_1782/artfynd/A 4560-2025 artfynd.xlsx", "A 4560-2025")</f>
        <v/>
      </c>
      <c r="W40">
        <f>HYPERLINK("https://klasma.github.io/Logging_1782/kartor/A 4560-2025 karta.png", "A 4560-2025")</f>
        <v/>
      </c>
      <c r="Y40">
        <f>HYPERLINK("https://klasma.github.io/Logging_1782/klagomål/A 4560-2025 FSC-klagomål.docx", "A 4560-2025")</f>
        <v/>
      </c>
      <c r="Z40">
        <f>HYPERLINK("https://klasma.github.io/Logging_1782/klagomålsmail/A 4560-2025 FSC-klagomål mail.docx", "A 4560-2025")</f>
        <v/>
      </c>
      <c r="AA40">
        <f>HYPERLINK("https://klasma.github.io/Logging_1782/tillsyn/A 4560-2025 tillsynsbegäran.docx", "A 4560-2025")</f>
        <v/>
      </c>
      <c r="AB40">
        <f>HYPERLINK("https://klasma.github.io/Logging_1782/tillsynsmail/A 4560-2025 tillsynsbegäran mail.docx", "A 4560-2025")</f>
        <v/>
      </c>
    </row>
    <row r="41" ht="15" customHeight="1">
      <c r="A41" t="inlineStr">
        <is>
          <t>A 51522-2022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44869</v>
      </c>
      <c r="E41" s="1" t="n">
        <v>46218</v>
      </c>
      <c r="F41" t="inlineStr">
        <is>
          <t>VÄRMLANDS LÄN</t>
        </is>
      </c>
      <c r="G41" t="inlineStr">
        <is>
          <t>FILIPSTAD</t>
        </is>
      </c>
      <c r="I41" t="n">
        <v>4.1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Tibast</t>
        </is>
      </c>
      <c r="V41">
        <f>HYPERLINK("https://klasma.github.io/Logging_1782/artfynd/A 51522-2022 artfynd.xlsx", "A 51522-2022")</f>
        <v/>
      </c>
      <c r="W41">
        <f>HYPERLINK("https://klasma.github.io/Logging_1782/kartor/A 51522-2022 karta.png", "A 51522-2022")</f>
        <v/>
      </c>
      <c r="Y41">
        <f>HYPERLINK("https://klasma.github.io/Logging_1782/klagomål/A 51522-2022 FSC-klagomål.docx", "A 51522-2022")</f>
        <v/>
      </c>
      <c r="Z41">
        <f>HYPERLINK("https://klasma.github.io/Logging_1782/klagomålsmail/A 51522-2022 FSC-klagomål mail.docx", "A 51522-2022")</f>
        <v/>
      </c>
      <c r="AA41">
        <f>HYPERLINK("https://klasma.github.io/Logging_1782/tillsyn/A 51522-2022 tillsynsbegäran.docx", "A 51522-2022")</f>
        <v/>
      </c>
      <c r="AB41">
        <f>HYPERLINK("https://klasma.github.io/Logging_1782/tillsynsmail/A 51522-2022 tillsynsbegäran mail.docx", "A 51522-2022")</f>
        <v/>
      </c>
    </row>
    <row r="42" ht="15" customHeight="1">
      <c r="A42" t="inlineStr">
        <is>
          <t>A 28915-2026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46199</v>
      </c>
      <c r="E42" s="1" t="n">
        <v>46218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12.3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Stjärnstarr</t>
        </is>
      </c>
      <c r="V42">
        <f>HYPERLINK("https://klasma.github.io/Logging_1782/artfynd/A 28915-2026 artfynd.xlsx", "A 28915-2026")</f>
        <v/>
      </c>
      <c r="W42">
        <f>HYPERLINK("https://klasma.github.io/Logging_1782/kartor/A 28915-2026 karta.png", "A 28915-2026")</f>
        <v/>
      </c>
      <c r="Y42">
        <f>HYPERLINK("https://klasma.github.io/Logging_1782/klagomål/A 28915-2026 FSC-klagomål.docx", "A 28915-2026")</f>
        <v/>
      </c>
      <c r="Z42">
        <f>HYPERLINK("https://klasma.github.io/Logging_1782/klagomålsmail/A 28915-2026 FSC-klagomål mail.docx", "A 28915-2026")</f>
        <v/>
      </c>
      <c r="AA42">
        <f>HYPERLINK("https://klasma.github.io/Logging_1782/tillsyn/A 28915-2026 tillsynsbegäran.docx", "A 28915-2026")</f>
        <v/>
      </c>
      <c r="AB42">
        <f>HYPERLINK("https://klasma.github.io/Logging_1782/tillsynsmail/A 28915-2026 tillsynsbegäran mail.docx", "A 28915-2026")</f>
        <v/>
      </c>
    </row>
    <row r="43" ht="15" customHeight="1">
      <c r="A43" t="inlineStr">
        <is>
          <t>A 17529-2026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46120</v>
      </c>
      <c r="E43" s="1" t="n">
        <v>46218</v>
      </c>
      <c r="F43" t="inlineStr">
        <is>
          <t>VÄRMLANDS LÄN</t>
        </is>
      </c>
      <c r="G43" t="inlineStr">
        <is>
          <t>FILIPSTAD</t>
        </is>
      </c>
      <c r="I43" t="n">
        <v>7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s="2" t="inlineStr">
        <is>
          <t>Ädellav</t>
        </is>
      </c>
      <c r="V43">
        <f>HYPERLINK("https://klasma.github.io/Logging_1782/artfynd/A 17529-2026 artfynd.xlsx", "A 17529-2026")</f>
        <v/>
      </c>
      <c r="W43">
        <f>HYPERLINK("https://klasma.github.io/Logging_1782/kartor/A 17529-2026 karta.png", "A 17529-2026")</f>
        <v/>
      </c>
      <c r="Y43">
        <f>HYPERLINK("https://klasma.github.io/Logging_1782/klagomål/A 17529-2026 FSC-klagomål.docx", "A 17529-2026")</f>
        <v/>
      </c>
      <c r="Z43">
        <f>HYPERLINK("https://klasma.github.io/Logging_1782/klagomålsmail/A 17529-2026 FSC-klagomål mail.docx", "A 17529-2026")</f>
        <v/>
      </c>
      <c r="AA43">
        <f>HYPERLINK("https://klasma.github.io/Logging_1782/tillsyn/A 17529-2026 tillsynsbegäran.docx", "A 17529-2026")</f>
        <v/>
      </c>
      <c r="AB43">
        <f>HYPERLINK("https://klasma.github.io/Logging_1782/tillsynsmail/A 17529-2026 tillsynsbegäran mail.docx", "A 17529-2026")</f>
        <v/>
      </c>
    </row>
    <row r="44" ht="15" customHeight="1">
      <c r="A44" t="inlineStr">
        <is>
          <t>S 264-2022</t>
        </is>
      </c>
      <c r="B44" t="inlineStr">
        <is>
          <t>samrådsanmälan</t>
        </is>
      </c>
      <c r="C44" t="inlineStr">
        <is>
          <t>Skogsgödsling</t>
        </is>
      </c>
      <c r="D44" s="1" t="n">
        <v>44578</v>
      </c>
      <c r="E44" s="1" t="n">
        <v>46218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398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Slaguggla</t>
        </is>
      </c>
      <c r="V44">
        <f>HYPERLINK("https://klasma.github.io/Logging_1782/artfynd/S 264-2022 artfynd.xlsx", "S 264-2022")</f>
        <v/>
      </c>
      <c r="W44">
        <f>HYPERLINK("https://klasma.github.io/Logging_1782/kartor/S 264-2022 karta.png", "S 264-2022")</f>
        <v/>
      </c>
      <c r="Y44">
        <f>HYPERLINK("https://klasma.github.io/Logging_1782/klagomål/S 264-2022 FSC-klagomål.docx", "S 264-2022")</f>
        <v/>
      </c>
      <c r="Z44">
        <f>HYPERLINK("https://klasma.github.io/Logging_1782/klagomålsmail/S 264-2022 FSC-klagomål mail.docx", "S 264-2022")</f>
        <v/>
      </c>
      <c r="AA44">
        <f>HYPERLINK("https://klasma.github.io/Logging_1782/tillsyn/S 264-2022 tillsynsbegäran.docx", "S 264-2022")</f>
        <v/>
      </c>
      <c r="AB44">
        <f>HYPERLINK("https://klasma.github.io/Logging_1782/tillsynsmail/S 264-2022 tillsynsbegäran mail.docx", "S 264-2022")</f>
        <v/>
      </c>
      <c r="AC44">
        <f>HYPERLINK("https://klasma.github.io/Logging_1782/fåglar/S 264-2022 prioriterade fågelarter.docx", "S 264-2022")</f>
        <v/>
      </c>
    </row>
    <row r="45" ht="15" customHeight="1">
      <c r="A45" t="inlineStr">
        <is>
          <t>S 383-2025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45691</v>
      </c>
      <c r="E45" s="1" t="n">
        <v>46218</v>
      </c>
      <c r="F45" t="inlineStr">
        <is>
          <t>VÄRMLANDS LÄN</t>
        </is>
      </c>
      <c r="G45" t="inlineStr">
        <is>
          <t>FILIPSTAD</t>
        </is>
      </c>
      <c r="I45" t="n">
        <v>18.6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s="2" t="inlineStr">
        <is>
          <t>Skrovlig taggsvamp</t>
        </is>
      </c>
      <c r="V45">
        <f>HYPERLINK("https://klasma.github.io/Logging_1782/artfynd/S 383-2025 artfynd.xlsx", "S 383-2025")</f>
        <v/>
      </c>
      <c r="W45">
        <f>HYPERLINK("https://klasma.github.io/Logging_1782/kartor/S 383-2025 karta.png", "S 383-2025")</f>
        <v/>
      </c>
      <c r="Y45">
        <f>HYPERLINK("https://klasma.github.io/Logging_1782/klagomål/S 383-2025 FSC-klagomål.docx", "S 383-2025")</f>
        <v/>
      </c>
      <c r="Z45">
        <f>HYPERLINK("https://klasma.github.io/Logging_1782/klagomålsmail/S 383-2025 FSC-klagomål mail.docx", "S 383-2025")</f>
        <v/>
      </c>
      <c r="AA45">
        <f>HYPERLINK("https://klasma.github.io/Logging_1782/tillsyn/S 383-2025 tillsynsbegäran.docx", "S 383-2025")</f>
        <v/>
      </c>
      <c r="AB45">
        <f>HYPERLINK("https://klasma.github.io/Logging_1782/tillsynsmail/S 383-2025 tillsynsbegäran mail.docx", "S 383-2025")</f>
        <v/>
      </c>
    </row>
    <row r="46" ht="15" customHeight="1">
      <c r="A46" t="inlineStr">
        <is>
          <t>A 8482-2022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44613</v>
      </c>
      <c r="E46" s="1" t="n">
        <v>46218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5.2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52992-2021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44467</v>
      </c>
      <c r="E47" s="1" t="n">
        <v>46218</v>
      </c>
      <c r="F47" t="inlineStr">
        <is>
          <t>VÄRMLANDS LÄN</t>
        </is>
      </c>
      <c r="G47" t="inlineStr">
        <is>
          <t>FILIPSTAD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15932-2022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44664</v>
      </c>
      <c r="E48" s="1" t="n">
        <v>46218</v>
      </c>
      <c r="F48" t="inlineStr">
        <is>
          <t>VÄRMLANDS LÄN</t>
        </is>
      </c>
      <c r="G48" t="inlineStr">
        <is>
          <t>FILIPSTAD</t>
        </is>
      </c>
      <c r="H48" t="inlineStr">
        <is>
          <t>Bergvik skog väst AB</t>
        </is>
      </c>
      <c r="I48" t="n">
        <v>11.5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63144-2021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44505</v>
      </c>
      <c r="E49" s="1" t="n">
        <v>46218</v>
      </c>
      <c r="F49" t="inlineStr">
        <is>
          <t>VÄRMLANDS LÄN</t>
        </is>
      </c>
      <c r="G49" t="inlineStr">
        <is>
          <t>FILIPSTAD</t>
        </is>
      </c>
      <c r="I49" t="n">
        <v>24.3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44401-2021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44435</v>
      </c>
      <c r="E50" s="1" t="n">
        <v>46218</v>
      </c>
      <c r="F50" t="inlineStr">
        <is>
          <t>VÄRMLANDS LÄN</t>
        </is>
      </c>
      <c r="G50" t="inlineStr">
        <is>
          <t>FILIPSTAD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50914-2021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44460</v>
      </c>
      <c r="E51" s="1" t="n">
        <v>46218</v>
      </c>
      <c r="F51" t="inlineStr">
        <is>
          <t>VÄRMLANDS LÄN</t>
        </is>
      </c>
      <c r="G51" t="inlineStr">
        <is>
          <t>FILIPSTAD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7415-2022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44606</v>
      </c>
      <c r="E52" s="1" t="n">
        <v>46218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28198-2022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44746</v>
      </c>
      <c r="E53" s="1" t="n">
        <v>46218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49736-2021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44453</v>
      </c>
      <c r="E54" s="1" t="n">
        <v>46218</v>
      </c>
      <c r="F54" t="inlineStr">
        <is>
          <t>VÄRMLANDS LÄN</t>
        </is>
      </c>
      <c r="G54" t="inlineStr">
        <is>
          <t>FILIPSTAD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37783-2021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44401</v>
      </c>
      <c r="E55" s="1" t="n">
        <v>46218</v>
      </c>
      <c r="F55" t="inlineStr">
        <is>
          <t>VÄRMLANDS LÄN</t>
        </is>
      </c>
      <c r="G55" t="inlineStr">
        <is>
          <t>FILIPSTAD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37784-2021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44401</v>
      </c>
      <c r="E56" s="1" t="n">
        <v>46218</v>
      </c>
      <c r="F56" t="inlineStr">
        <is>
          <t>VÄRMLANDS LÄN</t>
        </is>
      </c>
      <c r="G56" t="inlineStr">
        <is>
          <t>FILIPSTAD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52384-2021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44465</v>
      </c>
      <c r="E57" s="1" t="n">
        <v>46218</v>
      </c>
      <c r="F57" t="inlineStr">
        <is>
          <t>VÄRMLANDS LÄN</t>
        </is>
      </c>
      <c r="G57" t="inlineStr">
        <is>
          <t>FILIPSTAD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24442-2022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44726</v>
      </c>
      <c r="E58" s="1" t="n">
        <v>46218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30.7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63714-2021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44505</v>
      </c>
      <c r="E59" s="1" t="n">
        <v>46218</v>
      </c>
      <c r="F59" t="inlineStr">
        <is>
          <t>VÄRMLANDS LÄN</t>
        </is>
      </c>
      <c r="G59" t="inlineStr">
        <is>
          <t>FILIPSTAD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14077-2022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44651</v>
      </c>
      <c r="E60" s="1" t="n">
        <v>46218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18.7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50063-2021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46218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23063-2022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44719</v>
      </c>
      <c r="E62" s="1" t="n">
        <v>46218</v>
      </c>
      <c r="F62" t="inlineStr">
        <is>
          <t>VÄRMLANDS LÄN</t>
        </is>
      </c>
      <c r="G62" t="inlineStr">
        <is>
          <t>FILIPSTAD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7292-2022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44606</v>
      </c>
      <c r="E63" s="1" t="n">
        <v>46218</v>
      </c>
      <c r="F63" t="inlineStr">
        <is>
          <t>VÄRMLANDS LÄN</t>
        </is>
      </c>
      <c r="G63" t="inlineStr">
        <is>
          <t>FILIPSTAD</t>
        </is>
      </c>
      <c r="H63" t="inlineStr">
        <is>
          <t>Bergvik skog väst AB</t>
        </is>
      </c>
      <c r="I63" t="n">
        <v>4.8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22356-2022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44713</v>
      </c>
      <c r="E64" s="1" t="n">
        <v>46218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32680-2022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44783</v>
      </c>
      <c r="E65" s="1" t="n">
        <v>46218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30.5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57090-2021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44482</v>
      </c>
      <c r="E66" s="1" t="n">
        <v>46218</v>
      </c>
      <c r="F66" t="inlineStr">
        <is>
          <t>VÄRMLANDS LÄN</t>
        </is>
      </c>
      <c r="G66" t="inlineStr">
        <is>
          <t>FILIPSTAD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46218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46218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50009-2021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44454</v>
      </c>
      <c r="E69" s="1" t="n">
        <v>46218</v>
      </c>
      <c r="F69" t="inlineStr">
        <is>
          <t>VÄRMLANDS LÄN</t>
        </is>
      </c>
      <c r="G69" t="inlineStr">
        <is>
          <t>FILIPSTAD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19626-2022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44694</v>
      </c>
      <c r="E70" s="1" t="n">
        <v>46218</v>
      </c>
      <c r="F70" t="inlineStr">
        <is>
          <t>VÄRMLANDS LÄN</t>
        </is>
      </c>
      <c r="G70" t="inlineStr">
        <is>
          <t>FILIPSTAD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59954-2021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44494</v>
      </c>
      <c r="E71" s="1" t="n">
        <v>46218</v>
      </c>
      <c r="F71" t="inlineStr">
        <is>
          <t>VÄRMLANDS LÄN</t>
        </is>
      </c>
      <c r="G71" t="inlineStr">
        <is>
          <t>FILIPSTAD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14582-2022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44655</v>
      </c>
      <c r="E72" s="1" t="n">
        <v>46218</v>
      </c>
      <c r="F72" t="inlineStr">
        <is>
          <t>VÄRMLANDS LÄN</t>
        </is>
      </c>
      <c r="G72" t="inlineStr">
        <is>
          <t>FILIPSTAD</t>
        </is>
      </c>
      <c r="H72" t="inlineStr">
        <is>
          <t>Bergvik skog väst AB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64526-2021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44511</v>
      </c>
      <c r="E73" s="1" t="n">
        <v>46218</v>
      </c>
      <c r="F73" t="inlineStr">
        <is>
          <t>VÄRMLANDS LÄN</t>
        </is>
      </c>
      <c r="G73" t="inlineStr">
        <is>
          <t>FILIPSTAD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9270-2023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44980</v>
      </c>
      <c r="E74" s="1" t="n">
        <v>46218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14074-2022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44651</v>
      </c>
      <c r="E75" s="1" t="n">
        <v>46218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66376-2021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44518</v>
      </c>
      <c r="E76" s="1" t="n">
        <v>46218</v>
      </c>
      <c r="F76" t="inlineStr">
        <is>
          <t>VÄRMLANDS LÄN</t>
        </is>
      </c>
      <c r="G76" t="inlineStr">
        <is>
          <t>FILIPSTAD</t>
        </is>
      </c>
      <c r="H76" t="inlineStr">
        <is>
          <t>Bergvik skog väst AB</t>
        </is>
      </c>
      <c r="I76" t="n">
        <v>9.800000000000001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57087-2021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44482</v>
      </c>
      <c r="E77" s="1" t="n">
        <v>46218</v>
      </c>
      <c r="F77" t="inlineStr">
        <is>
          <t>VÄRMLANDS LÄN</t>
        </is>
      </c>
      <c r="G77" t="inlineStr">
        <is>
          <t>FILIPSTAD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5928-2022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44598</v>
      </c>
      <c r="E78" s="1" t="n">
        <v>46218</v>
      </c>
      <c r="F78" t="inlineStr">
        <is>
          <t>VÄRMLANDS LÄN</t>
        </is>
      </c>
      <c r="G78" t="inlineStr">
        <is>
          <t>FILIPSTAD</t>
        </is>
      </c>
      <c r="I78" t="n">
        <v>1.6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2437-2025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45674</v>
      </c>
      <c r="E79" s="1" t="n">
        <v>46218</v>
      </c>
      <c r="F79" t="inlineStr">
        <is>
          <t>VÄRMLANDS LÄN</t>
        </is>
      </c>
      <c r="G79" t="inlineStr">
        <is>
          <t>FILIPSTAD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6674-2025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45700</v>
      </c>
      <c r="E80" s="1" t="n">
        <v>46218</v>
      </c>
      <c r="F80" t="inlineStr">
        <is>
          <t>VÄRMLANDS LÄN</t>
        </is>
      </c>
      <c r="G80" t="inlineStr">
        <is>
          <t>FILIPSTAD</t>
        </is>
      </c>
      <c r="I80" t="n">
        <v>5.7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34262-2024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45524</v>
      </c>
      <c r="E81" s="1" t="n">
        <v>46218</v>
      </c>
      <c r="F81" t="inlineStr">
        <is>
          <t>VÄRMLANDS LÄN</t>
        </is>
      </c>
      <c r="G81" t="inlineStr">
        <is>
          <t>FILIPSTAD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57244-2023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46218</v>
      </c>
      <c r="F82" t="inlineStr">
        <is>
          <t>VÄRMLANDS LÄN</t>
        </is>
      </c>
      <c r="G82" t="inlineStr">
        <is>
          <t>FILIPSTAD</t>
        </is>
      </c>
      <c r="H82" t="inlineStr">
        <is>
          <t>Bergvik skog väst AB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54398-2024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45617</v>
      </c>
      <c r="E83" s="1" t="n">
        <v>46218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45592-2024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45579</v>
      </c>
      <c r="E84" s="1" t="n">
        <v>46218</v>
      </c>
      <c r="F84" t="inlineStr">
        <is>
          <t>VÄRMLANDS LÄN</t>
        </is>
      </c>
      <c r="G84" t="inlineStr">
        <is>
          <t>FILIPSTAD</t>
        </is>
      </c>
      <c r="H84" t="inlineStr">
        <is>
          <t>Kyrkan</t>
        </is>
      </c>
      <c r="I84" t="n">
        <v>4.1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43264-2024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46218</v>
      </c>
      <c r="F85" t="inlineStr">
        <is>
          <t>VÄRMLANDS LÄN</t>
        </is>
      </c>
      <c r="G85" t="inlineStr">
        <is>
          <t>FILIPSTAD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34116-2024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45524</v>
      </c>
      <c r="E86" s="1" t="n">
        <v>46218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36809-2022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44805</v>
      </c>
      <c r="E87" s="1" t="n">
        <v>46218</v>
      </c>
      <c r="F87" t="inlineStr">
        <is>
          <t>VÄRMLANDS LÄN</t>
        </is>
      </c>
      <c r="G87" t="inlineStr">
        <is>
          <t>FILIPSTAD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43233-2023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45180</v>
      </c>
      <c r="E88" s="1" t="n">
        <v>46218</v>
      </c>
      <c r="F88" t="inlineStr">
        <is>
          <t>VÄRMLANDS LÄN</t>
        </is>
      </c>
      <c r="G88" t="inlineStr">
        <is>
          <t>FILIPSTAD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22830-2023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45072</v>
      </c>
      <c r="E89" s="1" t="n">
        <v>46218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22866-2023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45072</v>
      </c>
      <c r="E90" s="1" t="n">
        <v>46218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6860-2024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45342</v>
      </c>
      <c r="E91" s="1" t="n">
        <v>46218</v>
      </c>
      <c r="F91" t="inlineStr">
        <is>
          <t>VÄRMLANDS LÄN</t>
        </is>
      </c>
      <c r="G91" t="inlineStr">
        <is>
          <t>FILIPSTAD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62787-2023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45271</v>
      </c>
      <c r="E92" s="1" t="n">
        <v>46218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50904-2023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45218</v>
      </c>
      <c r="E93" s="1" t="n">
        <v>46218</v>
      </c>
      <c r="F93" t="inlineStr">
        <is>
          <t>VÄRMLANDS LÄN</t>
        </is>
      </c>
      <c r="G93" t="inlineStr">
        <is>
          <t>FILIPSTAD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12247-2022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44637</v>
      </c>
      <c r="E94" s="1" t="n">
        <v>46218</v>
      </c>
      <c r="F94" t="inlineStr">
        <is>
          <t>VÄRMLANDS LÄN</t>
        </is>
      </c>
      <c r="G94" t="inlineStr">
        <is>
          <t>FILIPSTAD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25737-2023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45090</v>
      </c>
      <c r="E95" s="1" t="n">
        <v>46218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40244-2023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45169</v>
      </c>
      <c r="E96" s="1" t="n">
        <v>46218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40764-2025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45897</v>
      </c>
      <c r="E97" s="1" t="n">
        <v>46218</v>
      </c>
      <c r="F97" t="inlineStr">
        <is>
          <t>VÄRMLANDS LÄN</t>
        </is>
      </c>
      <c r="G97" t="inlineStr">
        <is>
          <t>FILIPSTAD</t>
        </is>
      </c>
      <c r="H97" t="inlineStr">
        <is>
          <t>Bergvik skog väst AB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5803-2023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44963</v>
      </c>
      <c r="E98" s="1" t="n">
        <v>46218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17788-2024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45418</v>
      </c>
      <c r="E99" s="1" t="n">
        <v>46218</v>
      </c>
      <c r="F99" t="inlineStr">
        <is>
          <t>VÄRMLANDS LÄN</t>
        </is>
      </c>
      <c r="G99" t="inlineStr">
        <is>
          <t>FILIPSTAD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45664</v>
      </c>
      <c r="E100" s="1" t="n">
        <v>46218</v>
      </c>
      <c r="F100" t="inlineStr">
        <is>
          <t>VÄRMLANDS LÄN</t>
        </is>
      </c>
      <c r="G100" t="inlineStr">
        <is>
          <t>FILIPSTAD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37577-2023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45159</v>
      </c>
      <c r="E101" s="1" t="n">
        <v>46218</v>
      </c>
      <c r="F101" t="inlineStr">
        <is>
          <t>VÄRMLANDS LÄN</t>
        </is>
      </c>
      <c r="G101" t="inlineStr">
        <is>
          <t>FILIPSTAD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41718-2025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45902</v>
      </c>
      <c r="E102" s="1" t="n">
        <v>46218</v>
      </c>
      <c r="F102" t="inlineStr">
        <is>
          <t>VÄRMLANDS LÄN</t>
        </is>
      </c>
      <c r="G102" t="inlineStr">
        <is>
          <t>FILIPSTAD</t>
        </is>
      </c>
      <c r="I102" t="n">
        <v>0.1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45511-2024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45578</v>
      </c>
      <c r="E103" s="1" t="n">
        <v>46218</v>
      </c>
      <c r="F103" t="inlineStr">
        <is>
          <t>VÄRMLANDS LÄN</t>
        </is>
      </c>
      <c r="G103" t="inlineStr">
        <is>
          <t>FILIPSTAD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19351-2025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45769</v>
      </c>
      <c r="E104" s="1" t="n">
        <v>46218</v>
      </c>
      <c r="F104" t="inlineStr">
        <is>
          <t>VÄRMLANDS LÄN</t>
        </is>
      </c>
      <c r="G104" t="inlineStr">
        <is>
          <t>FILIPSTAD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43064-2025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45909</v>
      </c>
      <c r="E105" s="1" t="n">
        <v>46218</v>
      </c>
      <c r="F105" t="inlineStr">
        <is>
          <t>VÄRMLANDS LÄN</t>
        </is>
      </c>
      <c r="G105" t="inlineStr">
        <is>
          <t>FILIPSTAD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57588-2023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45246</v>
      </c>
      <c r="E106" s="1" t="n">
        <v>46218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57531-2024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45630</v>
      </c>
      <c r="E107" s="1" t="n">
        <v>46218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43045-2024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45567</v>
      </c>
      <c r="E108" s="1" t="n">
        <v>46218</v>
      </c>
      <c r="F108" t="inlineStr">
        <is>
          <t>VÄRMLANDS LÄN</t>
        </is>
      </c>
      <c r="G108" t="inlineStr">
        <is>
          <t>FILIPSTAD</t>
        </is>
      </c>
      <c r="H108" t="inlineStr">
        <is>
          <t>Kyrkan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1750-2025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45671</v>
      </c>
      <c r="E109" s="1" t="n">
        <v>46218</v>
      </c>
      <c r="F109" t="inlineStr">
        <is>
          <t>VÄRMLANDS LÄN</t>
        </is>
      </c>
      <c r="G109" t="inlineStr">
        <is>
          <t>FILIPSTAD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6683-2025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46218</v>
      </c>
      <c r="F110" t="inlineStr">
        <is>
          <t>VÄRMLANDS LÄN</t>
        </is>
      </c>
      <c r="G110" t="inlineStr">
        <is>
          <t>FILIPSTAD</t>
        </is>
      </c>
      <c r="I110" t="n">
        <v>5.9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491-2024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45299</v>
      </c>
      <c r="E111" s="1" t="n">
        <v>46218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4.6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16371-2024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45407</v>
      </c>
      <c r="E112" s="1" t="n">
        <v>46218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43571-2025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45911</v>
      </c>
      <c r="E113" s="1" t="n">
        <v>46218</v>
      </c>
      <c r="F113" t="inlineStr">
        <is>
          <t>VÄRMLANDS LÄN</t>
        </is>
      </c>
      <c r="G113" t="inlineStr">
        <is>
          <t>FILIPSTAD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869-2025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45665</v>
      </c>
      <c r="E114" s="1" t="n">
        <v>46218</v>
      </c>
      <c r="F114" t="inlineStr">
        <is>
          <t>VÄRMLANDS LÄN</t>
        </is>
      </c>
      <c r="G114" t="inlineStr">
        <is>
          <t>FILIPSTAD</t>
        </is>
      </c>
      <c r="I114" t="n">
        <v>11.7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33967-2023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45124</v>
      </c>
      <c r="E115" s="1" t="n">
        <v>46218</v>
      </c>
      <c r="F115" t="inlineStr">
        <is>
          <t>VÄRMLANDS LÄN</t>
        </is>
      </c>
      <c r="G115" t="inlineStr">
        <is>
          <t>FILIPSTAD</t>
        </is>
      </c>
      <c r="I115" t="n">
        <v>3.1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25376-2023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45088</v>
      </c>
      <c r="E116" s="1" t="n">
        <v>46218</v>
      </c>
      <c r="F116" t="inlineStr">
        <is>
          <t>VÄRMLANDS LÄN</t>
        </is>
      </c>
      <c r="G116" t="inlineStr">
        <is>
          <t>FILIPSTAD</t>
        </is>
      </c>
      <c r="I116" t="n">
        <v>3.2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20606-2025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45775</v>
      </c>
      <c r="E117" s="1" t="n">
        <v>46218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14582-2025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45742</v>
      </c>
      <c r="E118" s="1" t="n">
        <v>46218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19705-2025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45771</v>
      </c>
      <c r="E119" s="1" t="n">
        <v>46218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27107-2024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45471</v>
      </c>
      <c r="E120" s="1" t="n">
        <v>46218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69015-2021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44530</v>
      </c>
      <c r="E121" s="1" t="n">
        <v>46218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12.7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27789-2022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44743</v>
      </c>
      <c r="E122" s="1" t="n">
        <v>46218</v>
      </c>
      <c r="F122" t="inlineStr">
        <is>
          <t>VÄRMLANDS LÄN</t>
        </is>
      </c>
      <c r="G122" t="inlineStr">
        <is>
          <t>FILIPSTAD</t>
        </is>
      </c>
      <c r="H122" t="inlineStr">
        <is>
          <t>Bergvik skog väst AB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20966-2024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45439</v>
      </c>
      <c r="E123" s="1" t="n">
        <v>46218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39566-2023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45167</v>
      </c>
      <c r="E124" s="1" t="n">
        <v>46218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6520-2023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44960</v>
      </c>
      <c r="E125" s="1" t="n">
        <v>46218</v>
      </c>
      <c r="F125" t="inlineStr">
        <is>
          <t>VÄRMLANDS LÄN</t>
        </is>
      </c>
      <c r="G125" t="inlineStr">
        <is>
          <t>FILIPSTAD</t>
        </is>
      </c>
      <c r="H125" t="inlineStr">
        <is>
          <t>Kommuner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14268-2024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45393</v>
      </c>
      <c r="E126" s="1" t="n">
        <v>46218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46282-2025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45925</v>
      </c>
      <c r="E127" s="1" t="n">
        <v>46218</v>
      </c>
      <c r="F127" t="inlineStr">
        <is>
          <t>VÄRMLANDS LÄN</t>
        </is>
      </c>
      <c r="G127" t="inlineStr">
        <is>
          <t>FILIPSTAD</t>
        </is>
      </c>
      <c r="H127" t="inlineStr">
        <is>
          <t>Bergvik skog väst AB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46204-2025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45924</v>
      </c>
      <c r="E128" s="1" t="n">
        <v>46218</v>
      </c>
      <c r="F128" t="inlineStr">
        <is>
          <t>VÄRMLANDS LÄN</t>
        </is>
      </c>
      <c r="G128" t="inlineStr">
        <is>
          <t>FILIPSTAD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20661-2024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45436</v>
      </c>
      <c r="E129" s="1" t="n">
        <v>46218</v>
      </c>
      <c r="F129" t="inlineStr">
        <is>
          <t>VÄRMLANDS LÄN</t>
        </is>
      </c>
      <c r="G129" t="inlineStr">
        <is>
          <t>FILIPSTAD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46906-2025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45929</v>
      </c>
      <c r="E130" s="1" t="n">
        <v>46218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7.2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62540-2023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45267</v>
      </c>
      <c r="E131" s="1" t="n">
        <v>46218</v>
      </c>
      <c r="F131" t="inlineStr">
        <is>
          <t>VÄRMLANDS LÄN</t>
        </is>
      </c>
      <c r="G131" t="inlineStr">
        <is>
          <t>FILIPSTAD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63482-2021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44508</v>
      </c>
      <c r="E132" s="1" t="n">
        <v>46218</v>
      </c>
      <c r="F132" t="inlineStr">
        <is>
          <t>VÄRMLANDS LÄN</t>
        </is>
      </c>
      <c r="G132" t="inlineStr">
        <is>
          <t>FILIPSTAD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15228-2025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45744</v>
      </c>
      <c r="E133" s="1" t="n">
        <v>46218</v>
      </c>
      <c r="F133" t="inlineStr">
        <is>
          <t>VÄRMLANDS LÄN</t>
        </is>
      </c>
      <c r="G133" t="inlineStr">
        <is>
          <t>FILIPSTAD</t>
        </is>
      </c>
      <c r="H133" t="inlineStr">
        <is>
          <t>Kommuner</t>
        </is>
      </c>
      <c r="I133" t="n">
        <v>17.7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59296-2023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45253</v>
      </c>
      <c r="E134" s="1" t="n">
        <v>46218</v>
      </c>
      <c r="F134" t="inlineStr">
        <is>
          <t>VÄRMLANDS LÄN</t>
        </is>
      </c>
      <c r="G134" t="inlineStr">
        <is>
          <t>FILIPSTAD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56840-2024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45628</v>
      </c>
      <c r="E135" s="1" t="n">
        <v>46218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53690-2022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44880</v>
      </c>
      <c r="E136" s="1" t="n">
        <v>46218</v>
      </c>
      <c r="F136" t="inlineStr">
        <is>
          <t>VÄRMLANDS LÄN</t>
        </is>
      </c>
      <c r="G136" t="inlineStr">
        <is>
          <t>FILIPSTAD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16584-2024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45408</v>
      </c>
      <c r="E137" s="1" t="n">
        <v>46218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6728-2025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45700</v>
      </c>
      <c r="E138" s="1" t="n">
        <v>46218</v>
      </c>
      <c r="F138" t="inlineStr">
        <is>
          <t>VÄRMLANDS LÄN</t>
        </is>
      </c>
      <c r="G138" t="inlineStr">
        <is>
          <t>FILIPSTAD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47566-2025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45931</v>
      </c>
      <c r="E139" s="1" t="n">
        <v>46218</v>
      </c>
      <c r="F139" t="inlineStr">
        <is>
          <t>VÄRMLANDS LÄN</t>
        </is>
      </c>
      <c r="G139" t="inlineStr">
        <is>
          <t>FILIPSTAD</t>
        </is>
      </c>
      <c r="H139" t="inlineStr">
        <is>
          <t>Bergvik skog väst AB</t>
        </is>
      </c>
      <c r="I139" t="n">
        <v>4.5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47633-2025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45931</v>
      </c>
      <c r="E140" s="1" t="n">
        <v>46218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48040-2023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45204</v>
      </c>
      <c r="E141" s="1" t="n">
        <v>46218</v>
      </c>
      <c r="F141" t="inlineStr">
        <is>
          <t>VÄRMLANDS LÄN</t>
        </is>
      </c>
      <c r="G141" t="inlineStr">
        <is>
          <t>FILIPSTAD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52981-2021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44467</v>
      </c>
      <c r="E142" s="1" t="n">
        <v>46218</v>
      </c>
      <c r="F142" t="inlineStr">
        <is>
          <t>VÄRMLANDS LÄN</t>
        </is>
      </c>
      <c r="G142" t="inlineStr">
        <is>
          <t>FILIPSTAD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25338-2023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45087</v>
      </c>
      <c r="E143" s="1" t="n">
        <v>46218</v>
      </c>
      <c r="F143" t="inlineStr">
        <is>
          <t>VÄRMLANDS LÄN</t>
        </is>
      </c>
      <c r="G143" t="inlineStr">
        <is>
          <t>FILIPSTAD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25375-2023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45088</v>
      </c>
      <c r="E144" s="1" t="n">
        <v>46218</v>
      </c>
      <c r="F144" t="inlineStr">
        <is>
          <t>VÄRMLANDS LÄN</t>
        </is>
      </c>
      <c r="G144" t="inlineStr">
        <is>
          <t>FILIPSTAD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10306-2025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45720</v>
      </c>
      <c r="E145" s="1" t="n">
        <v>46218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53034-2022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44876</v>
      </c>
      <c r="E146" s="1" t="n">
        <v>46218</v>
      </c>
      <c r="F146" t="inlineStr">
        <is>
          <t>VÄRMLANDS LÄN</t>
        </is>
      </c>
      <c r="G146" t="inlineStr">
        <is>
          <t>FILIPSTAD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55978-2022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44889</v>
      </c>
      <c r="E147" s="1" t="n">
        <v>46218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4620-2024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45328</v>
      </c>
      <c r="E148" s="1" t="n">
        <v>46218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51985-2023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45223</v>
      </c>
      <c r="E149" s="1" t="n">
        <v>46218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6.7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18138-2022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44684</v>
      </c>
      <c r="E150" s="1" t="n">
        <v>46218</v>
      </c>
      <c r="F150" t="inlineStr">
        <is>
          <t>VÄRMLANDS LÄN</t>
        </is>
      </c>
      <c r="G150" t="inlineStr">
        <is>
          <t>FILIPSTAD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16103-2025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45750</v>
      </c>
      <c r="E151" s="1" t="n">
        <v>46218</v>
      </c>
      <c r="F151" t="inlineStr">
        <is>
          <t>VÄRMLANDS LÄN</t>
        </is>
      </c>
      <c r="G151" t="inlineStr">
        <is>
          <t>FILIPSTAD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51266-2021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44461</v>
      </c>
      <c r="E152" s="1" t="n">
        <v>46218</v>
      </c>
      <c r="F152" t="inlineStr">
        <is>
          <t>VÄRMLANDS LÄN</t>
        </is>
      </c>
      <c r="G152" t="inlineStr">
        <is>
          <t>FILIPSTAD</t>
        </is>
      </c>
      <c r="I152" t="n">
        <v>4.7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51618-2022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44872</v>
      </c>
      <c r="E153" s="1" t="n">
        <v>46218</v>
      </c>
      <c r="F153" t="inlineStr">
        <is>
          <t>VÄRMLANDS LÄN</t>
        </is>
      </c>
      <c r="G153" t="inlineStr">
        <is>
          <t>FILIPSTAD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16100-2025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45750</v>
      </c>
      <c r="E154" s="1" t="n">
        <v>46218</v>
      </c>
      <c r="F154" t="inlineStr">
        <is>
          <t>VÄRMLANDS LÄN</t>
        </is>
      </c>
      <c r="G154" t="inlineStr">
        <is>
          <t>FILIPSTAD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32786-2024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45516</v>
      </c>
      <c r="E155" s="1" t="n">
        <v>46218</v>
      </c>
      <c r="F155" t="inlineStr">
        <is>
          <t>VÄRMLANDS LÄN</t>
        </is>
      </c>
      <c r="G155" t="inlineStr">
        <is>
          <t>FILIPSTAD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47911-2025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45932</v>
      </c>
      <c r="E156" s="1" t="n">
        <v>46218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46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5846-2023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44963</v>
      </c>
      <c r="E157" s="1" t="n">
        <v>46218</v>
      </c>
      <c r="F157" t="inlineStr">
        <is>
          <t>VÄRMLANDS LÄN</t>
        </is>
      </c>
      <c r="G157" t="inlineStr">
        <is>
          <t>FILIPSTAD</t>
        </is>
      </c>
      <c r="I157" t="n">
        <v>2.1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39633-2023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45167</v>
      </c>
      <c r="E158" s="1" t="n">
        <v>46218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3.5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37611-2022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44809</v>
      </c>
      <c r="E159" s="1" t="n">
        <v>46218</v>
      </c>
      <c r="F159" t="inlineStr">
        <is>
          <t>VÄRMLANDS LÄN</t>
        </is>
      </c>
      <c r="G159" t="inlineStr">
        <is>
          <t>FILIPSTAD</t>
        </is>
      </c>
      <c r="I159" t="n">
        <v>5.4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48103-2025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45933</v>
      </c>
      <c r="E160" s="1" t="n">
        <v>46218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43059-2024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45567</v>
      </c>
      <c r="E161" s="1" t="n">
        <v>46218</v>
      </c>
      <c r="F161" t="inlineStr">
        <is>
          <t>VÄRMLANDS LÄN</t>
        </is>
      </c>
      <c r="G161" t="inlineStr">
        <is>
          <t>FILIPSTAD</t>
        </is>
      </c>
      <c r="H161" t="inlineStr">
        <is>
          <t>Kyrkan</t>
        </is>
      </c>
      <c r="I161" t="n">
        <v>4.7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16591-2022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44672</v>
      </c>
      <c r="E162" s="1" t="n">
        <v>46218</v>
      </c>
      <c r="F162" t="inlineStr">
        <is>
          <t>VÄRMLANDS LÄN</t>
        </is>
      </c>
      <c r="G162" t="inlineStr">
        <is>
          <t>FILIPSTAD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46546-2021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44445</v>
      </c>
      <c r="E163" s="1" t="n">
        <v>46218</v>
      </c>
      <c r="F163" t="inlineStr">
        <is>
          <t>VÄRMLANDS LÄN</t>
        </is>
      </c>
      <c r="G163" t="inlineStr">
        <is>
          <t>FILIPSTAD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51945-2023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45223</v>
      </c>
      <c r="E164" s="1" t="n">
        <v>46218</v>
      </c>
      <c r="F164" t="inlineStr">
        <is>
          <t>VÄRMLANDS LÄN</t>
        </is>
      </c>
      <c r="G164" t="inlineStr">
        <is>
          <t>FILIPSTAD</t>
        </is>
      </c>
      <c r="H164" t="inlineStr">
        <is>
          <t>Bergvik skog väst AB</t>
        </is>
      </c>
      <c r="I164" t="n">
        <v>4.6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12160-2023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44998</v>
      </c>
      <c r="E165" s="1" t="n">
        <v>46218</v>
      </c>
      <c r="F165" t="inlineStr">
        <is>
          <t>VÄRMLANDS LÄN</t>
        </is>
      </c>
      <c r="G165" t="inlineStr">
        <is>
          <t>FILIPSTAD</t>
        </is>
      </c>
      <c r="H165" t="inlineStr">
        <is>
          <t>Bergvik skog väst AB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46978-2023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45195</v>
      </c>
      <c r="E166" s="1" t="n">
        <v>46218</v>
      </c>
      <c r="F166" t="inlineStr">
        <is>
          <t>VÄRMLANDS LÄN</t>
        </is>
      </c>
      <c r="G166" t="inlineStr">
        <is>
          <t>FILIPSTAD</t>
        </is>
      </c>
      <c r="H166" t="inlineStr">
        <is>
          <t>Bergvik skog väst AB</t>
        </is>
      </c>
      <c r="I166" t="n">
        <v>11.2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61741-2022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44911</v>
      </c>
      <c r="E167" s="1" t="n">
        <v>46218</v>
      </c>
      <c r="F167" t="inlineStr">
        <is>
          <t>VÄRMLANDS LÄN</t>
        </is>
      </c>
      <c r="G167" t="inlineStr">
        <is>
          <t>FILIPSTAD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50776-2024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45602</v>
      </c>
      <c r="E168" s="1" t="n">
        <v>46218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15.5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23382-2024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45453</v>
      </c>
      <c r="E169" s="1" t="n">
        <v>46218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50199-2025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45943</v>
      </c>
      <c r="E170" s="1" t="n">
        <v>46218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47436-2024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45587</v>
      </c>
      <c r="E171" s="1" t="n">
        <v>46218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14432-2025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45741</v>
      </c>
      <c r="E172" s="1" t="n">
        <v>46218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50195-2025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45943</v>
      </c>
      <c r="E173" s="1" t="n">
        <v>46218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50032-2025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45943</v>
      </c>
      <c r="E174" s="1" t="n">
        <v>46218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3.4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60296-2023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45257</v>
      </c>
      <c r="E175" s="1" t="n">
        <v>46218</v>
      </c>
      <c r="F175" t="inlineStr">
        <is>
          <t>VÄRMLANDS LÄN</t>
        </is>
      </c>
      <c r="G175" t="inlineStr">
        <is>
          <t>FILIPSTAD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50167-2025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45943</v>
      </c>
      <c r="E176" s="1" t="n">
        <v>46218</v>
      </c>
      <c r="F176" t="inlineStr">
        <is>
          <t>VÄRMLANDS LÄN</t>
        </is>
      </c>
      <c r="G176" t="inlineStr">
        <is>
          <t>FILIPSTAD</t>
        </is>
      </c>
      <c r="H176" t="inlineStr">
        <is>
          <t>Bergvik skog väst AB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49878-2025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45940</v>
      </c>
      <c r="E177" s="1" t="n">
        <v>46218</v>
      </c>
      <c r="F177" t="inlineStr">
        <is>
          <t>VÄRMLANDS LÄN</t>
        </is>
      </c>
      <c r="G177" t="inlineStr">
        <is>
          <t>FILIPSTAD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37945-2024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45544</v>
      </c>
      <c r="E178" s="1" t="n">
        <v>46218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5.2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28161-2023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45093</v>
      </c>
      <c r="E179" s="1" t="n">
        <v>46218</v>
      </c>
      <c r="F179" t="inlineStr">
        <is>
          <t>VÄRMLANDS LÄN</t>
        </is>
      </c>
      <c r="G179" t="inlineStr">
        <is>
          <t>FILIPSTAD</t>
        </is>
      </c>
      <c r="H179" t="inlineStr">
        <is>
          <t>Kommuner</t>
        </is>
      </c>
      <c r="I179" t="n">
        <v>15.4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51039-2025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45947</v>
      </c>
      <c r="E180" s="1" t="n">
        <v>46218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20663-2024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45436</v>
      </c>
      <c r="E181" s="1" t="n">
        <v>46218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17795-2024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45418</v>
      </c>
      <c r="E182" s="1" t="n">
        <v>46218</v>
      </c>
      <c r="F182" t="inlineStr">
        <is>
          <t>VÄRMLANDS LÄN</t>
        </is>
      </c>
      <c r="G182" t="inlineStr">
        <is>
          <t>FILIPSTAD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50996-2025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45947</v>
      </c>
      <c r="E183" s="1" t="n">
        <v>46218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51031-2025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45947</v>
      </c>
      <c r="E184" s="1" t="n">
        <v>46218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36680-2023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45153</v>
      </c>
      <c r="E185" s="1" t="n">
        <v>46218</v>
      </c>
      <c r="F185" t="inlineStr">
        <is>
          <t>VÄRMLANDS LÄN</t>
        </is>
      </c>
      <c r="G185" t="inlineStr">
        <is>
          <t>FILIPSTAD</t>
        </is>
      </c>
      <c r="I185" t="n">
        <v>0.3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51355-2025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45950</v>
      </c>
      <c r="E186" s="1" t="n">
        <v>46218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51790-2025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45951</v>
      </c>
      <c r="E187" s="1" t="n">
        <v>46218</v>
      </c>
      <c r="F187" t="inlineStr">
        <is>
          <t>VÄRMLANDS LÄN</t>
        </is>
      </c>
      <c r="G187" t="inlineStr">
        <is>
          <t>FILIPSTAD</t>
        </is>
      </c>
      <c r="H187" t="inlineStr">
        <is>
          <t>Bergvik skog väst AB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48524-2023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45208</v>
      </c>
      <c r="E188" s="1" t="n">
        <v>46218</v>
      </c>
      <c r="F188" t="inlineStr">
        <is>
          <t>VÄRMLANDS LÄN</t>
        </is>
      </c>
      <c r="G188" t="inlineStr">
        <is>
          <t>FILIPSTAD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44384-2021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44435</v>
      </c>
      <c r="E189" s="1" t="n">
        <v>46218</v>
      </c>
      <c r="F189" t="inlineStr">
        <is>
          <t>VÄRMLANDS LÄN</t>
        </is>
      </c>
      <c r="G189" t="inlineStr">
        <is>
          <t>FILIPSTAD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51572-2025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45951</v>
      </c>
      <c r="E190" s="1" t="n">
        <v>46218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3.1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53348-2023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45229</v>
      </c>
      <c r="E191" s="1" t="n">
        <v>46218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41983-2023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45177</v>
      </c>
      <c r="E192" s="1" t="n">
        <v>46218</v>
      </c>
      <c r="F192" t="inlineStr">
        <is>
          <t>VÄRMLANDS LÄN</t>
        </is>
      </c>
      <c r="G192" t="inlineStr">
        <is>
          <t>FILIPSTAD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1042-2023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44935</v>
      </c>
      <c r="E193" s="1" t="n">
        <v>46218</v>
      </c>
      <c r="F193" t="inlineStr">
        <is>
          <t>VÄRMLANDS LÄN</t>
        </is>
      </c>
      <c r="G193" t="inlineStr">
        <is>
          <t>FILIPSTAD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14275-2024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45393</v>
      </c>
      <c r="E194" s="1" t="n">
        <v>46218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4462-2025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45686</v>
      </c>
      <c r="E195" s="1" t="n">
        <v>46218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14459-2023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45012</v>
      </c>
      <c r="E196" s="1" t="n">
        <v>46218</v>
      </c>
      <c r="F196" t="inlineStr">
        <is>
          <t>VÄRMLANDS LÄN</t>
        </is>
      </c>
      <c r="G196" t="inlineStr">
        <is>
          <t>FILIPSTAD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27139-2024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45471</v>
      </c>
      <c r="E197" s="1" t="n">
        <v>46218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17244-2024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45414</v>
      </c>
      <c r="E198" s="1" t="n">
        <v>46218</v>
      </c>
      <c r="F198" t="inlineStr">
        <is>
          <t>VÄRMLANDS LÄN</t>
        </is>
      </c>
      <c r="G198" t="inlineStr">
        <is>
          <t>FILIPSTAD</t>
        </is>
      </c>
      <c r="I198" t="n">
        <v>5.2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52329-2025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45953</v>
      </c>
      <c r="E199" s="1" t="n">
        <v>46218</v>
      </c>
      <c r="F199" t="inlineStr">
        <is>
          <t>VÄRMLANDS LÄN</t>
        </is>
      </c>
      <c r="G199" t="inlineStr">
        <is>
          <t>FILIPSTAD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47002-2024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45586</v>
      </c>
      <c r="E200" s="1" t="n">
        <v>46218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30646-2024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45495</v>
      </c>
      <c r="E201" s="1" t="n">
        <v>46218</v>
      </c>
      <c r="F201" t="inlineStr">
        <is>
          <t>VÄRMLANDS LÄN</t>
        </is>
      </c>
      <c r="G201" t="inlineStr">
        <is>
          <t>FILIPSTAD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1346-2025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45667</v>
      </c>
      <c r="E202" s="1" t="n">
        <v>46218</v>
      </c>
      <c r="F202" t="inlineStr">
        <is>
          <t>VÄRMLANDS LÄN</t>
        </is>
      </c>
      <c r="G202" t="inlineStr">
        <is>
          <t>FILIPSTAD</t>
        </is>
      </c>
      <c r="H202" t="inlineStr">
        <is>
          <t>Kommuner</t>
        </is>
      </c>
      <c r="I202" t="n">
        <v>6.9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20875-2024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45439</v>
      </c>
      <c r="E203" s="1" t="n">
        <v>46218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6.8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19159-2024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45428</v>
      </c>
      <c r="E204" s="1" t="n">
        <v>46218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8.4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52518-2025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45954</v>
      </c>
      <c r="E205" s="1" t="n">
        <v>46218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36251-2022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44803</v>
      </c>
      <c r="E206" s="1" t="n">
        <v>46218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10136-2024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45364</v>
      </c>
      <c r="E207" s="1" t="n">
        <v>46218</v>
      </c>
      <c r="F207" t="inlineStr">
        <is>
          <t>VÄRMLANDS LÄN</t>
        </is>
      </c>
      <c r="G207" t="inlineStr">
        <is>
          <t>FILIPSTAD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45658</v>
      </c>
      <c r="E208" s="1" t="n">
        <v>46218</v>
      </c>
      <c r="F208" t="inlineStr">
        <is>
          <t>VÄRMLANDS LÄN</t>
        </is>
      </c>
      <c r="G208" t="inlineStr">
        <is>
          <t>FILIPSTAD</t>
        </is>
      </c>
      <c r="I208" t="n">
        <v>2.5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65167-2021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44515</v>
      </c>
      <c r="E209" s="1" t="n">
        <v>46218</v>
      </c>
      <c r="F209" t="inlineStr">
        <is>
          <t>VÄRMLANDS LÄN</t>
        </is>
      </c>
      <c r="G209" t="inlineStr">
        <is>
          <t>FILIPSTAD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50856-2022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44867</v>
      </c>
      <c r="E210" s="1" t="n">
        <v>46218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53395-2025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45959</v>
      </c>
      <c r="E211" s="1" t="n">
        <v>46218</v>
      </c>
      <c r="F211" t="inlineStr">
        <is>
          <t>VÄRMLANDS LÄN</t>
        </is>
      </c>
      <c r="G211" t="inlineStr">
        <is>
          <t>FILIPSTAD</t>
        </is>
      </c>
      <c r="H211" t="inlineStr">
        <is>
          <t>Kyrkan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53325-2025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45959</v>
      </c>
      <c r="E212" s="1" t="n">
        <v>46218</v>
      </c>
      <c r="F212" t="inlineStr">
        <is>
          <t>VÄRMLANDS LÄN</t>
        </is>
      </c>
      <c r="G212" t="inlineStr">
        <is>
          <t>FILIPSTAD</t>
        </is>
      </c>
      <c r="H212" t="inlineStr">
        <is>
          <t>Kyrkan</t>
        </is>
      </c>
      <c r="I212" t="n">
        <v>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15471-2024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45401</v>
      </c>
      <c r="E213" s="1" t="n">
        <v>46218</v>
      </c>
      <c r="F213" t="inlineStr">
        <is>
          <t>VÄRMLANDS LÄN</t>
        </is>
      </c>
      <c r="G213" t="inlineStr">
        <is>
          <t>FILIPSTAD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28357-2024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45477</v>
      </c>
      <c r="E214" s="1" t="n">
        <v>46218</v>
      </c>
      <c r="F214" t="inlineStr">
        <is>
          <t>VÄRMLANDS LÄN</t>
        </is>
      </c>
      <c r="G214" t="inlineStr">
        <is>
          <t>FILIPSTAD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54735-2024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45618</v>
      </c>
      <c r="E215" s="1" t="n">
        <v>46218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35304-2024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45530</v>
      </c>
      <c r="E216" s="1" t="n">
        <v>46218</v>
      </c>
      <c r="F216" t="inlineStr">
        <is>
          <t>VÄRMLANDS LÄN</t>
        </is>
      </c>
      <c r="G216" t="inlineStr">
        <is>
          <t>FILIPSTAD</t>
        </is>
      </c>
      <c r="H216" t="inlineStr">
        <is>
          <t>Bergvik skog väst AB</t>
        </is>
      </c>
      <c r="I216" t="n">
        <v>6.6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12837-2024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45384</v>
      </c>
      <c r="E217" s="1" t="n">
        <v>46218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4.4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23266-2025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45791</v>
      </c>
      <c r="E218" s="1" t="n">
        <v>46218</v>
      </c>
      <c r="F218" t="inlineStr">
        <is>
          <t>VÄRMLANDS LÄN</t>
        </is>
      </c>
      <c r="G218" t="inlineStr">
        <is>
          <t>FILIPSTAD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48702-2024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45593</v>
      </c>
      <c r="E219" s="1" t="n">
        <v>46218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53655-2025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45960</v>
      </c>
      <c r="E220" s="1" t="n">
        <v>46218</v>
      </c>
      <c r="F220" t="inlineStr">
        <is>
          <t>VÄRMLANDS LÄN</t>
        </is>
      </c>
      <c r="G220" t="inlineStr">
        <is>
          <t>FILIPSTAD</t>
        </is>
      </c>
      <c r="I220" t="n">
        <v>2.2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54828-2023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45229</v>
      </c>
      <c r="E221" s="1" t="n">
        <v>46218</v>
      </c>
      <c r="F221" t="inlineStr">
        <is>
          <t>VÄRMLANDS LÄN</t>
        </is>
      </c>
      <c r="G221" t="inlineStr">
        <is>
          <t>FILIPSTAD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22880-2025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45790</v>
      </c>
      <c r="E222" s="1" t="n">
        <v>46218</v>
      </c>
      <c r="F222" t="inlineStr">
        <is>
          <t>VÄRMLANDS LÄN</t>
        </is>
      </c>
      <c r="G222" t="inlineStr">
        <is>
          <t>FILIPSTAD</t>
        </is>
      </c>
      <c r="H222" t="inlineStr">
        <is>
          <t>Kyrkan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29474-2024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45484</v>
      </c>
      <c r="E223" s="1" t="n">
        <v>46218</v>
      </c>
      <c r="F223" t="inlineStr">
        <is>
          <t>VÄRMLANDS LÄN</t>
        </is>
      </c>
      <c r="G223" t="inlineStr">
        <is>
          <t>FILIPSTAD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4418-2024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45327</v>
      </c>
      <c r="E224" s="1" t="n">
        <v>46218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9.300000000000001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53575-2025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45960</v>
      </c>
      <c r="E225" s="1" t="n">
        <v>46218</v>
      </c>
      <c r="F225" t="inlineStr">
        <is>
          <t>VÄRMLANDS LÄN</t>
        </is>
      </c>
      <c r="G225" t="inlineStr">
        <is>
          <t>FILIPSTAD</t>
        </is>
      </c>
      <c r="H225" t="inlineStr">
        <is>
          <t>Bergvik skog väst AB</t>
        </is>
      </c>
      <c r="I225" t="n">
        <v>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53649-2025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45960</v>
      </c>
      <c r="E226" s="1" t="n">
        <v>46218</v>
      </c>
      <c r="F226" t="inlineStr">
        <is>
          <t>VÄRMLANDS LÄN</t>
        </is>
      </c>
      <c r="G226" t="inlineStr">
        <is>
          <t>FILIPSTAD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54328-2025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46218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4.7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1350-2025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45667</v>
      </c>
      <c r="E228" s="1" t="n">
        <v>46218</v>
      </c>
      <c r="F228" t="inlineStr">
        <is>
          <t>VÄRMLANDS LÄN</t>
        </is>
      </c>
      <c r="G228" t="inlineStr">
        <is>
          <t>FILIPSTAD</t>
        </is>
      </c>
      <c r="H228" t="inlineStr">
        <is>
          <t>Kommuner</t>
        </is>
      </c>
      <c r="I228" t="n">
        <v>5.9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14328-2025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45740</v>
      </c>
      <c r="E229" s="1" t="n">
        <v>46218</v>
      </c>
      <c r="F229" t="inlineStr">
        <is>
          <t>VÄRMLANDS LÄN</t>
        </is>
      </c>
      <c r="G229" t="inlineStr">
        <is>
          <t>FILIPSTAD</t>
        </is>
      </c>
      <c r="I229" t="n">
        <v>4.3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23775-2025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45793</v>
      </c>
      <c r="E230" s="1" t="n">
        <v>46218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21608-2023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45063</v>
      </c>
      <c r="E231" s="1" t="n">
        <v>46218</v>
      </c>
      <c r="F231" t="inlineStr">
        <is>
          <t>VÄRMLANDS LÄN</t>
        </is>
      </c>
      <c r="G231" t="inlineStr">
        <is>
          <t>FILIPSTAD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23399-2025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45792</v>
      </c>
      <c r="E232" s="1" t="n">
        <v>46218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23475-2025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45792</v>
      </c>
      <c r="E233" s="1" t="n">
        <v>46218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71971-2021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44544</v>
      </c>
      <c r="E234" s="1" t="n">
        <v>46218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6.1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8712-2024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45355</v>
      </c>
      <c r="E235" s="1" t="n">
        <v>46218</v>
      </c>
      <c r="F235" t="inlineStr">
        <is>
          <t>VÄRMLANDS LÄN</t>
        </is>
      </c>
      <c r="G235" t="inlineStr">
        <is>
          <t>FILIPSTAD</t>
        </is>
      </c>
      <c r="I235" t="n">
        <v>3.3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53210-2023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45222</v>
      </c>
      <c r="E236" s="1" t="n">
        <v>46218</v>
      </c>
      <c r="F236" t="inlineStr">
        <is>
          <t>VÄRMLANDS LÄN</t>
        </is>
      </c>
      <c r="G236" t="inlineStr">
        <is>
          <t>FILIPSTAD</t>
        </is>
      </c>
      <c r="I236" t="n">
        <v>4.9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57212-2023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45245</v>
      </c>
      <c r="E237" s="1" t="n">
        <v>46218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72118-2021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44543</v>
      </c>
      <c r="E238" s="1" t="n">
        <v>46218</v>
      </c>
      <c r="F238" t="inlineStr">
        <is>
          <t>VÄRMLANDS LÄN</t>
        </is>
      </c>
      <c r="G238" t="inlineStr">
        <is>
          <t>FILIPSTAD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15396-2025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45747</v>
      </c>
      <c r="E239" s="1" t="n">
        <v>46218</v>
      </c>
      <c r="F239" t="inlineStr">
        <is>
          <t>VÄRMLANDS LÄN</t>
        </is>
      </c>
      <c r="G239" t="inlineStr">
        <is>
          <t>FILIPSTAD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65174-2021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46218</v>
      </c>
      <c r="F240" t="inlineStr">
        <is>
          <t>VÄRMLANDS LÄN</t>
        </is>
      </c>
      <c r="G240" t="inlineStr">
        <is>
          <t>FILIPSTAD</t>
        </is>
      </c>
      <c r="I240" t="n">
        <v>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54497-2025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46218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24143-2025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45796</v>
      </c>
      <c r="E242" s="1" t="n">
        <v>46218</v>
      </c>
      <c r="F242" t="inlineStr">
        <is>
          <t>VÄRMLANDS LÄN</t>
        </is>
      </c>
      <c r="G242" t="inlineStr">
        <is>
          <t>FILIPSTAD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20844-2024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45439</v>
      </c>
      <c r="E243" s="1" t="n">
        <v>46218</v>
      </c>
      <c r="F243" t="inlineStr">
        <is>
          <t>VÄRMLANDS LÄN</t>
        </is>
      </c>
      <c r="G243" t="inlineStr">
        <is>
          <t>FILIPSTAD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3979-2024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45322</v>
      </c>
      <c r="E244" s="1" t="n">
        <v>46218</v>
      </c>
      <c r="F244" t="inlineStr">
        <is>
          <t>VÄRMLANDS LÄN</t>
        </is>
      </c>
      <c r="G244" t="inlineStr">
        <is>
          <t>FILIPSTAD</t>
        </is>
      </c>
      <c r="I244" t="n">
        <v>8.199999999999999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50786-2024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45602</v>
      </c>
      <c r="E245" s="1" t="n">
        <v>46218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3.9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15406-2025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46218</v>
      </c>
      <c r="F246" t="inlineStr">
        <is>
          <t>VÄRMLANDS LÄN</t>
        </is>
      </c>
      <c r="G246" t="inlineStr">
        <is>
          <t>FILIPSTAD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35799-2022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44801</v>
      </c>
      <c r="E247" s="1" t="n">
        <v>46218</v>
      </c>
      <c r="F247" t="inlineStr">
        <is>
          <t>VÄRMLANDS LÄN</t>
        </is>
      </c>
      <c r="G247" t="inlineStr">
        <is>
          <t>FILIPSTAD</t>
        </is>
      </c>
      <c r="I247" t="n">
        <v>2.4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47261-2024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45586</v>
      </c>
      <c r="E248" s="1" t="n">
        <v>46218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3.3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47890-2024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45588</v>
      </c>
      <c r="E249" s="1" t="n">
        <v>46218</v>
      </c>
      <c r="F249" t="inlineStr">
        <is>
          <t>VÄRMLANDS LÄN</t>
        </is>
      </c>
      <c r="G249" t="inlineStr">
        <is>
          <t>FILIPSTAD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60524-2024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45643</v>
      </c>
      <c r="E250" s="1" t="n">
        <v>46218</v>
      </c>
      <c r="F250" t="inlineStr">
        <is>
          <t>VÄRMLANDS LÄN</t>
        </is>
      </c>
      <c r="G250" t="inlineStr">
        <is>
          <t>FILIPSTAD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13918-2024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45391</v>
      </c>
      <c r="E251" s="1" t="n">
        <v>46218</v>
      </c>
      <c r="F251" t="inlineStr">
        <is>
          <t>VÄRMLANDS LÄN</t>
        </is>
      </c>
      <c r="G251" t="inlineStr">
        <is>
          <t>FILIPSTAD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70405-2021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44536</v>
      </c>
      <c r="E252" s="1" t="n">
        <v>46218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2443-2022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44579</v>
      </c>
      <c r="E253" s="1" t="n">
        <v>46218</v>
      </c>
      <c r="F253" t="inlineStr">
        <is>
          <t>VÄRMLANDS LÄN</t>
        </is>
      </c>
      <c r="G253" t="inlineStr">
        <is>
          <t>FILIPSTAD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29426-2023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45106</v>
      </c>
      <c r="E254" s="1" t="n">
        <v>46218</v>
      </c>
      <c r="F254" t="inlineStr">
        <is>
          <t>VÄRMLANDS LÄN</t>
        </is>
      </c>
      <c r="G254" t="inlineStr">
        <is>
          <t>FILIPSTAD</t>
        </is>
      </c>
      <c r="H254" t="inlineStr">
        <is>
          <t>Kyrkan</t>
        </is>
      </c>
      <c r="I254" t="n">
        <v>5.9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26116-2025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45805</v>
      </c>
      <c r="E255" s="1" t="n">
        <v>46218</v>
      </c>
      <c r="F255" t="inlineStr">
        <is>
          <t>VÄRMLANDS LÄN</t>
        </is>
      </c>
      <c r="G255" t="inlineStr">
        <is>
          <t>FILIPSTAD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26123-2025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45805</v>
      </c>
      <c r="E256" s="1" t="n">
        <v>46218</v>
      </c>
      <c r="F256" t="inlineStr">
        <is>
          <t>VÄRMLANDS LÄN</t>
        </is>
      </c>
      <c r="G256" t="inlineStr">
        <is>
          <t>FILIPSTAD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55173-2025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45968</v>
      </c>
      <c r="E257" s="1" t="n">
        <v>46218</v>
      </c>
      <c r="F257" t="inlineStr">
        <is>
          <t>VÄRMLANDS LÄN</t>
        </is>
      </c>
      <c r="G257" t="inlineStr">
        <is>
          <t>FILIPSTAD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55175-2025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45968</v>
      </c>
      <c r="E258" s="1" t="n">
        <v>46218</v>
      </c>
      <c r="F258" t="inlineStr">
        <is>
          <t>VÄRMLANDS LÄN</t>
        </is>
      </c>
      <c r="G258" t="inlineStr">
        <is>
          <t>FILIPSTAD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61628-2022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44911</v>
      </c>
      <c r="E259" s="1" t="n">
        <v>46218</v>
      </c>
      <c r="F259" t="inlineStr">
        <is>
          <t>VÄRMLANDS LÄN</t>
        </is>
      </c>
      <c r="G259" t="inlineStr">
        <is>
          <t>FILIPSTAD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55579-2025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45971</v>
      </c>
      <c r="E260" s="1" t="n">
        <v>46218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55514-2025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45971</v>
      </c>
      <c r="E261" s="1" t="n">
        <v>46218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13.3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26812-2025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45810</v>
      </c>
      <c r="E262" s="1" t="n">
        <v>46218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5.8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10338-2025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45720</v>
      </c>
      <c r="E263" s="1" t="n">
        <v>46218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26843-2024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45470</v>
      </c>
      <c r="E264" s="1" t="n">
        <v>46218</v>
      </c>
      <c r="F264" t="inlineStr">
        <is>
          <t>VÄRMLANDS LÄN</t>
        </is>
      </c>
      <c r="G264" t="inlineStr">
        <is>
          <t>FILIPSTAD</t>
        </is>
      </c>
      <c r="I264" t="n">
        <v>3.8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33368-2022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44788</v>
      </c>
      <c r="E265" s="1" t="n">
        <v>46218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6.7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56062-2025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45973</v>
      </c>
      <c r="E266" s="1" t="n">
        <v>46218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9.199999999999999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56008-2025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45973</v>
      </c>
      <c r="E267" s="1" t="n">
        <v>46218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8.199999999999999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18999-2024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45427</v>
      </c>
      <c r="E268" s="1" t="n">
        <v>46218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59436-2024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45638</v>
      </c>
      <c r="E269" s="1" t="n">
        <v>46218</v>
      </c>
      <c r="F269" t="inlineStr">
        <is>
          <t>VÄRMLANDS LÄN</t>
        </is>
      </c>
      <c r="G269" t="inlineStr">
        <is>
          <t>FILIPSTAD</t>
        </is>
      </c>
      <c r="H269" t="inlineStr">
        <is>
          <t>Kyrkan</t>
        </is>
      </c>
      <c r="I269" t="n">
        <v>3.7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56028-2025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45973</v>
      </c>
      <c r="E270" s="1" t="n">
        <v>46218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56086-2025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45973</v>
      </c>
      <c r="E271" s="1" t="n">
        <v>46218</v>
      </c>
      <c r="F271" t="inlineStr">
        <is>
          <t>VÄRMLANDS LÄN</t>
        </is>
      </c>
      <c r="G271" t="inlineStr">
        <is>
          <t>FILIPSTAD</t>
        </is>
      </c>
      <c r="H271" t="inlineStr">
        <is>
          <t>Bergvik skog väst AB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56032-2025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45973</v>
      </c>
      <c r="E272" s="1" t="n">
        <v>46218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5.8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56045-2025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45973</v>
      </c>
      <c r="E273" s="1" t="n">
        <v>46218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29825-2023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45107</v>
      </c>
      <c r="E274" s="1" t="n">
        <v>46218</v>
      </c>
      <c r="F274" t="inlineStr">
        <is>
          <t>VÄRMLANDS LÄN</t>
        </is>
      </c>
      <c r="G274" t="inlineStr">
        <is>
          <t>FILIPSTAD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56037-2025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45973</v>
      </c>
      <c r="E275" s="1" t="n">
        <v>46218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26599-2024</t>
        </is>
      </c>
      <c r="B276" t="inlineStr">
        <is>
          <t>avverkningsanmälan</t>
        </is>
      </c>
      <c r="C276" t="inlineStr">
        <is>
          <t>Avverkning för att bevara och utveckla /försöksver</t>
        </is>
      </c>
      <c r="D276" s="1" t="n">
        <v>45469</v>
      </c>
      <c r="E276" s="1" t="n">
        <v>46218</v>
      </c>
      <c r="F276" t="inlineStr">
        <is>
          <t>VÄRMLANDS LÄN</t>
        </is>
      </c>
      <c r="G276" t="inlineStr">
        <is>
          <t>FILIPSTAD</t>
        </is>
      </c>
      <c r="I276" t="n">
        <v>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56083-2025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46218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55668-2025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46218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56180-2025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45974</v>
      </c>
      <c r="E279" s="1" t="n">
        <v>46218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8.300000000000001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45139-2021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44439</v>
      </c>
      <c r="E280" s="1" t="n">
        <v>46218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56201-2025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45974</v>
      </c>
      <c r="E281" s="1" t="n">
        <v>46218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17686-2023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45037</v>
      </c>
      <c r="E282" s="1" t="n">
        <v>46218</v>
      </c>
      <c r="F282" t="inlineStr">
        <is>
          <t>VÄRMLANDS LÄN</t>
        </is>
      </c>
      <c r="G282" t="inlineStr">
        <is>
          <t>FILIPSTAD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33671-2022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44789</v>
      </c>
      <c r="E283" s="1" t="n">
        <v>46218</v>
      </c>
      <c r="F283" t="inlineStr">
        <is>
          <t>VÄRMLANDS LÄN</t>
        </is>
      </c>
      <c r="G283" t="inlineStr">
        <is>
          <t>FILIPSTAD</t>
        </is>
      </c>
      <c r="H283" t="inlineStr">
        <is>
          <t>Bergvik skog väst AB</t>
        </is>
      </c>
      <c r="I283" t="n">
        <v>10.6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56182-2025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45974</v>
      </c>
      <c r="E284" s="1" t="n">
        <v>46218</v>
      </c>
      <c r="F284" t="inlineStr">
        <is>
          <t>VÄRMLANDS LÄN</t>
        </is>
      </c>
      <c r="G284" t="inlineStr">
        <is>
          <t>FILIPSTAD</t>
        </is>
      </c>
      <c r="H284" t="inlineStr">
        <is>
          <t>Bergvik skog väst AB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56184-2025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45974</v>
      </c>
      <c r="E285" s="1" t="n">
        <v>46218</v>
      </c>
      <c r="F285" t="inlineStr">
        <is>
          <t>VÄRMLANDS LÄN</t>
        </is>
      </c>
      <c r="G285" t="inlineStr">
        <is>
          <t>FILIPSTAD</t>
        </is>
      </c>
      <c r="H285" t="inlineStr">
        <is>
          <t>Bergvik skog väst AB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56158-2025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45974</v>
      </c>
      <c r="E286" s="1" t="n">
        <v>46218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5.5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56167-2025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45974</v>
      </c>
      <c r="E287" s="1" t="n">
        <v>46218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36827-2022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44805</v>
      </c>
      <c r="E288" s="1" t="n">
        <v>46218</v>
      </c>
      <c r="F288" t="inlineStr">
        <is>
          <t>VÄRMLANDS LÄN</t>
        </is>
      </c>
      <c r="G288" t="inlineStr">
        <is>
          <t>FILIPSTAD</t>
        </is>
      </c>
      <c r="H288" t="inlineStr">
        <is>
          <t>Bergvik skog väst AB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56925-2025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45978</v>
      </c>
      <c r="E289" s="1" t="n">
        <v>46218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18.8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47455-2023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45202</v>
      </c>
      <c r="E290" s="1" t="n">
        <v>46218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34512-2023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45133</v>
      </c>
      <c r="E291" s="1" t="n">
        <v>46218</v>
      </c>
      <c r="F291" t="inlineStr">
        <is>
          <t>VÄRMLANDS LÄN</t>
        </is>
      </c>
      <c r="G291" t="inlineStr">
        <is>
          <t>FILIPSTAD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24054-2024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45456</v>
      </c>
      <c r="E292" s="1" t="n">
        <v>46218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31306-2023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45114</v>
      </c>
      <c r="E293" s="1" t="n">
        <v>46218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54008-2021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44470</v>
      </c>
      <c r="E294" s="1" t="n">
        <v>46218</v>
      </c>
      <c r="F294" t="inlineStr">
        <is>
          <t>VÄRMLANDS LÄN</t>
        </is>
      </c>
      <c r="G294" t="inlineStr">
        <is>
          <t>FILIPSTAD</t>
        </is>
      </c>
      <c r="I294" t="n">
        <v>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57872-2025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45981</v>
      </c>
      <c r="E295" s="1" t="n">
        <v>46218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29568-2025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46218</v>
      </c>
      <c r="F296" t="inlineStr">
        <is>
          <t>VÄRMLANDS LÄN</t>
        </is>
      </c>
      <c r="G296" t="inlineStr">
        <is>
          <t>FILIPSTAD</t>
        </is>
      </c>
      <c r="H296" t="inlineStr">
        <is>
          <t>Kyrkan</t>
        </is>
      </c>
      <c r="I296" t="n">
        <v>9.199999999999999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58019-2025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45982</v>
      </c>
      <c r="E297" s="1" t="n">
        <v>46218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28.4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58389-2025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45985</v>
      </c>
      <c r="E298" s="1" t="n">
        <v>46218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4.4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8692-2025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45712</v>
      </c>
      <c r="E299" s="1" t="n">
        <v>46218</v>
      </c>
      <c r="F299" t="inlineStr">
        <is>
          <t>VÄRMLANDS LÄN</t>
        </is>
      </c>
      <c r="G299" t="inlineStr">
        <is>
          <t>FILIPSTAD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29660-2025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45825</v>
      </c>
      <c r="E300" s="1" t="n">
        <v>46218</v>
      </c>
      <c r="F300" t="inlineStr">
        <is>
          <t>VÄRMLANDS LÄN</t>
        </is>
      </c>
      <c r="G300" t="inlineStr">
        <is>
          <t>FILIPSTAD</t>
        </is>
      </c>
      <c r="I300" t="n">
        <v>23.3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58211-2025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45985</v>
      </c>
      <c r="E301" s="1" t="n">
        <v>46218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29944-2025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45826</v>
      </c>
      <c r="E302" s="1" t="n">
        <v>46218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6.8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30049-2025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45826</v>
      </c>
      <c r="E303" s="1" t="n">
        <v>46218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29885-2025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45826</v>
      </c>
      <c r="E304" s="1" t="n">
        <v>46218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46257-2022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44847</v>
      </c>
      <c r="E305" s="1" t="n">
        <v>46218</v>
      </c>
      <c r="F305" t="inlineStr">
        <is>
          <t>VÄRMLANDS LÄN</t>
        </is>
      </c>
      <c r="G305" t="inlineStr">
        <is>
          <t>FILIPSTAD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30169-2025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45827</v>
      </c>
      <c r="E306" s="1" t="n">
        <v>46218</v>
      </c>
      <c r="F306" t="inlineStr">
        <is>
          <t>VÄRMLANDS LÄN</t>
        </is>
      </c>
      <c r="G306" t="inlineStr">
        <is>
          <t>FILIPSTAD</t>
        </is>
      </c>
      <c r="H306" t="inlineStr">
        <is>
          <t>Kyrkan</t>
        </is>
      </c>
      <c r="I306" t="n">
        <v>6.5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26107-2026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46218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20.9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54836-2023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45229</v>
      </c>
      <c r="E308" s="1" t="n">
        <v>46218</v>
      </c>
      <c r="F308" t="inlineStr">
        <is>
          <t>VÄRMLANDS LÄN</t>
        </is>
      </c>
      <c r="G308" t="inlineStr">
        <is>
          <t>FILIPSTAD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31172-2025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45832</v>
      </c>
      <c r="E309" s="1" t="n">
        <v>46218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20045-2026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46136</v>
      </c>
      <c r="E310" s="1" t="n">
        <v>46218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11.5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43634-2021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44433</v>
      </c>
      <c r="E311" s="1" t="n">
        <v>46218</v>
      </c>
      <c r="F311" t="inlineStr">
        <is>
          <t>VÄRMLANDS LÄN</t>
        </is>
      </c>
      <c r="G311" t="inlineStr">
        <is>
          <t>FILIPSTAD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32032-2025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45835</v>
      </c>
      <c r="E312" s="1" t="n">
        <v>46218</v>
      </c>
      <c r="F312" t="inlineStr">
        <is>
          <t>VÄRMLANDS LÄN</t>
        </is>
      </c>
      <c r="G312" t="inlineStr">
        <is>
          <t>FILIPSTAD</t>
        </is>
      </c>
      <c r="I312" t="n">
        <v>0.2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31883-2025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45834</v>
      </c>
      <c r="E313" s="1" t="n">
        <v>46218</v>
      </c>
      <c r="F313" t="inlineStr">
        <is>
          <t>VÄRMLANDS LÄN</t>
        </is>
      </c>
      <c r="G313" t="inlineStr">
        <is>
          <t>FILIPSTAD</t>
        </is>
      </c>
      <c r="I313" t="n">
        <v>18.7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18210-2024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45420</v>
      </c>
      <c r="E314" s="1" t="n">
        <v>46218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23618-2023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45077</v>
      </c>
      <c r="E315" s="1" t="n">
        <v>46218</v>
      </c>
      <c r="F315" t="inlineStr">
        <is>
          <t>VÄRMLANDS LÄN</t>
        </is>
      </c>
      <c r="G315" t="inlineStr">
        <is>
          <t>FILIPSTAD</t>
        </is>
      </c>
      <c r="I315" t="n">
        <v>15.8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6573-2023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44960</v>
      </c>
      <c r="E316" s="1" t="n">
        <v>46218</v>
      </c>
      <c r="F316" t="inlineStr">
        <is>
          <t>VÄRMLANDS LÄN</t>
        </is>
      </c>
      <c r="G316" t="inlineStr">
        <is>
          <t>FILIPSTAD</t>
        </is>
      </c>
      <c r="H316" t="inlineStr">
        <is>
          <t>Kommuner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25869-2026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46218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29473-2024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45484</v>
      </c>
      <c r="E318" s="1" t="n">
        <v>46218</v>
      </c>
      <c r="F318" t="inlineStr">
        <is>
          <t>VÄRMLANDS LÄN</t>
        </is>
      </c>
      <c r="G318" t="inlineStr">
        <is>
          <t>FILIPSTAD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30165-2025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45827</v>
      </c>
      <c r="E319" s="1" t="n">
        <v>46218</v>
      </c>
      <c r="F319" t="inlineStr">
        <is>
          <t>VÄRMLANDS LÄN</t>
        </is>
      </c>
      <c r="G319" t="inlineStr">
        <is>
          <t>FILIPSTAD</t>
        </is>
      </c>
      <c r="H319" t="inlineStr">
        <is>
          <t>Kyrkan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33449-2025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45841</v>
      </c>
      <c r="E320" s="1" t="n">
        <v>46218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4191-2022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44588</v>
      </c>
      <c r="E321" s="1" t="n">
        <v>46218</v>
      </c>
      <c r="F321" t="inlineStr">
        <is>
          <t>VÄRMLANDS LÄN</t>
        </is>
      </c>
      <c r="G321" t="inlineStr">
        <is>
          <t>FILIPSTAD</t>
        </is>
      </c>
      <c r="H321" t="inlineStr">
        <is>
          <t>Kommuner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4743-2025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45688</v>
      </c>
      <c r="E322" s="1" t="n">
        <v>46218</v>
      </c>
      <c r="F322" t="inlineStr">
        <is>
          <t>VÄRMLANDS LÄN</t>
        </is>
      </c>
      <c r="G322" t="inlineStr">
        <is>
          <t>FILIPSTAD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33407-2025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45841</v>
      </c>
      <c r="E323" s="1" t="n">
        <v>46218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2.8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22843-2025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45790</v>
      </c>
      <c r="E324" s="1" t="n">
        <v>46218</v>
      </c>
      <c r="F324" t="inlineStr">
        <is>
          <t>VÄRMLANDS LÄN</t>
        </is>
      </c>
      <c r="G324" t="inlineStr">
        <is>
          <t>FILIPSTAD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41521-2025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45901</v>
      </c>
      <c r="E325" s="1" t="n">
        <v>46218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21593-2023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45063</v>
      </c>
      <c r="E326" s="1" t="n">
        <v>46218</v>
      </c>
      <c r="F326" t="inlineStr">
        <is>
          <t>VÄRMLANDS LÄN</t>
        </is>
      </c>
      <c r="G326" t="inlineStr">
        <is>
          <t>FILIPSTAD</t>
        </is>
      </c>
      <c r="I326" t="n">
        <v>5.5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32059-2025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46218</v>
      </c>
      <c r="F327" t="inlineStr">
        <is>
          <t>VÄRMLANDS LÄN</t>
        </is>
      </c>
      <c r="G327" t="inlineStr">
        <is>
          <t>FILIPSTAD</t>
        </is>
      </c>
      <c r="I327" t="n">
        <v>5.5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20050-2026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46136</v>
      </c>
      <c r="E328" s="1" t="n">
        <v>46218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20040-2026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46136</v>
      </c>
      <c r="E329" s="1" t="n">
        <v>46218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9370-2023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44981</v>
      </c>
      <c r="E330" s="1" t="n">
        <v>46218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47536-2023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45203</v>
      </c>
      <c r="E331" s="1" t="n">
        <v>46218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20014-2026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46136</v>
      </c>
      <c r="E332" s="1" t="n">
        <v>46218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5.2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25468-2024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45463</v>
      </c>
      <c r="E333" s="1" t="n">
        <v>46218</v>
      </c>
      <c r="F333" t="inlineStr">
        <is>
          <t>VÄRMLANDS LÄN</t>
        </is>
      </c>
      <c r="G333" t="inlineStr">
        <is>
          <t>FILIPSTAD</t>
        </is>
      </c>
      <c r="I333" t="n">
        <v>13.2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2440-2022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44579</v>
      </c>
      <c r="E334" s="1" t="n">
        <v>46218</v>
      </c>
      <c r="F334" t="inlineStr">
        <is>
          <t>VÄRMLANDS LÄN</t>
        </is>
      </c>
      <c r="G334" t="inlineStr">
        <is>
          <t>FILIPSTAD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22558-2025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45789</v>
      </c>
      <c r="E335" s="1" t="n">
        <v>46218</v>
      </c>
      <c r="F335" t="inlineStr">
        <is>
          <t>VÄRMLANDS LÄN</t>
        </is>
      </c>
      <c r="G335" t="inlineStr">
        <is>
          <t>FILIPSTAD</t>
        </is>
      </c>
      <c r="I335" t="n">
        <v>3.6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33379-2025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45841</v>
      </c>
      <c r="E336" s="1" t="n">
        <v>46218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59290-2025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45988</v>
      </c>
      <c r="E337" s="1" t="n">
        <v>46218</v>
      </c>
      <c r="F337" t="inlineStr">
        <is>
          <t>VÄRMLANDS LÄN</t>
        </is>
      </c>
      <c r="G337" t="inlineStr">
        <is>
          <t>FILIPSTAD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30077-2025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45826</v>
      </c>
      <c r="E338" s="1" t="n">
        <v>46218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59414-2025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45989</v>
      </c>
      <c r="E339" s="1" t="n">
        <v>46218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59406-2025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45989</v>
      </c>
      <c r="E340" s="1" t="n">
        <v>46218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8.9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39896-2025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46218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3.3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59410-2025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45989</v>
      </c>
      <c r="E342" s="1" t="n">
        <v>46218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2.7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28687-2025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45819</v>
      </c>
      <c r="E343" s="1" t="n">
        <v>46218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26501-2026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46183</v>
      </c>
      <c r="E344" s="1" t="n">
        <v>46218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14.2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20489-2026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46140</v>
      </c>
      <c r="E345" s="1" t="n">
        <v>46218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49602-2025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45939</v>
      </c>
      <c r="E346" s="1" t="n">
        <v>46218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10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59423-2025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46218</v>
      </c>
      <c r="F347" t="inlineStr">
        <is>
          <t>VÄRMLANDS LÄN</t>
        </is>
      </c>
      <c r="G347" t="inlineStr">
        <is>
          <t>FILIPSTAD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31676-2025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45834</v>
      </c>
      <c r="E348" s="1" t="n">
        <v>46218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4.2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59712-2025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45992</v>
      </c>
      <c r="E349" s="1" t="n">
        <v>46218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45516-2024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45578</v>
      </c>
      <c r="E350" s="1" t="n">
        <v>46218</v>
      </c>
      <c r="F350" t="inlineStr">
        <is>
          <t>VÄRMLANDS LÄN</t>
        </is>
      </c>
      <c r="G350" t="inlineStr">
        <is>
          <t>FILIPSTAD</t>
        </is>
      </c>
      <c r="I350" t="n">
        <v>27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36582-2025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45870</v>
      </c>
      <c r="E351" s="1" t="n">
        <v>46218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4.7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59707-2025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45992</v>
      </c>
      <c r="E352" s="1" t="n">
        <v>46218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59709-2025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45992</v>
      </c>
      <c r="E353" s="1" t="n">
        <v>46218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3.6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32262-2023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45120</v>
      </c>
      <c r="E354" s="1" t="n">
        <v>46218</v>
      </c>
      <c r="F354" t="inlineStr">
        <is>
          <t>VÄRMLANDS LÄN</t>
        </is>
      </c>
      <c r="G354" t="inlineStr">
        <is>
          <t>FILIPSTAD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20487-2026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46140</v>
      </c>
      <c r="E355" s="1" t="n">
        <v>46218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16067-2026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46108</v>
      </c>
      <c r="E356" s="1" t="n">
        <v>46218</v>
      </c>
      <c r="F356" t="inlineStr">
        <is>
          <t>VÄRMLANDS LÄN</t>
        </is>
      </c>
      <c r="G356" t="inlineStr">
        <is>
          <t>FILIPSTAD</t>
        </is>
      </c>
      <c r="I356" t="n">
        <v>1.2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59966-2025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45993</v>
      </c>
      <c r="E357" s="1" t="n">
        <v>46218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37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56151-2023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45240</v>
      </c>
      <c r="E358" s="1" t="n">
        <v>46218</v>
      </c>
      <c r="F358" t="inlineStr">
        <is>
          <t>VÄRMLANDS LÄN</t>
        </is>
      </c>
      <c r="G358" t="inlineStr">
        <is>
          <t>FILIPSTAD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59929-2025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45993</v>
      </c>
      <c r="E359" s="1" t="n">
        <v>46218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3.3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26343-2026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46182</v>
      </c>
      <c r="E360" s="1" t="n">
        <v>46218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36272-2025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45867</v>
      </c>
      <c r="E361" s="1" t="n">
        <v>46218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5.7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25976-2026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46181</v>
      </c>
      <c r="E362" s="1" t="n">
        <v>46218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11.1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26211-2026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46182</v>
      </c>
      <c r="E363" s="1" t="n">
        <v>46218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4.4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26227-2026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46218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12.8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20661-2026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46141</v>
      </c>
      <c r="E365" s="1" t="n">
        <v>46218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5.4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24139-2024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45456</v>
      </c>
      <c r="E366" s="1" t="n">
        <v>46218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60433-2025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45995</v>
      </c>
      <c r="E367" s="1" t="n">
        <v>46218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47344-2023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45202</v>
      </c>
      <c r="E368" s="1" t="n">
        <v>46218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60550-2025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45995</v>
      </c>
      <c r="E369" s="1" t="n">
        <v>46218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37733-2025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45880</v>
      </c>
      <c r="E370" s="1" t="n">
        <v>46218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7.6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60396-2025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46218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20554-2025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45775</v>
      </c>
      <c r="E372" s="1" t="n">
        <v>46218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2.3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26323-2026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46182</v>
      </c>
      <c r="E373" s="1" t="n">
        <v>46218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38866-2024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45547</v>
      </c>
      <c r="E374" s="1" t="n">
        <v>46218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25786-2026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46178</v>
      </c>
      <c r="E375" s="1" t="n">
        <v>46218</v>
      </c>
      <c r="F375" t="inlineStr">
        <is>
          <t>VÄRMLANDS LÄN</t>
        </is>
      </c>
      <c r="G375" t="inlineStr">
        <is>
          <t>FILIPSTAD</t>
        </is>
      </c>
      <c r="H375" t="inlineStr">
        <is>
          <t>Bergvik skog väst AB</t>
        </is>
      </c>
      <c r="I375" t="n">
        <v>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17794-2024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45418</v>
      </c>
      <c r="E376" s="1" t="n">
        <v>46218</v>
      </c>
      <c r="F376" t="inlineStr">
        <is>
          <t>VÄRMLANDS LÄN</t>
        </is>
      </c>
      <c r="G376" t="inlineStr">
        <is>
          <t>FILIPSTAD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20801-2026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46141</v>
      </c>
      <c r="E377" s="1" t="n">
        <v>46218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60653-2025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45996</v>
      </c>
      <c r="E378" s="1" t="n">
        <v>46218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7.5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61069-2025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46000</v>
      </c>
      <c r="E379" s="1" t="n">
        <v>46218</v>
      </c>
      <c r="F379" t="inlineStr">
        <is>
          <t>VÄRMLANDS LÄN</t>
        </is>
      </c>
      <c r="G379" t="inlineStr">
        <is>
          <t>FILIPSTAD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61492-2025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46001</v>
      </c>
      <c r="E380" s="1" t="n">
        <v>46218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61047-2025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46000</v>
      </c>
      <c r="E381" s="1" t="n">
        <v>46218</v>
      </c>
      <c r="F381" t="inlineStr">
        <is>
          <t>VÄRMLANDS LÄN</t>
        </is>
      </c>
      <c r="G381" t="inlineStr">
        <is>
          <t>FILIPSTAD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11680-2023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44994</v>
      </c>
      <c r="E382" s="1" t="n">
        <v>46218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38175-2025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45882</v>
      </c>
      <c r="E383" s="1" t="n">
        <v>46218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3.4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25769-2026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46178</v>
      </c>
      <c r="E384" s="1" t="n">
        <v>46218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3.8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61391-2025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46001</v>
      </c>
      <c r="E385" s="1" t="n">
        <v>46218</v>
      </c>
      <c r="F385" t="inlineStr">
        <is>
          <t>VÄRMLANDS LÄN</t>
        </is>
      </c>
      <c r="G385" t="inlineStr">
        <is>
          <t>FILIPSTAD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26229-2026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46182</v>
      </c>
      <c r="E386" s="1" t="n">
        <v>46218</v>
      </c>
      <c r="F386" t="inlineStr">
        <is>
          <t>VÄRMLANDS LÄN</t>
        </is>
      </c>
      <c r="G386" t="inlineStr">
        <is>
          <t>FILIPSTAD</t>
        </is>
      </c>
      <c r="H386" t="inlineStr">
        <is>
          <t>Bergvik skog väst AB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26298-2026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46182</v>
      </c>
      <c r="E387" s="1" t="n">
        <v>46218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61362-2025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46001</v>
      </c>
      <c r="E388" s="1" t="n">
        <v>46218</v>
      </c>
      <c r="F388" t="inlineStr">
        <is>
          <t>VÄRMLANDS LÄN</t>
        </is>
      </c>
      <c r="G388" t="inlineStr">
        <is>
          <t>FILIPSTAD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61417-2025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46001</v>
      </c>
      <c r="E389" s="1" t="n">
        <v>46218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61482-2025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46001</v>
      </c>
      <c r="E390" s="1" t="n">
        <v>46218</v>
      </c>
      <c r="F390" t="inlineStr">
        <is>
          <t>VÄRMLANDS LÄN</t>
        </is>
      </c>
      <c r="G390" t="inlineStr">
        <is>
          <t>FILIPSTAD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61327-2025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46001</v>
      </c>
      <c r="E391" s="1" t="n">
        <v>46218</v>
      </c>
      <c r="F391" t="inlineStr">
        <is>
          <t>VÄRMLANDS LÄN</t>
        </is>
      </c>
      <c r="G391" t="inlineStr">
        <is>
          <t>FILIPSTAD</t>
        </is>
      </c>
      <c r="H391" t="inlineStr">
        <is>
          <t>Bergvik skog väst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61823-2025</t>
        </is>
      </c>
      <c r="B392" t="inlineStr">
        <is>
          <t>avverkningsanmälan</t>
        </is>
      </c>
      <c r="C392" t="inlineStr">
        <is>
          <t>Avverkning för annat ändamål</t>
        </is>
      </c>
      <c r="D392" s="1" t="n">
        <v>46003</v>
      </c>
      <c r="E392" s="1" t="n">
        <v>46218</v>
      </c>
      <c r="F392" t="inlineStr">
        <is>
          <t>VÄRMLANDS LÄN</t>
        </is>
      </c>
      <c r="G392" t="inlineStr">
        <is>
          <t>FILIPSTAD</t>
        </is>
      </c>
      <c r="H392" t="inlineStr">
        <is>
          <t>Bergvik skog väst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54145-2024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45616</v>
      </c>
      <c r="E393" s="1" t="n">
        <v>46218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26549-2026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46183</v>
      </c>
      <c r="E394" s="1" t="n">
        <v>46218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62021-2025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46003</v>
      </c>
      <c r="E395" s="1" t="n">
        <v>46218</v>
      </c>
      <c r="F395" t="inlineStr">
        <is>
          <t>VÄRMLANDS LÄN</t>
        </is>
      </c>
      <c r="G395" t="inlineStr">
        <is>
          <t>FILIPSTAD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61566-2025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46001</v>
      </c>
      <c r="E396" s="1" t="n">
        <v>46218</v>
      </c>
      <c r="F396" t="inlineStr">
        <is>
          <t>VÄRMLANDS LÄN</t>
        </is>
      </c>
      <c r="G396" t="inlineStr">
        <is>
          <t>FILIPSTAD</t>
        </is>
      </c>
      <c r="I396" t="n">
        <v>7.7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20919-2026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46218</v>
      </c>
      <c r="F397" t="inlineStr">
        <is>
          <t>VÄRMLANDS LÄN</t>
        </is>
      </c>
      <c r="G397" t="inlineStr">
        <is>
          <t>FILIPSTAD</t>
        </is>
      </c>
      <c r="I397" t="n">
        <v>2.5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61793-2025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46002</v>
      </c>
      <c r="E398" s="1" t="n">
        <v>46218</v>
      </c>
      <c r="F398" t="inlineStr">
        <is>
          <t>VÄRMLANDS LÄN</t>
        </is>
      </c>
      <c r="G398" t="inlineStr">
        <is>
          <t>FILIPSTAD</t>
        </is>
      </c>
      <c r="I398" t="n">
        <v>5.6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55397-2022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44887</v>
      </c>
      <c r="E399" s="1" t="n">
        <v>46218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61719-2025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46002</v>
      </c>
      <c r="E400" s="1" t="n">
        <v>46218</v>
      </c>
      <c r="F400" t="inlineStr">
        <is>
          <t>VÄRMLANDS LÄN</t>
        </is>
      </c>
      <c r="G400" t="inlineStr">
        <is>
          <t>FILIPSTAD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41075-2023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45173</v>
      </c>
      <c r="E401" s="1" t="n">
        <v>46218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61717-2025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46002</v>
      </c>
      <c r="E402" s="1" t="n">
        <v>46218</v>
      </c>
      <c r="F402" t="inlineStr">
        <is>
          <t>VÄRMLANDS LÄN</t>
        </is>
      </c>
      <c r="G402" t="inlineStr">
        <is>
          <t>FILIPSTAD</t>
        </is>
      </c>
      <c r="I402" t="n">
        <v>1.5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20874-2026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46142</v>
      </c>
      <c r="E403" s="1" t="n">
        <v>46218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7.9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62252-2025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46006</v>
      </c>
      <c r="E404" s="1" t="n">
        <v>46218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2.2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62243-2025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46006</v>
      </c>
      <c r="E405" s="1" t="n">
        <v>46218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4.5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27085-2026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46187</v>
      </c>
      <c r="E406" s="1" t="n">
        <v>46218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54127-2023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45232</v>
      </c>
      <c r="E407" s="1" t="n">
        <v>46218</v>
      </c>
      <c r="F407" t="inlineStr">
        <is>
          <t>VÄRMLANDS LÄN</t>
        </is>
      </c>
      <c r="G407" t="inlineStr">
        <is>
          <t>FILIPSTAD</t>
        </is>
      </c>
      <c r="I407" t="n">
        <v>15.5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27426-2026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46189</v>
      </c>
      <c r="E408" s="1" t="n">
        <v>46218</v>
      </c>
      <c r="F408" t="inlineStr">
        <is>
          <t>VÄRMLANDS LÄN</t>
        </is>
      </c>
      <c r="G408" t="inlineStr">
        <is>
          <t>FILIPSTAD</t>
        </is>
      </c>
      <c r="I408" t="n">
        <v>5.6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62034-2025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46004</v>
      </c>
      <c r="E409" s="1" t="n">
        <v>46218</v>
      </c>
      <c r="F409" t="inlineStr">
        <is>
          <t>VÄRMLANDS LÄN</t>
        </is>
      </c>
      <c r="G409" t="inlineStr">
        <is>
          <t>FILIPSTAD</t>
        </is>
      </c>
      <c r="I409" t="n">
        <v>2.2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62033-2025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46004</v>
      </c>
      <c r="E410" s="1" t="n">
        <v>46218</v>
      </c>
      <c r="F410" t="inlineStr">
        <is>
          <t>VÄRMLANDS LÄN</t>
        </is>
      </c>
      <c r="G410" t="inlineStr">
        <is>
          <t>FILIPSTAD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14840-2023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45014</v>
      </c>
      <c r="E411" s="1" t="n">
        <v>46218</v>
      </c>
      <c r="F411" t="inlineStr">
        <is>
          <t>VÄRMLANDS LÄN</t>
        </is>
      </c>
      <c r="G411" t="inlineStr">
        <is>
          <t>FILIPSTAD</t>
        </is>
      </c>
      <c r="H411" t="inlineStr">
        <is>
          <t>Kyrkan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27372-2026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46188</v>
      </c>
      <c r="E412" s="1" t="n">
        <v>46218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7.4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27300-2026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46218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2.5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4819-2023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44957</v>
      </c>
      <c r="E414" s="1" t="n">
        <v>46218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11.3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27078-2026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46186</v>
      </c>
      <c r="E415" s="1" t="n">
        <v>46218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5.6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63186-2025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46010</v>
      </c>
      <c r="E416" s="1" t="n">
        <v>46218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2.6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21542-2026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46148</v>
      </c>
      <c r="E417" s="1" t="n">
        <v>46218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12.1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63629-2025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46014</v>
      </c>
      <c r="E418" s="1" t="n">
        <v>46218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27400-2024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45474</v>
      </c>
      <c r="E419" s="1" t="n">
        <v>46218</v>
      </c>
      <c r="F419" t="inlineStr">
        <is>
          <t>VÄRMLANDS LÄN</t>
        </is>
      </c>
      <c r="G419" t="inlineStr">
        <is>
          <t>FILIPSTAD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27595-2026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46190</v>
      </c>
      <c r="E420" s="1" t="n">
        <v>46218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2.4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63678-2025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46014</v>
      </c>
      <c r="E421" s="1" t="n">
        <v>46218</v>
      </c>
      <c r="F421" t="inlineStr">
        <is>
          <t>VÄRMLANDS LÄN</t>
        </is>
      </c>
      <c r="G421" t="inlineStr">
        <is>
          <t>FILIPSTAD</t>
        </is>
      </c>
      <c r="I421" t="n">
        <v>9.9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27079-2026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46186</v>
      </c>
      <c r="E422" s="1" t="n">
        <v>46218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11.7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27007-2026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46185</v>
      </c>
      <c r="E423" s="1" t="n">
        <v>46218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32185-2024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45511</v>
      </c>
      <c r="E424" s="1" t="n">
        <v>46218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17763-2025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45758</v>
      </c>
      <c r="E425" s="1" t="n">
        <v>46218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13.1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51639-2025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45951</v>
      </c>
      <c r="E426" s="1" t="n">
        <v>46218</v>
      </c>
      <c r="F426" t="inlineStr">
        <is>
          <t>VÄRMLANDS LÄN</t>
        </is>
      </c>
      <c r="G426" t="inlineStr">
        <is>
          <t>FILIPSTAD</t>
        </is>
      </c>
      <c r="H426" t="inlineStr">
        <is>
          <t>Bergvik skog väst AB</t>
        </is>
      </c>
      <c r="I426" t="n">
        <v>5.3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5754-2022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44596</v>
      </c>
      <c r="E427" s="1" t="n">
        <v>46218</v>
      </c>
      <c r="F427" t="inlineStr">
        <is>
          <t>VÄRMLANDS LÄN</t>
        </is>
      </c>
      <c r="G427" t="inlineStr">
        <is>
          <t>FILIPSTAD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27774-2026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46191</v>
      </c>
      <c r="E428" s="1" t="n">
        <v>46218</v>
      </c>
      <c r="F428" t="inlineStr">
        <is>
          <t>VÄRMLANDS LÄN</t>
        </is>
      </c>
      <c r="G428" t="inlineStr">
        <is>
          <t>FILIPSTAD</t>
        </is>
      </c>
      <c r="H428" t="inlineStr">
        <is>
          <t>Bergvik skog väst AB</t>
        </is>
      </c>
      <c r="I428" t="n">
        <v>5.5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27867-2026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46191</v>
      </c>
      <c r="E429" s="1" t="n">
        <v>46218</v>
      </c>
      <c r="F429" t="inlineStr">
        <is>
          <t>VÄRMLANDS LÄN</t>
        </is>
      </c>
      <c r="G429" t="inlineStr">
        <is>
          <t>FILIPSTAD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43635-2023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45186</v>
      </c>
      <c r="E430" s="1" t="n">
        <v>46218</v>
      </c>
      <c r="F430" t="inlineStr">
        <is>
          <t>VÄRMLANDS LÄN</t>
        </is>
      </c>
      <c r="G430" t="inlineStr">
        <is>
          <t>FILIPSTAD</t>
        </is>
      </c>
      <c r="I430" t="n">
        <v>15.3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22045-2026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46153</v>
      </c>
      <c r="E431" s="1" t="n">
        <v>46218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5.4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22051-2026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46153</v>
      </c>
      <c r="E432" s="1" t="n">
        <v>46218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22144-2026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46153</v>
      </c>
      <c r="E433" s="1" t="n">
        <v>46218</v>
      </c>
      <c r="F433" t="inlineStr">
        <is>
          <t>VÄRMLANDS LÄN</t>
        </is>
      </c>
      <c r="G433" t="inlineStr">
        <is>
          <t>FILIPSTAD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27968-2026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46195</v>
      </c>
      <c r="E434" s="1" t="n">
        <v>46218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6.3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22032-2026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46153</v>
      </c>
      <c r="E435" s="1" t="n">
        <v>46218</v>
      </c>
      <c r="F435" t="inlineStr">
        <is>
          <t>VÄRMLANDS LÄN</t>
        </is>
      </c>
      <c r="G435" t="inlineStr">
        <is>
          <t>FILIPSTAD</t>
        </is>
      </c>
      <c r="H435" t="inlineStr">
        <is>
          <t>Bergvik skog väst AB</t>
        </is>
      </c>
      <c r="I435" t="n">
        <v>3.9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22201-2026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46153</v>
      </c>
      <c r="E436" s="1" t="n">
        <v>46218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22220-2026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46153</v>
      </c>
      <c r="E437" s="1" t="n">
        <v>46218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43633-2024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45569</v>
      </c>
      <c r="E438" s="1" t="n">
        <v>46218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31358-2023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45114</v>
      </c>
      <c r="E439" s="1" t="n">
        <v>46218</v>
      </c>
      <c r="F439" t="inlineStr">
        <is>
          <t>VÄRMLANDS LÄN</t>
        </is>
      </c>
      <c r="G439" t="inlineStr">
        <is>
          <t>FILIPSTAD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22176-2026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46153</v>
      </c>
      <c r="E440" s="1" t="n">
        <v>46218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6.1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57026-2023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45244</v>
      </c>
      <c r="E441" s="1" t="n">
        <v>46218</v>
      </c>
      <c r="F441" t="inlineStr">
        <is>
          <t>VÄRMLANDS LÄN</t>
        </is>
      </c>
      <c r="G441" t="inlineStr">
        <is>
          <t>FILIPSTAD</t>
        </is>
      </c>
      <c r="I441" t="n">
        <v>0.5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22112-2026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46218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22152-2026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46153</v>
      </c>
      <c r="E443" s="1" t="n">
        <v>46218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22136-2026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46153</v>
      </c>
      <c r="E444" s="1" t="n">
        <v>46218</v>
      </c>
      <c r="F444" t="inlineStr">
        <is>
          <t>VÄRMLANDS LÄN</t>
        </is>
      </c>
      <c r="G444" t="inlineStr">
        <is>
          <t>FILIPSTAD</t>
        </is>
      </c>
      <c r="I444" t="n">
        <v>10.8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22021-2026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46153</v>
      </c>
      <c r="E445" s="1" t="n">
        <v>46218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5.6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20528-2025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45775</v>
      </c>
      <c r="E446" s="1" t="n">
        <v>46218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22115-2026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46153</v>
      </c>
      <c r="E447" s="1" t="n">
        <v>46218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3.8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46680-2024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45583</v>
      </c>
      <c r="E448" s="1" t="n">
        <v>46218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2.5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28094-2026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46195</v>
      </c>
      <c r="E449" s="1" t="n">
        <v>46218</v>
      </c>
      <c r="F449" t="inlineStr">
        <is>
          <t>VÄRMLANDS LÄN</t>
        </is>
      </c>
      <c r="G449" t="inlineStr">
        <is>
          <t>FILIPSTAD</t>
        </is>
      </c>
      <c r="H449" t="inlineStr">
        <is>
          <t>Bergvik skog väst AB</t>
        </is>
      </c>
      <c r="I449" t="n">
        <v>23.8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22138-2026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46218</v>
      </c>
      <c r="F450" t="inlineStr">
        <is>
          <t>VÄRMLANDS LÄN</t>
        </is>
      </c>
      <c r="G450" t="inlineStr">
        <is>
          <t>FILIPSTAD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19030-2022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44691</v>
      </c>
      <c r="E451" s="1" t="n">
        <v>46218</v>
      </c>
      <c r="F451" t="inlineStr">
        <is>
          <t>VÄRMLANDS LÄN</t>
        </is>
      </c>
      <c r="G451" t="inlineStr">
        <is>
          <t>FILIPSTAD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28419-2026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46197</v>
      </c>
      <c r="E452" s="1" t="n">
        <v>46218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27080-2023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45096</v>
      </c>
      <c r="E453" s="1" t="n">
        <v>46218</v>
      </c>
      <c r="F453" t="inlineStr">
        <is>
          <t>VÄRMLANDS LÄN</t>
        </is>
      </c>
      <c r="G453" t="inlineStr">
        <is>
          <t>FILIPSTAD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48908-2023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45195</v>
      </c>
      <c r="E454" s="1" t="n">
        <v>46218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22229-2026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46218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28516-2026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46197</v>
      </c>
      <c r="E456" s="1" t="n">
        <v>46218</v>
      </c>
      <c r="F456" t="inlineStr">
        <is>
          <t>VÄRMLANDS LÄN</t>
        </is>
      </c>
      <c r="G456" t="inlineStr">
        <is>
          <t>FILIPSTAD</t>
        </is>
      </c>
      <c r="I456" t="n">
        <v>3.8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58611-2025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45986</v>
      </c>
      <c r="E457" s="1" t="n">
        <v>46218</v>
      </c>
      <c r="F457" t="inlineStr">
        <is>
          <t>VÄRMLANDS LÄN</t>
        </is>
      </c>
      <c r="G457" t="inlineStr">
        <is>
          <t>FILIPSTAD</t>
        </is>
      </c>
      <c r="I457" t="n">
        <v>3.7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22533-2026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46155</v>
      </c>
      <c r="E458" s="1" t="n">
        <v>46218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4.8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62013-2024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45655</v>
      </c>
      <c r="E459" s="1" t="n">
        <v>46218</v>
      </c>
      <c r="F459" t="inlineStr">
        <is>
          <t>VÄRMLANDS LÄN</t>
        </is>
      </c>
      <c r="G459" t="inlineStr">
        <is>
          <t>FILIPSTAD</t>
        </is>
      </c>
      <c r="I459" t="n">
        <v>26.5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62014-2024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45655</v>
      </c>
      <c r="E460" s="1" t="n">
        <v>46218</v>
      </c>
      <c r="F460" t="inlineStr">
        <is>
          <t>VÄRMLANDS LÄN</t>
        </is>
      </c>
      <c r="G460" t="inlineStr">
        <is>
          <t>FILIPSTAD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3071-2026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46040</v>
      </c>
      <c r="E461" s="1" t="n">
        <v>46218</v>
      </c>
      <c r="F461" t="inlineStr">
        <is>
          <t>VÄRMLANDS LÄN</t>
        </is>
      </c>
      <c r="G461" t="inlineStr">
        <is>
          <t>FILIPSTAD</t>
        </is>
      </c>
      <c r="I461" t="n">
        <v>3.8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1170-2023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44935</v>
      </c>
      <c r="E462" s="1" t="n">
        <v>46218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5992-2023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44959</v>
      </c>
      <c r="E463" s="1" t="n">
        <v>46218</v>
      </c>
      <c r="F463" t="inlineStr">
        <is>
          <t>VÄRMLANDS LÄN</t>
        </is>
      </c>
      <c r="G463" t="inlineStr">
        <is>
          <t>FILIPSTAD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53562-2023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45230</v>
      </c>
      <c r="E464" s="1" t="n">
        <v>46218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9.9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28977-2026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46199</v>
      </c>
      <c r="E465" s="1" t="n">
        <v>46218</v>
      </c>
      <c r="F465" t="inlineStr">
        <is>
          <t>VÄRMLANDS LÄN</t>
        </is>
      </c>
      <c r="G465" t="inlineStr">
        <is>
          <t>FILIPSTAD</t>
        </is>
      </c>
      <c r="H465" t="inlineStr">
        <is>
          <t>Bergvik skog väst AB</t>
        </is>
      </c>
      <c r="I465" t="n">
        <v>5.6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29328-2026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46202</v>
      </c>
      <c r="E466" s="1" t="n">
        <v>46218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63411-2023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45274</v>
      </c>
      <c r="E467" s="1" t="n">
        <v>46218</v>
      </c>
      <c r="F467" t="inlineStr">
        <is>
          <t>VÄRMLANDS LÄN</t>
        </is>
      </c>
      <c r="G467" t="inlineStr">
        <is>
          <t>FILIPSTAD</t>
        </is>
      </c>
      <c r="I467" t="n">
        <v>2.4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29385-2026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46203</v>
      </c>
      <c r="E468" s="1" t="n">
        <v>46218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43484-2023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46218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29127-2026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46202</v>
      </c>
      <c r="E470" s="1" t="n">
        <v>46218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2.8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29376-2026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46218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14.6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33973-2023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45124</v>
      </c>
      <c r="E472" s="1" t="n">
        <v>46218</v>
      </c>
      <c r="F472" t="inlineStr">
        <is>
          <t>VÄRMLANDS LÄN</t>
        </is>
      </c>
      <c r="G472" t="inlineStr">
        <is>
          <t>FILIPSTAD</t>
        </is>
      </c>
      <c r="I472" t="n">
        <v>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23440-2026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46218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23500-2026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46163</v>
      </c>
      <c r="E474" s="1" t="n">
        <v>46218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5.4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29591-2026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46204</v>
      </c>
      <c r="E475" s="1" t="n">
        <v>46218</v>
      </c>
      <c r="F475" t="inlineStr">
        <is>
          <t>VÄRMLANDS LÄN</t>
        </is>
      </c>
      <c r="G475" t="inlineStr">
        <is>
          <t>FILIPSTAD</t>
        </is>
      </c>
      <c r="H475" t="inlineStr">
        <is>
          <t>Bergvik skog väst AB</t>
        </is>
      </c>
      <c r="I475" t="n">
        <v>5.6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23514-2026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46163</v>
      </c>
      <c r="E476" s="1" t="n">
        <v>46218</v>
      </c>
      <c r="F476" t="inlineStr">
        <is>
          <t>VÄRMLANDS LÄN</t>
        </is>
      </c>
      <c r="G476" t="inlineStr">
        <is>
          <t>FILIPSTAD</t>
        </is>
      </c>
      <c r="H476" t="inlineStr">
        <is>
          <t>Bergvik skog väst AB</t>
        </is>
      </c>
      <c r="I476" t="n">
        <v>1.9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29814-2026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46205</v>
      </c>
      <c r="E477" s="1" t="n">
        <v>46218</v>
      </c>
      <c r="F477" t="inlineStr">
        <is>
          <t>VÄRMLANDS LÄN</t>
        </is>
      </c>
      <c r="G477" t="inlineStr">
        <is>
          <t>FILIPSTAD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6593-2026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46218</v>
      </c>
      <c r="F478" t="inlineStr">
        <is>
          <t>VÄRMLANDS LÄN</t>
        </is>
      </c>
      <c r="G478" t="inlineStr">
        <is>
          <t>FILIPSTAD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6600-2026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46056</v>
      </c>
      <c r="E479" s="1" t="n">
        <v>46218</v>
      </c>
      <c r="F479" t="inlineStr">
        <is>
          <t>VÄRMLANDS LÄN</t>
        </is>
      </c>
      <c r="G479" t="inlineStr">
        <is>
          <t>FILIPSTAD</t>
        </is>
      </c>
      <c r="I479" t="n">
        <v>0.4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28989-2026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46199</v>
      </c>
      <c r="E480" s="1" t="n">
        <v>46218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7.2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29010-2026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46199</v>
      </c>
      <c r="E481" s="1" t="n">
        <v>46218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4.8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23555-2026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46218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11.7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7430-2026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46059</v>
      </c>
      <c r="E483" s="1" t="n">
        <v>46218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23602-2026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46163</v>
      </c>
      <c r="E484" s="1" t="n">
        <v>46218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8.699999999999999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29389-2026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46203</v>
      </c>
      <c r="E485" s="1" t="n">
        <v>46218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8.199999999999999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29821-2026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46205</v>
      </c>
      <c r="E486" s="1" t="n">
        <v>46218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29417-2026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46203</v>
      </c>
      <c r="E487" s="1" t="n">
        <v>46218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7.4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23620-2023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45077</v>
      </c>
      <c r="E488" s="1" t="n">
        <v>46218</v>
      </c>
      <c r="F488" t="inlineStr">
        <is>
          <t>VÄRMLANDS LÄN</t>
        </is>
      </c>
      <c r="G488" t="inlineStr">
        <is>
          <t>FILIPSTAD</t>
        </is>
      </c>
      <c r="I488" t="n">
        <v>7.5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29863-2026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46205</v>
      </c>
      <c r="E489" s="1" t="n">
        <v>46218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26.6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23576-2026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46163</v>
      </c>
      <c r="E490" s="1" t="n">
        <v>46218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17.9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23529-2026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46163</v>
      </c>
      <c r="E491" s="1" t="n">
        <v>46218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20.3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8139-2026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46064</v>
      </c>
      <c r="E492" s="1" t="n">
        <v>46218</v>
      </c>
      <c r="F492" t="inlineStr">
        <is>
          <t>VÄRMLANDS LÄN</t>
        </is>
      </c>
      <c r="G492" t="inlineStr">
        <is>
          <t>FILIPSTAD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23943-2026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46218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23952-2026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46167</v>
      </c>
      <c r="E494" s="1" t="n">
        <v>46218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23931-2026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46167</v>
      </c>
      <c r="E495" s="1" t="n">
        <v>46218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9.1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30074-2026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46206</v>
      </c>
      <c r="E496" s="1" t="n">
        <v>46218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23886-2026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46167</v>
      </c>
      <c r="E497" s="1" t="n">
        <v>46218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4.5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24026-2026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46167</v>
      </c>
      <c r="E498" s="1" t="n">
        <v>46218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24022-2026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46167</v>
      </c>
      <c r="E499" s="1" t="n">
        <v>46218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23970-2026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46167</v>
      </c>
      <c r="E500" s="1" t="n">
        <v>46218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9.300000000000001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24005-2026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46167</v>
      </c>
      <c r="E501" s="1" t="n">
        <v>46218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3.7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23922-2026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46167</v>
      </c>
      <c r="E502" s="1" t="n">
        <v>46218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24008-2026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46167</v>
      </c>
      <c r="E503" s="1" t="n">
        <v>46218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1.6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24027-2026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46167</v>
      </c>
      <c r="E504" s="1" t="n">
        <v>46218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23934-2026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46167</v>
      </c>
      <c r="E505" s="1" t="n">
        <v>46218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23959-2026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46218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3.1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10279-2026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46076</v>
      </c>
      <c r="E507" s="1" t="n">
        <v>46218</v>
      </c>
      <c r="F507" t="inlineStr">
        <is>
          <t>VÄRMLANDS LÄN</t>
        </is>
      </c>
      <c r="G507" t="inlineStr">
        <is>
          <t>FILIPSTAD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30540-2026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46210</v>
      </c>
      <c r="E508" s="1" t="n">
        <v>46218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4.9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15459-2026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46106</v>
      </c>
      <c r="E509" s="1" t="n">
        <v>46218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24260-2026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46169</v>
      </c>
      <c r="E510" s="1" t="n">
        <v>46218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24291-2026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46169</v>
      </c>
      <c r="E511" s="1" t="n">
        <v>46218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5.6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24288-2026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46169</v>
      </c>
      <c r="E512" s="1" t="n">
        <v>46218</v>
      </c>
      <c r="F512" t="inlineStr">
        <is>
          <t>VÄRMLANDS LÄN</t>
        </is>
      </c>
      <c r="G512" t="inlineStr">
        <is>
          <t>FILIPSTAD</t>
        </is>
      </c>
      <c r="H512" t="inlineStr">
        <is>
          <t>Bergvik skog väst AB</t>
        </is>
      </c>
      <c r="I512" t="n">
        <v>5.7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49935-2025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45940</v>
      </c>
      <c r="E513" s="1" t="n">
        <v>46218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24514-2026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46218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14.3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24519-2026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46170</v>
      </c>
      <c r="E515" s="1" t="n">
        <v>46218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5.4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24529-2026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46170</v>
      </c>
      <c r="E516" s="1" t="n">
        <v>46218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4.3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24520-2026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46170</v>
      </c>
      <c r="E517" s="1" t="n">
        <v>46218</v>
      </c>
      <c r="F517" t="inlineStr">
        <is>
          <t>VÄRMLANDS LÄN</t>
        </is>
      </c>
      <c r="G517" t="inlineStr">
        <is>
          <t>FILIPSTAD</t>
        </is>
      </c>
      <c r="H517" t="inlineStr">
        <is>
          <t>Bergvik skog väst AB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12509-2026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46090</v>
      </c>
      <c r="E518" s="1" t="n">
        <v>46218</v>
      </c>
      <c r="F518" t="inlineStr">
        <is>
          <t>VÄRMLANDS LÄN</t>
        </is>
      </c>
      <c r="G518" t="inlineStr">
        <is>
          <t>FILIPSTAD</t>
        </is>
      </c>
      <c r="I518" t="n">
        <v>5.3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30799-2026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46212</v>
      </c>
      <c r="E519" s="1" t="n">
        <v>46218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10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12491-2026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46090</v>
      </c>
      <c r="E520" s="1" t="n">
        <v>46218</v>
      </c>
      <c r="F520" t="inlineStr">
        <is>
          <t>VÄRMLANDS LÄN</t>
        </is>
      </c>
      <c r="G520" t="inlineStr">
        <is>
          <t>FILIPSTAD</t>
        </is>
      </c>
      <c r="I520" t="n">
        <v>8.6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24537-2026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46170</v>
      </c>
      <c r="E521" s="1" t="n">
        <v>46218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24452-2026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46170</v>
      </c>
      <c r="E522" s="1" t="n">
        <v>46218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24453-2026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46170</v>
      </c>
      <c r="E523" s="1" t="n">
        <v>46218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12216-2026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46218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12498-2026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46218</v>
      </c>
      <c r="F525" t="inlineStr">
        <is>
          <t>VÄRMLANDS LÄN</t>
        </is>
      </c>
      <c r="G525" t="inlineStr">
        <is>
          <t>FILIPSTAD</t>
        </is>
      </c>
      <c r="I525" t="n">
        <v>7.7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24941-2026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46174</v>
      </c>
      <c r="E526" s="1" t="n">
        <v>46218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8.5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12943-2026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46092</v>
      </c>
      <c r="E527" s="1" t="n">
        <v>46218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3.4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12955-2026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46092</v>
      </c>
      <c r="E528" s="1" t="n">
        <v>46218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13553-2026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46094</v>
      </c>
      <c r="E529" s="1" t="n">
        <v>46218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8.9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13393-2026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46094</v>
      </c>
      <c r="E530" s="1" t="n">
        <v>46218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2.3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25205-2026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46175</v>
      </c>
      <c r="E531" s="1" t="n">
        <v>46218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16.5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13555-2026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46094</v>
      </c>
      <c r="E532" s="1" t="n">
        <v>46218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4.8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25203-2026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46175</v>
      </c>
      <c r="E533" s="1" t="n">
        <v>46218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8.9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13387-2026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46094</v>
      </c>
      <c r="E534" s="1" t="n">
        <v>46218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13520-2026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46218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5.5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24886-2026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46174</v>
      </c>
      <c r="E536" s="1" t="n">
        <v>46218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16063-2025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45749</v>
      </c>
      <c r="E537" s="1" t="n">
        <v>46218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4.1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13955-2026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46098</v>
      </c>
      <c r="E538" s="1" t="n">
        <v>46218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1.6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13863-2026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46098</v>
      </c>
      <c r="E539" s="1" t="n">
        <v>46218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13.7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14315-2026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46099</v>
      </c>
      <c r="E540" s="1" t="n">
        <v>46218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24745-2026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46171</v>
      </c>
      <c r="E541" s="1" t="n">
        <v>46218</v>
      </c>
      <c r="F541" t="inlineStr">
        <is>
          <t>VÄRMLANDS LÄN</t>
        </is>
      </c>
      <c r="G541" t="inlineStr">
        <is>
          <t>FILIPSTAD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14379-2026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46100</v>
      </c>
      <c r="E542" s="1" t="n">
        <v>46218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5.7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32183-2025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45835</v>
      </c>
      <c r="E543" s="1" t="n">
        <v>46218</v>
      </c>
      <c r="F543" t="inlineStr">
        <is>
          <t>VÄRMLANDS LÄN</t>
        </is>
      </c>
      <c r="G543" t="inlineStr">
        <is>
          <t>FILIPSTAD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15644-2026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46106</v>
      </c>
      <c r="E544" s="1" t="n">
        <v>46218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15619-2026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46218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15645-2026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46106</v>
      </c>
      <c r="E546" s="1" t="n">
        <v>46218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15197-2026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46105</v>
      </c>
      <c r="E547" s="1" t="n">
        <v>46218</v>
      </c>
      <c r="F547" t="inlineStr">
        <is>
          <t>VÄRMLANDS LÄN</t>
        </is>
      </c>
      <c r="G547" t="inlineStr">
        <is>
          <t>FILIPSTAD</t>
        </is>
      </c>
      <c r="H547" t="inlineStr">
        <is>
          <t>Bergvik skog väst AB</t>
        </is>
      </c>
      <c r="I547" t="n">
        <v>2.1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16009-2026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46108</v>
      </c>
      <c r="E548" s="1" t="n">
        <v>46218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2.2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15848-2026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46107</v>
      </c>
      <c r="E549" s="1" t="n">
        <v>46218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15920-2026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46107</v>
      </c>
      <c r="E550" s="1" t="n">
        <v>46218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15889-2026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46107</v>
      </c>
      <c r="E551" s="1" t="n">
        <v>46218</v>
      </c>
      <c r="F551" t="inlineStr">
        <is>
          <t>VÄRMLANDS LÄN</t>
        </is>
      </c>
      <c r="G551" t="inlineStr">
        <is>
          <t>FILIPSTAD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16050-2026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46108</v>
      </c>
      <c r="E552" s="1" t="n">
        <v>46218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16040-2026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46108</v>
      </c>
      <c r="E553" s="1" t="n">
        <v>46218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16975-2026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46114</v>
      </c>
      <c r="E554" s="1" t="n">
        <v>46218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8.1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17278-2026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46119</v>
      </c>
      <c r="E555" s="1" t="n">
        <v>46218</v>
      </c>
      <c r="F555" t="inlineStr">
        <is>
          <t>VÄRMLANDS LÄN</t>
        </is>
      </c>
      <c r="G555" t="inlineStr">
        <is>
          <t>FILIPSTAD</t>
        </is>
      </c>
      <c r="H555" t="inlineStr">
        <is>
          <t>Bergvik skog väst AB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17326-2026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46119</v>
      </c>
      <c r="E556" s="1" t="n">
        <v>46218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17292-2026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46119</v>
      </c>
      <c r="E557" s="1" t="n">
        <v>46218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17531-2026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46120</v>
      </c>
      <c r="E558" s="1" t="n">
        <v>46218</v>
      </c>
      <c r="F558" t="inlineStr">
        <is>
          <t>VÄRMLANDS LÄN</t>
        </is>
      </c>
      <c r="G558" t="inlineStr">
        <is>
          <t>FILIPSTAD</t>
        </is>
      </c>
      <c r="I558" t="n">
        <v>9.699999999999999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17949-2026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46122</v>
      </c>
      <c r="E559" s="1" t="n">
        <v>46218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17845-2026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46122</v>
      </c>
      <c r="E560" s="1" t="n">
        <v>46218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17900-2026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46122</v>
      </c>
      <c r="E561" s="1" t="n">
        <v>46218</v>
      </c>
      <c r="F561" t="inlineStr">
        <is>
          <t>VÄRMLANDS LÄN</t>
        </is>
      </c>
      <c r="G561" t="inlineStr">
        <is>
          <t>FILIPSTAD</t>
        </is>
      </c>
      <c r="H561" t="inlineStr">
        <is>
          <t>Kommuner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17931-2026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46122</v>
      </c>
      <c r="E562" s="1" t="n">
        <v>46218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17914-2026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46122</v>
      </c>
      <c r="E563" s="1" t="n">
        <v>46218</v>
      </c>
      <c r="F563" t="inlineStr">
        <is>
          <t>VÄRMLANDS LÄN</t>
        </is>
      </c>
      <c r="G563" t="inlineStr">
        <is>
          <t>FILIPSTAD</t>
        </is>
      </c>
      <c r="H563" t="inlineStr">
        <is>
          <t>Kommuner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18022-2026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46125</v>
      </c>
      <c r="E564" s="1" t="n">
        <v>46218</v>
      </c>
      <c r="F564" t="inlineStr">
        <is>
          <t>VÄRMLANDS LÄN</t>
        </is>
      </c>
      <c r="G564" t="inlineStr">
        <is>
          <t>FILIPSTAD</t>
        </is>
      </c>
      <c r="I564" t="n">
        <v>1.7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18376-2026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46126</v>
      </c>
      <c r="E565" s="1" t="n">
        <v>46218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18969-2026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46129</v>
      </c>
      <c r="E566" s="1" t="n">
        <v>46218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12.9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18443-2026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46127</v>
      </c>
      <c r="E567" s="1" t="n">
        <v>46218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18892-2026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46129</v>
      </c>
      <c r="E568" s="1" t="n">
        <v>46218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24.9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18530-2026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46127</v>
      </c>
      <c r="E569" s="1" t="n">
        <v>46218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36377-2023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45152</v>
      </c>
      <c r="E570" s="1" t="n">
        <v>46218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3844-2023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44951</v>
      </c>
      <c r="E571" s="1" t="n">
        <v>46218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6.6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18445-2026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46127</v>
      </c>
      <c r="E572" s="1" t="n">
        <v>46218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18533-2026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46127</v>
      </c>
      <c r="E573" s="1" t="n">
        <v>46218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6.1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18826-2026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46128</v>
      </c>
      <c r="E574" s="1" t="n">
        <v>46218</v>
      </c>
      <c r="F574" t="inlineStr">
        <is>
          <t>VÄRMLANDS LÄN</t>
        </is>
      </c>
      <c r="G574" t="inlineStr">
        <is>
          <t>FILIPSTAD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18542-2026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46127</v>
      </c>
      <c r="E575" s="1" t="n">
        <v>46218</v>
      </c>
      <c r="F575" t="inlineStr">
        <is>
          <t>VÄRMLANDS LÄN</t>
        </is>
      </c>
      <c r="G575" t="inlineStr">
        <is>
          <t>FILIPSTAD</t>
        </is>
      </c>
      <c r="H575" t="inlineStr">
        <is>
          <t>Kommuner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18507-2026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46127</v>
      </c>
      <c r="E576" s="1" t="n">
        <v>46218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19361-2026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46133</v>
      </c>
      <c r="E577" s="1" t="n">
        <v>46218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19435-2026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46133</v>
      </c>
      <c r="E578" s="1" t="n">
        <v>46218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6.5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19882-2026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46135</v>
      </c>
      <c r="E579" s="1" t="n">
        <v>46218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8.800000000000001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19595-2026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46134</v>
      </c>
      <c r="E580" s="1" t="n">
        <v>46218</v>
      </c>
      <c r="F580" t="inlineStr">
        <is>
          <t>VÄRMLANDS LÄN</t>
        </is>
      </c>
      <c r="G580" t="inlineStr">
        <is>
          <t>FILIPSTAD</t>
        </is>
      </c>
      <c r="H580" t="inlineStr">
        <is>
          <t>Bergvik skog väst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19676-2026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46134</v>
      </c>
      <c r="E581" s="1" t="n">
        <v>46218</v>
      </c>
      <c r="F581" t="inlineStr">
        <is>
          <t>VÄRMLANDS LÄN</t>
        </is>
      </c>
      <c r="G581" t="inlineStr">
        <is>
          <t>FILIPSTAD</t>
        </is>
      </c>
      <c r="I581" t="n">
        <v>4.6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19760-2026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46135</v>
      </c>
      <c r="E582" s="1" t="n">
        <v>46218</v>
      </c>
      <c r="F582" t="inlineStr">
        <is>
          <t>VÄRMLANDS LÄN</t>
        </is>
      </c>
      <c r="G582" t="inlineStr">
        <is>
          <t>FILIPSTAD</t>
        </is>
      </c>
      <c r="H582" t="inlineStr">
        <is>
          <t>Bergvik skog väst AB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19669-2026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46134</v>
      </c>
      <c r="E583" s="1" t="n">
        <v>46218</v>
      </c>
      <c r="F583" t="inlineStr">
        <is>
          <t>VÄRMLANDS LÄN</t>
        </is>
      </c>
      <c r="G583" t="inlineStr">
        <is>
          <t>FILIPSTAD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19833-2026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46135</v>
      </c>
      <c r="E584" s="1" t="n">
        <v>46218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5.9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54080-2025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45964</v>
      </c>
      <c r="E585" s="1" t="n">
        <v>46218</v>
      </c>
      <c r="F585" t="inlineStr">
        <is>
          <t>VÄRMLANDS LÄN</t>
        </is>
      </c>
      <c r="G585" t="inlineStr">
        <is>
          <t>FILIPSTAD</t>
        </is>
      </c>
      <c r="I585" t="n">
        <v>2.3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38075-2025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45882</v>
      </c>
      <c r="E586" s="1" t="n">
        <v>46218</v>
      </c>
      <c r="F586" t="inlineStr">
        <is>
          <t>VÄRMLANDS LÄN</t>
        </is>
      </c>
      <c r="G586" t="inlineStr">
        <is>
          <t>FILIPSTAD</t>
        </is>
      </c>
      <c r="H586" t="inlineStr">
        <is>
          <t>Bergvik skog väst AB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57456-2022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44896</v>
      </c>
      <c r="E587" s="1" t="n">
        <v>46218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40646-2025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45896</v>
      </c>
      <c r="E588" s="1" t="n">
        <v>46218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S 5757-2021</t>
        </is>
      </c>
      <c r="B589" t="inlineStr">
        <is>
          <t>samrådsanmälan</t>
        </is>
      </c>
      <c r="C589" t="inlineStr">
        <is>
          <t>Basväg</t>
        </is>
      </c>
      <c r="D589" s="1" t="n">
        <v>44438</v>
      </c>
      <c r="E589" s="1" t="n">
        <v>46218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0.2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S 1191-2021</t>
        </is>
      </c>
      <c r="B590" t="inlineStr">
        <is>
          <t>samrådsanmälan</t>
        </is>
      </c>
      <c r="C590" t="inlineStr">
        <is>
          <t>Åtgärd i nyckelbiotop</t>
        </is>
      </c>
      <c r="D590" s="1" t="n">
        <v>44328</v>
      </c>
      <c r="E590" s="1" t="n">
        <v>46218</v>
      </c>
      <c r="F590" t="inlineStr">
        <is>
          <t>VÄRMLANDS LÄN</t>
        </is>
      </c>
      <c r="G590" t="inlineStr">
        <is>
          <t>FILIPSTAD</t>
        </is>
      </c>
      <c r="I590" t="n">
        <v>2.4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S 4134-2023</t>
        </is>
      </c>
      <c r="B591" t="inlineStr">
        <is>
          <t>samrådsanmälan</t>
        </is>
      </c>
      <c r="C591" t="inlineStr">
        <is>
          <t>Skogsgödsling</t>
        </is>
      </c>
      <c r="D591" s="1" t="n">
        <v>45247</v>
      </c>
      <c r="E591" s="1" t="n">
        <v>46218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5.7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S 4115-2023</t>
        </is>
      </c>
      <c r="B592" t="inlineStr">
        <is>
          <t>samrådsanmälan</t>
        </is>
      </c>
      <c r="C592" t="inlineStr">
        <is>
          <t>Skogsgödsling</t>
        </is>
      </c>
      <c r="D592" s="1" t="n">
        <v>45246</v>
      </c>
      <c r="E592" s="1" t="n">
        <v>46218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14.6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S 4137-2023</t>
        </is>
      </c>
      <c r="B593" t="inlineStr">
        <is>
          <t>samrådsanmälan</t>
        </is>
      </c>
      <c r="C593" t="inlineStr">
        <is>
          <t>Skogsgödsling</t>
        </is>
      </c>
      <c r="D593" s="1" t="n">
        <v>45247</v>
      </c>
      <c r="E593" s="1" t="n">
        <v>46218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16.5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S 4132-2023</t>
        </is>
      </c>
      <c r="B594" t="inlineStr">
        <is>
          <t>samrådsanmälan</t>
        </is>
      </c>
      <c r="C594" t="inlineStr">
        <is>
          <t>Skogsgödsling</t>
        </is>
      </c>
      <c r="D594" s="1" t="n">
        <v>45247</v>
      </c>
      <c r="E594" s="1" t="n">
        <v>46218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S 4130-2023</t>
        </is>
      </c>
      <c r="B595" t="inlineStr">
        <is>
          <t>samrådsanmälan</t>
        </is>
      </c>
      <c r="C595" t="inlineStr">
        <is>
          <t>Skogsgödsling</t>
        </is>
      </c>
      <c r="D595" s="1" t="n">
        <v>45247</v>
      </c>
      <c r="E595" s="1" t="n">
        <v>46218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14.6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S 4127-2023</t>
        </is>
      </c>
      <c r="B596" t="inlineStr">
        <is>
          <t>samrådsanmälan</t>
        </is>
      </c>
      <c r="C596" t="inlineStr">
        <is>
          <t>Skogsgödsling</t>
        </is>
      </c>
      <c r="D596" s="1" t="n">
        <v>45247</v>
      </c>
      <c r="E596" s="1" t="n">
        <v>46218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56.4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S 837-2023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44991</v>
      </c>
      <c r="E597" s="1" t="n">
        <v>46218</v>
      </c>
      <c r="F597" t="inlineStr">
        <is>
          <t>VÄRMLANDS LÄN</t>
        </is>
      </c>
      <c r="G597" t="inlineStr">
        <is>
          <t>FILIPSTAD</t>
        </is>
      </c>
      <c r="I597" t="n">
        <v>19.3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S 4129-2023</t>
        </is>
      </c>
      <c r="B598" t="inlineStr">
        <is>
          <t>samrådsanmälan</t>
        </is>
      </c>
      <c r="C598" t="inlineStr">
        <is>
          <t>Skogsgödsling</t>
        </is>
      </c>
      <c r="D598" s="1" t="n">
        <v>45247</v>
      </c>
      <c r="E598" s="1" t="n">
        <v>46218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13.9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S 3919-2023</t>
        </is>
      </c>
      <c r="B599" t="inlineStr">
        <is>
          <t>samrådsanmälan</t>
        </is>
      </c>
      <c r="C599" t="inlineStr">
        <is>
          <t>Skogsgödsling</t>
        </is>
      </c>
      <c r="D599" s="1" t="n">
        <v>45233</v>
      </c>
      <c r="E599" s="1" t="n">
        <v>46218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17.4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S 4135-2023</t>
        </is>
      </c>
      <c r="B600" t="inlineStr">
        <is>
          <t>samrådsanmälan</t>
        </is>
      </c>
      <c r="C600" t="inlineStr">
        <is>
          <t>Skogsgödsling</t>
        </is>
      </c>
      <c r="D600" s="1" t="n">
        <v>45247</v>
      </c>
      <c r="E600" s="1" t="n">
        <v>46218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18.9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S 6078-2021</t>
        </is>
      </c>
      <c r="B601" t="inlineStr">
        <is>
          <t>samrådsanmälan</t>
        </is>
      </c>
      <c r="C601" t="inlineStr">
        <is>
          <t>Åtgärd i nyckelbiotop</t>
        </is>
      </c>
      <c r="D601" s="1" t="n">
        <v>44442</v>
      </c>
      <c r="E601" s="1" t="n">
        <v>46218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S 4126-2023</t>
        </is>
      </c>
      <c r="B602" t="inlineStr">
        <is>
          <t>samrådsanmälan</t>
        </is>
      </c>
      <c r="C602" t="inlineStr">
        <is>
          <t>Skogsgödsling</t>
        </is>
      </c>
      <c r="D602" s="1" t="n">
        <v>45247</v>
      </c>
      <c r="E602" s="1" t="n">
        <v>46218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20.4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S 294-2025</t>
        </is>
      </c>
      <c r="B603" t="inlineStr">
        <is>
          <t>samrådsanmälan</t>
        </is>
      </c>
      <c r="C603" t="inlineStr">
        <is>
          <t>Skogsgödsling</t>
        </is>
      </c>
      <c r="D603" s="1" t="n">
        <v>45687</v>
      </c>
      <c r="E603" s="1" t="n">
        <v>46218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186.4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S 4116-2023</t>
        </is>
      </c>
      <c r="B604" t="inlineStr">
        <is>
          <t>samrådsanmälan</t>
        </is>
      </c>
      <c r="C604" t="inlineStr">
        <is>
          <t>Skogsgödsling</t>
        </is>
      </c>
      <c r="D604" s="1" t="n">
        <v>45246</v>
      </c>
      <c r="E604" s="1" t="n">
        <v>46218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6.4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S 661-2025</t>
        </is>
      </c>
      <c r="B605" t="inlineStr">
        <is>
          <t>samrådsanmälan</t>
        </is>
      </c>
      <c r="C605" t="inlineStr">
        <is>
          <t>Skogsgödsling</t>
        </is>
      </c>
      <c r="D605" s="1" t="n">
        <v>45716</v>
      </c>
      <c r="E605" s="1" t="n">
        <v>46218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161.7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S 3429-2025</t>
        </is>
      </c>
      <c r="B606" t="inlineStr">
        <is>
          <t>samrådsanmälan</t>
        </is>
      </c>
      <c r="C606" t="inlineStr">
        <is>
          <t>Annan skogsbruksåtgärd</t>
        </is>
      </c>
      <c r="D606" s="1" t="n">
        <v>45995</v>
      </c>
      <c r="E606" s="1" t="n">
        <v>46218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S 3576-2025</t>
        </is>
      </c>
      <c r="B607" t="inlineStr">
        <is>
          <t>samrådsanmälan</t>
        </is>
      </c>
      <c r="C607" t="inlineStr">
        <is>
          <t>Skogsgödsling</t>
        </is>
      </c>
      <c r="D607" s="1" t="n">
        <v>46010</v>
      </c>
      <c r="E607" s="1" t="n">
        <v>46218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27.1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>
      <c r="A608" t="inlineStr">
        <is>
          <t>S 105-2026</t>
        </is>
      </c>
      <c r="B608" t="inlineStr">
        <is>
          <t>samrådsanmälan</t>
        </is>
      </c>
      <c r="C608" t="inlineStr">
        <is>
          <t>Skogsgödsling</t>
        </is>
      </c>
      <c r="D608" s="1" t="n">
        <v>46036</v>
      </c>
      <c r="E608" s="1" t="n">
        <v>46218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238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2026-07-15T01:27:33Z</dcterms:created>
  <dcterms:modified xmlns:dcterms="http://purl.org/dc/terms/" xmlns:xsi="http://www.w3.org/2001/XMLSchema-instance" xsi:type="dcterms:W3CDTF">2026-07-15T01:27:33Z</dcterms:modified>
</cp:coreProperties>
</file>