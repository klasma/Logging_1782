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S 862-2020</t>
        </is>
      </c>
      <c r="B2" t="inlineStr">
        <is>
          <t>samrådsanmälan</t>
        </is>
      </c>
      <c r="C2" t="inlineStr">
        <is>
          <t>Åtgärd i nyckelbiotop</t>
        </is>
      </c>
      <c r="D2" s="1" t="n">
        <v>43936</v>
      </c>
      <c r="E2" s="1" t="n">
        <v>46306</v>
      </c>
      <c r="F2" t="inlineStr">
        <is>
          <t>VÄRMLANDS LÄN</t>
        </is>
      </c>
      <c r="G2" t="inlineStr">
        <is>
          <t>FILIPSTAD</t>
        </is>
      </c>
      <c r="I2" t="n">
        <v>14.1</v>
      </c>
      <c r="J2" t="n">
        <v>4</v>
      </c>
      <c r="K2" t="n">
        <v>10</v>
      </c>
      <c r="L2" t="n">
        <v>8</v>
      </c>
      <c r="M2" t="n">
        <v>2</v>
      </c>
      <c r="N2" t="n">
        <v>0</v>
      </c>
      <c r="O2" t="n">
        <v>0</v>
      </c>
      <c r="P2" t="n">
        <v>0</v>
      </c>
      <c r="Q2" t="n">
        <v>10</v>
      </c>
      <c r="R2" t="n">
        <v>2</v>
      </c>
      <c r="S2" t="n">
        <v>21</v>
      </c>
      <c r="T2" t="n">
        <v>104</v>
      </c>
      <c r="U2" t="n">
        <v>84</v>
      </c>
      <c r="V2" s="2" t="inlineStr">
        <is>
          <t>Garnlav
Knärot
Brunklöver
Brunpudrad nållav
Dropptaggsvamp
Skuggblåslav
Stjärntagging
Talltita
Ullticka
Vedtrappmossa
Bårdlav
Dvärgtufs
Korallblylav
Korallrot
Platt fjädermossa
Skinnlav
Stuplav
Thomsons trägnagare
Trådticka
Vedticka
Brudsporre</t>
        </is>
      </c>
      <c r="W2">
        <f>HYPERLINK("https://klasma.github.io/Logging_1782/artfynd/S 862-2020 artfynd.xlsx", "S 862-2020")</f>
        <v/>
      </c>
      <c r="X2">
        <f>HYPERLINK("https://klasma.github.io/Logging_1782/kartor/S 862-2020 karta.png", "S 862-2020")</f>
        <v/>
      </c>
      <c r="Y2">
        <f>HYPERLINK("https://klasma.github.io/Logging_1782/kartor_geotiff/S 862-2020 georefererad karta.tif", "S 862-2020")</f>
        <v/>
      </c>
      <c r="Z2">
        <f>HYPERLINK("https://klasma.github.io/Logging_1782/knärot/S 862-2020 karta knärot.png", "S 862-2020")</f>
        <v/>
      </c>
      <c r="AA2">
        <f>HYPERLINK("https://klasma.github.io/Logging_1782/klagomål/S 862-2020 FSC-klagomål.docx", "S 862-2020")</f>
        <v/>
      </c>
      <c r="AB2">
        <f>HYPERLINK("https://klasma.github.io/Logging_1782/klagomålsmail/S 862-2020 FSC-klagomål mail.docx", "S 862-2020")</f>
        <v/>
      </c>
      <c r="AC2">
        <f>HYPERLINK("https://klasma.github.io/Logging_1782/tillsyn/S 862-2020 tillsynsbegäran.docx", "S 862-2020")</f>
        <v/>
      </c>
      <c r="AD2">
        <f>HYPERLINK("https://klasma.github.io/Logging_1782/tillsynsmail/S 862-2020 tillsynsbegäran mail.docx", "S 862-2020")</f>
        <v/>
      </c>
      <c r="AE2">
        <f>HYPERLINK("https://klasma.github.io/Logging_1782/fåglar/S 862-2020 prioriterade fågelarter.docx", "S 862-2020")</f>
        <v/>
      </c>
    </row>
    <row r="3" ht="15" customHeight="1">
      <c r="A3" t="inlineStr">
        <is>
          <t>A 39323-2024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45551</v>
      </c>
      <c r="E3" s="1" t="n">
        <v>46306</v>
      </c>
      <c r="F3" t="inlineStr">
        <is>
          <t>VÄRMLANDS LÄN</t>
        </is>
      </c>
      <c r="G3" t="inlineStr">
        <is>
          <t>FILIPSTAD</t>
        </is>
      </c>
      <c r="H3" t="inlineStr">
        <is>
          <t>Bergvik skog väst AB</t>
        </is>
      </c>
      <c r="I3" t="n">
        <v>20.2</v>
      </c>
      <c r="J3" t="n">
        <v>4</v>
      </c>
      <c r="K3" t="n">
        <v>3</v>
      </c>
      <c r="L3" t="n">
        <v>4</v>
      </c>
      <c r="M3" t="n">
        <v>2</v>
      </c>
      <c r="N3" t="n">
        <v>0</v>
      </c>
      <c r="O3" t="n">
        <v>0</v>
      </c>
      <c r="P3" t="n">
        <v>0</v>
      </c>
      <c r="Q3" t="n">
        <v>6</v>
      </c>
      <c r="R3" t="n">
        <v>2</v>
      </c>
      <c r="S3" t="n">
        <v>11</v>
      </c>
      <c r="T3" t="n">
        <v>163</v>
      </c>
      <c r="U3" t="n">
        <v>0</v>
      </c>
      <c r="V3" s="2" t="inlineStr">
        <is>
          <t>Gränsticka
Knärot
Dropptaggsvamp
Tallticka
Ullticka
Vedtrappmossa
Grön sköldmossa
Rostfläck
Vedticka
Spillkråka
Tjäder</t>
        </is>
      </c>
      <c r="W3">
        <f>HYPERLINK("https://klasma.github.io/Logging_1782/artfynd/A 39323-2024 artfynd.xlsx", "A 39323-2024")</f>
        <v/>
      </c>
      <c r="X3">
        <f>HYPERLINK("https://klasma.github.io/Logging_1782/kartor/A 39323-2024 karta.png", "A 39323-2024")</f>
        <v/>
      </c>
      <c r="Y3">
        <f>HYPERLINK("https://klasma.github.io/Logging_1782/kartor_geotiff/A 39323-2024 georefererad karta.tif", "A 39323-2024")</f>
        <v/>
      </c>
      <c r="Z3">
        <f>HYPERLINK("https://klasma.github.io/Logging_1782/knärot/A 39323-2024 karta knärot.png", "A 39323-2024")</f>
        <v/>
      </c>
      <c r="AA3">
        <f>HYPERLINK("https://klasma.github.io/Logging_1782/klagomål/A 39323-2024 FSC-klagomål.docx", "A 39323-2024")</f>
        <v/>
      </c>
      <c r="AB3">
        <f>HYPERLINK("https://klasma.github.io/Logging_1782/klagomålsmail/A 39323-2024 FSC-klagomål mail.docx", "A 39323-2024")</f>
        <v/>
      </c>
      <c r="AC3">
        <f>HYPERLINK("https://klasma.github.io/Logging_1782/tillsyn/A 39323-2024 tillsynsbegäran.docx", "A 39323-2024")</f>
        <v/>
      </c>
      <c r="AD3">
        <f>HYPERLINK("https://klasma.github.io/Logging_1782/tillsynsmail/A 39323-2024 tillsynsbegäran mail.docx", "A 39323-2024")</f>
        <v/>
      </c>
      <c r="AE3">
        <f>HYPERLINK("https://klasma.github.io/Logging_1782/fåglar/A 39323-2024 prioriterade fågelarter.docx", "A 39323-2024")</f>
        <v/>
      </c>
    </row>
    <row r="4" ht="15" customHeight="1">
      <c r="A4" t="inlineStr">
        <is>
          <t>A 58718-2021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44489</v>
      </c>
      <c r="E4" s="1" t="n">
        <v>46306</v>
      </c>
      <c r="F4" t="inlineStr">
        <is>
          <t>VÄRMLANDS LÄN</t>
        </is>
      </c>
      <c r="G4" t="inlineStr">
        <is>
          <t>FILIPSTAD</t>
        </is>
      </c>
      <c r="H4" t="inlineStr">
        <is>
          <t>Bergvik skog väst AB</t>
        </is>
      </c>
      <c r="I4" t="n">
        <v>12.2</v>
      </c>
      <c r="J4" t="n">
        <v>0</v>
      </c>
      <c r="K4" t="n">
        <v>2</v>
      </c>
      <c r="L4" t="n">
        <v>4</v>
      </c>
      <c r="M4" t="n">
        <v>1</v>
      </c>
      <c r="N4" t="n">
        <v>0</v>
      </c>
      <c r="O4" t="n">
        <v>0</v>
      </c>
      <c r="P4" t="n">
        <v>0</v>
      </c>
      <c r="Q4" t="n">
        <v>5</v>
      </c>
      <c r="R4" t="n">
        <v>1</v>
      </c>
      <c r="S4" t="n">
        <v>7</v>
      </c>
      <c r="T4" t="n">
        <v>12</v>
      </c>
      <c r="U4" t="n">
        <v>12</v>
      </c>
      <c r="V4" s="2" t="inlineStr">
        <is>
          <t>Garnlav
Dropptaggsvamp
Skuggblåslav
Ullticka
Vedtrappmossa
Bollvitmossa
Bronshjon</t>
        </is>
      </c>
      <c r="W4">
        <f>HYPERLINK("https://klasma.github.io/Logging_1782/artfynd/A 58718-2021 artfynd.xlsx", "A 58718-2021")</f>
        <v/>
      </c>
      <c r="X4">
        <f>HYPERLINK("https://klasma.github.io/Logging_1782/kartor/A 58718-2021 karta.png", "A 58718-2021")</f>
        <v/>
      </c>
      <c r="Y4">
        <f>HYPERLINK("https://klasma.github.io/Logging_1782/kartor_geotiff/A 58718-2021 georefererad karta.tif", "A 58718-2021")</f>
        <v/>
      </c>
      <c r="AA4">
        <f>HYPERLINK("https://klasma.github.io/Logging_1782/klagomål/A 58718-2021 FSC-klagomål.docx", "A 58718-2021")</f>
        <v/>
      </c>
      <c r="AB4">
        <f>HYPERLINK("https://klasma.github.io/Logging_1782/klagomålsmail/A 58718-2021 FSC-klagomål mail.docx", "A 58718-2021")</f>
        <v/>
      </c>
      <c r="AC4">
        <f>HYPERLINK("https://klasma.github.io/Logging_1782/tillsyn/A 58718-2021 tillsynsbegäran.docx", "A 58718-2021")</f>
        <v/>
      </c>
      <c r="AD4">
        <f>HYPERLINK("https://klasma.github.io/Logging_1782/tillsynsmail/A 58718-2021 tillsynsbegäran mail.docx", "A 58718-2021")</f>
        <v/>
      </c>
    </row>
    <row r="5" ht="15" customHeight="1">
      <c r="A5" t="inlineStr">
        <is>
          <t>A 45602-2025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45922</v>
      </c>
      <c r="E5" s="1" t="n">
        <v>46306</v>
      </c>
      <c r="F5" t="inlineStr">
        <is>
          <t>VÄRMLANDS LÄN</t>
        </is>
      </c>
      <c r="G5" t="inlineStr">
        <is>
          <t>FILIPSTAD</t>
        </is>
      </c>
      <c r="I5" t="n">
        <v>6.2</v>
      </c>
      <c r="J5" t="n">
        <v>0</v>
      </c>
      <c r="K5" t="n">
        <v>3</v>
      </c>
      <c r="L5" t="n">
        <v>2</v>
      </c>
      <c r="M5" t="n">
        <v>0</v>
      </c>
      <c r="N5" t="n">
        <v>0</v>
      </c>
      <c r="O5" t="n">
        <v>0</v>
      </c>
      <c r="P5" t="n">
        <v>0</v>
      </c>
      <c r="Q5" t="n">
        <v>2</v>
      </c>
      <c r="R5" t="n">
        <v>0</v>
      </c>
      <c r="S5" t="n">
        <v>5</v>
      </c>
      <c r="T5" t="n">
        <v>9</v>
      </c>
      <c r="U5" t="n">
        <v>0</v>
      </c>
      <c r="V5" s="2" t="inlineStr">
        <is>
          <t>Veckticka
Vårärt
Blåsfliksmossa
Mörk husmossa
Tibast</t>
        </is>
      </c>
      <c r="W5">
        <f>HYPERLINK("https://klasma.github.io/Logging_1782/artfynd/A 45602-2025 artfynd.xlsx", "A 45602-2025")</f>
        <v/>
      </c>
      <c r="X5">
        <f>HYPERLINK("https://klasma.github.io/Logging_1782/kartor/A 45602-2025 karta.png", "A 45602-2025")</f>
        <v/>
      </c>
      <c r="Y5">
        <f>HYPERLINK("https://klasma.github.io/Logging_1782/kartor_geotiff/A 45602-2025 georefererad karta.tif", "A 45602-2025")</f>
        <v/>
      </c>
      <c r="AA5">
        <f>HYPERLINK("https://klasma.github.io/Logging_1782/klagomål/A 45602-2025 FSC-klagomål.docx", "A 45602-2025")</f>
        <v/>
      </c>
      <c r="AB5">
        <f>HYPERLINK("https://klasma.github.io/Logging_1782/klagomålsmail/A 45602-2025 FSC-klagomål mail.docx", "A 45602-2025")</f>
        <v/>
      </c>
      <c r="AC5">
        <f>HYPERLINK("https://klasma.github.io/Logging_1782/tillsyn/A 45602-2025 tillsynsbegäran.docx", "A 45602-2025")</f>
        <v/>
      </c>
      <c r="AD5">
        <f>HYPERLINK("https://klasma.github.io/Logging_1782/tillsynsmail/A 45602-2025 tillsynsbegäran mail.docx", "A 45602-2025")</f>
        <v/>
      </c>
    </row>
    <row r="6" ht="15" customHeight="1">
      <c r="A6" t="inlineStr">
        <is>
          <t>A 57471-2025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45980</v>
      </c>
      <c r="E6" s="1" t="n">
        <v>46306</v>
      </c>
      <c r="F6" t="inlineStr">
        <is>
          <t>VÄRMLANDS LÄN</t>
        </is>
      </c>
      <c r="G6" t="inlineStr">
        <is>
          <t>FILIPSTAD</t>
        </is>
      </c>
      <c r="H6" t="inlineStr">
        <is>
          <t>Bergvik skog väst AB</t>
        </is>
      </c>
      <c r="I6" t="n">
        <v>14.4</v>
      </c>
      <c r="J6" t="n">
        <v>1</v>
      </c>
      <c r="K6" t="n">
        <v>2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2</v>
      </c>
      <c r="R6" t="n">
        <v>1</v>
      </c>
      <c r="S6" t="n">
        <v>5</v>
      </c>
      <c r="T6" t="n">
        <v>36</v>
      </c>
      <c r="U6" t="n">
        <v>0</v>
      </c>
      <c r="V6" s="2" t="inlineStr">
        <is>
          <t>Garnlav
Kattfotslav
Bollvitmossa
Vågbandad barkbock
Fläcknycklar</t>
        </is>
      </c>
      <c r="W6">
        <f>HYPERLINK("https://klasma.github.io/Logging_1782/artfynd/A 57471-2025 artfynd.xlsx", "A 57471-2025")</f>
        <v/>
      </c>
      <c r="X6">
        <f>HYPERLINK("https://klasma.github.io/Logging_1782/kartor/A 57471-2025 karta.png", "A 57471-2025")</f>
        <v/>
      </c>
      <c r="Y6">
        <f>HYPERLINK("https://klasma.github.io/Logging_1782/kartor_geotiff/A 57471-2025 georefererad karta.tif", "A 57471-2025")</f>
        <v/>
      </c>
      <c r="AA6">
        <f>HYPERLINK("https://klasma.github.io/Logging_1782/klagomål/A 57471-2025 FSC-klagomål.docx", "A 57471-2025")</f>
        <v/>
      </c>
      <c r="AB6">
        <f>HYPERLINK("https://klasma.github.io/Logging_1782/klagomålsmail/A 57471-2025 FSC-klagomål mail.docx", "A 57471-2025")</f>
        <v/>
      </c>
      <c r="AC6">
        <f>HYPERLINK("https://klasma.github.io/Logging_1782/tillsyn/A 57471-2025 tillsynsbegäran.docx", "A 57471-2025")</f>
        <v/>
      </c>
      <c r="AD6">
        <f>HYPERLINK("https://klasma.github.io/Logging_1782/tillsynsmail/A 57471-2025 tillsynsbegäran mail.docx", "A 57471-2025")</f>
        <v/>
      </c>
    </row>
    <row r="7" ht="15" customHeight="1">
      <c r="A7" t="inlineStr">
        <is>
          <t>A 26186-2026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46182</v>
      </c>
      <c r="E7" s="1" t="n">
        <v>46306</v>
      </c>
      <c r="F7" t="inlineStr">
        <is>
          <t>VÄRMLANDS LÄN</t>
        </is>
      </c>
      <c r="G7" t="inlineStr">
        <is>
          <t>FILIPSTAD</t>
        </is>
      </c>
      <c r="H7" t="inlineStr">
        <is>
          <t>Bergvik skog väst AB</t>
        </is>
      </c>
      <c r="I7" t="n">
        <v>5</v>
      </c>
      <c r="J7" t="n">
        <v>2</v>
      </c>
      <c r="K7" t="n">
        <v>3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5</v>
      </c>
      <c r="T7" t="n">
        <v>6</v>
      </c>
      <c r="U7" t="n">
        <v>0</v>
      </c>
      <c r="V7" s="2" t="inlineStr">
        <is>
          <t>Ullticka
Grön sköldmossa
Korallblylav
Mörk husmossa
Blåsippa</t>
        </is>
      </c>
      <c r="W7">
        <f>HYPERLINK("https://klasma.github.io/Logging_1782/artfynd/A 26186-2026 artfynd.xlsx", "A 26186-2026")</f>
        <v/>
      </c>
      <c r="X7">
        <f>HYPERLINK("https://klasma.github.io/Logging_1782/kartor/A 26186-2026 karta.png", "A 26186-2026")</f>
        <v/>
      </c>
      <c r="Y7">
        <f>HYPERLINK("https://klasma.github.io/Logging_1782/kartor_geotiff/A 26186-2026 georefererad karta.tif", "A 26186-2026")</f>
        <v/>
      </c>
      <c r="AA7">
        <f>HYPERLINK("https://klasma.github.io/Logging_1782/klagomål/A 26186-2026 FSC-klagomål.docx", "A 26186-2026")</f>
        <v/>
      </c>
      <c r="AB7">
        <f>HYPERLINK("https://klasma.github.io/Logging_1782/klagomålsmail/A 26186-2026 FSC-klagomål mail.docx", "A 26186-2026")</f>
        <v/>
      </c>
      <c r="AC7">
        <f>HYPERLINK("https://klasma.github.io/Logging_1782/tillsyn/A 26186-2026 tillsynsbegäran.docx", "A 26186-2026")</f>
        <v/>
      </c>
      <c r="AD7">
        <f>HYPERLINK("https://klasma.github.io/Logging_1782/tillsynsmail/A 26186-2026 tillsynsbegäran mail.docx", "A 26186-2026")</f>
        <v/>
      </c>
    </row>
    <row r="8" ht="15" customHeight="1">
      <c r="A8" t="inlineStr">
        <is>
          <t>A 34605-2026</t>
        </is>
      </c>
      <c r="B8" t="inlineStr">
        <is>
          <t>avverkningsanmälan</t>
        </is>
      </c>
      <c r="C8" t="inlineStr">
        <is>
          <t>Avverkning för att bevara och utveckla /försöksver</t>
        </is>
      </c>
      <c r="D8" s="1" t="n">
        <v>46255</v>
      </c>
      <c r="E8" s="1" t="n">
        <v>46306</v>
      </c>
      <c r="F8" t="inlineStr">
        <is>
          <t>VÄRMLANDS LÄN</t>
        </is>
      </c>
      <c r="G8" t="inlineStr">
        <is>
          <t>FILIPSTAD</t>
        </is>
      </c>
      <c r="H8" t="inlineStr">
        <is>
          <t>Bergvik skog väst AB</t>
        </is>
      </c>
      <c r="I8" t="n">
        <v>12.5</v>
      </c>
      <c r="J8" t="n">
        <v>4</v>
      </c>
      <c r="K8" t="n">
        <v>1</v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2</v>
      </c>
      <c r="R8" t="n">
        <v>0</v>
      </c>
      <c r="S8" t="n">
        <v>5</v>
      </c>
      <c r="T8" t="n">
        <v>5</v>
      </c>
      <c r="U8" t="n">
        <v>0</v>
      </c>
      <c r="V8" s="2" t="inlineStr">
        <is>
          <t>Månlåsbräken
Rödvingetrast
Purpurknipprot
Kungsfågel
Vanlig snok</t>
        </is>
      </c>
      <c r="W8">
        <f>HYPERLINK("https://klasma.github.io/Logging_1782/artfynd/A 34605-2026 artfynd.xlsx", "A 34605-2026")</f>
        <v/>
      </c>
      <c r="X8">
        <f>HYPERLINK("https://klasma.github.io/Logging_1782/kartor/A 34605-2026 karta.png", "A 34605-2026")</f>
        <v/>
      </c>
      <c r="Y8">
        <f>HYPERLINK("https://klasma.github.io/Logging_1782/kartor_geotiff/A 34605-2026 georefererad karta.tif", "A 34605-2026")</f>
        <v/>
      </c>
      <c r="AA8">
        <f>HYPERLINK("https://klasma.github.io/Logging_1782/klagomål/A 34605-2026 FSC-klagomål.docx", "A 34605-2026")</f>
        <v/>
      </c>
      <c r="AB8">
        <f>HYPERLINK("https://klasma.github.io/Logging_1782/klagomålsmail/A 34605-2026 FSC-klagomål mail.docx", "A 34605-2026")</f>
        <v/>
      </c>
      <c r="AC8">
        <f>HYPERLINK("https://klasma.github.io/Logging_1782/tillsyn/A 34605-2026 tillsynsbegäran.docx", "A 34605-2026")</f>
        <v/>
      </c>
      <c r="AD8">
        <f>HYPERLINK("https://klasma.github.io/Logging_1782/tillsynsmail/A 34605-2026 tillsynsbegäran mail.docx", "A 34605-2026")</f>
        <v/>
      </c>
      <c r="AE8">
        <f>HYPERLINK("https://klasma.github.io/Logging_1782/fåglar/A 34605-2026 prioriterade fågelarter.docx", "A 34605-2026")</f>
        <v/>
      </c>
    </row>
    <row r="9" ht="15" customHeight="1">
      <c r="A9" t="inlineStr">
        <is>
          <t>S 219-2025</t>
        </is>
      </c>
      <c r="B9" t="inlineStr">
        <is>
          <t>samrådsanmälan</t>
        </is>
      </c>
      <c r="C9" t="inlineStr">
        <is>
          <t>Annan skogsbruksåtgärd</t>
        </is>
      </c>
      <c r="D9" s="1" t="n">
        <v>45680</v>
      </c>
      <c r="E9" s="1" t="n">
        <v>46306</v>
      </c>
      <c r="F9" t="inlineStr">
        <is>
          <t>VÄRMLANDS LÄN</t>
        </is>
      </c>
      <c r="G9" t="inlineStr">
        <is>
          <t>FILIPSTAD</t>
        </is>
      </c>
      <c r="H9" t="inlineStr">
        <is>
          <t>Bergvik skog väst AB</t>
        </is>
      </c>
      <c r="I9" t="n">
        <v>4.1</v>
      </c>
      <c r="J9" t="n">
        <v>0</v>
      </c>
      <c r="K9" t="n">
        <v>3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2</v>
      </c>
      <c r="R9" t="n">
        <v>1</v>
      </c>
      <c r="S9" t="n">
        <v>5</v>
      </c>
      <c r="T9" t="n">
        <v>5</v>
      </c>
      <c r="U9" t="n">
        <v>0</v>
      </c>
      <c r="V9" s="2" t="inlineStr">
        <is>
          <t>Garnlav
Skuggblåslav
Korallblylav
Mindre märgborre
Vanlig flatbagge</t>
        </is>
      </c>
      <c r="W9">
        <f>HYPERLINK("https://klasma.github.io/Logging_1782/artfynd/S 219-2025 artfynd.xlsx", "S 219-2025")</f>
        <v/>
      </c>
      <c r="X9">
        <f>HYPERLINK("https://klasma.github.io/Logging_1782/kartor/S 219-2025 karta.png", "S 219-2025")</f>
        <v/>
      </c>
      <c r="Y9">
        <f>HYPERLINK("https://klasma.github.io/Logging_1782/kartor_geotiff/S 219-2025 georefererad karta.tif", "S 219-2025")</f>
        <v/>
      </c>
      <c r="AA9">
        <f>HYPERLINK("https://klasma.github.io/Logging_1782/klagomål/S 219-2025 FSC-klagomål.docx", "S 219-2025")</f>
        <v/>
      </c>
      <c r="AB9">
        <f>HYPERLINK("https://klasma.github.io/Logging_1782/klagomålsmail/S 219-2025 FSC-klagomål mail.docx", "S 219-2025")</f>
        <v/>
      </c>
      <c r="AC9">
        <f>HYPERLINK("https://klasma.github.io/Logging_1782/tillsyn/S 219-2025 tillsynsbegäran.docx", "S 219-2025")</f>
        <v/>
      </c>
      <c r="AD9">
        <f>HYPERLINK("https://klasma.github.io/Logging_1782/tillsynsmail/S 219-2025 tillsynsbegäran mail.docx", "S 219-2025")</f>
        <v/>
      </c>
    </row>
    <row r="10" ht="15" customHeight="1">
      <c r="A10" t="inlineStr">
        <is>
          <t>A 65201-2023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45289</v>
      </c>
      <c r="E10" s="1" t="n">
        <v>46306</v>
      </c>
      <c r="F10" t="inlineStr">
        <is>
          <t>VÄRMLANDS LÄN</t>
        </is>
      </c>
      <c r="G10" t="inlineStr">
        <is>
          <t>FILIPSTAD</t>
        </is>
      </c>
      <c r="H10" t="inlineStr">
        <is>
          <t>Bergvik skog väst AB</t>
        </is>
      </c>
      <c r="I10" t="n">
        <v>7.5</v>
      </c>
      <c r="J10" t="n">
        <v>2</v>
      </c>
      <c r="K10" t="n">
        <v>0</v>
      </c>
      <c r="L10" t="n">
        <v>2</v>
      </c>
      <c r="M10" t="n">
        <v>1</v>
      </c>
      <c r="N10" t="n">
        <v>0</v>
      </c>
      <c r="O10" t="n">
        <v>0</v>
      </c>
      <c r="P10" t="n">
        <v>0</v>
      </c>
      <c r="Q10" t="n">
        <v>3</v>
      </c>
      <c r="R10" t="n">
        <v>1</v>
      </c>
      <c r="S10" t="n">
        <v>4</v>
      </c>
      <c r="T10" t="n">
        <v>7</v>
      </c>
      <c r="U10" t="n">
        <v>6</v>
      </c>
      <c r="V10" s="2" t="inlineStr">
        <is>
          <t>Knärot
Brunpudrad nållav
Vedtrappmossa
Blåsippa</t>
        </is>
      </c>
      <c r="W10">
        <f>HYPERLINK("https://klasma.github.io/Logging_1782/artfynd/A 65201-2023 artfynd.xlsx", "A 65201-2023")</f>
        <v/>
      </c>
      <c r="X10">
        <f>HYPERLINK("https://klasma.github.io/Logging_1782/kartor/A 65201-2023 karta.png", "A 65201-2023")</f>
        <v/>
      </c>
      <c r="Y10">
        <f>HYPERLINK("https://klasma.github.io/Logging_1782/kartor_geotiff/A 65201-2023 georefererad karta.tif", "A 65201-2023")</f>
        <v/>
      </c>
      <c r="Z10">
        <f>HYPERLINK("https://klasma.github.io/Logging_1782/knärot/A 65201-2023 karta knärot.png", "A 65201-2023")</f>
        <v/>
      </c>
      <c r="AA10">
        <f>HYPERLINK("https://klasma.github.io/Logging_1782/klagomål/A 65201-2023 FSC-klagomål.docx", "A 65201-2023")</f>
        <v/>
      </c>
      <c r="AB10">
        <f>HYPERLINK("https://klasma.github.io/Logging_1782/klagomålsmail/A 65201-2023 FSC-klagomål mail.docx", "A 65201-2023")</f>
        <v/>
      </c>
      <c r="AC10">
        <f>HYPERLINK("https://klasma.github.io/Logging_1782/tillsyn/A 65201-2023 tillsynsbegäran.docx", "A 65201-2023")</f>
        <v/>
      </c>
      <c r="AD10">
        <f>HYPERLINK("https://klasma.github.io/Logging_1782/tillsynsmail/A 65201-2023 tillsynsbegäran mail.docx", "A 65201-2023")</f>
        <v/>
      </c>
    </row>
    <row r="11" ht="15" customHeight="1">
      <c r="A11" t="inlineStr">
        <is>
          <t>S 3485-2022</t>
        </is>
      </c>
      <c r="B11" t="inlineStr">
        <is>
          <t>samrådsanmälan</t>
        </is>
      </c>
      <c r="C11" t="inlineStr">
        <is>
          <t>Askåterföring</t>
        </is>
      </c>
      <c r="D11" s="1" t="n">
        <v>44732</v>
      </c>
      <c r="E11" s="1" t="n">
        <v>46306</v>
      </c>
      <c r="F11" t="inlineStr">
        <is>
          <t>VÄRMLANDS LÄN</t>
        </is>
      </c>
      <c r="G11" t="inlineStr">
        <is>
          <t>FILIPSTAD</t>
        </is>
      </c>
      <c r="I11" t="n">
        <v>147.3</v>
      </c>
      <c r="J11" t="n">
        <v>4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</v>
      </c>
      <c r="T11" t="n">
        <v>11</v>
      </c>
      <c r="U11" t="n">
        <v>11</v>
      </c>
      <c r="V11" s="2" t="inlineStr">
        <is>
          <t>Tvåblad
Grönsiska
Smålom
Fläcknycklar</t>
        </is>
      </c>
      <c r="W11">
        <f>HYPERLINK("https://klasma.github.io/Logging_1782/artfynd/S 3485-2022 artfynd.xlsx", "S 3485-2022")</f>
        <v/>
      </c>
      <c r="X11">
        <f>HYPERLINK("https://klasma.github.io/Logging_1782/kartor/S 3485-2022 karta.png", "S 3485-2022")</f>
        <v/>
      </c>
      <c r="Y11">
        <f>HYPERLINK("https://klasma.github.io/Logging_1782/kartor_geotiff/S 3485-2022 georefererad karta.tif", "S 3485-2022")</f>
        <v/>
      </c>
      <c r="AA11">
        <f>HYPERLINK("https://klasma.github.io/Logging_1782/klagomål/S 3485-2022 FSC-klagomål.docx", "S 3485-2022")</f>
        <v/>
      </c>
      <c r="AB11">
        <f>HYPERLINK("https://klasma.github.io/Logging_1782/klagomålsmail/S 3485-2022 FSC-klagomål mail.docx", "S 3485-2022")</f>
        <v/>
      </c>
      <c r="AC11">
        <f>HYPERLINK("https://klasma.github.io/Logging_1782/tillsyn/S 3485-2022 tillsynsbegäran.docx", "S 3485-2022")</f>
        <v/>
      </c>
      <c r="AD11">
        <f>HYPERLINK("https://klasma.github.io/Logging_1782/tillsynsmail/S 3485-2022 tillsynsbegäran mail.docx", "S 3485-2022")</f>
        <v/>
      </c>
      <c r="AE11">
        <f>HYPERLINK("https://klasma.github.io/Logging_1782/fåglar/S 3485-2022 prioriterade fågelarter.docx", "S 3485-2022")</f>
        <v/>
      </c>
    </row>
    <row r="12" ht="15" customHeight="1">
      <c r="A12" t="inlineStr">
        <is>
          <t>A 43333-2023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45183</v>
      </c>
      <c r="E12" s="1" t="n">
        <v>46306</v>
      </c>
      <c r="F12" t="inlineStr">
        <is>
          <t>VÄRMLANDS LÄN</t>
        </is>
      </c>
      <c r="G12" t="inlineStr">
        <is>
          <t>FILIPSTAD</t>
        </is>
      </c>
      <c r="H12" t="inlineStr">
        <is>
          <t>Bergvik skog väst AB</t>
        </is>
      </c>
      <c r="I12" t="n">
        <v>19.4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2</v>
      </c>
      <c r="R12" t="n">
        <v>1</v>
      </c>
      <c r="S12" t="n">
        <v>3</v>
      </c>
      <c r="T12" t="n">
        <v>3</v>
      </c>
      <c r="U12" t="n">
        <v>3</v>
      </c>
      <c r="V12" s="2" t="inlineStr">
        <is>
          <t>Norsk näverlav
Skuggblåslav
Grön sköldmossa</t>
        </is>
      </c>
      <c r="W12">
        <f>HYPERLINK("https://klasma.github.io/Logging_1782/artfynd/A 43333-2023 artfynd.xlsx", "A 43333-2023")</f>
        <v/>
      </c>
      <c r="X12">
        <f>HYPERLINK("https://klasma.github.io/Logging_1782/kartor/A 43333-2023 karta.png", "A 43333-2023")</f>
        <v/>
      </c>
      <c r="Y12">
        <f>HYPERLINK("https://klasma.github.io/Logging_1782/kartor_geotiff/A 43333-2023 georefererad karta.tif", "A 43333-2023")</f>
        <v/>
      </c>
      <c r="AA12">
        <f>HYPERLINK("https://klasma.github.io/Logging_1782/klagomål/A 43333-2023 FSC-klagomål.docx", "A 43333-2023")</f>
        <v/>
      </c>
      <c r="AB12">
        <f>HYPERLINK("https://klasma.github.io/Logging_1782/klagomålsmail/A 43333-2023 FSC-klagomål mail.docx", "A 43333-2023")</f>
        <v/>
      </c>
      <c r="AC12">
        <f>HYPERLINK("https://klasma.github.io/Logging_1782/tillsyn/A 43333-2023 tillsynsbegäran.docx", "A 43333-2023")</f>
        <v/>
      </c>
      <c r="AD12">
        <f>HYPERLINK("https://klasma.github.io/Logging_1782/tillsynsmail/A 43333-2023 tillsynsbegäran mail.docx", "A 43333-2023")</f>
        <v/>
      </c>
    </row>
    <row r="13" ht="15" customHeight="1">
      <c r="A13" t="inlineStr">
        <is>
          <t>A 63625-2023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45275</v>
      </c>
      <c r="E13" s="1" t="n">
        <v>46306</v>
      </c>
      <c r="F13" t="inlineStr">
        <is>
          <t>VÄRMLANDS LÄN</t>
        </is>
      </c>
      <c r="G13" t="inlineStr">
        <is>
          <t>FILIPSTAD</t>
        </is>
      </c>
      <c r="I13" t="n">
        <v>1.9</v>
      </c>
      <c r="J13" t="n">
        <v>1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2</v>
      </c>
      <c r="R13" t="n">
        <v>1</v>
      </c>
      <c r="S13" t="n">
        <v>3</v>
      </c>
      <c r="T13" t="n">
        <v>3</v>
      </c>
      <c r="U13" t="n">
        <v>1</v>
      </c>
      <c r="V13" s="2" t="inlineStr">
        <is>
          <t>Smalfotad taggsvamp
Vaddporing
Utter</t>
        </is>
      </c>
      <c r="W13">
        <f>HYPERLINK("https://klasma.github.io/Logging_1782/artfynd/A 63625-2023 artfynd.xlsx", "A 63625-2023")</f>
        <v/>
      </c>
      <c r="X13">
        <f>HYPERLINK("https://klasma.github.io/Logging_1782/kartor/A 63625-2023 karta.png", "A 63625-2023")</f>
        <v/>
      </c>
      <c r="Y13">
        <f>HYPERLINK("https://klasma.github.io/Logging_1782/kartor_geotiff/A 63625-2023 georefererad karta.tif", "A 63625-2023")</f>
        <v/>
      </c>
      <c r="AA13">
        <f>HYPERLINK("https://klasma.github.io/Logging_1782/klagomål/A 63625-2023 FSC-klagomål.docx", "A 63625-2023")</f>
        <v/>
      </c>
      <c r="AB13">
        <f>HYPERLINK("https://klasma.github.io/Logging_1782/klagomålsmail/A 63625-2023 FSC-klagomål mail.docx", "A 63625-2023")</f>
        <v/>
      </c>
      <c r="AC13">
        <f>HYPERLINK("https://klasma.github.io/Logging_1782/tillsyn/A 63625-2023 tillsynsbegäran.docx", "A 63625-2023")</f>
        <v/>
      </c>
      <c r="AD13">
        <f>HYPERLINK("https://klasma.github.io/Logging_1782/tillsynsmail/A 63625-2023 tillsynsbegäran mail.docx", "A 63625-2023")</f>
        <v/>
      </c>
    </row>
    <row r="14" ht="15" customHeight="1">
      <c r="A14" t="inlineStr">
        <is>
          <t>A 45714-2025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45923</v>
      </c>
      <c r="E14" s="1" t="n">
        <v>46306</v>
      </c>
      <c r="F14" t="inlineStr">
        <is>
          <t>VÄRMLANDS LÄN</t>
        </is>
      </c>
      <c r="G14" t="inlineStr">
        <is>
          <t>FILIPSTAD</t>
        </is>
      </c>
      <c r="H14" t="inlineStr">
        <is>
          <t>Bergvik skog väst AB</t>
        </is>
      </c>
      <c r="I14" t="n">
        <v>2.5</v>
      </c>
      <c r="J14" t="n">
        <v>0</v>
      </c>
      <c r="K14" t="n">
        <v>1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3</v>
      </c>
      <c r="T14" t="n">
        <v>5</v>
      </c>
      <c r="U14" t="n">
        <v>4</v>
      </c>
      <c r="V14" s="2" t="inlineStr">
        <is>
          <t>Brunklöver
Skuggblåslav
Bårdlav</t>
        </is>
      </c>
      <c r="W14">
        <f>HYPERLINK("https://klasma.github.io/Logging_1782/artfynd/A 45714-2025 artfynd.xlsx", "A 45714-2025")</f>
        <v/>
      </c>
      <c r="X14">
        <f>HYPERLINK("https://klasma.github.io/Logging_1782/kartor/A 45714-2025 karta.png", "A 45714-2025")</f>
        <v/>
      </c>
      <c r="Y14">
        <f>HYPERLINK("https://klasma.github.io/Logging_1782/kartor_geotiff/A 45714-2025 georefererad karta.tif", "A 45714-2025")</f>
        <v/>
      </c>
      <c r="AA14">
        <f>HYPERLINK("https://klasma.github.io/Logging_1782/klagomål/A 45714-2025 FSC-klagomål.docx", "A 45714-2025")</f>
        <v/>
      </c>
      <c r="AB14">
        <f>HYPERLINK("https://klasma.github.io/Logging_1782/klagomålsmail/A 45714-2025 FSC-klagomål mail.docx", "A 45714-2025")</f>
        <v/>
      </c>
      <c r="AC14">
        <f>HYPERLINK("https://klasma.github.io/Logging_1782/tillsyn/A 45714-2025 tillsynsbegäran.docx", "A 45714-2025")</f>
        <v/>
      </c>
      <c r="AD14">
        <f>HYPERLINK("https://klasma.github.io/Logging_1782/tillsynsmail/A 45714-2025 tillsynsbegäran mail.docx", "A 45714-2025")</f>
        <v/>
      </c>
    </row>
    <row r="15" ht="15" customHeight="1">
      <c r="A15" t="inlineStr">
        <is>
          <t>A 62116-2025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46006</v>
      </c>
      <c r="E15" s="1" t="n">
        <v>46306</v>
      </c>
      <c r="F15" t="inlineStr">
        <is>
          <t>VÄRMLANDS LÄN</t>
        </is>
      </c>
      <c r="G15" t="inlineStr">
        <is>
          <t>FILIPSTAD</t>
        </is>
      </c>
      <c r="H15" t="inlineStr">
        <is>
          <t>Bergvik skog väst AB</t>
        </is>
      </c>
      <c r="I15" t="n">
        <v>13.6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</v>
      </c>
      <c r="T15" t="n">
        <v>4</v>
      </c>
      <c r="U15" t="n">
        <v>0</v>
      </c>
      <c r="V15" s="2" t="inlineStr">
        <is>
          <t>Tjäder
Orre
Fläcknycklar</t>
        </is>
      </c>
      <c r="W15">
        <f>HYPERLINK("https://klasma.github.io/Logging_1782/artfynd/A 62116-2025 artfynd.xlsx", "A 62116-2025")</f>
        <v/>
      </c>
      <c r="X15">
        <f>HYPERLINK("https://klasma.github.io/Logging_1782/kartor/A 62116-2025 karta.png", "A 62116-2025")</f>
        <v/>
      </c>
      <c r="Y15">
        <f>HYPERLINK("https://klasma.github.io/Logging_1782/kartor_geotiff/A 62116-2025 georefererad karta.tif", "A 62116-2025")</f>
        <v/>
      </c>
      <c r="AA15">
        <f>HYPERLINK("https://klasma.github.io/Logging_1782/klagomål/A 62116-2025 FSC-klagomål.docx", "A 62116-2025")</f>
        <v/>
      </c>
      <c r="AB15">
        <f>HYPERLINK("https://klasma.github.io/Logging_1782/klagomålsmail/A 62116-2025 FSC-klagomål mail.docx", "A 62116-2025")</f>
        <v/>
      </c>
      <c r="AC15">
        <f>HYPERLINK("https://klasma.github.io/Logging_1782/tillsyn/A 62116-2025 tillsynsbegäran.docx", "A 62116-2025")</f>
        <v/>
      </c>
      <c r="AD15">
        <f>HYPERLINK("https://klasma.github.io/Logging_1782/tillsynsmail/A 62116-2025 tillsynsbegäran mail.docx", "A 62116-2025")</f>
        <v/>
      </c>
      <c r="AE15">
        <f>HYPERLINK("https://klasma.github.io/Logging_1782/fåglar/A 62116-2025 prioriterade fågelarter.docx", "A 62116-2025")</f>
        <v/>
      </c>
    </row>
    <row r="16" ht="15" customHeight="1">
      <c r="A16" t="inlineStr">
        <is>
          <t>A 28915-2026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46199</v>
      </c>
      <c r="E16" s="1" t="n">
        <v>46306</v>
      </c>
      <c r="F16" t="inlineStr">
        <is>
          <t>VÄRMLANDS LÄN</t>
        </is>
      </c>
      <c r="G16" t="inlineStr">
        <is>
          <t>FILIPSTAD</t>
        </is>
      </c>
      <c r="H16" t="inlineStr">
        <is>
          <t>Bergvik skog väst AB</t>
        </is>
      </c>
      <c r="I16" t="n">
        <v>12.3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</v>
      </c>
      <c r="T16" t="n">
        <v>11</v>
      </c>
      <c r="U16" t="n">
        <v>11</v>
      </c>
      <c r="V16" s="2" t="inlineStr">
        <is>
          <t>Plattlummer
Stjärnstarr
Fläcknycklar</t>
        </is>
      </c>
      <c r="W16">
        <f>HYPERLINK("https://klasma.github.io/Logging_1782/artfynd/A 28915-2026 artfynd.xlsx", "A 28915-2026")</f>
        <v/>
      </c>
      <c r="X16">
        <f>HYPERLINK("https://klasma.github.io/Logging_1782/kartor/A 28915-2026 karta.png", "A 28915-2026")</f>
        <v/>
      </c>
      <c r="Y16">
        <f>HYPERLINK("https://klasma.github.io/Logging_1782/kartor_geotiff/A 28915-2026 georefererad karta.tif", "A 28915-2026")</f>
        <v/>
      </c>
      <c r="AA16">
        <f>HYPERLINK("https://klasma.github.io/Logging_1782/klagomål/A 28915-2026 FSC-klagomål.docx", "A 28915-2026")</f>
        <v/>
      </c>
      <c r="AB16">
        <f>HYPERLINK("https://klasma.github.io/Logging_1782/klagomålsmail/A 28915-2026 FSC-klagomål mail.docx", "A 28915-2026")</f>
        <v/>
      </c>
      <c r="AC16">
        <f>HYPERLINK("https://klasma.github.io/Logging_1782/tillsyn/A 28915-2026 tillsynsbegäran.docx", "A 28915-2026")</f>
        <v/>
      </c>
      <c r="AD16">
        <f>HYPERLINK("https://klasma.github.io/Logging_1782/tillsynsmail/A 28915-2026 tillsynsbegäran mail.docx", "A 28915-2026")</f>
        <v/>
      </c>
    </row>
    <row r="17" ht="15" customHeight="1">
      <c r="A17" t="inlineStr">
        <is>
          <t>A 36234-2026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46268</v>
      </c>
      <c r="E17" s="1" t="n">
        <v>46306</v>
      </c>
      <c r="F17" t="inlineStr">
        <is>
          <t>VÄRMLANDS LÄN</t>
        </is>
      </c>
      <c r="G17" t="inlineStr">
        <is>
          <t>FILIPSTAD</t>
        </is>
      </c>
      <c r="I17" t="n">
        <v>5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</v>
      </c>
      <c r="T17" t="n">
        <v>5</v>
      </c>
      <c r="U17" t="n">
        <v>5</v>
      </c>
      <c r="V17" s="2" t="inlineStr">
        <is>
          <t>Kattfot
Fläcknycklar
Nattviol</t>
        </is>
      </c>
      <c r="W17">
        <f>HYPERLINK("https://klasma.github.io/Logging_1782/artfynd/A 36234-2026 artfynd.xlsx", "A 36234-2026")</f>
        <v/>
      </c>
      <c r="X17">
        <f>HYPERLINK("https://klasma.github.io/Logging_1782/kartor/A 36234-2026 karta.png", "A 36234-2026")</f>
        <v/>
      </c>
      <c r="Y17">
        <f>HYPERLINK("https://klasma.github.io/Logging_1782/kartor_geotiff/A 36234-2026 georefererad karta.tif", "A 36234-2026")</f>
        <v/>
      </c>
      <c r="AA17">
        <f>HYPERLINK("https://klasma.github.io/Logging_1782/klagomål/A 36234-2026 FSC-klagomål.docx", "A 36234-2026")</f>
        <v/>
      </c>
      <c r="AB17">
        <f>HYPERLINK("https://klasma.github.io/Logging_1782/klagomålsmail/A 36234-2026 FSC-klagomål mail.docx", "A 36234-2026")</f>
        <v/>
      </c>
      <c r="AC17">
        <f>HYPERLINK("https://klasma.github.io/Logging_1782/tillsyn/A 36234-2026 tillsynsbegäran.docx", "A 36234-2026")</f>
        <v/>
      </c>
      <c r="AD17">
        <f>HYPERLINK("https://klasma.github.io/Logging_1782/tillsynsmail/A 36234-2026 tillsynsbegäran mail.docx", "A 36234-2026")</f>
        <v/>
      </c>
    </row>
    <row r="18" ht="15" customHeight="1">
      <c r="A18" t="inlineStr">
        <is>
          <t>A 37620-2026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46276</v>
      </c>
      <c r="E18" s="1" t="n">
        <v>46306</v>
      </c>
      <c r="F18" t="inlineStr">
        <is>
          <t>VÄRMLANDS LÄN</t>
        </is>
      </c>
      <c r="G18" t="inlineStr">
        <is>
          <t>FILIPSTAD</t>
        </is>
      </c>
      <c r="H18" t="inlineStr">
        <is>
          <t>Bergvik skog väst AB</t>
        </is>
      </c>
      <c r="I18" t="n">
        <v>4.1</v>
      </c>
      <c r="J18" t="n">
        <v>1</v>
      </c>
      <c r="K18" t="n">
        <v>0</v>
      </c>
      <c r="L18" t="n">
        <v>2</v>
      </c>
      <c r="M18" t="n">
        <v>1</v>
      </c>
      <c r="N18" t="n">
        <v>0</v>
      </c>
      <c r="O18" t="n">
        <v>0</v>
      </c>
      <c r="P18" t="n">
        <v>0</v>
      </c>
      <c r="Q18" t="n">
        <v>3</v>
      </c>
      <c r="R18" t="n">
        <v>1</v>
      </c>
      <c r="S18" t="n">
        <v>3</v>
      </c>
      <c r="T18" t="n">
        <v>3</v>
      </c>
      <c r="U18" t="n">
        <v>0</v>
      </c>
      <c r="V18" s="2" t="inlineStr">
        <is>
          <t>Garnlav
Kandelabersvamp
Tretåig hackspett</t>
        </is>
      </c>
      <c r="W18">
        <f>HYPERLINK("https://klasma.github.io/Logging_1782/artfynd/A 37620-2026 artfynd.xlsx", "A 37620-2026")</f>
        <v/>
      </c>
      <c r="X18">
        <f>HYPERLINK("https://klasma.github.io/Logging_1782/kartor/A 37620-2026 karta.png", "A 37620-2026")</f>
        <v/>
      </c>
      <c r="Y18">
        <f>HYPERLINK("https://klasma.github.io/Logging_1782/kartor_geotiff/A 37620-2026 georefererad karta.tif", "A 37620-2026")</f>
        <v/>
      </c>
      <c r="AA18">
        <f>HYPERLINK("https://klasma.github.io/Logging_1782/klagomål/A 37620-2026 FSC-klagomål.docx", "A 37620-2026")</f>
        <v/>
      </c>
      <c r="AB18">
        <f>HYPERLINK("https://klasma.github.io/Logging_1782/klagomålsmail/A 37620-2026 FSC-klagomål mail.docx", "A 37620-2026")</f>
        <v/>
      </c>
      <c r="AC18">
        <f>HYPERLINK("https://klasma.github.io/Logging_1782/tillsyn/A 37620-2026 tillsynsbegäran.docx", "A 37620-2026")</f>
        <v/>
      </c>
      <c r="AD18">
        <f>HYPERLINK("https://klasma.github.io/Logging_1782/tillsynsmail/A 37620-2026 tillsynsbegäran mail.docx", "A 37620-2026")</f>
        <v/>
      </c>
      <c r="AE18">
        <f>HYPERLINK("https://klasma.github.io/Logging_1782/fåglar/A 37620-2026 prioriterade fågelarter.docx", "A 37620-2026")</f>
        <v/>
      </c>
    </row>
    <row r="19" ht="15" customHeight="1">
      <c r="A19" t="inlineStr">
        <is>
          <t>A 38667-2026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46283</v>
      </c>
      <c r="E19" s="1" t="n">
        <v>46306</v>
      </c>
      <c r="F19" t="inlineStr">
        <is>
          <t>VÄRMLANDS LÄN</t>
        </is>
      </c>
      <c r="G19" t="inlineStr">
        <is>
          <t>FILIPSTAD</t>
        </is>
      </c>
      <c r="H19" t="inlineStr">
        <is>
          <t>Bergvik skog väst AB</t>
        </is>
      </c>
      <c r="I19" t="n">
        <v>10.7</v>
      </c>
      <c r="J19" t="n">
        <v>2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3</v>
      </c>
      <c r="T19" t="n">
        <v>5</v>
      </c>
      <c r="U19" t="n">
        <v>0</v>
      </c>
      <c r="V19" s="2" t="inlineStr">
        <is>
          <t>Brunklöver
Tvåblad
Fläcknycklar</t>
        </is>
      </c>
      <c r="W19">
        <f>HYPERLINK("https://klasma.github.io/Logging_1782/artfynd/A 38667-2026 artfynd.xlsx", "A 38667-2026")</f>
        <v/>
      </c>
      <c r="X19">
        <f>HYPERLINK("https://klasma.github.io/Logging_1782/kartor/A 38667-2026 karta.png", "A 38667-2026")</f>
        <v/>
      </c>
      <c r="Y19">
        <f>HYPERLINK("https://klasma.github.io/Logging_1782/kartor_geotiff/A 38667-2026 georefererad karta.tif", "A 38667-2026")</f>
        <v/>
      </c>
      <c r="AA19">
        <f>HYPERLINK("https://klasma.github.io/Logging_1782/klagomål/A 38667-2026 FSC-klagomål.docx", "A 38667-2026")</f>
        <v/>
      </c>
      <c r="AB19">
        <f>HYPERLINK("https://klasma.github.io/Logging_1782/klagomålsmail/A 38667-2026 FSC-klagomål mail.docx", "A 38667-2026")</f>
        <v/>
      </c>
      <c r="AC19">
        <f>HYPERLINK("https://klasma.github.io/Logging_1782/tillsyn/A 38667-2026 tillsynsbegäran.docx", "A 38667-2026")</f>
        <v/>
      </c>
      <c r="AD19">
        <f>HYPERLINK("https://klasma.github.io/Logging_1782/tillsynsmail/A 38667-2026 tillsynsbegäran mail.docx", "A 38667-2026")</f>
        <v/>
      </c>
    </row>
    <row r="20" ht="15" customHeight="1">
      <c r="A20" t="inlineStr">
        <is>
          <t>A 34684-2026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46258</v>
      </c>
      <c r="E20" s="1" t="n">
        <v>46306</v>
      </c>
      <c r="F20" t="inlineStr">
        <is>
          <t>VÄRMLANDS LÄN</t>
        </is>
      </c>
      <c r="G20" t="inlineStr">
        <is>
          <t>FILIPSTAD</t>
        </is>
      </c>
      <c r="H20" t="inlineStr">
        <is>
          <t>Bergvik skog väst AB</t>
        </is>
      </c>
      <c r="I20" t="n">
        <v>7.2</v>
      </c>
      <c r="J20" t="n">
        <v>1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</v>
      </c>
      <c r="T20" t="n">
        <v>4</v>
      </c>
      <c r="U20" t="n">
        <v>0</v>
      </c>
      <c r="V20" s="2" t="inlineStr">
        <is>
          <t>Bårdlav
Stuplav
Fläcknycklar</t>
        </is>
      </c>
      <c r="W20">
        <f>HYPERLINK("https://klasma.github.io/Logging_1782/artfynd/A 34684-2026 artfynd.xlsx", "A 34684-2026")</f>
        <v/>
      </c>
      <c r="X20">
        <f>HYPERLINK("https://klasma.github.io/Logging_1782/kartor/A 34684-2026 karta.png", "A 34684-2026")</f>
        <v/>
      </c>
      <c r="Y20">
        <f>HYPERLINK("https://klasma.github.io/Logging_1782/kartor_geotiff/A 34684-2026 georefererad karta.tif", "A 34684-2026")</f>
        <v/>
      </c>
      <c r="AA20">
        <f>HYPERLINK("https://klasma.github.io/Logging_1782/klagomål/A 34684-2026 FSC-klagomål.docx", "A 34684-2026")</f>
        <v/>
      </c>
      <c r="AB20">
        <f>HYPERLINK("https://klasma.github.io/Logging_1782/klagomålsmail/A 34684-2026 FSC-klagomål mail.docx", "A 34684-2026")</f>
        <v/>
      </c>
      <c r="AC20">
        <f>HYPERLINK("https://klasma.github.io/Logging_1782/tillsyn/A 34684-2026 tillsynsbegäran.docx", "A 34684-2026")</f>
        <v/>
      </c>
      <c r="AD20">
        <f>HYPERLINK("https://klasma.github.io/Logging_1782/tillsynsmail/A 34684-2026 tillsynsbegäran mail.docx", "A 34684-2026")</f>
        <v/>
      </c>
    </row>
    <row r="21" ht="15" customHeight="1">
      <c r="A21" t="inlineStr">
        <is>
          <t>S 145-2023</t>
        </is>
      </c>
      <c r="B21" t="inlineStr">
        <is>
          <t>samrådsanmälan</t>
        </is>
      </c>
      <c r="C21" t="inlineStr">
        <is>
          <t>Annan skogsbruksåtgärd</t>
        </is>
      </c>
      <c r="D21" s="1" t="n">
        <v>44942</v>
      </c>
      <c r="E21" s="1" t="n">
        <v>46306</v>
      </c>
      <c r="F21" t="inlineStr">
        <is>
          <t>VÄRMLANDS LÄN</t>
        </is>
      </c>
      <c r="G21" t="inlineStr">
        <is>
          <t>FILIPSTAD</t>
        </is>
      </c>
      <c r="I21" t="n">
        <v>3.8</v>
      </c>
      <c r="J21" t="n">
        <v>1</v>
      </c>
      <c r="K21" t="n">
        <v>1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3</v>
      </c>
      <c r="T21" t="n">
        <v>4</v>
      </c>
      <c r="U21" t="n">
        <v>2</v>
      </c>
      <c r="V21" s="2" t="inlineStr">
        <is>
          <t>Loppstarr
Majviva
Guckusko</t>
        </is>
      </c>
      <c r="W21">
        <f>HYPERLINK("https://klasma.github.io/Logging_1782/artfynd/S 145-2023 artfynd.xlsx", "S 145-2023")</f>
        <v/>
      </c>
      <c r="X21">
        <f>HYPERLINK("https://klasma.github.io/Logging_1782/kartor/S 145-2023 karta.png", "S 145-2023")</f>
        <v/>
      </c>
      <c r="Y21">
        <f>HYPERLINK("https://klasma.github.io/Logging_1782/kartor_geotiff/S 145-2023 georefererad karta.tif", "S 145-2023")</f>
        <v/>
      </c>
      <c r="AA21">
        <f>HYPERLINK("https://klasma.github.io/Logging_1782/klagomål/S 145-2023 FSC-klagomål.docx", "S 145-2023")</f>
        <v/>
      </c>
      <c r="AB21">
        <f>HYPERLINK("https://klasma.github.io/Logging_1782/klagomålsmail/S 145-2023 FSC-klagomål mail.docx", "S 145-2023")</f>
        <v/>
      </c>
      <c r="AC21">
        <f>HYPERLINK("https://klasma.github.io/Logging_1782/tillsyn/S 145-2023 tillsynsbegäran.docx", "S 145-2023")</f>
        <v/>
      </c>
      <c r="AD21">
        <f>HYPERLINK("https://klasma.github.io/Logging_1782/tillsynsmail/S 145-2023 tillsynsbegäran mail.docx", "S 145-2023")</f>
        <v/>
      </c>
    </row>
    <row r="22" ht="15" customHeight="1">
      <c r="A22" t="inlineStr">
        <is>
          <t>A 16139-2025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45750</v>
      </c>
      <c r="E22" s="1" t="n">
        <v>46306</v>
      </c>
      <c r="F22" t="inlineStr">
        <is>
          <t>VÄRMLANDS LÄN</t>
        </is>
      </c>
      <c r="G22" t="inlineStr">
        <is>
          <t>FILIPSTAD</t>
        </is>
      </c>
      <c r="I22" t="n">
        <v>18.2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2</v>
      </c>
      <c r="T22" t="n">
        <v>2</v>
      </c>
      <c r="U22" t="n">
        <v>0</v>
      </c>
      <c r="V22" s="2" t="inlineStr">
        <is>
          <t>Garnlav
Bronshjon</t>
        </is>
      </c>
      <c r="W22">
        <f>HYPERLINK("https://klasma.github.io/Logging_1782/artfynd/A 16139-2025 artfynd.xlsx", "A 16139-2025")</f>
        <v/>
      </c>
      <c r="X22">
        <f>HYPERLINK("https://klasma.github.io/Logging_1782/kartor/A 16139-2025 karta.png", "A 16139-2025")</f>
        <v/>
      </c>
      <c r="Y22">
        <f>HYPERLINK("https://klasma.github.io/Logging_1782/kartor_geotiff/A 16139-2025 georefererad karta.tif", "A 16139-2025")</f>
        <v/>
      </c>
      <c r="AA22">
        <f>HYPERLINK("https://klasma.github.io/Logging_1782/klagomål/A 16139-2025 FSC-klagomål.docx", "A 16139-2025")</f>
        <v/>
      </c>
      <c r="AB22">
        <f>HYPERLINK("https://klasma.github.io/Logging_1782/klagomålsmail/A 16139-2025 FSC-klagomål mail.docx", "A 16139-2025")</f>
        <v/>
      </c>
      <c r="AC22">
        <f>HYPERLINK("https://klasma.github.io/Logging_1782/tillsyn/A 16139-2025 tillsynsbegäran.docx", "A 16139-2025")</f>
        <v/>
      </c>
      <c r="AD22">
        <f>HYPERLINK("https://klasma.github.io/Logging_1782/tillsynsmail/A 16139-2025 tillsynsbegäran mail.docx", "A 16139-2025")</f>
        <v/>
      </c>
    </row>
    <row r="23" ht="15" customHeight="1">
      <c r="A23" t="inlineStr">
        <is>
          <t>A 45523-2022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44845</v>
      </c>
      <c r="E23" s="1" t="n">
        <v>46306</v>
      </c>
      <c r="F23" t="inlineStr">
        <is>
          <t>VÄRMLANDS LÄN</t>
        </is>
      </c>
      <c r="G23" t="inlineStr">
        <is>
          <t>FILIPSTAD</t>
        </is>
      </c>
      <c r="I23" t="n">
        <v>7.7</v>
      </c>
      <c r="J23" t="n">
        <v>0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</v>
      </c>
      <c r="T23" t="n">
        <v>2</v>
      </c>
      <c r="U23" t="n">
        <v>1</v>
      </c>
      <c r="V23" s="2" t="inlineStr">
        <is>
          <t>Bronshjon
Korallblylav</t>
        </is>
      </c>
      <c r="W23">
        <f>HYPERLINK("https://klasma.github.io/Logging_1782/artfynd/A 45523-2022 artfynd.xlsx", "A 45523-2022")</f>
        <v/>
      </c>
      <c r="X23">
        <f>HYPERLINK("https://klasma.github.io/Logging_1782/kartor/A 45523-2022 karta.png", "A 45523-2022")</f>
        <v/>
      </c>
      <c r="Y23">
        <f>HYPERLINK("https://klasma.github.io/Logging_1782/kartor_geotiff/A 45523-2022 georefererad karta.tif", "A 45523-2022")</f>
        <v/>
      </c>
      <c r="AA23">
        <f>HYPERLINK("https://klasma.github.io/Logging_1782/klagomål/A 45523-2022 FSC-klagomål.docx", "A 45523-2022")</f>
        <v/>
      </c>
      <c r="AB23">
        <f>HYPERLINK("https://klasma.github.io/Logging_1782/klagomålsmail/A 45523-2022 FSC-klagomål mail.docx", "A 45523-2022")</f>
        <v/>
      </c>
      <c r="AC23">
        <f>HYPERLINK("https://klasma.github.io/Logging_1782/tillsyn/A 45523-2022 tillsynsbegäran.docx", "A 45523-2022")</f>
        <v/>
      </c>
      <c r="AD23">
        <f>HYPERLINK("https://klasma.github.io/Logging_1782/tillsynsmail/A 45523-2022 tillsynsbegäran mail.docx", "A 45523-2022")</f>
        <v/>
      </c>
    </row>
    <row r="24" ht="15" customHeight="1">
      <c r="A24" t="inlineStr">
        <is>
          <t>A 19945-2023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45054</v>
      </c>
      <c r="E24" s="1" t="n">
        <v>46306</v>
      </c>
      <c r="F24" t="inlineStr">
        <is>
          <t>VÄRMLANDS LÄN</t>
        </is>
      </c>
      <c r="G24" t="inlineStr">
        <is>
          <t>FILIPSTAD</t>
        </is>
      </c>
      <c r="I24" t="n">
        <v>3.3</v>
      </c>
      <c r="J24" t="n">
        <v>1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</v>
      </c>
      <c r="T24" t="n">
        <v>4</v>
      </c>
      <c r="U24" t="n">
        <v>3</v>
      </c>
      <c r="V24" s="2" t="inlineStr">
        <is>
          <t>Guckusko
Kransrams</t>
        </is>
      </c>
      <c r="W24">
        <f>HYPERLINK("https://klasma.github.io/Logging_1782/artfynd/A 19945-2023 artfynd.xlsx", "A 19945-2023")</f>
        <v/>
      </c>
      <c r="X24">
        <f>HYPERLINK("https://klasma.github.io/Logging_1782/kartor/A 19945-2023 karta.png", "A 19945-2023")</f>
        <v/>
      </c>
      <c r="Y24">
        <f>HYPERLINK("https://klasma.github.io/Logging_1782/kartor_geotiff/A 19945-2023 georefererad karta.tif", "A 19945-2023")</f>
        <v/>
      </c>
      <c r="AA24">
        <f>HYPERLINK("https://klasma.github.io/Logging_1782/klagomål/A 19945-2023 FSC-klagomål.docx", "A 19945-2023")</f>
        <v/>
      </c>
      <c r="AB24">
        <f>HYPERLINK("https://klasma.github.io/Logging_1782/klagomålsmail/A 19945-2023 FSC-klagomål mail.docx", "A 19945-2023")</f>
        <v/>
      </c>
      <c r="AC24">
        <f>HYPERLINK("https://klasma.github.io/Logging_1782/tillsyn/A 19945-2023 tillsynsbegäran.docx", "A 19945-2023")</f>
        <v/>
      </c>
      <c r="AD24">
        <f>HYPERLINK("https://klasma.github.io/Logging_1782/tillsynsmail/A 19945-2023 tillsynsbegäran mail.docx", "A 19945-2023")</f>
        <v/>
      </c>
    </row>
    <row r="25" ht="15" customHeight="1">
      <c r="A25" t="inlineStr">
        <is>
          <t>A 17274-2024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45414</v>
      </c>
      <c r="E25" s="1" t="n">
        <v>46306</v>
      </c>
      <c r="F25" t="inlineStr">
        <is>
          <t>VÄRMLANDS LÄN</t>
        </is>
      </c>
      <c r="G25" t="inlineStr">
        <is>
          <t>FILIPSTAD</t>
        </is>
      </c>
      <c r="H25" t="inlineStr">
        <is>
          <t>Kommuner</t>
        </is>
      </c>
      <c r="I25" t="n">
        <v>5.8</v>
      </c>
      <c r="J25" t="n">
        <v>1</v>
      </c>
      <c r="K25" t="n">
        <v>0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0</v>
      </c>
      <c r="S25" t="n">
        <v>2</v>
      </c>
      <c r="T25" t="n">
        <v>2</v>
      </c>
      <c r="U25" t="n">
        <v>2</v>
      </c>
      <c r="V25" s="2" t="inlineStr">
        <is>
          <t>Dropptaggsvamp
Talltita</t>
        </is>
      </c>
      <c r="W25">
        <f>HYPERLINK("https://klasma.github.io/Logging_1782/artfynd/A 17274-2024 artfynd.xlsx", "A 17274-2024")</f>
        <v/>
      </c>
      <c r="X25">
        <f>HYPERLINK("https://klasma.github.io/Logging_1782/kartor/A 17274-2024 karta.png", "A 17274-2024")</f>
        <v/>
      </c>
      <c r="Y25">
        <f>HYPERLINK("https://klasma.github.io/Logging_1782/kartor_geotiff/A 17274-2024 georefererad karta.tif", "A 17274-2024")</f>
        <v/>
      </c>
      <c r="AA25">
        <f>HYPERLINK("https://klasma.github.io/Logging_1782/klagomål/A 17274-2024 FSC-klagomål.docx", "A 17274-2024")</f>
        <v/>
      </c>
      <c r="AB25">
        <f>HYPERLINK("https://klasma.github.io/Logging_1782/klagomålsmail/A 17274-2024 FSC-klagomål mail.docx", "A 17274-2024")</f>
        <v/>
      </c>
      <c r="AC25">
        <f>HYPERLINK("https://klasma.github.io/Logging_1782/tillsyn/A 17274-2024 tillsynsbegäran.docx", "A 17274-2024")</f>
        <v/>
      </c>
      <c r="AD25">
        <f>HYPERLINK("https://klasma.github.io/Logging_1782/tillsynsmail/A 17274-2024 tillsynsbegäran mail.docx", "A 17274-2024")</f>
        <v/>
      </c>
      <c r="AE25">
        <f>HYPERLINK("https://klasma.github.io/Logging_1782/fåglar/A 17274-2024 prioriterade fågelarter.docx", "A 17274-2024")</f>
        <v/>
      </c>
    </row>
    <row r="26" ht="15" customHeight="1">
      <c r="A26" t="inlineStr">
        <is>
          <t>A 4620-2024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45328</v>
      </c>
      <c r="E26" s="1" t="n">
        <v>46306</v>
      </c>
      <c r="F26" t="inlineStr">
        <is>
          <t>VÄRMLANDS LÄN</t>
        </is>
      </c>
      <c r="G26" t="inlineStr">
        <is>
          <t>FILIPSTAD</t>
        </is>
      </c>
      <c r="H26" t="inlineStr">
        <is>
          <t>Bergvik skog väst AB</t>
        </is>
      </c>
      <c r="I26" t="n">
        <v>2.9</v>
      </c>
      <c r="J26" t="n">
        <v>2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</v>
      </c>
      <c r="T26" t="n">
        <v>2</v>
      </c>
      <c r="U26" t="n">
        <v>2</v>
      </c>
      <c r="V26" s="2" t="inlineStr">
        <is>
          <t>Tvåblad
Brudsporre</t>
        </is>
      </c>
      <c r="W26">
        <f>HYPERLINK("https://klasma.github.io/Logging_1782/artfynd/A 4620-2024 artfynd.xlsx", "A 4620-2024")</f>
        <v/>
      </c>
      <c r="X26">
        <f>HYPERLINK("https://klasma.github.io/Logging_1782/kartor/A 4620-2024 karta.png", "A 4620-2024")</f>
        <v/>
      </c>
      <c r="Y26">
        <f>HYPERLINK("https://klasma.github.io/Logging_1782/kartor_geotiff/A 4620-2024 georefererad karta.tif", "A 4620-2024")</f>
        <v/>
      </c>
      <c r="AA26">
        <f>HYPERLINK("https://klasma.github.io/Logging_1782/klagomål/A 4620-2024 FSC-klagomål.docx", "A 4620-2024")</f>
        <v/>
      </c>
      <c r="AB26">
        <f>HYPERLINK("https://klasma.github.io/Logging_1782/klagomålsmail/A 4620-2024 FSC-klagomål mail.docx", "A 4620-2024")</f>
        <v/>
      </c>
      <c r="AC26">
        <f>HYPERLINK("https://klasma.github.io/Logging_1782/tillsyn/A 4620-2024 tillsynsbegäran.docx", "A 4620-2024")</f>
        <v/>
      </c>
      <c r="AD26">
        <f>HYPERLINK("https://klasma.github.io/Logging_1782/tillsynsmail/A 4620-2024 tillsynsbegäran mail.docx", "A 4620-2024")</f>
        <v/>
      </c>
    </row>
    <row r="27" ht="15" customHeight="1">
      <c r="A27" t="inlineStr">
        <is>
          <t>A 51922-2024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45607</v>
      </c>
      <c r="E27" s="1" t="n">
        <v>46306</v>
      </c>
      <c r="F27" t="inlineStr">
        <is>
          <t>VÄRMLANDS LÄN</t>
        </is>
      </c>
      <c r="G27" t="inlineStr">
        <is>
          <t>FILIPSTAD</t>
        </is>
      </c>
      <c r="H27" t="inlineStr">
        <is>
          <t>Bergvik skog väst AB</t>
        </is>
      </c>
      <c r="I27" t="n">
        <v>8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2</v>
      </c>
      <c r="T27" t="n">
        <v>2</v>
      </c>
      <c r="U27" t="n">
        <v>0</v>
      </c>
      <c r="V27" s="2" t="inlineStr">
        <is>
          <t>Läderlappslav
Tjäder</t>
        </is>
      </c>
      <c r="W27">
        <f>HYPERLINK("https://klasma.github.io/Logging_1782/artfynd/A 51922-2024 artfynd.xlsx", "A 51922-2024")</f>
        <v/>
      </c>
      <c r="X27">
        <f>HYPERLINK("https://klasma.github.io/Logging_1782/kartor/A 51922-2024 karta.png", "A 51922-2024")</f>
        <v/>
      </c>
      <c r="Y27">
        <f>HYPERLINK("https://klasma.github.io/Logging_1782/kartor_geotiff/A 51922-2024 georefererad karta.tif", "A 51922-2024")</f>
        <v/>
      </c>
      <c r="AA27">
        <f>HYPERLINK("https://klasma.github.io/Logging_1782/klagomål/A 51922-2024 FSC-klagomål.docx", "A 51922-2024")</f>
        <v/>
      </c>
      <c r="AB27">
        <f>HYPERLINK("https://klasma.github.io/Logging_1782/klagomålsmail/A 51922-2024 FSC-klagomål mail.docx", "A 51922-2024")</f>
        <v/>
      </c>
      <c r="AC27">
        <f>HYPERLINK("https://klasma.github.io/Logging_1782/tillsyn/A 51922-2024 tillsynsbegäran.docx", "A 51922-2024")</f>
        <v/>
      </c>
      <c r="AD27">
        <f>HYPERLINK("https://klasma.github.io/Logging_1782/tillsynsmail/A 51922-2024 tillsynsbegäran mail.docx", "A 51922-2024")</f>
        <v/>
      </c>
      <c r="AE27">
        <f>HYPERLINK("https://klasma.github.io/Logging_1782/fåglar/A 51922-2024 prioriterade fågelarter.docx", "A 51922-2024")</f>
        <v/>
      </c>
    </row>
    <row r="28" ht="15" customHeight="1">
      <c r="A28" t="inlineStr">
        <is>
          <t>A 29469-2026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46203</v>
      </c>
      <c r="E28" s="1" t="n">
        <v>46306</v>
      </c>
      <c r="F28" t="inlineStr">
        <is>
          <t>VÄRMLANDS LÄN</t>
        </is>
      </c>
      <c r="G28" t="inlineStr">
        <is>
          <t>FILIPSTAD</t>
        </is>
      </c>
      <c r="H28" t="inlineStr">
        <is>
          <t>Bergvik skog väst AB</t>
        </is>
      </c>
      <c r="I28" t="n">
        <v>21.6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2</v>
      </c>
      <c r="T28" t="n">
        <v>2</v>
      </c>
      <c r="U28" t="n">
        <v>0</v>
      </c>
      <c r="V28" s="2" t="inlineStr">
        <is>
          <t>Igelkott
Fläcknycklar</t>
        </is>
      </c>
      <c r="W28">
        <f>HYPERLINK("https://klasma.github.io/Logging_1782/artfynd/A 29469-2026 artfynd.xlsx", "A 29469-2026")</f>
        <v/>
      </c>
      <c r="X28">
        <f>HYPERLINK("https://klasma.github.io/Logging_1782/kartor/A 29469-2026 karta.png", "A 29469-2026")</f>
        <v/>
      </c>
      <c r="Y28">
        <f>HYPERLINK("https://klasma.github.io/Logging_1782/kartor_geotiff/A 29469-2026 georefererad karta.tif", "A 29469-2026")</f>
        <v/>
      </c>
      <c r="AA28">
        <f>HYPERLINK("https://klasma.github.io/Logging_1782/klagomål/A 29469-2026 FSC-klagomål.docx", "A 29469-2026")</f>
        <v/>
      </c>
      <c r="AB28">
        <f>HYPERLINK("https://klasma.github.io/Logging_1782/klagomålsmail/A 29469-2026 FSC-klagomål mail.docx", "A 29469-2026")</f>
        <v/>
      </c>
      <c r="AC28">
        <f>HYPERLINK("https://klasma.github.io/Logging_1782/tillsyn/A 29469-2026 tillsynsbegäran.docx", "A 29469-2026")</f>
        <v/>
      </c>
      <c r="AD28">
        <f>HYPERLINK("https://klasma.github.io/Logging_1782/tillsynsmail/A 29469-2026 tillsynsbegäran mail.docx", "A 29469-2026")</f>
        <v/>
      </c>
    </row>
    <row r="29" ht="15" customHeight="1">
      <c r="A29" t="inlineStr">
        <is>
          <t>A 37534-2026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46276</v>
      </c>
      <c r="E29" s="1" t="n">
        <v>46306</v>
      </c>
      <c r="F29" t="inlineStr">
        <is>
          <t>VÄRMLANDS LÄN</t>
        </is>
      </c>
      <c r="G29" t="inlineStr">
        <is>
          <t>FILIPSTAD</t>
        </is>
      </c>
      <c r="H29" t="inlineStr">
        <is>
          <t>Bergvik skog väst AB</t>
        </is>
      </c>
      <c r="I29" t="n">
        <v>2.8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1</v>
      </c>
      <c r="S29" t="n">
        <v>2</v>
      </c>
      <c r="T29" t="n">
        <v>8</v>
      </c>
      <c r="U29" t="n">
        <v>0</v>
      </c>
      <c r="V29" s="2" t="inlineStr">
        <is>
          <t>Garnlav
Spillkråka</t>
        </is>
      </c>
      <c r="W29">
        <f>HYPERLINK("https://klasma.github.io/Logging_1782/artfynd/A 37534-2026 artfynd.xlsx", "A 37534-2026")</f>
        <v/>
      </c>
      <c r="X29">
        <f>HYPERLINK("https://klasma.github.io/Logging_1782/kartor/A 37534-2026 karta.png", "A 37534-2026")</f>
        <v/>
      </c>
      <c r="Y29">
        <f>HYPERLINK("https://klasma.github.io/Logging_1782/kartor_geotiff/A 37534-2026 georefererad karta.tif", "A 37534-2026")</f>
        <v/>
      </c>
      <c r="AA29">
        <f>HYPERLINK("https://klasma.github.io/Logging_1782/klagomål/A 37534-2026 FSC-klagomål.docx", "A 37534-2026")</f>
        <v/>
      </c>
      <c r="AB29">
        <f>HYPERLINK("https://klasma.github.io/Logging_1782/klagomålsmail/A 37534-2026 FSC-klagomål mail.docx", "A 37534-2026")</f>
        <v/>
      </c>
      <c r="AC29">
        <f>HYPERLINK("https://klasma.github.io/Logging_1782/tillsyn/A 37534-2026 tillsynsbegäran.docx", "A 37534-2026")</f>
        <v/>
      </c>
      <c r="AD29">
        <f>HYPERLINK("https://klasma.github.io/Logging_1782/tillsynsmail/A 37534-2026 tillsynsbegäran mail.docx", "A 37534-2026")</f>
        <v/>
      </c>
      <c r="AE29">
        <f>HYPERLINK("https://klasma.github.io/Logging_1782/fåglar/A 37534-2026 prioriterade fågelarter.docx", "A 37534-2026")</f>
        <v/>
      </c>
    </row>
    <row r="30" ht="15" customHeight="1">
      <c r="A30" t="inlineStr">
        <is>
          <t>A 32438-2026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46239</v>
      </c>
      <c r="E30" s="1" t="n">
        <v>46306</v>
      </c>
      <c r="F30" t="inlineStr">
        <is>
          <t>VÄRMLANDS LÄN</t>
        </is>
      </c>
      <c r="G30" t="inlineStr">
        <is>
          <t>FILIPSTAD</t>
        </is>
      </c>
      <c r="H30" t="inlineStr">
        <is>
          <t>Bergvik skog väst AB</t>
        </is>
      </c>
      <c r="I30" t="n">
        <v>1.1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</v>
      </c>
      <c r="T30" t="n">
        <v>3</v>
      </c>
      <c r="U30" t="n">
        <v>0</v>
      </c>
      <c r="V30" s="2" t="inlineStr">
        <is>
          <t>Dubbelnycklar
Ängsnycklar</t>
        </is>
      </c>
      <c r="W30">
        <f>HYPERLINK("https://klasma.github.io/Logging_1782/artfynd/A 32438-2026 artfynd.xlsx", "A 32438-2026")</f>
        <v/>
      </c>
      <c r="X30">
        <f>HYPERLINK("https://klasma.github.io/Logging_1782/kartor/A 32438-2026 karta.png", "A 32438-2026")</f>
        <v/>
      </c>
      <c r="Y30">
        <f>HYPERLINK("https://klasma.github.io/Logging_1782/kartor_geotiff/A 32438-2026 georefererad karta.tif", "A 32438-2026")</f>
        <v/>
      </c>
      <c r="AA30">
        <f>HYPERLINK("https://klasma.github.io/Logging_1782/klagomål/A 32438-2026 FSC-klagomål.docx", "A 32438-2026")</f>
        <v/>
      </c>
      <c r="AB30">
        <f>HYPERLINK("https://klasma.github.io/Logging_1782/klagomålsmail/A 32438-2026 FSC-klagomål mail.docx", "A 32438-2026")</f>
        <v/>
      </c>
      <c r="AC30">
        <f>HYPERLINK("https://klasma.github.io/Logging_1782/tillsyn/A 32438-2026 tillsynsbegäran.docx", "A 32438-2026")</f>
        <v/>
      </c>
      <c r="AD30">
        <f>HYPERLINK("https://klasma.github.io/Logging_1782/tillsynsmail/A 32438-2026 tillsynsbegäran mail.docx", "A 32438-2026")</f>
        <v/>
      </c>
    </row>
    <row r="31" ht="15" customHeight="1">
      <c r="A31" t="inlineStr">
        <is>
          <t>A 33583-2026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46248</v>
      </c>
      <c r="E31" s="1" t="n">
        <v>46306</v>
      </c>
      <c r="F31" t="inlineStr">
        <is>
          <t>VÄRMLANDS LÄN</t>
        </is>
      </c>
      <c r="G31" t="inlineStr">
        <is>
          <t>FILIPSTAD</t>
        </is>
      </c>
      <c r="H31" t="inlineStr">
        <is>
          <t>Bergvik skog väst AB</t>
        </is>
      </c>
      <c r="I31" t="n">
        <v>16.4</v>
      </c>
      <c r="J31" t="n">
        <v>0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</v>
      </c>
      <c r="T31" t="n">
        <v>3</v>
      </c>
      <c r="U31" t="n">
        <v>0</v>
      </c>
      <c r="V31" s="2" t="inlineStr">
        <is>
          <t>Bårdlav
Stuplav</t>
        </is>
      </c>
      <c r="W31">
        <f>HYPERLINK("https://klasma.github.io/Logging_1782/artfynd/A 33583-2026 artfynd.xlsx", "A 33583-2026")</f>
        <v/>
      </c>
      <c r="X31">
        <f>HYPERLINK("https://klasma.github.io/Logging_1782/kartor/A 33583-2026 karta.png", "A 33583-2026")</f>
        <v/>
      </c>
      <c r="Y31">
        <f>HYPERLINK("https://klasma.github.io/Logging_1782/kartor_geotiff/A 33583-2026 georefererad karta.tif", "A 33583-2026")</f>
        <v/>
      </c>
      <c r="AA31">
        <f>HYPERLINK("https://klasma.github.io/Logging_1782/klagomål/A 33583-2026 FSC-klagomål.docx", "A 33583-2026")</f>
        <v/>
      </c>
      <c r="AB31">
        <f>HYPERLINK("https://klasma.github.io/Logging_1782/klagomålsmail/A 33583-2026 FSC-klagomål mail.docx", "A 33583-2026")</f>
        <v/>
      </c>
      <c r="AC31">
        <f>HYPERLINK("https://klasma.github.io/Logging_1782/tillsyn/A 33583-2026 tillsynsbegäran.docx", "A 33583-2026")</f>
        <v/>
      </c>
      <c r="AD31">
        <f>HYPERLINK("https://klasma.github.io/Logging_1782/tillsynsmail/A 33583-2026 tillsynsbegäran mail.docx", "A 33583-2026")</f>
        <v/>
      </c>
    </row>
    <row r="32" ht="15" customHeight="1">
      <c r="A32" t="inlineStr">
        <is>
          <t>A 63144-2021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44505</v>
      </c>
      <c r="E32" s="1" t="n">
        <v>46306</v>
      </c>
      <c r="F32" t="inlineStr">
        <is>
          <t>VÄRMLANDS LÄN</t>
        </is>
      </c>
      <c r="G32" t="inlineStr">
        <is>
          <t>FILIPSTAD</t>
        </is>
      </c>
      <c r="I32" t="n">
        <v>24.3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2</v>
      </c>
      <c r="U32" t="n">
        <v>2</v>
      </c>
      <c r="V32" s="2" t="inlineStr">
        <is>
          <t>Kungsörn</t>
        </is>
      </c>
      <c r="W32">
        <f>HYPERLINK("https://klasma.github.io/Logging_1782/artfynd/A 63144-2021 artfynd.xlsx", "A 63144-2021")</f>
        <v/>
      </c>
      <c r="X32">
        <f>HYPERLINK("https://klasma.github.io/Logging_1782/kartor/A 63144-2021 karta.png", "A 63144-2021")</f>
        <v/>
      </c>
      <c r="Y32">
        <f>HYPERLINK("https://klasma.github.io/Logging_1782/kartor_geotiff/A 63144-2021 georefererad karta.tif", "A 63144-2021")</f>
        <v/>
      </c>
      <c r="AA32">
        <f>HYPERLINK("https://klasma.github.io/Logging_1782/klagomål/A 63144-2021 FSC-klagomål.docx", "A 63144-2021")</f>
        <v/>
      </c>
      <c r="AB32">
        <f>HYPERLINK("https://klasma.github.io/Logging_1782/klagomålsmail/A 63144-2021 FSC-klagomål mail.docx", "A 63144-2021")</f>
        <v/>
      </c>
      <c r="AC32">
        <f>HYPERLINK("https://klasma.github.io/Logging_1782/tillsyn/A 63144-2021 tillsynsbegäran.docx", "A 63144-2021")</f>
        <v/>
      </c>
      <c r="AD32">
        <f>HYPERLINK("https://klasma.github.io/Logging_1782/tillsynsmail/A 63144-2021 tillsynsbegäran mail.docx", "A 63144-2021")</f>
        <v/>
      </c>
      <c r="AE32">
        <f>HYPERLINK("https://klasma.github.io/Logging_1782/fåglar/A 63144-2021 prioriterade fågelarter.docx", "A 63144-2021")</f>
        <v/>
      </c>
    </row>
    <row r="33" ht="15" customHeight="1">
      <c r="A33" t="inlineStr">
        <is>
          <t>A 62572-2021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44503</v>
      </c>
      <c r="E33" s="1" t="n">
        <v>46306</v>
      </c>
      <c r="F33" t="inlineStr">
        <is>
          <t>VÄRMLANDS LÄN</t>
        </is>
      </c>
      <c r="G33" t="inlineStr">
        <is>
          <t>FILIPSTAD</t>
        </is>
      </c>
      <c r="H33" t="inlineStr">
        <is>
          <t>Bergvik skog väst AB</t>
        </is>
      </c>
      <c r="I33" t="n">
        <v>46.9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s="2" t="inlineStr">
        <is>
          <t>Garnlav</t>
        </is>
      </c>
      <c r="W33">
        <f>HYPERLINK("https://klasma.github.io/Logging_1782/artfynd/A 62572-2021 artfynd.xlsx", "A 62572-2021")</f>
        <v/>
      </c>
      <c r="X33">
        <f>HYPERLINK("https://klasma.github.io/Logging_1782/kartor/A 62572-2021 karta.png", "A 62572-2021")</f>
        <v/>
      </c>
      <c r="Y33">
        <f>HYPERLINK("https://klasma.github.io/Logging_1782/kartor_geotiff/A 62572-2021 georefererad karta.tif", "A 62572-2021")</f>
        <v/>
      </c>
      <c r="AA33">
        <f>HYPERLINK("https://klasma.github.io/Logging_1782/klagomål/A 62572-2021 FSC-klagomål.docx", "A 62572-2021")</f>
        <v/>
      </c>
      <c r="AB33">
        <f>HYPERLINK("https://klasma.github.io/Logging_1782/klagomålsmail/A 62572-2021 FSC-klagomål mail.docx", "A 62572-2021")</f>
        <v/>
      </c>
      <c r="AC33">
        <f>HYPERLINK("https://klasma.github.io/Logging_1782/tillsyn/A 62572-2021 tillsynsbegäran.docx", "A 62572-2021")</f>
        <v/>
      </c>
      <c r="AD33">
        <f>HYPERLINK("https://klasma.github.io/Logging_1782/tillsynsmail/A 62572-2021 tillsynsbegäran mail.docx", "A 62572-2021")</f>
        <v/>
      </c>
    </row>
    <row r="34" ht="15" customHeight="1">
      <c r="A34" t="inlineStr">
        <is>
          <t>A 20754-2022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44701</v>
      </c>
      <c r="E34" s="1" t="n">
        <v>46306</v>
      </c>
      <c r="F34" t="inlineStr">
        <is>
          <t>VÄRMLANDS LÄN</t>
        </is>
      </c>
      <c r="G34" t="inlineStr">
        <is>
          <t>FILIPSTAD</t>
        </is>
      </c>
      <c r="H34" t="inlineStr">
        <is>
          <t>Bergvik skog väst AB</t>
        </is>
      </c>
      <c r="I34" t="n">
        <v>13.6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1</v>
      </c>
      <c r="U34" t="n">
        <v>0</v>
      </c>
      <c r="V34" s="2" t="inlineStr">
        <is>
          <t>Mattlummer</t>
        </is>
      </c>
      <c r="W34">
        <f>HYPERLINK("https://klasma.github.io/Logging_1782/artfynd/A 20754-2022 artfynd.xlsx", "A 20754-2022")</f>
        <v/>
      </c>
      <c r="X34">
        <f>HYPERLINK("https://klasma.github.io/Logging_1782/kartor/A 20754-2022 karta.png", "A 20754-2022")</f>
        <v/>
      </c>
      <c r="Y34">
        <f>HYPERLINK("https://klasma.github.io/Logging_1782/kartor_geotiff/A 20754-2022 georefererad karta.tif", "A 20754-2022")</f>
        <v/>
      </c>
      <c r="AA34">
        <f>HYPERLINK("https://klasma.github.io/Logging_1782/klagomål/A 20754-2022 FSC-klagomål.docx", "A 20754-2022")</f>
        <v/>
      </c>
      <c r="AB34">
        <f>HYPERLINK("https://klasma.github.io/Logging_1782/klagomålsmail/A 20754-2022 FSC-klagomål mail.docx", "A 20754-2022")</f>
        <v/>
      </c>
      <c r="AC34">
        <f>HYPERLINK("https://klasma.github.io/Logging_1782/tillsyn/A 20754-2022 tillsynsbegäran.docx", "A 20754-2022")</f>
        <v/>
      </c>
      <c r="AD34">
        <f>HYPERLINK("https://klasma.github.io/Logging_1782/tillsynsmail/A 20754-2022 tillsynsbegäran mail.docx", "A 20754-2022")</f>
        <v/>
      </c>
    </row>
    <row r="35" ht="15" customHeight="1">
      <c r="A35" t="inlineStr">
        <is>
          <t>A 5992-2023</t>
        </is>
      </c>
      <c r="B35" t="inlineStr">
        <is>
          <t>avverkningsanmälan</t>
        </is>
      </c>
      <c r="C35" t="inlineStr">
        <is>
          <t>Avverkning för annat ändamål</t>
        </is>
      </c>
      <c r="D35" s="1" t="n">
        <v>44959</v>
      </c>
      <c r="E35" s="1" t="n">
        <v>46306</v>
      </c>
      <c r="F35" t="inlineStr">
        <is>
          <t>VÄRMLANDS LÄN</t>
        </is>
      </c>
      <c r="G35" t="inlineStr">
        <is>
          <t>FILIPSTAD</t>
        </is>
      </c>
      <c r="I35" t="n">
        <v>0.6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s="2" t="inlineStr">
        <is>
          <t>Fläcknycklar</t>
        </is>
      </c>
      <c r="W35">
        <f>HYPERLINK("https://klasma.github.io/Logging_1782/artfynd/A 5992-2023 artfynd.xlsx", "A 5992-2023")</f>
        <v/>
      </c>
      <c r="X35">
        <f>HYPERLINK("https://klasma.github.io/Logging_1782/kartor/A 5992-2023 karta.png", "A 5992-2023")</f>
        <v/>
      </c>
      <c r="Y35">
        <f>HYPERLINK("https://klasma.github.io/Logging_1782/kartor_geotiff/A 5992-2023 georefererad karta.tif", "A 5992-2023")</f>
        <v/>
      </c>
      <c r="AA35">
        <f>HYPERLINK("https://klasma.github.io/Logging_1782/klagomål/A 5992-2023 FSC-klagomål.docx", "A 5992-2023")</f>
        <v/>
      </c>
      <c r="AB35">
        <f>HYPERLINK("https://klasma.github.io/Logging_1782/klagomålsmail/A 5992-2023 FSC-klagomål mail.docx", "A 5992-2023")</f>
        <v/>
      </c>
      <c r="AC35">
        <f>HYPERLINK("https://klasma.github.io/Logging_1782/tillsyn/A 5992-2023 tillsynsbegäran.docx", "A 5992-2023")</f>
        <v/>
      </c>
      <c r="AD35">
        <f>HYPERLINK("https://klasma.github.io/Logging_1782/tillsynsmail/A 5992-2023 tillsynsbegäran mail.docx", "A 5992-2023")</f>
        <v/>
      </c>
    </row>
    <row r="36" ht="15" customHeight="1">
      <c r="A36" t="inlineStr">
        <is>
          <t>A 10138-2024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45364</v>
      </c>
      <c r="E36" s="1" t="n">
        <v>46306</v>
      </c>
      <c r="F36" t="inlineStr">
        <is>
          <t>VÄRMLANDS LÄN</t>
        </is>
      </c>
      <c r="G36" t="inlineStr">
        <is>
          <t>FILIPSTAD</t>
        </is>
      </c>
      <c r="H36" t="inlineStr">
        <is>
          <t>Kommuner</t>
        </is>
      </c>
      <c r="I36" t="n">
        <v>6.8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</v>
      </c>
      <c r="U36" t="n">
        <v>1</v>
      </c>
      <c r="V36" s="2" t="inlineStr">
        <is>
          <t>Purpurknipprot</t>
        </is>
      </c>
      <c r="W36">
        <f>HYPERLINK("https://klasma.github.io/Logging_1782/artfynd/A 10138-2024 artfynd.xlsx", "A 10138-2024")</f>
        <v/>
      </c>
      <c r="X36">
        <f>HYPERLINK("https://klasma.github.io/Logging_1782/kartor/A 10138-2024 karta.png", "A 10138-2024")</f>
        <v/>
      </c>
      <c r="Y36">
        <f>HYPERLINK("https://klasma.github.io/Logging_1782/kartor_geotiff/A 10138-2024 georefererad karta.tif", "A 10138-2024")</f>
        <v/>
      </c>
      <c r="AA36">
        <f>HYPERLINK("https://klasma.github.io/Logging_1782/klagomål/A 10138-2024 FSC-klagomål.docx", "A 10138-2024")</f>
        <v/>
      </c>
      <c r="AB36">
        <f>HYPERLINK("https://klasma.github.io/Logging_1782/klagomålsmail/A 10138-2024 FSC-klagomål mail.docx", "A 10138-2024")</f>
        <v/>
      </c>
      <c r="AC36">
        <f>HYPERLINK("https://klasma.github.io/Logging_1782/tillsyn/A 10138-2024 tillsynsbegäran.docx", "A 10138-2024")</f>
        <v/>
      </c>
      <c r="AD36">
        <f>HYPERLINK("https://klasma.github.io/Logging_1782/tillsynsmail/A 10138-2024 tillsynsbegäran mail.docx", "A 10138-2024")</f>
        <v/>
      </c>
    </row>
    <row r="37" ht="15" customHeight="1">
      <c r="A37" t="inlineStr">
        <is>
          <t>A 38140-2024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45545</v>
      </c>
      <c r="E37" s="1" t="n">
        <v>46306</v>
      </c>
      <c r="F37" t="inlineStr">
        <is>
          <t>VÄRMLANDS LÄN</t>
        </is>
      </c>
      <c r="G37" t="inlineStr">
        <is>
          <t>FILIPSTAD</t>
        </is>
      </c>
      <c r="H37" t="inlineStr">
        <is>
          <t>Bergvik skog väst AB</t>
        </is>
      </c>
      <c r="I37" t="n">
        <v>1.4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1</v>
      </c>
      <c r="U37" t="n">
        <v>0</v>
      </c>
      <c r="V37" s="2" t="inlineStr">
        <is>
          <t>Dropptaggsvamp</t>
        </is>
      </c>
      <c r="W37">
        <f>HYPERLINK("https://klasma.github.io/Logging_1782/artfynd/A 38140-2024 artfynd.xlsx", "A 38140-2024")</f>
        <v/>
      </c>
      <c r="X37">
        <f>HYPERLINK("https://klasma.github.io/Logging_1782/kartor/A 38140-2024 karta.png", "A 38140-2024")</f>
        <v/>
      </c>
      <c r="Y37">
        <f>HYPERLINK("https://klasma.github.io/Logging_1782/kartor_geotiff/A 38140-2024 georefererad karta.tif", "A 38140-2024")</f>
        <v/>
      </c>
      <c r="AA37">
        <f>HYPERLINK("https://klasma.github.io/Logging_1782/klagomål/A 38140-2024 FSC-klagomål.docx", "A 38140-2024")</f>
        <v/>
      </c>
      <c r="AB37">
        <f>HYPERLINK("https://klasma.github.io/Logging_1782/klagomålsmail/A 38140-2024 FSC-klagomål mail.docx", "A 38140-2024")</f>
        <v/>
      </c>
      <c r="AC37">
        <f>HYPERLINK("https://klasma.github.io/Logging_1782/tillsyn/A 38140-2024 tillsynsbegäran.docx", "A 38140-2024")</f>
        <v/>
      </c>
      <c r="AD37">
        <f>HYPERLINK("https://klasma.github.io/Logging_1782/tillsynsmail/A 38140-2024 tillsynsbegäran mail.docx", "A 38140-2024")</f>
        <v/>
      </c>
    </row>
    <row r="38" ht="15" customHeight="1">
      <c r="A38" t="inlineStr">
        <is>
          <t>A 23046-2023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45075</v>
      </c>
      <c r="E38" s="1" t="n">
        <v>46306</v>
      </c>
      <c r="F38" t="inlineStr">
        <is>
          <t>VÄRMLANDS LÄN</t>
        </is>
      </c>
      <c r="G38" t="inlineStr">
        <is>
          <t>FILIPSTAD</t>
        </is>
      </c>
      <c r="H38" t="inlineStr">
        <is>
          <t>Bergvik skog väst AB</t>
        </is>
      </c>
      <c r="I38" t="n">
        <v>1.7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  <c r="V38" s="2" t="inlineStr">
        <is>
          <t>Knärot</t>
        </is>
      </c>
      <c r="W38">
        <f>HYPERLINK("https://klasma.github.io/Logging_1782/artfynd/A 23046-2023 artfynd.xlsx", "A 23046-2023")</f>
        <v/>
      </c>
      <c r="X38">
        <f>HYPERLINK("https://klasma.github.io/Logging_1782/kartor/A 23046-2023 karta.png", "A 23046-2023")</f>
        <v/>
      </c>
      <c r="Y38">
        <f>HYPERLINK("https://klasma.github.io/Logging_1782/kartor_geotiff/A 23046-2023 georefererad karta.tif", "A 23046-2023")</f>
        <v/>
      </c>
      <c r="Z38">
        <f>HYPERLINK("https://klasma.github.io/Logging_1782/knärot/A 23046-2023 karta knärot.png", "A 23046-2023")</f>
        <v/>
      </c>
      <c r="AA38">
        <f>HYPERLINK("https://klasma.github.io/Logging_1782/klagomål/A 23046-2023 FSC-klagomål.docx", "A 23046-2023")</f>
        <v/>
      </c>
      <c r="AB38">
        <f>HYPERLINK("https://klasma.github.io/Logging_1782/klagomålsmail/A 23046-2023 FSC-klagomål mail.docx", "A 23046-2023")</f>
        <v/>
      </c>
      <c r="AC38">
        <f>HYPERLINK("https://klasma.github.io/Logging_1782/tillsyn/A 23046-2023 tillsynsbegäran.docx", "A 23046-2023")</f>
        <v/>
      </c>
      <c r="AD38">
        <f>HYPERLINK("https://klasma.github.io/Logging_1782/tillsynsmail/A 23046-2023 tillsynsbegäran mail.docx", "A 23046-2023")</f>
        <v/>
      </c>
    </row>
    <row r="39" ht="15" customHeight="1">
      <c r="A39" t="inlineStr">
        <is>
          <t>A 1346-2025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45667</v>
      </c>
      <c r="E39" s="1" t="n">
        <v>46306</v>
      </c>
      <c r="F39" t="inlineStr">
        <is>
          <t>VÄRMLANDS LÄN</t>
        </is>
      </c>
      <c r="G39" t="inlineStr">
        <is>
          <t>FILIPSTAD</t>
        </is>
      </c>
      <c r="H39" t="inlineStr">
        <is>
          <t>Kommuner</t>
        </is>
      </c>
      <c r="I39" t="n">
        <v>6.9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3</v>
      </c>
      <c r="U39" t="n">
        <v>3</v>
      </c>
      <c r="V39" s="2" t="inlineStr">
        <is>
          <t>Fläcknycklar</t>
        </is>
      </c>
      <c r="W39">
        <f>HYPERLINK("https://klasma.github.io/Logging_1782/artfynd/A 1346-2025 artfynd.xlsx", "A 1346-2025")</f>
        <v/>
      </c>
      <c r="X39">
        <f>HYPERLINK("https://klasma.github.io/Logging_1782/kartor/A 1346-2025 karta.png", "A 1346-2025")</f>
        <v/>
      </c>
      <c r="Y39">
        <f>HYPERLINK("https://klasma.github.io/Logging_1782/kartor_geotiff/A 1346-2025 georefererad karta.tif", "A 1346-2025")</f>
        <v/>
      </c>
      <c r="AA39">
        <f>HYPERLINK("https://klasma.github.io/Logging_1782/klagomål/A 1346-2025 FSC-klagomål.docx", "A 1346-2025")</f>
        <v/>
      </c>
      <c r="AB39">
        <f>HYPERLINK("https://klasma.github.io/Logging_1782/klagomålsmail/A 1346-2025 FSC-klagomål mail.docx", "A 1346-2025")</f>
        <v/>
      </c>
      <c r="AC39">
        <f>HYPERLINK("https://klasma.github.io/Logging_1782/tillsyn/A 1346-2025 tillsynsbegäran.docx", "A 1346-2025")</f>
        <v/>
      </c>
      <c r="AD39">
        <f>HYPERLINK("https://klasma.github.io/Logging_1782/tillsynsmail/A 1346-2025 tillsynsbegäran mail.docx", "A 1346-2025")</f>
        <v/>
      </c>
    </row>
    <row r="40" ht="15" customHeight="1">
      <c r="A40" t="inlineStr">
        <is>
          <t>A 45781-2025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45923</v>
      </c>
      <c r="E40" s="1" t="n">
        <v>46306</v>
      </c>
      <c r="F40" t="inlineStr">
        <is>
          <t>VÄRMLANDS LÄN</t>
        </is>
      </c>
      <c r="G40" t="inlineStr">
        <is>
          <t>FILIPSTAD</t>
        </is>
      </c>
      <c r="H40" t="inlineStr">
        <is>
          <t>Bergvik skog väst AB</t>
        </is>
      </c>
      <c r="I40" t="n">
        <v>2.6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1</v>
      </c>
      <c r="U40" t="n">
        <v>0</v>
      </c>
      <c r="V40" s="2" t="inlineStr">
        <is>
          <t>Brunklöver</t>
        </is>
      </c>
      <c r="W40">
        <f>HYPERLINK("https://klasma.github.io/Logging_1782/artfynd/A 45781-2025 artfynd.xlsx", "A 45781-2025")</f>
        <v/>
      </c>
      <c r="X40">
        <f>HYPERLINK("https://klasma.github.io/Logging_1782/kartor/A 45781-2025 karta.png", "A 45781-2025")</f>
        <v/>
      </c>
      <c r="Y40">
        <f>HYPERLINK("https://klasma.github.io/Logging_1782/kartor_geotiff/A 45781-2025 georefererad karta.tif", "A 45781-2025")</f>
        <v/>
      </c>
      <c r="AA40">
        <f>HYPERLINK("https://klasma.github.io/Logging_1782/klagomål/A 45781-2025 FSC-klagomål.docx", "A 45781-2025")</f>
        <v/>
      </c>
      <c r="AB40">
        <f>HYPERLINK("https://klasma.github.io/Logging_1782/klagomålsmail/A 45781-2025 FSC-klagomål mail.docx", "A 45781-2025")</f>
        <v/>
      </c>
      <c r="AC40">
        <f>HYPERLINK("https://klasma.github.io/Logging_1782/tillsyn/A 45781-2025 tillsynsbegäran.docx", "A 45781-2025")</f>
        <v/>
      </c>
      <c r="AD40">
        <f>HYPERLINK("https://klasma.github.io/Logging_1782/tillsynsmail/A 45781-2025 tillsynsbegäran mail.docx", "A 45781-2025")</f>
        <v/>
      </c>
    </row>
    <row r="41" ht="15" customHeight="1">
      <c r="A41" t="inlineStr">
        <is>
          <t>A 11453-2025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45726</v>
      </c>
      <c r="E41" s="1" t="n">
        <v>46306</v>
      </c>
      <c r="F41" t="inlineStr">
        <is>
          <t>VÄRMLANDS LÄN</t>
        </is>
      </c>
      <c r="G41" t="inlineStr">
        <is>
          <t>FILIPSTAD</t>
        </is>
      </c>
      <c r="I41" t="n">
        <v>7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0</v>
      </c>
      <c r="V41" s="2" t="inlineStr">
        <is>
          <t>Purpurknipprot</t>
        </is>
      </c>
      <c r="W41">
        <f>HYPERLINK("https://klasma.github.io/Logging_1782/artfynd/A 11453-2025 artfynd.xlsx", "A 11453-2025")</f>
        <v/>
      </c>
      <c r="X41">
        <f>HYPERLINK("https://klasma.github.io/Logging_1782/kartor/A 11453-2025 karta.png", "A 11453-2025")</f>
        <v/>
      </c>
      <c r="Y41">
        <f>HYPERLINK("https://klasma.github.io/Logging_1782/kartor_geotiff/A 11453-2025 georefererad karta.tif", "A 11453-2025")</f>
        <v/>
      </c>
      <c r="AA41">
        <f>HYPERLINK("https://klasma.github.io/Logging_1782/klagomål/A 11453-2025 FSC-klagomål.docx", "A 11453-2025")</f>
        <v/>
      </c>
      <c r="AB41">
        <f>HYPERLINK("https://klasma.github.io/Logging_1782/klagomålsmail/A 11453-2025 FSC-klagomål mail.docx", "A 11453-2025")</f>
        <v/>
      </c>
      <c r="AC41">
        <f>HYPERLINK("https://klasma.github.io/Logging_1782/tillsyn/A 11453-2025 tillsynsbegäran.docx", "A 11453-2025")</f>
        <v/>
      </c>
      <c r="AD41">
        <f>HYPERLINK("https://klasma.github.io/Logging_1782/tillsynsmail/A 11453-2025 tillsynsbegäran mail.docx", "A 11453-2025")</f>
        <v/>
      </c>
    </row>
    <row r="42" ht="15" customHeight="1">
      <c r="A42" t="inlineStr">
        <is>
          <t>A 25916-2025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45804</v>
      </c>
      <c r="E42" s="1" t="n">
        <v>46306</v>
      </c>
      <c r="F42" t="inlineStr">
        <is>
          <t>VÄRMLANDS LÄN</t>
        </is>
      </c>
      <c r="G42" t="inlineStr">
        <is>
          <t>FILIPSTAD</t>
        </is>
      </c>
      <c r="H42" t="inlineStr">
        <is>
          <t>Bergvik skog väst AB</t>
        </is>
      </c>
      <c r="I42" t="n">
        <v>26.4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1</v>
      </c>
      <c r="U42" t="n">
        <v>0</v>
      </c>
      <c r="V42" s="2" t="inlineStr">
        <is>
          <t>Lunglav</t>
        </is>
      </c>
      <c r="W42">
        <f>HYPERLINK("https://klasma.github.io/Logging_1782/artfynd/A 25916-2025 artfynd.xlsx", "A 25916-2025")</f>
        <v/>
      </c>
      <c r="X42">
        <f>HYPERLINK("https://klasma.github.io/Logging_1782/kartor/A 25916-2025 karta.png", "A 25916-2025")</f>
        <v/>
      </c>
      <c r="Y42">
        <f>HYPERLINK("https://klasma.github.io/Logging_1782/kartor_geotiff/A 25916-2025 georefererad karta.tif", "A 25916-2025")</f>
        <v/>
      </c>
      <c r="AA42">
        <f>HYPERLINK("https://klasma.github.io/Logging_1782/klagomål/A 25916-2025 FSC-klagomål.docx", "A 25916-2025")</f>
        <v/>
      </c>
      <c r="AB42">
        <f>HYPERLINK("https://klasma.github.io/Logging_1782/klagomålsmail/A 25916-2025 FSC-klagomål mail.docx", "A 25916-2025")</f>
        <v/>
      </c>
      <c r="AC42">
        <f>HYPERLINK("https://klasma.github.io/Logging_1782/tillsyn/A 25916-2025 tillsynsbegäran.docx", "A 25916-2025")</f>
        <v/>
      </c>
      <c r="AD42">
        <f>HYPERLINK("https://klasma.github.io/Logging_1782/tillsynsmail/A 25916-2025 tillsynsbegäran mail.docx", "A 25916-2025")</f>
        <v/>
      </c>
    </row>
    <row r="43" ht="15" customHeight="1">
      <c r="A43" t="inlineStr">
        <is>
          <t>A 874-2025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45665</v>
      </c>
      <c r="E43" s="1" t="n">
        <v>46306</v>
      </c>
      <c r="F43" t="inlineStr">
        <is>
          <t>VÄRMLANDS LÄN</t>
        </is>
      </c>
      <c r="G43" t="inlineStr">
        <is>
          <t>FILIPSTAD</t>
        </is>
      </c>
      <c r="H43" t="inlineStr">
        <is>
          <t>Kyrkan</t>
        </is>
      </c>
      <c r="I43" t="n">
        <v>4.8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</v>
      </c>
      <c r="U43" t="n">
        <v>0</v>
      </c>
      <c r="V43" s="2" t="inlineStr">
        <is>
          <t>Kamjordstjärna</t>
        </is>
      </c>
      <c r="W43">
        <f>HYPERLINK("https://klasma.github.io/Logging_1782/artfynd/A 874-2025 artfynd.xlsx", "A 874-2025")</f>
        <v/>
      </c>
      <c r="X43">
        <f>HYPERLINK("https://klasma.github.io/Logging_1782/kartor/A 874-2025 karta.png", "A 874-2025")</f>
        <v/>
      </c>
      <c r="Y43">
        <f>HYPERLINK("https://klasma.github.io/Logging_1782/kartor_geotiff/A 874-2025 georefererad karta.tif", "A 874-2025")</f>
        <v/>
      </c>
      <c r="AA43">
        <f>HYPERLINK("https://klasma.github.io/Logging_1782/klagomål/A 874-2025 FSC-klagomål.docx", "A 874-2025")</f>
        <v/>
      </c>
      <c r="AB43">
        <f>HYPERLINK("https://klasma.github.io/Logging_1782/klagomålsmail/A 874-2025 FSC-klagomål mail.docx", "A 874-2025")</f>
        <v/>
      </c>
      <c r="AC43">
        <f>HYPERLINK("https://klasma.github.io/Logging_1782/tillsyn/A 874-2025 tillsynsbegäran.docx", "A 874-2025")</f>
        <v/>
      </c>
      <c r="AD43">
        <f>HYPERLINK("https://klasma.github.io/Logging_1782/tillsynsmail/A 874-2025 tillsynsbegäran mail.docx", "A 874-2025")</f>
        <v/>
      </c>
    </row>
    <row r="44" ht="15" customHeight="1">
      <c r="A44" t="inlineStr">
        <is>
          <t>A 30652-2025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45831</v>
      </c>
      <c r="E44" s="1" t="n">
        <v>46306</v>
      </c>
      <c r="F44" t="inlineStr">
        <is>
          <t>VÄRMLANDS LÄN</t>
        </is>
      </c>
      <c r="G44" t="inlineStr">
        <is>
          <t>FILIPSTAD</t>
        </is>
      </c>
      <c r="H44" t="inlineStr">
        <is>
          <t>Bergvik skog väst AB</t>
        </is>
      </c>
      <c r="I44" t="n">
        <v>4.3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</v>
      </c>
      <c r="U44" t="n">
        <v>1</v>
      </c>
      <c r="V44" s="2" t="inlineStr">
        <is>
          <t>Tjäder</t>
        </is>
      </c>
      <c r="W44">
        <f>HYPERLINK("https://klasma.github.io/Logging_1782/artfynd/A 30652-2025 artfynd.xlsx", "A 30652-2025")</f>
        <v/>
      </c>
      <c r="X44">
        <f>HYPERLINK("https://klasma.github.io/Logging_1782/kartor/A 30652-2025 karta.png", "A 30652-2025")</f>
        <v/>
      </c>
      <c r="Y44">
        <f>HYPERLINK("https://klasma.github.io/Logging_1782/kartor_geotiff/A 30652-2025 georefererad karta.tif", "A 30652-2025")</f>
        <v/>
      </c>
      <c r="AA44">
        <f>HYPERLINK("https://klasma.github.io/Logging_1782/klagomål/A 30652-2025 FSC-klagomål.docx", "A 30652-2025")</f>
        <v/>
      </c>
      <c r="AB44">
        <f>HYPERLINK("https://klasma.github.io/Logging_1782/klagomålsmail/A 30652-2025 FSC-klagomål mail.docx", "A 30652-2025")</f>
        <v/>
      </c>
      <c r="AC44">
        <f>HYPERLINK("https://klasma.github.io/Logging_1782/tillsyn/A 30652-2025 tillsynsbegäran.docx", "A 30652-2025")</f>
        <v/>
      </c>
      <c r="AD44">
        <f>HYPERLINK("https://klasma.github.io/Logging_1782/tillsynsmail/A 30652-2025 tillsynsbegäran mail.docx", "A 30652-2025")</f>
        <v/>
      </c>
      <c r="AE44">
        <f>HYPERLINK("https://klasma.github.io/Logging_1782/fåglar/A 30652-2025 prioriterade fågelarter.docx", "A 30652-2025")</f>
        <v/>
      </c>
    </row>
    <row r="45" ht="15" customHeight="1">
      <c r="A45" t="inlineStr">
        <is>
          <t>A 46978-2023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45195</v>
      </c>
      <c r="E45" s="1" t="n">
        <v>46306</v>
      </c>
      <c r="F45" t="inlineStr">
        <is>
          <t>VÄRMLANDS LÄN</t>
        </is>
      </c>
      <c r="G45" t="inlineStr">
        <is>
          <t>FILIPSTAD</t>
        </is>
      </c>
      <c r="H45" t="inlineStr">
        <is>
          <t>Bergvik skog väst AB</t>
        </is>
      </c>
      <c r="I45" t="n">
        <v>11.2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1</v>
      </c>
      <c r="V45" s="2" t="inlineStr">
        <is>
          <t>Nattviol</t>
        </is>
      </c>
      <c r="W45">
        <f>HYPERLINK("https://klasma.github.io/Logging_1782/artfynd/A 46978-2023 artfynd.xlsx", "A 46978-2023")</f>
        <v/>
      </c>
      <c r="X45">
        <f>HYPERLINK("https://klasma.github.io/Logging_1782/kartor/A 46978-2023 karta.png", "A 46978-2023")</f>
        <v/>
      </c>
      <c r="Y45">
        <f>HYPERLINK("https://klasma.github.io/Logging_1782/kartor_geotiff/A 46978-2023 georefererad karta.tif", "A 46978-2023")</f>
        <v/>
      </c>
      <c r="AA45">
        <f>HYPERLINK("https://klasma.github.io/Logging_1782/klagomål/A 46978-2023 FSC-klagomål.docx", "A 46978-2023")</f>
        <v/>
      </c>
      <c r="AB45">
        <f>HYPERLINK("https://klasma.github.io/Logging_1782/klagomålsmail/A 46978-2023 FSC-klagomål mail.docx", "A 46978-2023")</f>
        <v/>
      </c>
      <c r="AC45">
        <f>HYPERLINK("https://klasma.github.io/Logging_1782/tillsyn/A 46978-2023 tillsynsbegäran.docx", "A 46978-2023")</f>
        <v/>
      </c>
      <c r="AD45">
        <f>HYPERLINK("https://klasma.github.io/Logging_1782/tillsynsmail/A 46978-2023 tillsynsbegäran mail.docx", "A 46978-2023")</f>
        <v/>
      </c>
    </row>
    <row r="46" ht="15" customHeight="1">
      <c r="A46" t="inlineStr">
        <is>
          <t>A 58734-2025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45986</v>
      </c>
      <c r="E46" s="1" t="n">
        <v>46306</v>
      </c>
      <c r="F46" t="inlineStr">
        <is>
          <t>VÄRMLANDS LÄN</t>
        </is>
      </c>
      <c r="G46" t="inlineStr">
        <is>
          <t>FILIPSTAD</t>
        </is>
      </c>
      <c r="H46" t="inlineStr">
        <is>
          <t>Bergvik skog väst AB</t>
        </is>
      </c>
      <c r="I46" t="n">
        <v>18.2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1</v>
      </c>
      <c r="U46" t="n">
        <v>0</v>
      </c>
      <c r="V46" s="2" t="inlineStr">
        <is>
          <t>Tretåig hackspett</t>
        </is>
      </c>
      <c r="W46">
        <f>HYPERLINK("https://klasma.github.io/Logging_1782/artfynd/A 58734-2025 artfynd.xlsx", "A 58734-2025")</f>
        <v/>
      </c>
      <c r="X46">
        <f>HYPERLINK("https://klasma.github.io/Logging_1782/kartor/A 58734-2025 karta.png", "A 58734-2025")</f>
        <v/>
      </c>
      <c r="Y46">
        <f>HYPERLINK("https://klasma.github.io/Logging_1782/kartor_geotiff/A 58734-2025 georefererad karta.tif", "A 58734-2025")</f>
        <v/>
      </c>
      <c r="AA46">
        <f>HYPERLINK("https://klasma.github.io/Logging_1782/klagomål/A 58734-2025 FSC-klagomål.docx", "A 58734-2025")</f>
        <v/>
      </c>
      <c r="AB46">
        <f>HYPERLINK("https://klasma.github.io/Logging_1782/klagomålsmail/A 58734-2025 FSC-klagomål mail.docx", "A 58734-2025")</f>
        <v/>
      </c>
      <c r="AC46">
        <f>HYPERLINK("https://klasma.github.io/Logging_1782/tillsyn/A 58734-2025 tillsynsbegäran.docx", "A 58734-2025")</f>
        <v/>
      </c>
      <c r="AD46">
        <f>HYPERLINK("https://klasma.github.io/Logging_1782/tillsynsmail/A 58734-2025 tillsynsbegäran mail.docx", "A 58734-2025")</f>
        <v/>
      </c>
      <c r="AE46">
        <f>HYPERLINK("https://klasma.github.io/Logging_1782/fåglar/A 58734-2025 prioriterade fågelarter.docx", "A 58734-2025")</f>
        <v/>
      </c>
    </row>
    <row r="47" ht="15" customHeight="1">
      <c r="A47" t="inlineStr">
        <is>
          <t>A 18138-2022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44684</v>
      </c>
      <c r="E47" s="1" t="n">
        <v>46306</v>
      </c>
      <c r="F47" t="inlineStr">
        <is>
          <t>VÄRMLANDS LÄN</t>
        </is>
      </c>
      <c r="G47" t="inlineStr">
        <is>
          <t>FILIPSTAD</t>
        </is>
      </c>
      <c r="I47" t="n">
        <v>2.7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</v>
      </c>
      <c r="U47" t="n">
        <v>1</v>
      </c>
      <c r="V47" s="2" t="inlineStr">
        <is>
          <t>Fläcknycklar</t>
        </is>
      </c>
      <c r="W47">
        <f>HYPERLINK("https://klasma.github.io/Logging_1782/artfynd/A 18138-2022 artfynd.xlsx", "A 18138-2022")</f>
        <v/>
      </c>
      <c r="X47">
        <f>HYPERLINK("https://klasma.github.io/Logging_1782/kartor/A 18138-2022 karta.png", "A 18138-2022")</f>
        <v/>
      </c>
      <c r="Y47">
        <f>HYPERLINK("https://klasma.github.io/Logging_1782/kartor_geotiff/A 18138-2022 georefererad karta.tif", "A 18138-2022")</f>
        <v/>
      </c>
      <c r="AA47">
        <f>HYPERLINK("https://klasma.github.io/Logging_1782/klagomål/A 18138-2022 FSC-klagomål.docx", "A 18138-2022")</f>
        <v/>
      </c>
      <c r="AB47">
        <f>HYPERLINK("https://klasma.github.io/Logging_1782/klagomålsmail/A 18138-2022 FSC-klagomål mail.docx", "A 18138-2022")</f>
        <v/>
      </c>
      <c r="AC47">
        <f>HYPERLINK("https://klasma.github.io/Logging_1782/tillsyn/A 18138-2022 tillsynsbegäran.docx", "A 18138-2022")</f>
        <v/>
      </c>
      <c r="AD47">
        <f>HYPERLINK("https://klasma.github.io/Logging_1782/tillsynsmail/A 18138-2022 tillsynsbegäran mail.docx", "A 18138-2022")</f>
        <v/>
      </c>
    </row>
    <row r="48" ht="15" customHeight="1">
      <c r="A48" t="inlineStr">
        <is>
          <t>A 17529-2026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46120</v>
      </c>
      <c r="E48" s="1" t="n">
        <v>46306</v>
      </c>
      <c r="F48" t="inlineStr">
        <is>
          <t>VÄRMLANDS LÄN</t>
        </is>
      </c>
      <c r="G48" t="inlineStr">
        <is>
          <t>FILIPSTAD</t>
        </is>
      </c>
      <c r="I48" t="n">
        <v>7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s="2" t="inlineStr">
        <is>
          <t>Ädellav</t>
        </is>
      </c>
      <c r="W48">
        <f>HYPERLINK("https://klasma.github.io/Logging_1782/artfynd/A 17529-2026 artfynd.xlsx", "A 17529-2026")</f>
        <v/>
      </c>
      <c r="X48">
        <f>HYPERLINK("https://klasma.github.io/Logging_1782/kartor/A 17529-2026 karta.png", "A 17529-2026")</f>
        <v/>
      </c>
      <c r="Y48">
        <f>HYPERLINK("https://klasma.github.io/Logging_1782/kartor_geotiff/A 17529-2026 georefererad karta.tif", "A 17529-2026")</f>
        <v/>
      </c>
      <c r="AA48">
        <f>HYPERLINK("https://klasma.github.io/Logging_1782/klagomål/A 17529-2026 FSC-klagomål.docx", "A 17529-2026")</f>
        <v/>
      </c>
      <c r="AB48">
        <f>HYPERLINK("https://klasma.github.io/Logging_1782/klagomålsmail/A 17529-2026 FSC-klagomål mail.docx", "A 17529-2026")</f>
        <v/>
      </c>
      <c r="AC48">
        <f>HYPERLINK("https://klasma.github.io/Logging_1782/tillsyn/A 17529-2026 tillsynsbegäran.docx", "A 17529-2026")</f>
        <v/>
      </c>
      <c r="AD48">
        <f>HYPERLINK("https://klasma.github.io/Logging_1782/tillsynsmail/A 17529-2026 tillsynsbegäran mail.docx", "A 17529-2026")</f>
        <v/>
      </c>
    </row>
    <row r="49" ht="15" customHeight="1">
      <c r="A49" t="inlineStr">
        <is>
          <t>A 51522-2022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44869</v>
      </c>
      <c r="E49" s="1" t="n">
        <v>46306</v>
      </c>
      <c r="F49" t="inlineStr">
        <is>
          <t>VÄRMLANDS LÄN</t>
        </is>
      </c>
      <c r="G49" t="inlineStr">
        <is>
          <t>FILIPSTAD</t>
        </is>
      </c>
      <c r="I49" t="n">
        <v>4.1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1</v>
      </c>
      <c r="U49" t="n">
        <v>0</v>
      </c>
      <c r="V49" s="2" t="inlineStr">
        <is>
          <t>Tibast</t>
        </is>
      </c>
      <c r="W49">
        <f>HYPERLINK("https://klasma.github.io/Logging_1782/artfynd/A 51522-2022 artfynd.xlsx", "A 51522-2022")</f>
        <v/>
      </c>
      <c r="X49">
        <f>HYPERLINK("https://klasma.github.io/Logging_1782/kartor/A 51522-2022 karta.png", "A 51522-2022")</f>
        <v/>
      </c>
      <c r="Y49">
        <f>HYPERLINK("https://klasma.github.io/Logging_1782/kartor_geotiff/A 51522-2022 georefererad karta.tif", "A 51522-2022")</f>
        <v/>
      </c>
      <c r="AA49">
        <f>HYPERLINK("https://klasma.github.io/Logging_1782/klagomål/A 51522-2022 FSC-klagomål.docx", "A 51522-2022")</f>
        <v/>
      </c>
      <c r="AB49">
        <f>HYPERLINK("https://klasma.github.io/Logging_1782/klagomålsmail/A 51522-2022 FSC-klagomål mail.docx", "A 51522-2022")</f>
        <v/>
      </c>
      <c r="AC49">
        <f>HYPERLINK("https://klasma.github.io/Logging_1782/tillsyn/A 51522-2022 tillsynsbegäran.docx", "A 51522-2022")</f>
        <v/>
      </c>
      <c r="AD49">
        <f>HYPERLINK("https://klasma.github.io/Logging_1782/tillsynsmail/A 51522-2022 tillsynsbegäran mail.docx", "A 51522-2022")</f>
        <v/>
      </c>
    </row>
    <row r="50" ht="15" customHeight="1">
      <c r="A50" t="inlineStr">
        <is>
          <t>A 50776-2024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45602</v>
      </c>
      <c r="E50" s="1" t="n">
        <v>46306</v>
      </c>
      <c r="F50" t="inlineStr">
        <is>
          <t>VÄRMLANDS LÄN</t>
        </is>
      </c>
      <c r="G50" t="inlineStr">
        <is>
          <t>FILIPSTAD</t>
        </is>
      </c>
      <c r="H50" t="inlineStr">
        <is>
          <t>Bergvik skog väst AB</t>
        </is>
      </c>
      <c r="I50" t="n">
        <v>15.5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1</v>
      </c>
      <c r="U50" t="n">
        <v>1</v>
      </c>
      <c r="V50" s="2" t="inlineStr">
        <is>
          <t>Nattviol</t>
        </is>
      </c>
      <c r="W50">
        <f>HYPERLINK("https://klasma.github.io/Logging_1782/artfynd/A 50776-2024 artfynd.xlsx", "A 50776-2024")</f>
        <v/>
      </c>
      <c r="X50">
        <f>HYPERLINK("https://klasma.github.io/Logging_1782/kartor/A 50776-2024 karta.png", "A 50776-2024")</f>
        <v/>
      </c>
      <c r="Y50">
        <f>HYPERLINK("https://klasma.github.io/Logging_1782/kartor_geotiff/A 50776-2024 georefererad karta.tif", "A 50776-2024")</f>
        <v/>
      </c>
      <c r="AA50">
        <f>HYPERLINK("https://klasma.github.io/Logging_1782/klagomål/A 50776-2024 FSC-klagomål.docx", "A 50776-2024")</f>
        <v/>
      </c>
      <c r="AB50">
        <f>HYPERLINK("https://klasma.github.io/Logging_1782/klagomålsmail/A 50776-2024 FSC-klagomål mail.docx", "A 50776-2024")</f>
        <v/>
      </c>
      <c r="AC50">
        <f>HYPERLINK("https://klasma.github.io/Logging_1782/tillsyn/A 50776-2024 tillsynsbegäran.docx", "A 50776-2024")</f>
        <v/>
      </c>
      <c r="AD50">
        <f>HYPERLINK("https://klasma.github.io/Logging_1782/tillsynsmail/A 50776-2024 tillsynsbegäran mail.docx", "A 50776-2024")</f>
        <v/>
      </c>
    </row>
    <row r="51" ht="15" customHeight="1">
      <c r="A51" t="inlineStr">
        <is>
          <t>A 4560-2025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45687</v>
      </c>
      <c r="E51" s="1" t="n">
        <v>46306</v>
      </c>
      <c r="F51" t="inlineStr">
        <is>
          <t>VÄRMLANDS LÄN</t>
        </is>
      </c>
      <c r="G51" t="inlineStr">
        <is>
          <t>FILIPSTAD</t>
        </is>
      </c>
      <c r="I51" t="n">
        <v>13.6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s="2" t="inlineStr">
        <is>
          <t>Skrovlig taggsvamp</t>
        </is>
      </c>
      <c r="W51">
        <f>HYPERLINK("https://klasma.github.io/Logging_1782/artfynd/A 4560-2025 artfynd.xlsx", "A 4560-2025")</f>
        <v/>
      </c>
      <c r="X51">
        <f>HYPERLINK("https://klasma.github.io/Logging_1782/kartor/A 4560-2025 karta.png", "A 4560-2025")</f>
        <v/>
      </c>
      <c r="Y51">
        <f>HYPERLINK("https://klasma.github.io/Logging_1782/kartor_geotiff/A 4560-2025 georefererad karta.tif", "A 4560-2025")</f>
        <v/>
      </c>
      <c r="AA51">
        <f>HYPERLINK("https://klasma.github.io/Logging_1782/klagomål/A 4560-2025 FSC-klagomål.docx", "A 4560-2025")</f>
        <v/>
      </c>
      <c r="AB51">
        <f>HYPERLINK("https://klasma.github.io/Logging_1782/klagomålsmail/A 4560-2025 FSC-klagomål mail.docx", "A 4560-2025")</f>
        <v/>
      </c>
      <c r="AC51">
        <f>HYPERLINK("https://klasma.github.io/Logging_1782/tillsyn/A 4560-2025 tillsynsbegäran.docx", "A 4560-2025")</f>
        <v/>
      </c>
      <c r="AD51">
        <f>HYPERLINK("https://klasma.github.io/Logging_1782/tillsynsmail/A 4560-2025 tillsynsbegäran mail.docx", "A 4560-2025")</f>
        <v/>
      </c>
    </row>
    <row r="52" ht="15" customHeight="1">
      <c r="A52" t="inlineStr">
        <is>
          <t>A 25862-2026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46178</v>
      </c>
      <c r="E52" s="1" t="n">
        <v>46306</v>
      </c>
      <c r="F52" t="inlineStr">
        <is>
          <t>VÄRMLANDS LÄN</t>
        </is>
      </c>
      <c r="G52" t="inlineStr">
        <is>
          <t>FILIPSTAD</t>
        </is>
      </c>
      <c r="H52" t="inlineStr">
        <is>
          <t>Bergvik skog väst AB</t>
        </is>
      </c>
      <c r="I52" t="n">
        <v>3.5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1</v>
      </c>
      <c r="U52" t="n">
        <v>0</v>
      </c>
      <c r="V52" s="2" t="inlineStr">
        <is>
          <t>Talltaggsvamp</t>
        </is>
      </c>
      <c r="W52">
        <f>HYPERLINK("https://klasma.github.io/Logging_1782/artfynd/A 25862-2026 artfynd.xlsx", "A 25862-2026")</f>
        <v/>
      </c>
      <c r="X52">
        <f>HYPERLINK("https://klasma.github.io/Logging_1782/kartor/A 25862-2026 karta.png", "A 25862-2026")</f>
        <v/>
      </c>
      <c r="Y52">
        <f>HYPERLINK("https://klasma.github.io/Logging_1782/kartor_geotiff/A 25862-2026 georefererad karta.tif", "A 25862-2026")</f>
        <v/>
      </c>
      <c r="AA52">
        <f>HYPERLINK("https://klasma.github.io/Logging_1782/klagomål/A 25862-2026 FSC-klagomål.docx", "A 25862-2026")</f>
        <v/>
      </c>
      <c r="AB52">
        <f>HYPERLINK("https://klasma.github.io/Logging_1782/klagomålsmail/A 25862-2026 FSC-klagomål mail.docx", "A 25862-2026")</f>
        <v/>
      </c>
      <c r="AC52">
        <f>HYPERLINK("https://klasma.github.io/Logging_1782/tillsyn/A 25862-2026 tillsynsbegäran.docx", "A 25862-2026")</f>
        <v/>
      </c>
      <c r="AD52">
        <f>HYPERLINK("https://klasma.github.io/Logging_1782/tillsynsmail/A 25862-2026 tillsynsbegäran mail.docx", "A 25862-2026")</f>
        <v/>
      </c>
    </row>
    <row r="53" ht="15" customHeight="1">
      <c r="A53" t="inlineStr">
        <is>
          <t>A 28989-2026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46199</v>
      </c>
      <c r="E53" s="1" t="n">
        <v>46306</v>
      </c>
      <c r="F53" t="inlineStr">
        <is>
          <t>VÄRMLANDS LÄN</t>
        </is>
      </c>
      <c r="G53" t="inlineStr">
        <is>
          <t>FILIPSTAD</t>
        </is>
      </c>
      <c r="H53" t="inlineStr">
        <is>
          <t>Bergvik skog väst AB</t>
        </is>
      </c>
      <c r="I53" t="n">
        <v>7.2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1</v>
      </c>
      <c r="U53" t="n">
        <v>1</v>
      </c>
      <c r="V53" s="2" t="inlineStr">
        <is>
          <t>Fläcknycklar</t>
        </is>
      </c>
      <c r="W53">
        <f>HYPERLINK("https://klasma.github.io/Logging_1782/artfynd/A 28989-2026 artfynd.xlsx", "A 28989-2026")</f>
        <v/>
      </c>
      <c r="X53">
        <f>HYPERLINK("https://klasma.github.io/Logging_1782/kartor/A 28989-2026 karta.png", "A 28989-2026")</f>
        <v/>
      </c>
      <c r="Y53">
        <f>HYPERLINK("https://klasma.github.io/Logging_1782/kartor_geotiff/A 28989-2026 georefererad karta.tif", "A 28989-2026")</f>
        <v/>
      </c>
      <c r="AA53">
        <f>HYPERLINK("https://klasma.github.io/Logging_1782/klagomål/A 28989-2026 FSC-klagomål.docx", "A 28989-2026")</f>
        <v/>
      </c>
      <c r="AB53">
        <f>HYPERLINK("https://klasma.github.io/Logging_1782/klagomålsmail/A 28989-2026 FSC-klagomål mail.docx", "A 28989-2026")</f>
        <v/>
      </c>
      <c r="AC53">
        <f>HYPERLINK("https://klasma.github.io/Logging_1782/tillsyn/A 28989-2026 tillsynsbegäran.docx", "A 28989-2026")</f>
        <v/>
      </c>
      <c r="AD53">
        <f>HYPERLINK("https://klasma.github.io/Logging_1782/tillsynsmail/A 28989-2026 tillsynsbegäran mail.docx", "A 28989-2026")</f>
        <v/>
      </c>
    </row>
    <row r="54" ht="15" customHeight="1">
      <c r="A54" t="inlineStr">
        <is>
          <t>A 31257-2026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46218</v>
      </c>
      <c r="E54" s="1" t="n">
        <v>46306</v>
      </c>
      <c r="F54" t="inlineStr">
        <is>
          <t>VÄRMLANDS LÄN</t>
        </is>
      </c>
      <c r="G54" t="inlineStr">
        <is>
          <t>FILIPSTAD</t>
        </is>
      </c>
      <c r="H54" t="inlineStr">
        <is>
          <t>Bergvik skog väst AB</t>
        </is>
      </c>
      <c r="I54" t="n">
        <v>10.2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1</v>
      </c>
      <c r="U54" t="n">
        <v>0</v>
      </c>
      <c r="V54" s="2" t="inlineStr">
        <is>
          <t>Gräsull</t>
        </is>
      </c>
      <c r="W54">
        <f>HYPERLINK("https://klasma.github.io/Logging_1782/artfynd/A 31257-2026 artfynd.xlsx", "A 31257-2026")</f>
        <v/>
      </c>
      <c r="X54">
        <f>HYPERLINK("https://klasma.github.io/Logging_1782/kartor/A 31257-2026 karta.png", "A 31257-2026")</f>
        <v/>
      </c>
      <c r="Y54">
        <f>HYPERLINK("https://klasma.github.io/Logging_1782/kartor_geotiff/A 31257-2026 georefererad karta.tif", "A 31257-2026")</f>
        <v/>
      </c>
      <c r="AA54">
        <f>HYPERLINK("https://klasma.github.io/Logging_1782/klagomål/A 31257-2026 FSC-klagomål.docx", "A 31257-2026")</f>
        <v/>
      </c>
      <c r="AB54">
        <f>HYPERLINK("https://klasma.github.io/Logging_1782/klagomålsmail/A 31257-2026 FSC-klagomål mail.docx", "A 31257-2026")</f>
        <v/>
      </c>
      <c r="AC54">
        <f>HYPERLINK("https://klasma.github.io/Logging_1782/tillsyn/A 31257-2026 tillsynsbegäran.docx", "A 31257-2026")</f>
        <v/>
      </c>
      <c r="AD54">
        <f>HYPERLINK("https://klasma.github.io/Logging_1782/tillsynsmail/A 31257-2026 tillsynsbegäran mail.docx", "A 31257-2026")</f>
        <v/>
      </c>
    </row>
    <row r="55" ht="15" customHeight="1">
      <c r="A55" t="inlineStr">
        <is>
          <t>A 30988-2026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46213</v>
      </c>
      <c r="E55" s="1" t="n">
        <v>46306</v>
      </c>
      <c r="F55" t="inlineStr">
        <is>
          <t>VÄRMLANDS LÄN</t>
        </is>
      </c>
      <c r="G55" t="inlineStr">
        <is>
          <t>FILIPSTAD</t>
        </is>
      </c>
      <c r="I55" t="n">
        <v>2.4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1</v>
      </c>
      <c r="T55" t="n">
        <v>1</v>
      </c>
      <c r="U55" t="n">
        <v>0</v>
      </c>
      <c r="V55" s="2" t="inlineStr">
        <is>
          <t>Skuggblåslav</t>
        </is>
      </c>
      <c r="W55">
        <f>HYPERLINK("https://klasma.github.io/Logging_1782/artfynd/A 30988-2026 artfynd.xlsx", "A 30988-2026")</f>
        <v/>
      </c>
      <c r="X55">
        <f>HYPERLINK("https://klasma.github.io/Logging_1782/kartor/A 30988-2026 karta.png", "A 30988-2026")</f>
        <v/>
      </c>
      <c r="Y55">
        <f>HYPERLINK("https://klasma.github.io/Logging_1782/kartor_geotiff/A 30988-2026 georefererad karta.tif", "A 30988-2026")</f>
        <v/>
      </c>
      <c r="AA55">
        <f>HYPERLINK("https://klasma.github.io/Logging_1782/klagomål/A 30988-2026 FSC-klagomål.docx", "A 30988-2026")</f>
        <v/>
      </c>
      <c r="AB55">
        <f>HYPERLINK("https://klasma.github.io/Logging_1782/klagomålsmail/A 30988-2026 FSC-klagomål mail.docx", "A 30988-2026")</f>
        <v/>
      </c>
      <c r="AC55">
        <f>HYPERLINK("https://klasma.github.io/Logging_1782/tillsyn/A 30988-2026 tillsynsbegäran.docx", "A 30988-2026")</f>
        <v/>
      </c>
      <c r="AD55">
        <f>HYPERLINK("https://klasma.github.io/Logging_1782/tillsynsmail/A 30988-2026 tillsynsbegäran mail.docx", "A 30988-2026")</f>
        <v/>
      </c>
    </row>
    <row r="56" ht="15" customHeight="1">
      <c r="A56" t="inlineStr">
        <is>
          <t>S 264-2022</t>
        </is>
      </c>
      <c r="B56" t="inlineStr">
        <is>
          <t>samrådsanmälan</t>
        </is>
      </c>
      <c r="C56" t="inlineStr">
        <is>
          <t>Skogsgödsling</t>
        </is>
      </c>
      <c r="D56" s="1" t="n">
        <v>44578</v>
      </c>
      <c r="E56" s="1" t="n">
        <v>46306</v>
      </c>
      <c r="F56" t="inlineStr">
        <is>
          <t>VÄRMLANDS LÄN</t>
        </is>
      </c>
      <c r="G56" t="inlineStr">
        <is>
          <t>FILIPSTAD</t>
        </is>
      </c>
      <c r="H56" t="inlineStr">
        <is>
          <t>Bergvik skog väst AB</t>
        </is>
      </c>
      <c r="I56" t="n">
        <v>398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1</v>
      </c>
      <c r="U56" t="n">
        <v>0</v>
      </c>
      <c r="V56" s="2" t="inlineStr">
        <is>
          <t>Slaguggla</t>
        </is>
      </c>
      <c r="W56">
        <f>HYPERLINK("https://klasma.github.io/Logging_1782/artfynd/S 264-2022 artfynd.xlsx", "S 264-2022")</f>
        <v/>
      </c>
      <c r="X56">
        <f>HYPERLINK("https://klasma.github.io/Logging_1782/kartor/S 264-2022 karta.png", "S 264-2022")</f>
        <v/>
      </c>
      <c r="Y56">
        <f>HYPERLINK("https://klasma.github.io/Logging_1782/kartor_geotiff/S 264-2022 georefererad karta.tif", "S 264-2022")</f>
        <v/>
      </c>
      <c r="AA56">
        <f>HYPERLINK("https://klasma.github.io/Logging_1782/klagomål/S 264-2022 FSC-klagomål.docx", "S 264-2022")</f>
        <v/>
      </c>
      <c r="AB56">
        <f>HYPERLINK("https://klasma.github.io/Logging_1782/klagomålsmail/S 264-2022 FSC-klagomål mail.docx", "S 264-2022")</f>
        <v/>
      </c>
      <c r="AC56">
        <f>HYPERLINK("https://klasma.github.io/Logging_1782/tillsyn/S 264-2022 tillsynsbegäran.docx", "S 264-2022")</f>
        <v/>
      </c>
      <c r="AD56">
        <f>HYPERLINK("https://klasma.github.io/Logging_1782/tillsynsmail/S 264-2022 tillsynsbegäran mail.docx", "S 264-2022")</f>
        <v/>
      </c>
      <c r="AE56">
        <f>HYPERLINK("https://klasma.github.io/Logging_1782/fåglar/S 264-2022 prioriterade fågelarter.docx", "S 264-2022")</f>
        <v/>
      </c>
    </row>
    <row r="57" ht="15" customHeight="1">
      <c r="A57" t="inlineStr">
        <is>
          <t>S 383-2025</t>
        </is>
      </c>
      <c r="B57" t="inlineStr">
        <is>
          <t>samrådsanmälan</t>
        </is>
      </c>
      <c r="C57" t="inlineStr">
        <is>
          <t>Annan skogsbruksåtgärd</t>
        </is>
      </c>
      <c r="D57" s="1" t="n">
        <v>45691</v>
      </c>
      <c r="E57" s="1" t="n">
        <v>46306</v>
      </c>
      <c r="F57" t="inlineStr">
        <is>
          <t>VÄRMLANDS LÄN</t>
        </is>
      </c>
      <c r="G57" t="inlineStr">
        <is>
          <t>FILIPSTAD</t>
        </is>
      </c>
      <c r="I57" t="n">
        <v>18.6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s="2" t="inlineStr">
        <is>
          <t>Skrovlig taggsvamp</t>
        </is>
      </c>
      <c r="W57">
        <f>HYPERLINK("https://klasma.github.io/Logging_1782/artfynd/S 383-2025 artfynd.xlsx", "S 383-2025")</f>
        <v/>
      </c>
      <c r="X57">
        <f>HYPERLINK("https://klasma.github.io/Logging_1782/kartor/S 383-2025 karta.png", "S 383-2025")</f>
        <v/>
      </c>
      <c r="Y57">
        <f>HYPERLINK("https://klasma.github.io/Logging_1782/kartor_geotiff/S 383-2025 georefererad karta.tif", "S 383-2025")</f>
        <v/>
      </c>
      <c r="AA57">
        <f>HYPERLINK("https://klasma.github.io/Logging_1782/klagomål/S 383-2025 FSC-klagomål.docx", "S 383-2025")</f>
        <v/>
      </c>
      <c r="AB57">
        <f>HYPERLINK("https://klasma.github.io/Logging_1782/klagomålsmail/S 383-2025 FSC-klagomål mail.docx", "S 383-2025")</f>
        <v/>
      </c>
      <c r="AC57">
        <f>HYPERLINK("https://klasma.github.io/Logging_1782/tillsyn/S 383-2025 tillsynsbegäran.docx", "S 383-2025")</f>
        <v/>
      </c>
      <c r="AD57">
        <f>HYPERLINK("https://klasma.github.io/Logging_1782/tillsynsmail/S 383-2025 tillsynsbegäran mail.docx", "S 383-2025")</f>
        <v/>
      </c>
    </row>
    <row r="58" ht="15" customHeight="1">
      <c r="A58" t="inlineStr">
        <is>
          <t>A 8482-2022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44613</v>
      </c>
      <c r="E58" s="1" t="n">
        <v>46306</v>
      </c>
      <c r="F58" t="inlineStr">
        <is>
          <t>VÄRMLANDS LÄN</t>
        </is>
      </c>
      <c r="G58" t="inlineStr">
        <is>
          <t>FILIPSTAD</t>
        </is>
      </c>
      <c r="H58" t="inlineStr">
        <is>
          <t>Bergvik skog väst AB</t>
        </is>
      </c>
      <c r="I58" t="n">
        <v>5.2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15932-2022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44664</v>
      </c>
      <c r="E59" s="1" t="n">
        <v>46306</v>
      </c>
      <c r="F59" t="inlineStr">
        <is>
          <t>VÄRMLANDS LÄN</t>
        </is>
      </c>
      <c r="G59" t="inlineStr">
        <is>
          <t>FILIPSTAD</t>
        </is>
      </c>
      <c r="H59" t="inlineStr">
        <is>
          <t>Bergvik skog väst AB</t>
        </is>
      </c>
      <c r="I59" t="n">
        <v>11.5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7415-2022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44606</v>
      </c>
      <c r="E60" s="1" t="n">
        <v>46306</v>
      </c>
      <c r="F60" t="inlineStr">
        <is>
          <t>VÄRMLANDS LÄN</t>
        </is>
      </c>
      <c r="G60" t="inlineStr">
        <is>
          <t>FILIPSTAD</t>
        </is>
      </c>
      <c r="H60" t="inlineStr">
        <is>
          <t>Bergvik skog väst AB</t>
        </is>
      </c>
      <c r="I60" t="n">
        <v>0.5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28198-2022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44746</v>
      </c>
      <c r="E61" s="1" t="n">
        <v>46306</v>
      </c>
      <c r="F61" t="inlineStr">
        <is>
          <t>VÄRMLANDS LÄN</t>
        </is>
      </c>
      <c r="G61" t="inlineStr">
        <is>
          <t>FILIPSTAD</t>
        </is>
      </c>
      <c r="H61" t="inlineStr">
        <is>
          <t>Bergvik skog väst AB</t>
        </is>
      </c>
      <c r="I61" t="n">
        <v>0.7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24442-2022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44726</v>
      </c>
      <c r="E62" s="1" t="n">
        <v>46306</v>
      </c>
      <c r="F62" t="inlineStr">
        <is>
          <t>VÄRMLANDS LÄN</t>
        </is>
      </c>
      <c r="G62" t="inlineStr">
        <is>
          <t>FILIPSTAD</t>
        </is>
      </c>
      <c r="H62" t="inlineStr">
        <is>
          <t>Bergvik skog väst AB</t>
        </is>
      </c>
      <c r="I62" t="n">
        <v>30.7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63714-2021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44505</v>
      </c>
      <c r="E63" s="1" t="n">
        <v>46306</v>
      </c>
      <c r="F63" t="inlineStr">
        <is>
          <t>VÄRMLANDS LÄN</t>
        </is>
      </c>
      <c r="G63" t="inlineStr">
        <is>
          <t>FILIPSTAD</t>
        </is>
      </c>
      <c r="I63" t="n">
        <v>1.4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19626-2022</t>
        </is>
      </c>
      <c r="B64" t="inlineStr">
        <is>
          <t>avverkningsanmälan</t>
        </is>
      </c>
      <c r="C64" t="inlineStr">
        <is>
          <t>Avverkning för annat ändamål</t>
        </is>
      </c>
      <c r="D64" s="1" t="n">
        <v>44694</v>
      </c>
      <c r="E64" s="1" t="n">
        <v>46306</v>
      </c>
      <c r="F64" t="inlineStr">
        <is>
          <t>VÄRMLANDS LÄN</t>
        </is>
      </c>
      <c r="G64" t="inlineStr">
        <is>
          <t>FILIPSTAD</t>
        </is>
      </c>
      <c r="I64" t="n">
        <v>2.2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59954-2021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44494</v>
      </c>
      <c r="E65" s="1" t="n">
        <v>46306</v>
      </c>
      <c r="F65" t="inlineStr">
        <is>
          <t>VÄRMLANDS LÄN</t>
        </is>
      </c>
      <c r="G65" t="inlineStr">
        <is>
          <t>FILIPSTAD</t>
        </is>
      </c>
      <c r="I65" t="n">
        <v>3.1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14582-2022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44655</v>
      </c>
      <c r="E66" s="1" t="n">
        <v>46306</v>
      </c>
      <c r="F66" t="inlineStr">
        <is>
          <t>VÄRMLANDS LÄN</t>
        </is>
      </c>
      <c r="G66" t="inlineStr">
        <is>
          <t>FILIPSTAD</t>
        </is>
      </c>
      <c r="H66" t="inlineStr">
        <is>
          <t>Bergvik skog väst AB</t>
        </is>
      </c>
      <c r="I66" t="n">
        <v>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14077-2022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44651</v>
      </c>
      <c r="E67" s="1" t="n">
        <v>46306</v>
      </c>
      <c r="F67" t="inlineStr">
        <is>
          <t>VÄRMLANDS LÄN</t>
        </is>
      </c>
      <c r="G67" t="inlineStr">
        <is>
          <t>FILIPSTAD</t>
        </is>
      </c>
      <c r="H67" t="inlineStr">
        <is>
          <t>Bergvik skog väst AB</t>
        </is>
      </c>
      <c r="I67" t="n">
        <v>18.7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23063-2022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44719</v>
      </c>
      <c r="E68" s="1" t="n">
        <v>46306</v>
      </c>
      <c r="F68" t="inlineStr">
        <is>
          <t>VÄRMLANDS LÄN</t>
        </is>
      </c>
      <c r="G68" t="inlineStr">
        <is>
          <t>FILIPSTAD</t>
        </is>
      </c>
      <c r="I68" t="n">
        <v>0.7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7292-2022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44606</v>
      </c>
      <c r="E69" s="1" t="n">
        <v>46306</v>
      </c>
      <c r="F69" t="inlineStr">
        <is>
          <t>VÄRMLANDS LÄN</t>
        </is>
      </c>
      <c r="G69" t="inlineStr">
        <is>
          <t>FILIPSTAD</t>
        </is>
      </c>
      <c r="H69" t="inlineStr">
        <is>
          <t>Bergvik skog väst AB</t>
        </is>
      </c>
      <c r="I69" t="n">
        <v>4.8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64526-2021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44511</v>
      </c>
      <c r="E70" s="1" t="n">
        <v>46306</v>
      </c>
      <c r="F70" t="inlineStr">
        <is>
          <t>VÄRMLANDS LÄN</t>
        </is>
      </c>
      <c r="G70" t="inlineStr">
        <is>
          <t>FILIPSTAD</t>
        </is>
      </c>
      <c r="I70" t="n">
        <v>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22356-2022</t>
        </is>
      </c>
      <c r="B71" t="inlineStr">
        <is>
          <t>avverkningsanmälan</t>
        </is>
      </c>
      <c r="C71" t="inlineStr">
        <is>
          <t>Avverkning för annat ändamål</t>
        </is>
      </c>
      <c r="D71" s="1" t="n">
        <v>44713</v>
      </c>
      <c r="E71" s="1" t="n">
        <v>46306</v>
      </c>
      <c r="F71" t="inlineStr">
        <is>
          <t>VÄRMLANDS LÄN</t>
        </is>
      </c>
      <c r="G71" t="inlineStr">
        <is>
          <t>FILIPSTAD</t>
        </is>
      </c>
      <c r="H71" t="inlineStr">
        <is>
          <t>Bergvik skog väst AB</t>
        </is>
      </c>
      <c r="I71" t="n">
        <v>0.6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57090-2021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44482</v>
      </c>
      <c r="E72" s="1" t="n">
        <v>46306</v>
      </c>
      <c r="F72" t="inlineStr">
        <is>
          <t>VÄRMLANDS LÄN</t>
        </is>
      </c>
      <c r="G72" t="inlineStr">
        <is>
          <t>FILIPSTAD</t>
        </is>
      </c>
      <c r="I72" t="n">
        <v>1.9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32680-2022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44783</v>
      </c>
      <c r="E73" s="1" t="n">
        <v>46306</v>
      </c>
      <c r="F73" t="inlineStr">
        <is>
          <t>VÄRMLANDS LÄN</t>
        </is>
      </c>
      <c r="G73" t="inlineStr">
        <is>
          <t>FILIPSTAD</t>
        </is>
      </c>
      <c r="H73" t="inlineStr">
        <is>
          <t>Bergvik skog väst AB</t>
        </is>
      </c>
      <c r="I73" t="n">
        <v>30.5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47693-2022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44854</v>
      </c>
      <c r="E74" s="1" t="n">
        <v>46306</v>
      </c>
      <c r="F74" t="inlineStr">
        <is>
          <t>VÄRMLANDS LÄN</t>
        </is>
      </c>
      <c r="G74" t="inlineStr">
        <is>
          <t>FILIPSTAD</t>
        </is>
      </c>
      <c r="H74" t="inlineStr">
        <is>
          <t>Bergvik skog väst AB</t>
        </is>
      </c>
      <c r="I74" t="n">
        <v>5.9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14074-2022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44651</v>
      </c>
      <c r="E75" s="1" t="n">
        <v>46306</v>
      </c>
      <c r="F75" t="inlineStr">
        <is>
          <t>VÄRMLANDS LÄN</t>
        </is>
      </c>
      <c r="G75" t="inlineStr">
        <is>
          <t>FILIPSTAD</t>
        </is>
      </c>
      <c r="H75" t="inlineStr">
        <is>
          <t>Bergvik skog väst AB</t>
        </is>
      </c>
      <c r="I75" t="n">
        <v>1.6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35712-2022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44799</v>
      </c>
      <c r="E76" s="1" t="n">
        <v>46306</v>
      </c>
      <c r="F76" t="inlineStr">
        <is>
          <t>VÄRMLANDS LÄN</t>
        </is>
      </c>
      <c r="G76" t="inlineStr">
        <is>
          <t>FILIPSTAD</t>
        </is>
      </c>
      <c r="H76" t="inlineStr">
        <is>
          <t>Bergvik skog väst AB</t>
        </is>
      </c>
      <c r="I76" t="n">
        <v>0.6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66376-2021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44518</v>
      </c>
      <c r="E77" s="1" t="n">
        <v>46306</v>
      </c>
      <c r="F77" t="inlineStr">
        <is>
          <t>VÄRMLANDS LÄN</t>
        </is>
      </c>
      <c r="G77" t="inlineStr">
        <is>
          <t>FILIPSTAD</t>
        </is>
      </c>
      <c r="H77" t="inlineStr">
        <is>
          <t>Bergvik skog väst AB</t>
        </is>
      </c>
      <c r="I77" t="n">
        <v>9.800000000000001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57087-2021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44482</v>
      </c>
      <c r="E78" s="1" t="n">
        <v>46306</v>
      </c>
      <c r="F78" t="inlineStr">
        <is>
          <t>VÄRMLANDS LÄN</t>
        </is>
      </c>
      <c r="G78" t="inlineStr">
        <is>
          <t>FILIPSTAD</t>
        </is>
      </c>
      <c r="I78" t="n">
        <v>4.4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5928-2022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44598</v>
      </c>
      <c r="E79" s="1" t="n">
        <v>46306</v>
      </c>
      <c r="F79" t="inlineStr">
        <is>
          <t>VÄRMLANDS LÄN</t>
        </is>
      </c>
      <c r="G79" t="inlineStr">
        <is>
          <t>FILIPSTAD</t>
        </is>
      </c>
      <c r="I79" t="n">
        <v>1.6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47536-2023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45203</v>
      </c>
      <c r="E80" s="1" t="n">
        <v>46306</v>
      </c>
      <c r="F80" t="inlineStr">
        <is>
          <t>VÄRMLANDS LÄN</t>
        </is>
      </c>
      <c r="G80" t="inlineStr">
        <is>
          <t>FILIPSTAD</t>
        </is>
      </c>
      <c r="H80" t="inlineStr">
        <is>
          <t>Bergvik skog väst AB</t>
        </is>
      </c>
      <c r="I80" t="n">
        <v>2.5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14840-2023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45014</v>
      </c>
      <c r="E81" s="1" t="n">
        <v>46306</v>
      </c>
      <c r="F81" t="inlineStr">
        <is>
          <t>VÄRMLANDS LÄN</t>
        </is>
      </c>
      <c r="G81" t="inlineStr">
        <is>
          <t>FILIPSTAD</t>
        </is>
      </c>
      <c r="H81" t="inlineStr">
        <is>
          <t>Kyrkan</t>
        </is>
      </c>
      <c r="I81" t="n">
        <v>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6860-2024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45342</v>
      </c>
      <c r="E82" s="1" t="n">
        <v>46306</v>
      </c>
      <c r="F82" t="inlineStr">
        <is>
          <t>VÄRMLANDS LÄN</t>
        </is>
      </c>
      <c r="G82" t="inlineStr">
        <is>
          <t>FILIPSTAD</t>
        </is>
      </c>
      <c r="I82" t="n">
        <v>1.3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18999-2024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45427</v>
      </c>
      <c r="E83" s="1" t="n">
        <v>46306</v>
      </c>
      <c r="F83" t="inlineStr">
        <is>
          <t>VÄRMLANDS LÄN</t>
        </is>
      </c>
      <c r="G83" t="inlineStr">
        <is>
          <t>FILIPSTAD</t>
        </is>
      </c>
      <c r="H83" t="inlineStr">
        <is>
          <t>Bergvik skog väst AB</t>
        </is>
      </c>
      <c r="I83" t="n">
        <v>0.5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25375-2023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45088</v>
      </c>
      <c r="E84" s="1" t="n">
        <v>46306</v>
      </c>
      <c r="F84" t="inlineStr">
        <is>
          <t>VÄRMLANDS LÄN</t>
        </is>
      </c>
      <c r="G84" t="inlineStr">
        <is>
          <t>FILIPSTAD</t>
        </is>
      </c>
      <c r="I84" t="n">
        <v>0.5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2443-2022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44579</v>
      </c>
      <c r="E85" s="1" t="n">
        <v>46306</v>
      </c>
      <c r="F85" t="inlineStr">
        <is>
          <t>VÄRMLANDS LÄN</t>
        </is>
      </c>
      <c r="G85" t="inlineStr">
        <is>
          <t>FILIPSTAD</t>
        </is>
      </c>
      <c r="I85" t="n">
        <v>1.6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39566-2023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45167</v>
      </c>
      <c r="E86" s="1" t="n">
        <v>46306</v>
      </c>
      <c r="F86" t="inlineStr">
        <is>
          <t>VÄRMLANDS LÄN</t>
        </is>
      </c>
      <c r="G86" t="inlineStr">
        <is>
          <t>FILIPSTAD</t>
        </is>
      </c>
      <c r="H86" t="inlineStr">
        <is>
          <t>Bergvik skog väst AB</t>
        </is>
      </c>
      <c r="I86" t="n">
        <v>3.2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19351-2025</t>
        </is>
      </c>
      <c r="B87" t="inlineStr">
        <is>
          <t>avverkningsanmälan</t>
        </is>
      </c>
      <c r="C87" t="inlineStr">
        <is>
          <t>Avverkning för annat ändamål</t>
        </is>
      </c>
      <c r="D87" s="1" t="n">
        <v>45769</v>
      </c>
      <c r="E87" s="1" t="n">
        <v>46306</v>
      </c>
      <c r="F87" t="inlineStr">
        <is>
          <t>VÄRMLANDS LÄN</t>
        </is>
      </c>
      <c r="G87" t="inlineStr">
        <is>
          <t>FILIPSTAD</t>
        </is>
      </c>
      <c r="I87" t="n">
        <v>1.1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15471-2024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45401</v>
      </c>
      <c r="E88" s="1" t="n">
        <v>46306</v>
      </c>
      <c r="F88" t="inlineStr">
        <is>
          <t>VÄRMLANDS LÄN</t>
        </is>
      </c>
      <c r="G88" t="inlineStr">
        <is>
          <t>FILIPSTAD</t>
        </is>
      </c>
      <c r="I88" t="n">
        <v>0.5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32786-2024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45516</v>
      </c>
      <c r="E89" s="1" t="n">
        <v>46306</v>
      </c>
      <c r="F89" t="inlineStr">
        <is>
          <t>VÄRMLANDS LÄN</t>
        </is>
      </c>
      <c r="G89" t="inlineStr">
        <is>
          <t>FILIPSTAD</t>
        </is>
      </c>
      <c r="I89" t="n">
        <v>1.7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25376-2023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45088</v>
      </c>
      <c r="E90" s="1" t="n">
        <v>46306</v>
      </c>
      <c r="F90" t="inlineStr">
        <is>
          <t>VÄRMLANDS LÄN</t>
        </is>
      </c>
      <c r="G90" t="inlineStr">
        <is>
          <t>FILIPSTAD</t>
        </is>
      </c>
      <c r="I90" t="n">
        <v>3.2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13918-2024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45391</v>
      </c>
      <c r="E91" s="1" t="n">
        <v>46306</v>
      </c>
      <c r="F91" t="inlineStr">
        <is>
          <t>VÄRMLANDS LÄN</t>
        </is>
      </c>
      <c r="G91" t="inlineStr">
        <is>
          <t>FILIPSTAD</t>
        </is>
      </c>
      <c r="I91" t="n">
        <v>1.7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23382-2024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45453</v>
      </c>
      <c r="E92" s="1" t="n">
        <v>46306</v>
      </c>
      <c r="F92" t="inlineStr">
        <is>
          <t>VÄRMLANDS LÄN</t>
        </is>
      </c>
      <c r="G92" t="inlineStr">
        <is>
          <t>FILIPSTAD</t>
        </is>
      </c>
      <c r="H92" t="inlineStr">
        <is>
          <t>Bergvik skog väst AB</t>
        </is>
      </c>
      <c r="I92" t="n">
        <v>2.9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27080-2023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45096</v>
      </c>
      <c r="E93" s="1" t="n">
        <v>46306</v>
      </c>
      <c r="F93" t="inlineStr">
        <is>
          <t>VÄRMLANDS LÄN</t>
        </is>
      </c>
      <c r="G93" t="inlineStr">
        <is>
          <t>FILIPSTAD</t>
        </is>
      </c>
      <c r="I93" t="n">
        <v>0.6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19159-2024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45428</v>
      </c>
      <c r="E94" s="1" t="n">
        <v>46306</v>
      </c>
      <c r="F94" t="inlineStr">
        <is>
          <t>VÄRMLANDS LÄN</t>
        </is>
      </c>
      <c r="G94" t="inlineStr">
        <is>
          <t>FILIPSTAD</t>
        </is>
      </c>
      <c r="H94" t="inlineStr">
        <is>
          <t>Bergvik skog väst AB</t>
        </is>
      </c>
      <c r="I94" t="n">
        <v>8.4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62014-2024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45655</v>
      </c>
      <c r="E95" s="1" t="n">
        <v>46306</v>
      </c>
      <c r="F95" t="inlineStr">
        <is>
          <t>VÄRMLANDS LÄN</t>
        </is>
      </c>
      <c r="G95" t="inlineStr">
        <is>
          <t>FILIPSTAD</t>
        </is>
      </c>
      <c r="I95" t="n">
        <v>1.6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53562-2023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45230</v>
      </c>
      <c r="E96" s="1" t="n">
        <v>46306</v>
      </c>
      <c r="F96" t="inlineStr">
        <is>
          <t>VÄRMLANDS LÄN</t>
        </is>
      </c>
      <c r="G96" t="inlineStr">
        <is>
          <t>FILIPSTAD</t>
        </is>
      </c>
      <c r="H96" t="inlineStr">
        <is>
          <t>Bergvik skog väst AB</t>
        </is>
      </c>
      <c r="I96" t="n">
        <v>9.9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21593-2023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45063</v>
      </c>
      <c r="E97" s="1" t="n">
        <v>46306</v>
      </c>
      <c r="F97" t="inlineStr">
        <is>
          <t>VÄRMLANDS LÄN</t>
        </is>
      </c>
      <c r="G97" t="inlineStr">
        <is>
          <t>FILIPSTAD</t>
        </is>
      </c>
      <c r="I97" t="n">
        <v>5.5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17686-2023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45037</v>
      </c>
      <c r="E98" s="1" t="n">
        <v>46306</v>
      </c>
      <c r="F98" t="inlineStr">
        <is>
          <t>VÄRMLANDS LÄN</t>
        </is>
      </c>
      <c r="G98" t="inlineStr">
        <is>
          <t>FILIPSTAD</t>
        </is>
      </c>
      <c r="I98" t="n">
        <v>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4418-2024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45327</v>
      </c>
      <c r="E99" s="1" t="n">
        <v>46306</v>
      </c>
      <c r="F99" t="inlineStr">
        <is>
          <t>VÄRMLANDS LÄN</t>
        </is>
      </c>
      <c r="G99" t="inlineStr">
        <is>
          <t>FILIPSTAD</t>
        </is>
      </c>
      <c r="H99" t="inlineStr">
        <is>
          <t>Bergvik skog väst AB</t>
        </is>
      </c>
      <c r="I99" t="n">
        <v>9.300000000000001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57588-2023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45246</v>
      </c>
      <c r="E100" s="1" t="n">
        <v>46306</v>
      </c>
      <c r="F100" t="inlineStr">
        <is>
          <t>VÄRMLANDS LÄN</t>
        </is>
      </c>
      <c r="G100" t="inlineStr">
        <is>
          <t>FILIPSTAD</t>
        </is>
      </c>
      <c r="H100" t="inlineStr">
        <is>
          <t>Bergvik skog väst AB</t>
        </is>
      </c>
      <c r="I100" t="n">
        <v>2.3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48524-2023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45208</v>
      </c>
      <c r="E101" s="1" t="n">
        <v>46306</v>
      </c>
      <c r="F101" t="inlineStr">
        <is>
          <t>VÄRMLANDS LÄN</t>
        </is>
      </c>
      <c r="G101" t="inlineStr">
        <is>
          <t>FILIPSTAD</t>
        </is>
      </c>
      <c r="I101" t="n">
        <v>2.1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51945-2023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45223</v>
      </c>
      <c r="E102" s="1" t="n">
        <v>46306</v>
      </c>
      <c r="F102" t="inlineStr">
        <is>
          <t>VÄRMLANDS LÄN</t>
        </is>
      </c>
      <c r="G102" t="inlineStr">
        <is>
          <t>FILIPSTAD</t>
        </is>
      </c>
      <c r="H102" t="inlineStr">
        <is>
          <t>Bergvik skog väst AB</t>
        </is>
      </c>
      <c r="I102" t="n">
        <v>4.6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27107-2024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45471</v>
      </c>
      <c r="E103" s="1" t="n">
        <v>46306</v>
      </c>
      <c r="F103" t="inlineStr">
        <is>
          <t>VÄRMLANDS LÄN</t>
        </is>
      </c>
      <c r="G103" t="inlineStr">
        <is>
          <t>FILIPSTAD</t>
        </is>
      </c>
      <c r="H103" t="inlineStr">
        <is>
          <t>Bergvik skog väst AB</t>
        </is>
      </c>
      <c r="I103" t="n">
        <v>0.7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45516-2024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45578</v>
      </c>
      <c r="E104" s="1" t="n">
        <v>46306</v>
      </c>
      <c r="F104" t="inlineStr">
        <is>
          <t>VÄRMLANDS LÄN</t>
        </is>
      </c>
      <c r="G104" t="inlineStr">
        <is>
          <t>FILIPSTAD</t>
        </is>
      </c>
      <c r="I104" t="n">
        <v>27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46680-2024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45583</v>
      </c>
      <c r="E105" s="1" t="n">
        <v>46306</v>
      </c>
      <c r="F105" t="inlineStr">
        <is>
          <t>VÄRMLANDS LÄN</t>
        </is>
      </c>
      <c r="G105" t="inlineStr">
        <is>
          <t>FILIPSTAD</t>
        </is>
      </c>
      <c r="H105" t="inlineStr">
        <is>
          <t>Bergvik skog väst AB</t>
        </is>
      </c>
      <c r="I105" t="n">
        <v>2.5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22830-2023</t>
        </is>
      </c>
      <c r="B106" t="inlineStr">
        <is>
          <t>avverkningsanmälan</t>
        </is>
      </c>
      <c r="C106" t="inlineStr">
        <is>
          <t>Avverkning för annat ändamål</t>
        </is>
      </c>
      <c r="D106" s="1" t="n">
        <v>45072</v>
      </c>
      <c r="E106" s="1" t="n">
        <v>46306</v>
      </c>
      <c r="F106" t="inlineStr">
        <is>
          <t>VÄRMLANDS LÄN</t>
        </is>
      </c>
      <c r="G106" t="inlineStr">
        <is>
          <t>FILIPSTAD</t>
        </is>
      </c>
      <c r="H106" t="inlineStr">
        <is>
          <t>Bergvik skog väst AB</t>
        </is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16584-2024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45408</v>
      </c>
      <c r="E107" s="1" t="n">
        <v>46306</v>
      </c>
      <c r="F107" t="inlineStr">
        <is>
          <t>VÄRMLANDS LÄN</t>
        </is>
      </c>
      <c r="G107" t="inlineStr">
        <is>
          <t>FILIPSTAD</t>
        </is>
      </c>
      <c r="H107" t="inlineStr">
        <is>
          <t>Bergvik skog väst AB</t>
        </is>
      </c>
      <c r="I107" t="n">
        <v>6.6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12837-2024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45384</v>
      </c>
      <c r="E108" s="1" t="n">
        <v>46306</v>
      </c>
      <c r="F108" t="inlineStr">
        <is>
          <t>VÄRMLANDS LÄN</t>
        </is>
      </c>
      <c r="G108" t="inlineStr">
        <is>
          <t>FILIPSTAD</t>
        </is>
      </c>
      <c r="H108" t="inlineStr">
        <is>
          <t>Bergvik skog väst AB</t>
        </is>
      </c>
      <c r="I108" t="n">
        <v>4.4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53690-2022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44880</v>
      </c>
      <c r="E109" s="1" t="n">
        <v>46306</v>
      </c>
      <c r="F109" t="inlineStr">
        <is>
          <t>VÄRMLANDS LÄN</t>
        </is>
      </c>
      <c r="G109" t="inlineStr">
        <is>
          <t>FILIPSTAD</t>
        </is>
      </c>
      <c r="I109" t="n">
        <v>2.1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6683-2025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45700</v>
      </c>
      <c r="E110" s="1" t="n">
        <v>46306</v>
      </c>
      <c r="F110" t="inlineStr">
        <is>
          <t>VÄRMLANDS LÄN</t>
        </is>
      </c>
      <c r="G110" t="inlineStr">
        <is>
          <t>FILIPSTAD</t>
        </is>
      </c>
      <c r="I110" t="n">
        <v>5.9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62540-2023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45267</v>
      </c>
      <c r="E111" s="1" t="n">
        <v>46306</v>
      </c>
      <c r="F111" t="inlineStr">
        <is>
          <t>VÄRMLANDS LÄN</t>
        </is>
      </c>
      <c r="G111" t="inlineStr">
        <is>
          <t>FILIPSTAD</t>
        </is>
      </c>
      <c r="I111" t="n">
        <v>1.7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57212-2023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45245</v>
      </c>
      <c r="E112" s="1" t="n">
        <v>46306</v>
      </c>
      <c r="F112" t="inlineStr">
        <is>
          <t>VÄRMLANDS LÄN</t>
        </is>
      </c>
      <c r="G112" t="inlineStr">
        <is>
          <t>FILIPSTAD</t>
        </is>
      </c>
      <c r="H112" t="inlineStr">
        <is>
          <t>Bergvik skog väst AB</t>
        </is>
      </c>
      <c r="I112" t="n">
        <v>1.3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60296-2023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45257</v>
      </c>
      <c r="E113" s="1" t="n">
        <v>46306</v>
      </c>
      <c r="F113" t="inlineStr">
        <is>
          <t>VÄRMLANDS LÄN</t>
        </is>
      </c>
      <c r="G113" t="inlineStr">
        <is>
          <t>FILIPSTAD</t>
        </is>
      </c>
      <c r="I113" t="n">
        <v>1.4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17788-2024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45418</v>
      </c>
      <c r="E114" s="1" t="n">
        <v>46306</v>
      </c>
      <c r="F114" t="inlineStr">
        <is>
          <t>VÄRMLANDS LÄN</t>
        </is>
      </c>
      <c r="G114" t="inlineStr">
        <is>
          <t>FILIPSTAD</t>
        </is>
      </c>
      <c r="I114" t="n">
        <v>3.3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62013-2024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45655</v>
      </c>
      <c r="E115" s="1" t="n">
        <v>46306</v>
      </c>
      <c r="F115" t="inlineStr">
        <is>
          <t>VÄRMLANDS LÄN</t>
        </is>
      </c>
      <c r="G115" t="inlineStr">
        <is>
          <t>FILIPSTAD</t>
        </is>
      </c>
      <c r="I115" t="n">
        <v>26.5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48040-2023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45204</v>
      </c>
      <c r="E116" s="1" t="n">
        <v>46306</v>
      </c>
      <c r="F116" t="inlineStr">
        <is>
          <t>VÄRMLANDS LÄN</t>
        </is>
      </c>
      <c r="G116" t="inlineStr">
        <is>
          <t>FILIPSTAD</t>
        </is>
      </c>
      <c r="I116" t="n">
        <v>4.2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29426-2023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45106</v>
      </c>
      <c r="E117" s="1" t="n">
        <v>46306</v>
      </c>
      <c r="F117" t="inlineStr">
        <is>
          <t>VÄRMLANDS LÄN</t>
        </is>
      </c>
      <c r="G117" t="inlineStr">
        <is>
          <t>FILIPSTAD</t>
        </is>
      </c>
      <c r="H117" t="inlineStr">
        <is>
          <t>Kyrkan</t>
        </is>
      </c>
      <c r="I117" t="n">
        <v>5.9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48908-2023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45195</v>
      </c>
      <c r="E118" s="1" t="n">
        <v>46306</v>
      </c>
      <c r="F118" t="inlineStr">
        <is>
          <t>VÄRMLANDS LÄN</t>
        </is>
      </c>
      <c r="G118" t="inlineStr">
        <is>
          <t>FILIPSTAD</t>
        </is>
      </c>
      <c r="H118" t="inlineStr">
        <is>
          <t>Bergvik skog väst AB</t>
        </is>
      </c>
      <c r="I118" t="n">
        <v>2.3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1042-2023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44935</v>
      </c>
      <c r="E119" s="1" t="n">
        <v>46306</v>
      </c>
      <c r="F119" t="inlineStr">
        <is>
          <t>VÄRMLANDS LÄN</t>
        </is>
      </c>
      <c r="G119" t="inlineStr">
        <is>
          <t>FILIPSTAD</t>
        </is>
      </c>
      <c r="I119" t="n">
        <v>1.3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10306-2025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45720</v>
      </c>
      <c r="E120" s="1" t="n">
        <v>46306</v>
      </c>
      <c r="F120" t="inlineStr">
        <is>
          <t>VÄRMLANDS LÄN</t>
        </is>
      </c>
      <c r="G120" t="inlineStr">
        <is>
          <t>FILIPSTAD</t>
        </is>
      </c>
      <c r="H120" t="inlineStr">
        <is>
          <t>Bergvik skog väst AB</t>
        </is>
      </c>
      <c r="I120" t="n">
        <v>3.1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41075-2023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45173</v>
      </c>
      <c r="E121" s="1" t="n">
        <v>46306</v>
      </c>
      <c r="F121" t="inlineStr">
        <is>
          <t>VÄRMLANDS LÄN</t>
        </is>
      </c>
      <c r="G121" t="inlineStr">
        <is>
          <t>FILIPSTAD</t>
        </is>
      </c>
      <c r="H121" t="inlineStr">
        <is>
          <t>Bergvik skog väst AB</t>
        </is>
      </c>
      <c r="I121" t="n">
        <v>4.6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57026-2023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45244</v>
      </c>
      <c r="E122" s="1" t="n">
        <v>46306</v>
      </c>
      <c r="F122" t="inlineStr">
        <is>
          <t>VÄRMLANDS LÄN</t>
        </is>
      </c>
      <c r="G122" t="inlineStr">
        <is>
          <t>FILIPSTAD</t>
        </is>
      </c>
      <c r="I122" t="n">
        <v>0.5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62787-2023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45271</v>
      </c>
      <c r="E123" s="1" t="n">
        <v>46306</v>
      </c>
      <c r="F123" t="inlineStr">
        <is>
          <t>VÄRMLANDS LÄN</t>
        </is>
      </c>
      <c r="G123" t="inlineStr">
        <is>
          <t>FILIPSTAD</t>
        </is>
      </c>
      <c r="H123" t="inlineStr">
        <is>
          <t>Bergvik skog väst AB</t>
        </is>
      </c>
      <c r="I123" t="n">
        <v>2.4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25468-2024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45463</v>
      </c>
      <c r="E124" s="1" t="n">
        <v>46306</v>
      </c>
      <c r="F124" t="inlineStr">
        <is>
          <t>VÄRMLANDS LÄN</t>
        </is>
      </c>
      <c r="G124" t="inlineStr">
        <is>
          <t>FILIPSTAD</t>
        </is>
      </c>
      <c r="I124" t="n">
        <v>13.2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14432-2025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45741</v>
      </c>
      <c r="E125" s="1" t="n">
        <v>46306</v>
      </c>
      <c r="F125" t="inlineStr">
        <is>
          <t>VÄRMLANDS LÄN</t>
        </is>
      </c>
      <c r="G125" t="inlineStr">
        <is>
          <t>FILIPSTAD</t>
        </is>
      </c>
      <c r="H125" t="inlineStr">
        <is>
          <t>Bergvik skog väst AB</t>
        </is>
      </c>
      <c r="I125" t="n">
        <v>10.4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34512-2023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45133</v>
      </c>
      <c r="E126" s="1" t="n">
        <v>46306</v>
      </c>
      <c r="F126" t="inlineStr">
        <is>
          <t>VÄRMLANDS LÄN</t>
        </is>
      </c>
      <c r="G126" t="inlineStr">
        <is>
          <t>FILIPSTAD</t>
        </is>
      </c>
      <c r="I126" t="n">
        <v>1.7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14582-2025</t>
        </is>
      </c>
      <c r="B127" t="inlineStr">
        <is>
          <t>avverkningsanmälan</t>
        </is>
      </c>
      <c r="C127" t="inlineStr">
        <is>
          <t>Avverkning för annat ändamål</t>
        </is>
      </c>
      <c r="D127" s="1" t="n">
        <v>45742</v>
      </c>
      <c r="E127" s="1" t="n">
        <v>46306</v>
      </c>
      <c r="F127" t="inlineStr">
        <is>
          <t>VÄRMLANDS LÄN</t>
        </is>
      </c>
      <c r="G127" t="inlineStr">
        <is>
          <t>FILIPSTAD</t>
        </is>
      </c>
      <c r="H127" t="inlineStr">
        <is>
          <t>Bergvik skog väst AB</t>
        </is>
      </c>
      <c r="I127" t="n">
        <v>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56840-2024</t>
        </is>
      </c>
      <c r="B128" t="inlineStr">
        <is>
          <t>avverkningsanmälan</t>
        </is>
      </c>
      <c r="C128" t="inlineStr">
        <is>
          <t>Avverkning för annat ändamål</t>
        </is>
      </c>
      <c r="D128" s="1" t="n">
        <v>45628</v>
      </c>
      <c r="E128" s="1" t="n">
        <v>46306</v>
      </c>
      <c r="F128" t="inlineStr">
        <is>
          <t>VÄRMLANDS LÄN</t>
        </is>
      </c>
      <c r="G128" t="inlineStr">
        <is>
          <t>FILIPSTAD</t>
        </is>
      </c>
      <c r="H128" t="inlineStr">
        <is>
          <t>Bergvik skog väst AB</t>
        </is>
      </c>
      <c r="I128" t="n">
        <v>1.7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32185-2024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45511</v>
      </c>
      <c r="E129" s="1" t="n">
        <v>46306</v>
      </c>
      <c r="F129" t="inlineStr">
        <is>
          <t>VÄRMLANDS LÄN</t>
        </is>
      </c>
      <c r="G129" t="inlineStr">
        <is>
          <t>FILIPSTAD</t>
        </is>
      </c>
      <c r="H129" t="inlineStr">
        <is>
          <t>Bergvik skog väst AB</t>
        </is>
      </c>
      <c r="I129" t="n">
        <v>3.9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8692-2025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45712</v>
      </c>
      <c r="E130" s="1" t="n">
        <v>46306</v>
      </c>
      <c r="F130" t="inlineStr">
        <is>
          <t>VÄRMLANDS LÄN</t>
        </is>
      </c>
      <c r="G130" t="inlineStr">
        <is>
          <t>FILIPSTAD</t>
        </is>
      </c>
      <c r="I130" t="n">
        <v>2.3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23618-2023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45077</v>
      </c>
      <c r="E131" s="1" t="n">
        <v>46306</v>
      </c>
      <c r="F131" t="inlineStr">
        <is>
          <t>VÄRMLANDS LÄN</t>
        </is>
      </c>
      <c r="G131" t="inlineStr">
        <is>
          <t>FILIPSTAD</t>
        </is>
      </c>
      <c r="I131" t="n">
        <v>15.8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6573-2023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44960</v>
      </c>
      <c r="E132" s="1" t="n">
        <v>46306</v>
      </c>
      <c r="F132" t="inlineStr">
        <is>
          <t>VÄRMLANDS LÄN</t>
        </is>
      </c>
      <c r="G132" t="inlineStr">
        <is>
          <t>FILIPSTAD</t>
        </is>
      </c>
      <c r="H132" t="inlineStr">
        <is>
          <t>Kommuner</t>
        </is>
      </c>
      <c r="I132" t="n">
        <v>4.6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4819-2023</t>
        </is>
      </c>
      <c r="B133" t="inlineStr">
        <is>
          <t>avverkningsanmälan</t>
        </is>
      </c>
      <c r="C133" t="inlineStr">
        <is>
          <t>Avverkning för annat ändamål</t>
        </is>
      </c>
      <c r="D133" s="1" t="n">
        <v>44957</v>
      </c>
      <c r="E133" s="1" t="n">
        <v>46306</v>
      </c>
      <c r="F133" t="inlineStr">
        <is>
          <t>VÄRMLANDS LÄN</t>
        </is>
      </c>
      <c r="G133" t="inlineStr">
        <is>
          <t>FILIPSTAD</t>
        </is>
      </c>
      <c r="H133" t="inlineStr">
        <is>
          <t>Bergvik skog väst AB</t>
        </is>
      </c>
      <c r="I133" t="n">
        <v>11.3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32262-2023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45120</v>
      </c>
      <c r="E134" s="1" t="n">
        <v>46306</v>
      </c>
      <c r="F134" t="inlineStr">
        <is>
          <t>VÄRMLANDS LÄN</t>
        </is>
      </c>
      <c r="G134" t="inlineStr">
        <is>
          <t>FILIPSTAD</t>
        </is>
      </c>
      <c r="I134" t="n">
        <v>1.8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14275-2024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45393</v>
      </c>
      <c r="E135" s="1" t="n">
        <v>46306</v>
      </c>
      <c r="F135" t="inlineStr">
        <is>
          <t>VÄRMLANDS LÄN</t>
        </is>
      </c>
      <c r="G135" t="inlineStr">
        <is>
          <t>FILIPSTAD</t>
        </is>
      </c>
      <c r="H135" t="inlineStr">
        <is>
          <t>Bergvik skog väst AB</t>
        </is>
      </c>
      <c r="I135" t="n">
        <v>4.6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9270-2023</t>
        </is>
      </c>
      <c r="B136" t="inlineStr">
        <is>
          <t>avverkningsanmälan</t>
        </is>
      </c>
      <c r="C136" t="inlineStr">
        <is>
          <t>Avverkning för annat ändamål</t>
        </is>
      </c>
      <c r="D136" s="1" t="n">
        <v>44980</v>
      </c>
      <c r="E136" s="1" t="n">
        <v>46306</v>
      </c>
      <c r="F136" t="inlineStr">
        <is>
          <t>VÄRMLANDS LÄN</t>
        </is>
      </c>
      <c r="G136" t="inlineStr">
        <is>
          <t>FILIPSTAD</t>
        </is>
      </c>
      <c r="H136" t="inlineStr">
        <is>
          <t>Bergvik skog väst AB</t>
        </is>
      </c>
      <c r="I136" t="n">
        <v>1.4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60524-2024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45643</v>
      </c>
      <c r="E137" s="1" t="n">
        <v>46306</v>
      </c>
      <c r="F137" t="inlineStr">
        <is>
          <t>VÄRMLANDS LÄN</t>
        </is>
      </c>
      <c r="G137" t="inlineStr">
        <is>
          <t>FILIPSTAD</t>
        </is>
      </c>
      <c r="I137" t="n">
        <v>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27400-2024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45474</v>
      </c>
      <c r="E138" s="1" t="n">
        <v>46306</v>
      </c>
      <c r="F138" t="inlineStr">
        <is>
          <t>VÄRMLANDS LÄN</t>
        </is>
      </c>
      <c r="G138" t="inlineStr">
        <is>
          <t>FILIPSTAD</t>
        </is>
      </c>
      <c r="I138" t="n">
        <v>2.6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14328-2025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45740</v>
      </c>
      <c r="E139" s="1" t="n">
        <v>46306</v>
      </c>
      <c r="F139" t="inlineStr">
        <is>
          <t>VÄRMLANDS LÄN</t>
        </is>
      </c>
      <c r="G139" t="inlineStr">
        <is>
          <t>FILIPSTAD</t>
        </is>
      </c>
      <c r="I139" t="n">
        <v>4.3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15228-2025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45744</v>
      </c>
      <c r="E140" s="1" t="n">
        <v>46306</v>
      </c>
      <c r="F140" t="inlineStr">
        <is>
          <t>VÄRMLANDS LÄN</t>
        </is>
      </c>
      <c r="G140" t="inlineStr">
        <is>
          <t>FILIPSTAD</t>
        </is>
      </c>
      <c r="H140" t="inlineStr">
        <is>
          <t>Kommuner</t>
        </is>
      </c>
      <c r="I140" t="n">
        <v>17.7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41718-2025</t>
        </is>
      </c>
      <c r="B141" t="inlineStr">
        <is>
          <t>avverkningsanmälan</t>
        </is>
      </c>
      <c r="C141" t="inlineStr">
        <is>
          <t>Avverkning för annat ändamål</t>
        </is>
      </c>
      <c r="D141" s="1" t="n">
        <v>45902</v>
      </c>
      <c r="E141" s="1" t="n">
        <v>46306</v>
      </c>
      <c r="F141" t="inlineStr">
        <is>
          <t>VÄRMLANDS LÄN</t>
        </is>
      </c>
      <c r="G141" t="inlineStr">
        <is>
          <t>FILIPSTAD</t>
        </is>
      </c>
      <c r="I141" t="n">
        <v>0.1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37945-2024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45544</v>
      </c>
      <c r="E142" s="1" t="n">
        <v>46306</v>
      </c>
      <c r="F142" t="inlineStr">
        <is>
          <t>VÄRMLANDS LÄN</t>
        </is>
      </c>
      <c r="G142" t="inlineStr">
        <is>
          <t>FILIPSTAD</t>
        </is>
      </c>
      <c r="H142" t="inlineStr">
        <is>
          <t>Bergvik skog väst AB</t>
        </is>
      </c>
      <c r="I142" t="n">
        <v>5.2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20661-2024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45436</v>
      </c>
      <c r="E143" s="1" t="n">
        <v>46306</v>
      </c>
      <c r="F143" t="inlineStr">
        <is>
          <t>VÄRMLANDS LÄN</t>
        </is>
      </c>
      <c r="G143" t="inlineStr">
        <is>
          <t>FILIPSTAD</t>
        </is>
      </c>
      <c r="I143" t="n">
        <v>0.8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14268-2024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45393</v>
      </c>
      <c r="E144" s="1" t="n">
        <v>46306</v>
      </c>
      <c r="F144" t="inlineStr">
        <is>
          <t>VÄRMLANDS LÄN</t>
        </is>
      </c>
      <c r="G144" t="inlineStr">
        <is>
          <t>FILIPSTAD</t>
        </is>
      </c>
      <c r="H144" t="inlineStr">
        <is>
          <t>Bergvik skog väst AB</t>
        </is>
      </c>
      <c r="I144" t="n">
        <v>2.6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34262-2024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45524</v>
      </c>
      <c r="E145" s="1" t="n">
        <v>46306</v>
      </c>
      <c r="F145" t="inlineStr">
        <is>
          <t>VÄRMLANDS LÄN</t>
        </is>
      </c>
      <c r="G145" t="inlineStr">
        <is>
          <t>FILIPSTAD</t>
        </is>
      </c>
      <c r="I145" t="n">
        <v>1.4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31358-2023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45114</v>
      </c>
      <c r="E146" s="1" t="n">
        <v>46306</v>
      </c>
      <c r="F146" t="inlineStr">
        <is>
          <t>VÄRMLANDS LÄN</t>
        </is>
      </c>
      <c r="G146" t="inlineStr">
        <is>
          <t>FILIPSTAD</t>
        </is>
      </c>
      <c r="I146" t="n">
        <v>2.6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491-2024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45299</v>
      </c>
      <c r="E147" s="1" t="n">
        <v>46306</v>
      </c>
      <c r="F147" t="inlineStr">
        <is>
          <t>VÄRMLANDS LÄN</t>
        </is>
      </c>
      <c r="G147" t="inlineStr">
        <is>
          <t>FILIPSTAD</t>
        </is>
      </c>
      <c r="H147" t="inlineStr">
        <is>
          <t>Bergvik skog väst AB</t>
        </is>
      </c>
      <c r="I147" t="n">
        <v>4.6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4191-2022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44588</v>
      </c>
      <c r="E148" s="1" t="n">
        <v>46306</v>
      </c>
      <c r="F148" t="inlineStr">
        <is>
          <t>VÄRMLANDS LÄN</t>
        </is>
      </c>
      <c r="G148" t="inlineStr">
        <is>
          <t>FILIPSTAD</t>
        </is>
      </c>
      <c r="H148" t="inlineStr">
        <is>
          <t>Kommuner</t>
        </is>
      </c>
      <c r="I148" t="n">
        <v>2.1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43064-2025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45909</v>
      </c>
      <c r="E149" s="1" t="n">
        <v>46306</v>
      </c>
      <c r="F149" t="inlineStr">
        <is>
          <t>VÄRMLANDS LÄN</t>
        </is>
      </c>
      <c r="G149" t="inlineStr">
        <is>
          <t>FILIPSTAD</t>
        </is>
      </c>
      <c r="I149" t="n">
        <v>2.3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43059-2024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45567</v>
      </c>
      <c r="E150" s="1" t="n">
        <v>46306</v>
      </c>
      <c r="F150" t="inlineStr">
        <is>
          <t>VÄRMLANDS LÄN</t>
        </is>
      </c>
      <c r="G150" t="inlineStr">
        <is>
          <t>FILIPSTAD</t>
        </is>
      </c>
      <c r="H150" t="inlineStr">
        <is>
          <t>Kyrkan</t>
        </is>
      </c>
      <c r="I150" t="n">
        <v>4.7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54145-2024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45616</v>
      </c>
      <c r="E151" s="1" t="n">
        <v>46306</v>
      </c>
      <c r="F151" t="inlineStr">
        <is>
          <t>VÄRMLANDS LÄN</t>
        </is>
      </c>
      <c r="G151" t="inlineStr">
        <is>
          <t>FILIPSTAD</t>
        </is>
      </c>
      <c r="H151" t="inlineStr">
        <is>
          <t>Bergvik skog väst AB</t>
        </is>
      </c>
      <c r="I151" t="n">
        <v>3.2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2437-2025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45674</v>
      </c>
      <c r="E152" s="1" t="n">
        <v>46306</v>
      </c>
      <c r="F152" t="inlineStr">
        <is>
          <t>VÄRMLANDS LÄN</t>
        </is>
      </c>
      <c r="G152" t="inlineStr">
        <is>
          <t>FILIPSTAD</t>
        </is>
      </c>
      <c r="I152" t="n">
        <v>1.1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17795-2024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45418</v>
      </c>
      <c r="E153" s="1" t="n">
        <v>46306</v>
      </c>
      <c r="F153" t="inlineStr">
        <is>
          <t>VÄRMLANDS LÄN</t>
        </is>
      </c>
      <c r="G153" t="inlineStr">
        <is>
          <t>FILIPSTAD</t>
        </is>
      </c>
      <c r="I153" t="n">
        <v>3.1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47890-2024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45588</v>
      </c>
      <c r="E154" s="1" t="n">
        <v>46306</v>
      </c>
      <c r="F154" t="inlineStr">
        <is>
          <t>VÄRMLANDS LÄN</t>
        </is>
      </c>
      <c r="G154" t="inlineStr">
        <is>
          <t>FILIPSTAD</t>
        </is>
      </c>
      <c r="I154" t="n">
        <v>0.9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43571-2025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45911</v>
      </c>
      <c r="E155" s="1" t="n">
        <v>46306</v>
      </c>
      <c r="F155" t="inlineStr">
        <is>
          <t>VÄRMLANDS LÄN</t>
        </is>
      </c>
      <c r="G155" t="inlineStr">
        <is>
          <t>FILIPSTAD</t>
        </is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30646-2024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45495</v>
      </c>
      <c r="E156" s="1" t="n">
        <v>46306</v>
      </c>
      <c r="F156" t="inlineStr">
        <is>
          <t>VÄRMLANDS LÄN</t>
        </is>
      </c>
      <c r="G156" t="inlineStr">
        <is>
          <t>FILIPSTAD</t>
        </is>
      </c>
      <c r="I156" t="n">
        <v>4.6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12247-2022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44637</v>
      </c>
      <c r="E157" s="1" t="n">
        <v>46306</v>
      </c>
      <c r="F157" t="inlineStr">
        <is>
          <t>VÄRMLANDS LÄN</t>
        </is>
      </c>
      <c r="G157" t="inlineStr">
        <is>
          <t>FILIPSTAD</t>
        </is>
      </c>
      <c r="I157" t="n">
        <v>1.9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27139-2024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45471</v>
      </c>
      <c r="E158" s="1" t="n">
        <v>46306</v>
      </c>
      <c r="F158" t="inlineStr">
        <is>
          <t>VÄRMLANDS LÄN</t>
        </is>
      </c>
      <c r="G158" t="inlineStr">
        <is>
          <t>FILIPSTAD</t>
        </is>
      </c>
      <c r="H158" t="inlineStr">
        <is>
          <t>Bergvik skog väst AB</t>
        </is>
      </c>
      <c r="I158" t="n">
        <v>2.5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17244-2024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45414</v>
      </c>
      <c r="E159" s="1" t="n">
        <v>46306</v>
      </c>
      <c r="F159" t="inlineStr">
        <is>
          <t>VÄRMLANDS LÄN</t>
        </is>
      </c>
      <c r="G159" t="inlineStr">
        <is>
          <t>FILIPSTAD</t>
        </is>
      </c>
      <c r="I159" t="n">
        <v>5.2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20966-2024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45439</v>
      </c>
      <c r="E160" s="1" t="n">
        <v>46306</v>
      </c>
      <c r="F160" t="inlineStr">
        <is>
          <t>VÄRMLANDS LÄN</t>
        </is>
      </c>
      <c r="G160" t="inlineStr">
        <is>
          <t>FILIPSTAD</t>
        </is>
      </c>
      <c r="H160" t="inlineStr">
        <is>
          <t>Bergvik skog väst AB</t>
        </is>
      </c>
      <c r="I160" t="n">
        <v>0.9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1750-2025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45671</v>
      </c>
      <c r="E161" s="1" t="n">
        <v>46306</v>
      </c>
      <c r="F161" t="inlineStr">
        <is>
          <t>VÄRMLANDS LÄN</t>
        </is>
      </c>
      <c r="G161" t="inlineStr">
        <is>
          <t>FILIPSTAD</t>
        </is>
      </c>
      <c r="I161" t="n">
        <v>0.5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20875-2024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45439</v>
      </c>
      <c r="E162" s="1" t="n">
        <v>46306</v>
      </c>
      <c r="F162" t="inlineStr">
        <is>
          <t>VÄRMLANDS LÄN</t>
        </is>
      </c>
      <c r="G162" t="inlineStr">
        <is>
          <t>FILIPSTAD</t>
        </is>
      </c>
      <c r="H162" t="inlineStr">
        <is>
          <t>Bergvik skog väst AB</t>
        </is>
      </c>
      <c r="I162" t="n">
        <v>6.8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47002-2024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45586</v>
      </c>
      <c r="E163" s="1" t="n">
        <v>46306</v>
      </c>
      <c r="F163" t="inlineStr">
        <is>
          <t>VÄRMLANDS LÄN</t>
        </is>
      </c>
      <c r="G163" t="inlineStr">
        <is>
          <t>FILIPSTAD</t>
        </is>
      </c>
      <c r="H163" t="inlineStr">
        <is>
          <t>Bergvik skog väst AB</t>
        </is>
      </c>
      <c r="I163" t="n">
        <v>3.1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63411-2023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45274</v>
      </c>
      <c r="E164" s="1" t="n">
        <v>46306</v>
      </c>
      <c r="F164" t="inlineStr">
        <is>
          <t>VÄRMLANDS LÄN</t>
        </is>
      </c>
      <c r="G164" t="inlineStr">
        <is>
          <t>FILIPSTAD</t>
        </is>
      </c>
      <c r="I164" t="n">
        <v>2.4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422-2025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45664</v>
      </c>
      <c r="E165" s="1" t="n">
        <v>46306</v>
      </c>
      <c r="F165" t="inlineStr">
        <is>
          <t>VÄRMLANDS LÄN</t>
        </is>
      </c>
      <c r="G165" t="inlineStr">
        <is>
          <t>FILIPSTAD</t>
        </is>
      </c>
      <c r="I165" t="n">
        <v>2.3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17794-2024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45418</v>
      </c>
      <c r="E166" s="1" t="n">
        <v>46306</v>
      </c>
      <c r="F166" t="inlineStr">
        <is>
          <t>VÄRMLANDS LÄN</t>
        </is>
      </c>
      <c r="G166" t="inlineStr">
        <is>
          <t>FILIPSTAD</t>
        </is>
      </c>
      <c r="I166" t="n">
        <v>2.2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29474-2024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45484</v>
      </c>
      <c r="E167" s="1" t="n">
        <v>46306</v>
      </c>
      <c r="F167" t="inlineStr">
        <is>
          <t>VÄRMLANDS LÄN</t>
        </is>
      </c>
      <c r="G167" t="inlineStr">
        <is>
          <t>FILIPSTAD</t>
        </is>
      </c>
      <c r="I167" t="n">
        <v>1.1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46204-2025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45924</v>
      </c>
      <c r="E168" s="1" t="n">
        <v>46306</v>
      </c>
      <c r="F168" t="inlineStr">
        <is>
          <t>VÄRMLANDS LÄN</t>
        </is>
      </c>
      <c r="G168" t="inlineStr">
        <is>
          <t>FILIPSTAD</t>
        </is>
      </c>
      <c r="I168" t="n">
        <v>0.6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16591-2022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44672</v>
      </c>
      <c r="E169" s="1" t="n">
        <v>46306</v>
      </c>
      <c r="F169" t="inlineStr">
        <is>
          <t>VÄRMLANDS LÄN</t>
        </is>
      </c>
      <c r="G169" t="inlineStr">
        <is>
          <t>FILIPSTAD</t>
        </is>
      </c>
      <c r="I169" t="n">
        <v>2.9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45511-2024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45578</v>
      </c>
      <c r="E170" s="1" t="n">
        <v>46306</v>
      </c>
      <c r="F170" t="inlineStr">
        <is>
          <t>VÄRMLANDS LÄN</t>
        </is>
      </c>
      <c r="G170" t="inlineStr">
        <is>
          <t>FILIPSTAD</t>
        </is>
      </c>
      <c r="I170" t="n">
        <v>5.1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65167-2021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44515</v>
      </c>
      <c r="E171" s="1" t="n">
        <v>46306</v>
      </c>
      <c r="F171" t="inlineStr">
        <is>
          <t>VÄRMLANDS LÄN</t>
        </is>
      </c>
      <c r="G171" t="inlineStr">
        <is>
          <t>FILIPSTAD</t>
        </is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63482-2021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44508</v>
      </c>
      <c r="E172" s="1" t="n">
        <v>46306</v>
      </c>
      <c r="F172" t="inlineStr">
        <is>
          <t>VÄRMLANDS LÄN</t>
        </is>
      </c>
      <c r="G172" t="inlineStr">
        <is>
          <t>FILIPSTAD</t>
        </is>
      </c>
      <c r="I172" t="n">
        <v>2.1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56151-2023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45240</v>
      </c>
      <c r="E173" s="1" t="n">
        <v>46306</v>
      </c>
      <c r="F173" t="inlineStr">
        <is>
          <t>VÄRMLANDS LÄN</t>
        </is>
      </c>
      <c r="G173" t="inlineStr">
        <is>
          <t>FILIPSTAD</t>
        </is>
      </c>
      <c r="I173" t="n">
        <v>1.3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22880-2025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45790</v>
      </c>
      <c r="E174" s="1" t="n">
        <v>46306</v>
      </c>
      <c r="F174" t="inlineStr">
        <is>
          <t>VÄRMLANDS LÄN</t>
        </is>
      </c>
      <c r="G174" t="inlineStr">
        <is>
          <t>FILIPSTAD</t>
        </is>
      </c>
      <c r="H174" t="inlineStr">
        <is>
          <t>Kyrkan</t>
        </is>
      </c>
      <c r="I174" t="n">
        <v>5.4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23266-2025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45791</v>
      </c>
      <c r="E175" s="1" t="n">
        <v>46306</v>
      </c>
      <c r="F175" t="inlineStr">
        <is>
          <t>VÄRMLANDS LÄN</t>
        </is>
      </c>
      <c r="G175" t="inlineStr">
        <is>
          <t>FILIPSTAD</t>
        </is>
      </c>
      <c r="I175" t="n">
        <v>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869-2025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45665</v>
      </c>
      <c r="E176" s="1" t="n">
        <v>46306</v>
      </c>
      <c r="F176" t="inlineStr">
        <is>
          <t>VÄRMLANDS LÄN</t>
        </is>
      </c>
      <c r="G176" t="inlineStr">
        <is>
          <t>FILIPSTAD</t>
        </is>
      </c>
      <c r="I176" t="n">
        <v>11.7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28357-2024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45477</v>
      </c>
      <c r="E177" s="1" t="n">
        <v>46306</v>
      </c>
      <c r="F177" t="inlineStr">
        <is>
          <t>VÄRMLANDS LÄN</t>
        </is>
      </c>
      <c r="G177" t="inlineStr">
        <is>
          <t>FILIPSTAD</t>
        </is>
      </c>
      <c r="H177" t="inlineStr">
        <is>
          <t>Bergvik skog väst AB</t>
        </is>
      </c>
      <c r="I177" t="n">
        <v>5.9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48702-2024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45593</v>
      </c>
      <c r="E178" s="1" t="n">
        <v>46306</v>
      </c>
      <c r="F178" t="inlineStr">
        <is>
          <t>VÄRMLANDS LÄN</t>
        </is>
      </c>
      <c r="G178" t="inlineStr">
        <is>
          <t>FILIPSTAD</t>
        </is>
      </c>
      <c r="H178" t="inlineStr">
        <is>
          <t>Bergvik skog väst AB</t>
        </is>
      </c>
      <c r="I178" t="n">
        <v>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35304-2024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45530</v>
      </c>
      <c r="E179" s="1" t="n">
        <v>46306</v>
      </c>
      <c r="F179" t="inlineStr">
        <is>
          <t>VÄRMLANDS LÄN</t>
        </is>
      </c>
      <c r="G179" t="inlineStr">
        <is>
          <t>FILIPSTAD</t>
        </is>
      </c>
      <c r="H179" t="inlineStr">
        <is>
          <t>Bergvik skog väst AB</t>
        </is>
      </c>
      <c r="I179" t="n">
        <v>6.6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46282-2025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45925</v>
      </c>
      <c r="E180" s="1" t="n">
        <v>46306</v>
      </c>
      <c r="F180" t="inlineStr">
        <is>
          <t>VÄRMLANDS LÄN</t>
        </is>
      </c>
      <c r="G180" t="inlineStr">
        <is>
          <t>FILIPSTAD</t>
        </is>
      </c>
      <c r="H180" t="inlineStr">
        <is>
          <t>Bergvik skog väst AB</t>
        </is>
      </c>
      <c r="I180" t="n">
        <v>3.5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23399-2025</t>
        </is>
      </c>
      <c r="B181" t="inlineStr">
        <is>
          <t>avverkningsanmälan</t>
        </is>
      </c>
      <c r="C181" t="inlineStr">
        <is>
          <t>Avverkning för annat ändamål</t>
        </is>
      </c>
      <c r="D181" s="1" t="n">
        <v>45792</v>
      </c>
      <c r="E181" s="1" t="n">
        <v>46306</v>
      </c>
      <c r="F181" t="inlineStr">
        <is>
          <t>VÄRMLANDS LÄN</t>
        </is>
      </c>
      <c r="G181" t="inlineStr">
        <is>
          <t>FILIPSTAD</t>
        </is>
      </c>
      <c r="H181" t="inlineStr">
        <is>
          <t>Bergvik skog väst AB</t>
        </is>
      </c>
      <c r="I181" t="n">
        <v>0.7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1350-2025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45667</v>
      </c>
      <c r="E182" s="1" t="n">
        <v>46306</v>
      </c>
      <c r="F182" t="inlineStr">
        <is>
          <t>VÄRMLANDS LÄN</t>
        </is>
      </c>
      <c r="G182" t="inlineStr">
        <is>
          <t>FILIPSTAD</t>
        </is>
      </c>
      <c r="H182" t="inlineStr">
        <is>
          <t>Kommuner</t>
        </is>
      </c>
      <c r="I182" t="n">
        <v>5.9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20844-2024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45439</v>
      </c>
      <c r="E183" s="1" t="n">
        <v>46306</v>
      </c>
      <c r="F183" t="inlineStr">
        <is>
          <t>VÄRMLANDS LÄN</t>
        </is>
      </c>
      <c r="G183" t="inlineStr">
        <is>
          <t>FILIPSTAD</t>
        </is>
      </c>
      <c r="I183" t="n">
        <v>1.6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69015-2021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44530</v>
      </c>
      <c r="E184" s="1" t="n">
        <v>46306</v>
      </c>
      <c r="F184" t="inlineStr">
        <is>
          <t>VÄRMLANDS LÄN</t>
        </is>
      </c>
      <c r="G184" t="inlineStr">
        <is>
          <t>FILIPSTAD</t>
        </is>
      </c>
      <c r="H184" t="inlineStr">
        <is>
          <t>Bergvik skog väst AB</t>
        </is>
      </c>
      <c r="I184" t="n">
        <v>12.7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46906-2025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45929</v>
      </c>
      <c r="E185" s="1" t="n">
        <v>46306</v>
      </c>
      <c r="F185" t="inlineStr">
        <is>
          <t>VÄRMLANDS LÄN</t>
        </is>
      </c>
      <c r="G185" t="inlineStr">
        <is>
          <t>FILIPSTAD</t>
        </is>
      </c>
      <c r="H185" t="inlineStr">
        <is>
          <t>Bergvik skog väst AB</t>
        </is>
      </c>
      <c r="I185" t="n">
        <v>7.2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3979-2024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45322</v>
      </c>
      <c r="E186" s="1" t="n">
        <v>46306</v>
      </c>
      <c r="F186" t="inlineStr">
        <is>
          <t>VÄRMLANDS LÄN</t>
        </is>
      </c>
      <c r="G186" t="inlineStr">
        <is>
          <t>FILIPSTAD</t>
        </is>
      </c>
      <c r="I186" t="n">
        <v>8.199999999999999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72118-2021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44543</v>
      </c>
      <c r="E187" s="1" t="n">
        <v>46306</v>
      </c>
      <c r="F187" t="inlineStr">
        <is>
          <t>VÄRMLANDS LÄN</t>
        </is>
      </c>
      <c r="G187" t="inlineStr">
        <is>
          <t>FILIPSTAD</t>
        </is>
      </c>
      <c r="I187" t="n">
        <v>2.3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70405-2021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44536</v>
      </c>
      <c r="E188" s="1" t="n">
        <v>46306</v>
      </c>
      <c r="F188" t="inlineStr">
        <is>
          <t>VÄRMLANDS LÄN</t>
        </is>
      </c>
      <c r="G188" t="inlineStr">
        <is>
          <t>FILIPSTAD</t>
        </is>
      </c>
      <c r="H188" t="inlineStr">
        <is>
          <t>Bergvik skog väst AB</t>
        </is>
      </c>
      <c r="I188" t="n">
        <v>1.4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24143-2025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45796</v>
      </c>
      <c r="E189" s="1" t="n">
        <v>46306</v>
      </c>
      <c r="F189" t="inlineStr">
        <is>
          <t>VÄRMLANDS LÄN</t>
        </is>
      </c>
      <c r="G189" t="inlineStr">
        <is>
          <t>FILIPSTAD</t>
        </is>
      </c>
      <c r="I189" t="n">
        <v>0.7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5754-2022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44596</v>
      </c>
      <c r="E190" s="1" t="n">
        <v>46306</v>
      </c>
      <c r="F190" t="inlineStr">
        <is>
          <t>VÄRMLANDS LÄN</t>
        </is>
      </c>
      <c r="G190" t="inlineStr">
        <is>
          <t>FILIPSTAD</t>
        </is>
      </c>
      <c r="I190" t="n">
        <v>1.8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15396-2025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45747</v>
      </c>
      <c r="E191" s="1" t="n">
        <v>46306</v>
      </c>
      <c r="F191" t="inlineStr">
        <is>
          <t>VÄRMLANDS LÄN</t>
        </is>
      </c>
      <c r="G191" t="inlineStr">
        <is>
          <t>FILIPSTAD</t>
        </is>
      </c>
      <c r="I191" t="n">
        <v>1.5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47344-2023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45202</v>
      </c>
      <c r="E192" s="1" t="n">
        <v>46306</v>
      </c>
      <c r="F192" t="inlineStr">
        <is>
          <t>VÄRMLANDS LÄN</t>
        </is>
      </c>
      <c r="G192" t="inlineStr">
        <is>
          <t>FILIPSTAD</t>
        </is>
      </c>
      <c r="H192" t="inlineStr">
        <is>
          <t>Bergvik skog väst AB</t>
        </is>
      </c>
      <c r="I192" t="n">
        <v>2.1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54735-2024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45618</v>
      </c>
      <c r="E193" s="1" t="n">
        <v>46306</v>
      </c>
      <c r="F193" t="inlineStr">
        <is>
          <t>VÄRMLANDS LÄN</t>
        </is>
      </c>
      <c r="G193" t="inlineStr">
        <is>
          <t>FILIPSTAD</t>
        </is>
      </c>
      <c r="H193" t="inlineStr">
        <is>
          <t>Bergvik skog väst AB</t>
        </is>
      </c>
      <c r="I193" t="n">
        <v>2.6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40244-2023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45169</v>
      </c>
      <c r="E194" s="1" t="n">
        <v>46306</v>
      </c>
      <c r="F194" t="inlineStr">
        <is>
          <t>VÄRMLANDS LÄN</t>
        </is>
      </c>
      <c r="G194" t="inlineStr">
        <is>
          <t>FILIPSTAD</t>
        </is>
      </c>
      <c r="H194" t="inlineStr">
        <is>
          <t>Bergvik skog väst AB</t>
        </is>
      </c>
      <c r="I194" t="n">
        <v>1.2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23775-2025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45793</v>
      </c>
      <c r="E195" s="1" t="n">
        <v>46306</v>
      </c>
      <c r="F195" t="inlineStr">
        <is>
          <t>VÄRMLANDS LÄN</t>
        </is>
      </c>
      <c r="G195" t="inlineStr">
        <is>
          <t>FILIPSTAD</t>
        </is>
      </c>
      <c r="H195" t="inlineStr">
        <is>
          <t>Bergvik skog väst AB</t>
        </is>
      </c>
      <c r="I195" t="n">
        <v>1.9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47436-2024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45587</v>
      </c>
      <c r="E196" s="1" t="n">
        <v>46306</v>
      </c>
      <c r="F196" t="inlineStr">
        <is>
          <t>VÄRMLANDS LÄN</t>
        </is>
      </c>
      <c r="G196" t="inlineStr">
        <is>
          <t>FILIPSTAD</t>
        </is>
      </c>
      <c r="H196" t="inlineStr">
        <is>
          <t>Bergvik skog väst AB</t>
        </is>
      </c>
      <c r="I196" t="n">
        <v>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8712-2024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45355</v>
      </c>
      <c r="E197" s="1" t="n">
        <v>46306</v>
      </c>
      <c r="F197" t="inlineStr">
        <is>
          <t>VÄRMLANDS LÄN</t>
        </is>
      </c>
      <c r="G197" t="inlineStr">
        <is>
          <t>FILIPSTAD</t>
        </is>
      </c>
      <c r="I197" t="n">
        <v>3.3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65174-2021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44515</v>
      </c>
      <c r="E198" s="1" t="n">
        <v>46306</v>
      </c>
      <c r="F198" t="inlineStr">
        <is>
          <t>VÄRMLANDS LÄN</t>
        </is>
      </c>
      <c r="G198" t="inlineStr">
        <is>
          <t>FILIPSTAD</t>
        </is>
      </c>
      <c r="I198" t="n">
        <v>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47566-2025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45931</v>
      </c>
      <c r="E199" s="1" t="n">
        <v>46306</v>
      </c>
      <c r="F199" t="inlineStr">
        <is>
          <t>VÄRMLANDS LÄN</t>
        </is>
      </c>
      <c r="G199" t="inlineStr">
        <is>
          <t>FILIPSTAD</t>
        </is>
      </c>
      <c r="H199" t="inlineStr">
        <is>
          <t>Bergvik skog väst AB</t>
        </is>
      </c>
      <c r="I199" t="n">
        <v>4.5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15406-2025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45747</v>
      </c>
      <c r="E200" s="1" t="n">
        <v>46306</v>
      </c>
      <c r="F200" t="inlineStr">
        <is>
          <t>VÄRMLANDS LÄN</t>
        </is>
      </c>
      <c r="G200" t="inlineStr">
        <is>
          <t>FILIPSTAD</t>
        </is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45592-2024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45579</v>
      </c>
      <c r="E201" s="1" t="n">
        <v>46306</v>
      </c>
      <c r="F201" t="inlineStr">
        <is>
          <t>VÄRMLANDS LÄN</t>
        </is>
      </c>
      <c r="G201" t="inlineStr">
        <is>
          <t>FILIPSTAD</t>
        </is>
      </c>
      <c r="H201" t="inlineStr">
        <is>
          <t>Kyrkan</t>
        </is>
      </c>
      <c r="I201" t="n">
        <v>4.1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35799-2022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44801</v>
      </c>
      <c r="E202" s="1" t="n">
        <v>46306</v>
      </c>
      <c r="F202" t="inlineStr">
        <is>
          <t>VÄRMLANDS LÄN</t>
        </is>
      </c>
      <c r="G202" t="inlineStr">
        <is>
          <t>FILIPSTAD</t>
        </is>
      </c>
      <c r="I202" t="n">
        <v>2.4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48103-2025</t>
        </is>
      </c>
      <c r="B203" t="inlineStr">
        <is>
          <t>avverkningsanmälan</t>
        </is>
      </c>
      <c r="C203" t="inlineStr">
        <is>
          <t>Avverkning för annat ändamål</t>
        </is>
      </c>
      <c r="D203" s="1" t="n">
        <v>45933</v>
      </c>
      <c r="E203" s="1" t="n">
        <v>46306</v>
      </c>
      <c r="F203" t="inlineStr">
        <is>
          <t>VÄRMLANDS LÄN</t>
        </is>
      </c>
      <c r="G203" t="inlineStr">
        <is>
          <t>FILIPSTAD</t>
        </is>
      </c>
      <c r="H203" t="inlineStr">
        <is>
          <t>Bergvik skog väst AB</t>
        </is>
      </c>
      <c r="I203" t="n">
        <v>6.3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1170-2023</t>
        </is>
      </c>
      <c r="B204" t="inlineStr">
        <is>
          <t>avverkningsanmälan</t>
        </is>
      </c>
      <c r="C204" t="inlineStr">
        <is>
          <t>Avverkning för annat ändamål</t>
        </is>
      </c>
      <c r="D204" s="1" t="n">
        <v>44935</v>
      </c>
      <c r="E204" s="1" t="n">
        <v>46306</v>
      </c>
      <c r="F204" t="inlineStr">
        <is>
          <t>VÄRMLANDS LÄN</t>
        </is>
      </c>
      <c r="G204" t="inlineStr">
        <is>
          <t>FILIPSTAD</t>
        </is>
      </c>
      <c r="H204" t="inlineStr">
        <is>
          <t>Bergvik skog väst AB</t>
        </is>
      </c>
      <c r="I204" t="n">
        <v>0.7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15-2025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45658</v>
      </c>
      <c r="E205" s="1" t="n">
        <v>46306</v>
      </c>
      <c r="F205" t="inlineStr">
        <is>
          <t>VÄRMLANDS LÄN</t>
        </is>
      </c>
      <c r="G205" t="inlineStr">
        <is>
          <t>FILIPSTAD</t>
        </is>
      </c>
      <c r="I205" t="n">
        <v>2.5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47261-2024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45586</v>
      </c>
      <c r="E206" s="1" t="n">
        <v>46306</v>
      </c>
      <c r="F206" t="inlineStr">
        <is>
          <t>VÄRMLANDS LÄN</t>
        </is>
      </c>
      <c r="G206" t="inlineStr">
        <is>
          <t>FILIPSTAD</t>
        </is>
      </c>
      <c r="H206" t="inlineStr">
        <is>
          <t>Bergvik skog väst AB</t>
        </is>
      </c>
      <c r="I206" t="n">
        <v>3.3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21608-2023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45063</v>
      </c>
      <c r="E207" s="1" t="n">
        <v>46306</v>
      </c>
      <c r="F207" t="inlineStr">
        <is>
          <t>VÄRMLANDS LÄN</t>
        </is>
      </c>
      <c r="G207" t="inlineStr">
        <is>
          <t>FILIPSTAD</t>
        </is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59436-2024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45638</v>
      </c>
      <c r="E208" s="1" t="n">
        <v>46306</v>
      </c>
      <c r="F208" t="inlineStr">
        <is>
          <t>VÄRMLANDS LÄN</t>
        </is>
      </c>
      <c r="G208" t="inlineStr">
        <is>
          <t>FILIPSTAD</t>
        </is>
      </c>
      <c r="H208" t="inlineStr">
        <is>
          <t>Kyrkan</t>
        </is>
      </c>
      <c r="I208" t="n">
        <v>3.7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26123-2025</t>
        </is>
      </c>
      <c r="B209" t="inlineStr">
        <is>
          <t>avverkningsanmälan</t>
        </is>
      </c>
      <c r="C209" t="inlineStr">
        <is>
          <t>Avverkning för annat ändamål</t>
        </is>
      </c>
      <c r="D209" s="1" t="n">
        <v>45805</v>
      </c>
      <c r="E209" s="1" t="n">
        <v>46306</v>
      </c>
      <c r="F209" t="inlineStr">
        <is>
          <t>VÄRMLANDS LÄN</t>
        </is>
      </c>
      <c r="G209" t="inlineStr">
        <is>
          <t>FILIPSTAD</t>
        </is>
      </c>
      <c r="I209" t="n">
        <v>1.3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10136-2024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45364</v>
      </c>
      <c r="E210" s="1" t="n">
        <v>46306</v>
      </c>
      <c r="F210" t="inlineStr">
        <is>
          <t>VÄRMLANDS LÄN</t>
        </is>
      </c>
      <c r="G210" t="inlineStr">
        <is>
          <t>FILIPSTAD</t>
        </is>
      </c>
      <c r="I210" t="n">
        <v>6.4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26116-2025</t>
        </is>
      </c>
      <c r="B211" t="inlineStr">
        <is>
          <t>avverkningsanmälan</t>
        </is>
      </c>
      <c r="C211" t="inlineStr">
        <is>
          <t>Avverkning för annat ändamål</t>
        </is>
      </c>
      <c r="D211" s="1" t="n">
        <v>45805</v>
      </c>
      <c r="E211" s="1" t="n">
        <v>46306</v>
      </c>
      <c r="F211" t="inlineStr">
        <is>
          <t>VÄRMLANDS LÄN</t>
        </is>
      </c>
      <c r="G211" t="inlineStr">
        <is>
          <t>FILIPSTAD</t>
        </is>
      </c>
      <c r="I211" t="n">
        <v>1.2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26812-2025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45810</v>
      </c>
      <c r="E212" s="1" t="n">
        <v>46306</v>
      </c>
      <c r="F212" t="inlineStr">
        <is>
          <t>VÄRMLANDS LÄN</t>
        </is>
      </c>
      <c r="G212" t="inlineStr">
        <is>
          <t>FILIPSTAD</t>
        </is>
      </c>
      <c r="H212" t="inlineStr">
        <is>
          <t>Bergvik skog väst AB</t>
        </is>
      </c>
      <c r="I212" t="n">
        <v>5.8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26843-2024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45470</v>
      </c>
      <c r="E213" s="1" t="n">
        <v>46306</v>
      </c>
      <c r="F213" t="inlineStr">
        <is>
          <t>VÄRMLANDS LÄN</t>
        </is>
      </c>
      <c r="G213" t="inlineStr">
        <is>
          <t>FILIPSTAD</t>
        </is>
      </c>
      <c r="I213" t="n">
        <v>3.8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54836-2023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45229</v>
      </c>
      <c r="E214" s="1" t="n">
        <v>46306</v>
      </c>
      <c r="F214" t="inlineStr">
        <is>
          <t>VÄRMLANDS LÄN</t>
        </is>
      </c>
      <c r="G214" t="inlineStr">
        <is>
          <t>FILIPSTAD</t>
        </is>
      </c>
      <c r="I214" t="n">
        <v>1.2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33368-2022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44788</v>
      </c>
      <c r="E215" s="1" t="n">
        <v>46306</v>
      </c>
      <c r="F215" t="inlineStr">
        <is>
          <t>VÄRMLANDS LÄN</t>
        </is>
      </c>
      <c r="G215" t="inlineStr">
        <is>
          <t>FILIPSTAD</t>
        </is>
      </c>
      <c r="H215" t="inlineStr">
        <is>
          <t>Bergvik skog väst AB</t>
        </is>
      </c>
      <c r="I215" t="n">
        <v>6.7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26599-2024</t>
        </is>
      </c>
      <c r="B216" t="inlineStr">
        <is>
          <t>avverkningsanmälan</t>
        </is>
      </c>
      <c r="C216" t="inlineStr">
        <is>
          <t>Avverkning för att bevara och utveckla /försöksver</t>
        </is>
      </c>
      <c r="D216" s="1" t="n">
        <v>45469</v>
      </c>
      <c r="E216" s="1" t="n">
        <v>46306</v>
      </c>
      <c r="F216" t="inlineStr">
        <is>
          <t>VÄRMLANDS LÄN</t>
        </is>
      </c>
      <c r="G216" t="inlineStr">
        <is>
          <t>FILIPSTAD</t>
        </is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29825-2023</t>
        </is>
      </c>
      <c r="B217" t="inlineStr">
        <is>
          <t>avverkningsanmälan</t>
        </is>
      </c>
      <c r="C217" t="inlineStr">
        <is>
          <t>Avverkning för annat ändamål</t>
        </is>
      </c>
      <c r="D217" s="1" t="n">
        <v>45107</v>
      </c>
      <c r="E217" s="1" t="n">
        <v>46306</v>
      </c>
      <c r="F217" t="inlineStr">
        <is>
          <t>VÄRMLANDS LÄN</t>
        </is>
      </c>
      <c r="G217" t="inlineStr">
        <is>
          <t>FILIPSTAD</t>
        </is>
      </c>
      <c r="I217" t="n">
        <v>0.3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54398-2024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45617</v>
      </c>
      <c r="E218" s="1" t="n">
        <v>46306</v>
      </c>
      <c r="F218" t="inlineStr">
        <is>
          <t>VÄRMLANDS LÄN</t>
        </is>
      </c>
      <c r="G218" t="inlineStr">
        <is>
          <t>FILIPSTAD</t>
        </is>
      </c>
      <c r="I218" t="n">
        <v>1.7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43045-2024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45567</v>
      </c>
      <c r="E219" s="1" t="n">
        <v>46306</v>
      </c>
      <c r="F219" t="inlineStr">
        <is>
          <t>VÄRMLANDS LÄN</t>
        </is>
      </c>
      <c r="G219" t="inlineStr">
        <is>
          <t>FILIPSTAD</t>
        </is>
      </c>
      <c r="H219" t="inlineStr">
        <is>
          <t>Kyrkan</t>
        </is>
      </c>
      <c r="I219" t="n">
        <v>2.5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4462-2025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45686</v>
      </c>
      <c r="E220" s="1" t="n">
        <v>46306</v>
      </c>
      <c r="F220" t="inlineStr">
        <is>
          <t>VÄRMLANDS LÄN</t>
        </is>
      </c>
      <c r="G220" t="inlineStr">
        <is>
          <t>FILIPSTAD</t>
        </is>
      </c>
      <c r="H220" t="inlineStr">
        <is>
          <t>Bergvik skog väst AB</t>
        </is>
      </c>
      <c r="I220" t="n">
        <v>0.6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27789-2022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44743</v>
      </c>
      <c r="E221" s="1" t="n">
        <v>46306</v>
      </c>
      <c r="F221" t="inlineStr">
        <is>
          <t>VÄRMLANDS LÄN</t>
        </is>
      </c>
      <c r="G221" t="inlineStr">
        <is>
          <t>FILIPSTAD</t>
        </is>
      </c>
      <c r="H221" t="inlineStr">
        <is>
          <t>Bergvik skog väst AB</t>
        </is>
      </c>
      <c r="I221" t="n">
        <v>2.4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30049-2025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45826</v>
      </c>
      <c r="E222" s="1" t="n">
        <v>46306</v>
      </c>
      <c r="F222" t="inlineStr">
        <is>
          <t>VÄRMLANDS LÄN</t>
        </is>
      </c>
      <c r="G222" t="inlineStr">
        <is>
          <t>FILIPSTAD</t>
        </is>
      </c>
      <c r="H222" t="inlineStr">
        <is>
          <t>Bergvik skog väst AB</t>
        </is>
      </c>
      <c r="I222" t="n">
        <v>1.7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43484-2023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45184</v>
      </c>
      <c r="E223" s="1" t="n">
        <v>46306</v>
      </c>
      <c r="F223" t="inlineStr">
        <is>
          <t>VÄRMLANDS LÄN</t>
        </is>
      </c>
      <c r="G223" t="inlineStr">
        <is>
          <t>FILIPSTAD</t>
        </is>
      </c>
      <c r="H223" t="inlineStr">
        <is>
          <t>Bergvik skog väst AB</t>
        </is>
      </c>
      <c r="I223" t="n">
        <v>3.4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29568-2025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45825</v>
      </c>
      <c r="E224" s="1" t="n">
        <v>46306</v>
      </c>
      <c r="F224" t="inlineStr">
        <is>
          <t>VÄRMLANDS LÄN</t>
        </is>
      </c>
      <c r="G224" t="inlineStr">
        <is>
          <t>FILIPSTAD</t>
        </is>
      </c>
      <c r="H224" t="inlineStr">
        <is>
          <t>Kyrkan</t>
        </is>
      </c>
      <c r="I224" t="n">
        <v>9.199999999999999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6674-2025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45700</v>
      </c>
      <c r="E225" s="1" t="n">
        <v>46306</v>
      </c>
      <c r="F225" t="inlineStr">
        <is>
          <t>VÄRMLANDS LÄN</t>
        </is>
      </c>
      <c r="G225" t="inlineStr">
        <is>
          <t>FILIPSTAD</t>
        </is>
      </c>
      <c r="I225" t="n">
        <v>5.7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28161-2023</t>
        </is>
      </c>
      <c r="B226" t="inlineStr">
        <is>
          <t>avverkningsanmälan</t>
        </is>
      </c>
      <c r="C226" t="inlineStr">
        <is>
          <t>Avverkning för annat ändamål</t>
        </is>
      </c>
      <c r="D226" s="1" t="n">
        <v>45093</v>
      </c>
      <c r="E226" s="1" t="n">
        <v>46306</v>
      </c>
      <c r="F226" t="inlineStr">
        <is>
          <t>VÄRMLANDS LÄN</t>
        </is>
      </c>
      <c r="G226" t="inlineStr">
        <is>
          <t>FILIPSTAD</t>
        </is>
      </c>
      <c r="H226" t="inlineStr">
        <is>
          <t>Kommuner</t>
        </is>
      </c>
      <c r="I226" t="n">
        <v>15.4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29660-2025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45825</v>
      </c>
      <c r="E227" s="1" t="n">
        <v>46306</v>
      </c>
      <c r="F227" t="inlineStr">
        <is>
          <t>VÄRMLANDS LÄN</t>
        </is>
      </c>
      <c r="G227" t="inlineStr">
        <is>
          <t>FILIPSTAD</t>
        </is>
      </c>
      <c r="I227" t="n">
        <v>23.3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29944-2025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45826</v>
      </c>
      <c r="E228" s="1" t="n">
        <v>46306</v>
      </c>
      <c r="F228" t="inlineStr">
        <is>
          <t>VÄRMLANDS LÄN</t>
        </is>
      </c>
      <c r="G228" t="inlineStr">
        <is>
          <t>FILIPSTAD</t>
        </is>
      </c>
      <c r="H228" t="inlineStr">
        <is>
          <t>Bergvik skog väst AB</t>
        </is>
      </c>
      <c r="I228" t="n">
        <v>6.8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51572-2025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45951</v>
      </c>
      <c r="E229" s="1" t="n">
        <v>46306</v>
      </c>
      <c r="F229" t="inlineStr">
        <is>
          <t>VÄRMLANDS LÄN</t>
        </is>
      </c>
      <c r="G229" t="inlineStr">
        <is>
          <t>FILIPSTAD</t>
        </is>
      </c>
      <c r="H229" t="inlineStr">
        <is>
          <t>Bergvik skog väst AB</t>
        </is>
      </c>
      <c r="I229" t="n">
        <v>3.1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30169-2025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45827</v>
      </c>
      <c r="E230" s="1" t="n">
        <v>46306</v>
      </c>
      <c r="F230" t="inlineStr">
        <is>
          <t>VÄRMLANDS LÄN</t>
        </is>
      </c>
      <c r="G230" t="inlineStr">
        <is>
          <t>FILIPSTAD</t>
        </is>
      </c>
      <c r="H230" t="inlineStr">
        <is>
          <t>Kyrkan</t>
        </is>
      </c>
      <c r="I230" t="n">
        <v>6.5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24054-2024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45456</v>
      </c>
      <c r="E231" s="1" t="n">
        <v>46306</v>
      </c>
      <c r="F231" t="inlineStr">
        <is>
          <t>VÄRMLANDS LÄN</t>
        </is>
      </c>
      <c r="G231" t="inlineStr">
        <is>
          <t>FILIPSTAD</t>
        </is>
      </c>
      <c r="H231" t="inlineStr">
        <is>
          <t>Bergvik skog väst AB</t>
        </is>
      </c>
      <c r="I231" t="n">
        <v>4.1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31172-2025</t>
        </is>
      </c>
      <c r="B232" t="inlineStr">
        <is>
          <t>avverkningsanmälan</t>
        </is>
      </c>
      <c r="C232" t="inlineStr">
        <is>
          <t>Avverkning för att bevara och utveckla /försöksver</t>
        </is>
      </c>
      <c r="D232" s="1" t="n">
        <v>45832</v>
      </c>
      <c r="E232" s="1" t="n">
        <v>46306</v>
      </c>
      <c r="F232" t="inlineStr">
        <is>
          <t>VÄRMLANDS LÄN</t>
        </is>
      </c>
      <c r="G232" t="inlineStr">
        <is>
          <t>FILIPSTAD</t>
        </is>
      </c>
      <c r="H232" t="inlineStr">
        <is>
          <t>Bergvik skog väst AB</t>
        </is>
      </c>
      <c r="I232" t="n">
        <v>3.4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51790-2025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45951</v>
      </c>
      <c r="E233" s="1" t="n">
        <v>46306</v>
      </c>
      <c r="F233" t="inlineStr">
        <is>
          <t>VÄRMLANDS LÄN</t>
        </is>
      </c>
      <c r="G233" t="inlineStr">
        <is>
          <t>FILIPSTAD</t>
        </is>
      </c>
      <c r="H233" t="inlineStr">
        <is>
          <t>Bergvik skog väst AB</t>
        </is>
      </c>
      <c r="I233" t="n">
        <v>2.6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52329-2025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45953</v>
      </c>
      <c r="E234" s="1" t="n">
        <v>46306</v>
      </c>
      <c r="F234" t="inlineStr">
        <is>
          <t>VÄRMLANDS LÄN</t>
        </is>
      </c>
      <c r="G234" t="inlineStr">
        <is>
          <t>FILIPSTAD</t>
        </is>
      </c>
      <c r="I234" t="n">
        <v>1.7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52518-2025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45954</v>
      </c>
      <c r="E235" s="1" t="n">
        <v>46306</v>
      </c>
      <c r="F235" t="inlineStr">
        <is>
          <t>VÄRMLANDS LÄN</t>
        </is>
      </c>
      <c r="G235" t="inlineStr">
        <is>
          <t>FILIPSTAD</t>
        </is>
      </c>
      <c r="H235" t="inlineStr">
        <is>
          <t>Bergvik skog väst AB</t>
        </is>
      </c>
      <c r="I235" t="n">
        <v>2.9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53325-2025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45959</v>
      </c>
      <c r="E236" s="1" t="n">
        <v>46306</v>
      </c>
      <c r="F236" t="inlineStr">
        <is>
          <t>VÄRMLANDS LÄN</t>
        </is>
      </c>
      <c r="G236" t="inlineStr">
        <is>
          <t>FILIPSTAD</t>
        </is>
      </c>
      <c r="H236" t="inlineStr">
        <is>
          <t>Kyrkan</t>
        </is>
      </c>
      <c r="I236" t="n">
        <v>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53395-2025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45959</v>
      </c>
      <c r="E237" s="1" t="n">
        <v>46306</v>
      </c>
      <c r="F237" t="inlineStr">
        <is>
          <t>VÄRMLANDS LÄN</t>
        </is>
      </c>
      <c r="G237" t="inlineStr">
        <is>
          <t>FILIPSTAD</t>
        </is>
      </c>
      <c r="H237" t="inlineStr">
        <is>
          <t>Kyrkan</t>
        </is>
      </c>
      <c r="I237" t="n">
        <v>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19030-2022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44691</v>
      </c>
      <c r="E238" s="1" t="n">
        <v>46306</v>
      </c>
      <c r="F238" t="inlineStr">
        <is>
          <t>VÄRMLANDS LÄN</t>
        </is>
      </c>
      <c r="G238" t="inlineStr">
        <is>
          <t>FILIPSTAD</t>
        </is>
      </c>
      <c r="I238" t="n">
        <v>1.7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31883-2025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45834</v>
      </c>
      <c r="E239" s="1" t="n">
        <v>46306</v>
      </c>
      <c r="F239" t="inlineStr">
        <is>
          <t>VÄRMLANDS LÄN</t>
        </is>
      </c>
      <c r="G239" t="inlineStr">
        <is>
          <t>FILIPSTAD</t>
        </is>
      </c>
      <c r="I239" t="n">
        <v>18.7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12160-2023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44998</v>
      </c>
      <c r="E240" s="1" t="n">
        <v>46306</v>
      </c>
      <c r="F240" t="inlineStr">
        <is>
          <t>VÄRMLANDS LÄN</t>
        </is>
      </c>
      <c r="G240" t="inlineStr">
        <is>
          <t>FILIPSTAD</t>
        </is>
      </c>
      <c r="H240" t="inlineStr">
        <is>
          <t>Bergvik skog väst AB</t>
        </is>
      </c>
      <c r="I240" t="n">
        <v>11.2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32032-2025</t>
        </is>
      </c>
      <c r="B241" t="inlineStr">
        <is>
          <t>avverkningsanmälan</t>
        </is>
      </c>
      <c r="C241" t="inlineStr">
        <is>
          <t>Avverkning för annat ändamål</t>
        </is>
      </c>
      <c r="D241" s="1" t="n">
        <v>45835</v>
      </c>
      <c r="E241" s="1" t="n">
        <v>46306</v>
      </c>
      <c r="F241" t="inlineStr">
        <is>
          <t>VÄRMLANDS LÄN</t>
        </is>
      </c>
      <c r="G241" t="inlineStr">
        <is>
          <t>FILIPSTAD</t>
        </is>
      </c>
      <c r="I241" t="n">
        <v>0.2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30165-2025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45827</v>
      </c>
      <c r="E242" s="1" t="n">
        <v>46306</v>
      </c>
      <c r="F242" t="inlineStr">
        <is>
          <t>VÄRMLANDS LÄN</t>
        </is>
      </c>
      <c r="G242" t="inlineStr">
        <is>
          <t>FILIPSTAD</t>
        </is>
      </c>
      <c r="H242" t="inlineStr">
        <is>
          <t>Kyrkan</t>
        </is>
      </c>
      <c r="I242" t="n">
        <v>6.5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37577-2023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45159</v>
      </c>
      <c r="E243" s="1" t="n">
        <v>46306</v>
      </c>
      <c r="F243" t="inlineStr">
        <is>
          <t>VÄRMLANDS LÄN</t>
        </is>
      </c>
      <c r="G243" t="inlineStr">
        <is>
          <t>FILIPSTAD</t>
        </is>
      </c>
      <c r="I243" t="n">
        <v>1.5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54497-2025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45965</v>
      </c>
      <c r="E244" s="1" t="n">
        <v>46306</v>
      </c>
      <c r="F244" t="inlineStr">
        <is>
          <t>VÄRMLANDS LÄN</t>
        </is>
      </c>
      <c r="G244" t="inlineStr">
        <is>
          <t>FILIPSTAD</t>
        </is>
      </c>
      <c r="H244" t="inlineStr">
        <is>
          <t>Bergvik skog väst AB</t>
        </is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43233-2023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45180</v>
      </c>
      <c r="E245" s="1" t="n">
        <v>46306</v>
      </c>
      <c r="F245" t="inlineStr">
        <is>
          <t>VÄRMLANDS LÄN</t>
        </is>
      </c>
      <c r="G245" t="inlineStr">
        <is>
          <t>FILIPSTAD</t>
        </is>
      </c>
      <c r="I245" t="n">
        <v>2.4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20663-2024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45436</v>
      </c>
      <c r="E246" s="1" t="n">
        <v>46306</v>
      </c>
      <c r="F246" t="inlineStr">
        <is>
          <t>VÄRMLANDS LÄN</t>
        </is>
      </c>
      <c r="G246" t="inlineStr">
        <is>
          <t>FILIPSTAD</t>
        </is>
      </c>
      <c r="H246" t="inlineStr">
        <is>
          <t>Bergvik skog väst AB</t>
        </is>
      </c>
      <c r="I246" t="n">
        <v>0.7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4743-2025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45688</v>
      </c>
      <c r="E247" s="1" t="n">
        <v>46306</v>
      </c>
      <c r="F247" t="inlineStr">
        <is>
          <t>VÄRMLANDS LÄN</t>
        </is>
      </c>
      <c r="G247" t="inlineStr">
        <is>
          <t>FILIPSTAD</t>
        </is>
      </c>
      <c r="I247" t="n">
        <v>1.7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54328-2025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45965</v>
      </c>
      <c r="E248" s="1" t="n">
        <v>46306</v>
      </c>
      <c r="F248" t="inlineStr">
        <is>
          <t>VÄRMLANDS LÄN</t>
        </is>
      </c>
      <c r="G248" t="inlineStr">
        <is>
          <t>FILIPSTAD</t>
        </is>
      </c>
      <c r="H248" t="inlineStr">
        <is>
          <t>Bergvik skog väst AB</t>
        </is>
      </c>
      <c r="I248" t="n">
        <v>4.7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55173-2025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45968</v>
      </c>
      <c r="E249" s="1" t="n">
        <v>46306</v>
      </c>
      <c r="F249" t="inlineStr">
        <is>
          <t>VÄRMLANDS LÄN</t>
        </is>
      </c>
      <c r="G249" t="inlineStr">
        <is>
          <t>FILIPSTAD</t>
        </is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55175-2025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45968</v>
      </c>
      <c r="E250" s="1" t="n">
        <v>46306</v>
      </c>
      <c r="F250" t="inlineStr">
        <is>
          <t>VÄRMLANDS LÄN</t>
        </is>
      </c>
      <c r="G250" t="inlineStr">
        <is>
          <t>FILIPSTAD</t>
        </is>
      </c>
      <c r="I250" t="n">
        <v>4.2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33407-2025</t>
        </is>
      </c>
      <c r="B251" t="inlineStr">
        <is>
          <t>avverkningsanmälan</t>
        </is>
      </c>
      <c r="C251" t="inlineStr">
        <is>
          <t>Avverkning för annat ändamål</t>
        </is>
      </c>
      <c r="D251" s="1" t="n">
        <v>45841</v>
      </c>
      <c r="E251" s="1" t="n">
        <v>46306</v>
      </c>
      <c r="F251" t="inlineStr">
        <is>
          <t>VÄRMLANDS LÄN</t>
        </is>
      </c>
      <c r="G251" t="inlineStr">
        <is>
          <t>FILIPSTAD</t>
        </is>
      </c>
      <c r="H251" t="inlineStr">
        <is>
          <t>Bergvik skog väst AB</t>
        </is>
      </c>
      <c r="I251" t="n">
        <v>2.8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55514-2025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45971</v>
      </c>
      <c r="E252" s="1" t="n">
        <v>46306</v>
      </c>
      <c r="F252" t="inlineStr">
        <is>
          <t>VÄRMLANDS LÄN</t>
        </is>
      </c>
      <c r="G252" t="inlineStr">
        <is>
          <t>FILIPSTAD</t>
        </is>
      </c>
      <c r="H252" t="inlineStr">
        <is>
          <t>Bergvik skog väst AB</t>
        </is>
      </c>
      <c r="I252" t="n">
        <v>13.3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43633-2024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45569</v>
      </c>
      <c r="E253" s="1" t="n">
        <v>46306</v>
      </c>
      <c r="F253" t="inlineStr">
        <is>
          <t>VÄRMLANDS LÄN</t>
        </is>
      </c>
      <c r="G253" t="inlineStr">
        <is>
          <t>FILIPSTAD</t>
        </is>
      </c>
      <c r="H253" t="inlineStr">
        <is>
          <t>Bergvik skog väst AB</t>
        </is>
      </c>
      <c r="I253" t="n">
        <v>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55579-2025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45971</v>
      </c>
      <c r="E254" s="1" t="n">
        <v>46306</v>
      </c>
      <c r="F254" t="inlineStr">
        <is>
          <t>VÄRMLANDS LÄN</t>
        </is>
      </c>
      <c r="G254" t="inlineStr">
        <is>
          <t>FILIPSTAD</t>
        </is>
      </c>
      <c r="H254" t="inlineStr">
        <is>
          <t>Bergvik skog väst AB</t>
        </is>
      </c>
      <c r="I254" t="n">
        <v>8.699999999999999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55668-2025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45972</v>
      </c>
      <c r="E255" s="1" t="n">
        <v>46306</v>
      </c>
      <c r="F255" t="inlineStr">
        <is>
          <t>VÄRMLANDS LÄN</t>
        </is>
      </c>
      <c r="G255" t="inlineStr">
        <is>
          <t>FILIPSTAD</t>
        </is>
      </c>
      <c r="H255" t="inlineStr">
        <is>
          <t>Bergvik skog väst AB</t>
        </is>
      </c>
      <c r="I255" t="n">
        <v>1.1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53210-2023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45222</v>
      </c>
      <c r="E256" s="1" t="n">
        <v>46306</v>
      </c>
      <c r="F256" t="inlineStr">
        <is>
          <t>VÄRMLANDS LÄN</t>
        </is>
      </c>
      <c r="G256" t="inlineStr">
        <is>
          <t>FILIPSTAD</t>
        </is>
      </c>
      <c r="I256" t="n">
        <v>4.9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56086-2025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45973</v>
      </c>
      <c r="E257" s="1" t="n">
        <v>46306</v>
      </c>
      <c r="F257" t="inlineStr">
        <is>
          <t>VÄRMLANDS LÄN</t>
        </is>
      </c>
      <c r="G257" t="inlineStr">
        <is>
          <t>FILIPSTAD</t>
        </is>
      </c>
      <c r="H257" t="inlineStr">
        <is>
          <t>Bergvik skog väst AB</t>
        </is>
      </c>
      <c r="I257" t="n">
        <v>2.1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39633-2023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45167</v>
      </c>
      <c r="E258" s="1" t="n">
        <v>46306</v>
      </c>
      <c r="F258" t="inlineStr">
        <is>
          <t>VÄRMLANDS LÄN</t>
        </is>
      </c>
      <c r="G258" t="inlineStr">
        <is>
          <t>FILIPSTAD</t>
        </is>
      </c>
      <c r="H258" t="inlineStr">
        <is>
          <t>Bergvik skog väst AB</t>
        </is>
      </c>
      <c r="I258" t="n">
        <v>3.5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43635-2023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45186</v>
      </c>
      <c r="E259" s="1" t="n">
        <v>46306</v>
      </c>
      <c r="F259" t="inlineStr">
        <is>
          <t>VÄRMLANDS LÄN</t>
        </is>
      </c>
      <c r="G259" t="inlineStr">
        <is>
          <t>FILIPSTAD</t>
        </is>
      </c>
      <c r="I259" t="n">
        <v>15.3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56201-2025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45974</v>
      </c>
      <c r="E260" s="1" t="n">
        <v>46306</v>
      </c>
      <c r="F260" t="inlineStr">
        <is>
          <t>VÄRMLANDS LÄN</t>
        </is>
      </c>
      <c r="G260" t="inlineStr">
        <is>
          <t>FILIPSTAD</t>
        </is>
      </c>
      <c r="H260" t="inlineStr">
        <is>
          <t>Bergvik skog väst AB</t>
        </is>
      </c>
      <c r="I260" t="n">
        <v>0.4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56167-2025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45974</v>
      </c>
      <c r="E261" s="1" t="n">
        <v>46306</v>
      </c>
      <c r="F261" t="inlineStr">
        <is>
          <t>VÄRMLANDS LÄN</t>
        </is>
      </c>
      <c r="G261" t="inlineStr">
        <is>
          <t>FILIPSTAD</t>
        </is>
      </c>
      <c r="H261" t="inlineStr">
        <is>
          <t>Bergvik skog väst AB</t>
        </is>
      </c>
      <c r="I261" t="n">
        <v>1.4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56182-2025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45974</v>
      </c>
      <c r="E262" s="1" t="n">
        <v>46306</v>
      </c>
      <c r="F262" t="inlineStr">
        <is>
          <t>VÄRMLANDS LÄN</t>
        </is>
      </c>
      <c r="G262" t="inlineStr">
        <is>
          <t>FILIPSTAD</t>
        </is>
      </c>
      <c r="H262" t="inlineStr">
        <is>
          <t>Bergvik skog väst AB</t>
        </is>
      </c>
      <c r="I262" t="n">
        <v>0.5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56184-2025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45974</v>
      </c>
      <c r="E263" s="1" t="n">
        <v>46306</v>
      </c>
      <c r="F263" t="inlineStr">
        <is>
          <t>VÄRMLANDS LÄN</t>
        </is>
      </c>
      <c r="G263" t="inlineStr">
        <is>
          <t>FILIPSTAD</t>
        </is>
      </c>
      <c r="H263" t="inlineStr">
        <is>
          <t>Bergvik skog väst AB</t>
        </is>
      </c>
      <c r="I263" t="n">
        <v>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56062-2025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45973</v>
      </c>
      <c r="E264" s="1" t="n">
        <v>46306</v>
      </c>
      <c r="F264" t="inlineStr">
        <is>
          <t>VÄRMLANDS LÄN</t>
        </is>
      </c>
      <c r="G264" t="inlineStr">
        <is>
          <t>FILIPSTAD</t>
        </is>
      </c>
      <c r="H264" t="inlineStr">
        <is>
          <t>Bergvik skog väst AB</t>
        </is>
      </c>
      <c r="I264" t="n">
        <v>9.199999999999999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16103-2025</t>
        </is>
      </c>
      <c r="B265" t="inlineStr">
        <is>
          <t>avverkningsanmälan</t>
        </is>
      </c>
      <c r="C265" t="inlineStr">
        <is>
          <t>Avverkning för annat ändamål</t>
        </is>
      </c>
      <c r="D265" s="1" t="n">
        <v>45750</v>
      </c>
      <c r="E265" s="1" t="n">
        <v>46306</v>
      </c>
      <c r="F265" t="inlineStr">
        <is>
          <t>VÄRMLANDS LÄN</t>
        </is>
      </c>
      <c r="G265" t="inlineStr">
        <is>
          <t>FILIPSTAD</t>
        </is>
      </c>
      <c r="I265" t="n">
        <v>0.5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56008-2025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45973</v>
      </c>
      <c r="E266" s="1" t="n">
        <v>46306</v>
      </c>
      <c r="F266" t="inlineStr">
        <is>
          <t>VÄRMLANDS LÄN</t>
        </is>
      </c>
      <c r="G266" t="inlineStr">
        <is>
          <t>FILIPSTAD</t>
        </is>
      </c>
      <c r="H266" t="inlineStr">
        <is>
          <t>Bergvik skog väst AB</t>
        </is>
      </c>
      <c r="I266" t="n">
        <v>8.199999999999999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56083-2025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45973</v>
      </c>
      <c r="E267" s="1" t="n">
        <v>46306</v>
      </c>
      <c r="F267" t="inlineStr">
        <is>
          <t>VÄRMLANDS LÄN</t>
        </is>
      </c>
      <c r="G267" t="inlineStr">
        <is>
          <t>FILIPSTAD</t>
        </is>
      </c>
      <c r="H267" t="inlineStr">
        <is>
          <t>Bergvik skog väst AB</t>
        </is>
      </c>
      <c r="I267" t="n">
        <v>0.9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56045-2025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45973</v>
      </c>
      <c r="E268" s="1" t="n">
        <v>46306</v>
      </c>
      <c r="F268" t="inlineStr">
        <is>
          <t>VÄRMLANDS LÄN</t>
        </is>
      </c>
      <c r="G268" t="inlineStr">
        <is>
          <t>FILIPSTAD</t>
        </is>
      </c>
      <c r="H268" t="inlineStr">
        <is>
          <t>Bergvik skog väst AB</t>
        </is>
      </c>
      <c r="I268" t="n">
        <v>3.6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30077-2025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45826</v>
      </c>
      <c r="E269" s="1" t="n">
        <v>46306</v>
      </c>
      <c r="F269" t="inlineStr">
        <is>
          <t>VÄRMLANDS LÄN</t>
        </is>
      </c>
      <c r="G269" t="inlineStr">
        <is>
          <t>FILIPSTAD</t>
        </is>
      </c>
      <c r="H269" t="inlineStr">
        <is>
          <t>Bergvik skog väst AB</t>
        </is>
      </c>
      <c r="I269" t="n">
        <v>3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36251-2022</t>
        </is>
      </c>
      <c r="B270" t="inlineStr">
        <is>
          <t>avverkningsanmälan</t>
        </is>
      </c>
      <c r="C270" t="inlineStr">
        <is>
          <t>Avverkning för annat ändamål</t>
        </is>
      </c>
      <c r="D270" s="1" t="n">
        <v>44803</v>
      </c>
      <c r="E270" s="1" t="n">
        <v>46306</v>
      </c>
      <c r="F270" t="inlineStr">
        <is>
          <t>VÄRMLANDS LÄN</t>
        </is>
      </c>
      <c r="G270" t="inlineStr">
        <is>
          <t>FILIPSTAD</t>
        </is>
      </c>
      <c r="H270" t="inlineStr">
        <is>
          <t>Bergvik skog väst AB</t>
        </is>
      </c>
      <c r="I270" t="n">
        <v>4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22866-2023</t>
        </is>
      </c>
      <c r="B271" t="inlineStr">
        <is>
          <t>avverkningsanmälan</t>
        </is>
      </c>
      <c r="C271" t="inlineStr">
        <is>
          <t>Avverkning för annat ändamål</t>
        </is>
      </c>
      <c r="D271" s="1" t="n">
        <v>45072</v>
      </c>
      <c r="E271" s="1" t="n">
        <v>46306</v>
      </c>
      <c r="F271" t="inlineStr">
        <is>
          <t>VÄRMLANDS LÄN</t>
        </is>
      </c>
      <c r="G271" t="inlineStr">
        <is>
          <t>FILIPSTAD</t>
        </is>
      </c>
      <c r="H271" t="inlineStr">
        <is>
          <t>Bergvik skog väst AB</t>
        </is>
      </c>
      <c r="I271" t="n">
        <v>1.6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29473-2024</t>
        </is>
      </c>
      <c r="B272" t="inlineStr">
        <is>
          <t>avverkningsanmälan</t>
        </is>
      </c>
      <c r="C272" t="inlineStr">
        <is>
          <t>Avverkning för annat ändamål</t>
        </is>
      </c>
      <c r="D272" s="1" t="n">
        <v>45484</v>
      </c>
      <c r="E272" s="1" t="n">
        <v>46306</v>
      </c>
      <c r="F272" t="inlineStr">
        <is>
          <t>VÄRMLANDS LÄN</t>
        </is>
      </c>
      <c r="G272" t="inlineStr">
        <is>
          <t>FILIPSTAD</t>
        </is>
      </c>
      <c r="I272" t="n">
        <v>1.1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33671-2022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44789</v>
      </c>
      <c r="E273" s="1" t="n">
        <v>46306</v>
      </c>
      <c r="F273" t="inlineStr">
        <is>
          <t>VÄRMLANDS LÄN</t>
        </is>
      </c>
      <c r="G273" t="inlineStr">
        <is>
          <t>FILIPSTAD</t>
        </is>
      </c>
      <c r="H273" t="inlineStr">
        <is>
          <t>Bergvik skog väst AB</t>
        </is>
      </c>
      <c r="I273" t="n">
        <v>10.6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46257-2022</t>
        </is>
      </c>
      <c r="B274" t="inlineStr">
        <is>
          <t>avverkningsanmälan</t>
        </is>
      </c>
      <c r="C274" t="inlineStr">
        <is>
          <t>Avverkning för annat ändamål</t>
        </is>
      </c>
      <c r="D274" s="1" t="n">
        <v>44847</v>
      </c>
      <c r="E274" s="1" t="n">
        <v>46306</v>
      </c>
      <c r="F274" t="inlineStr">
        <is>
          <t>VÄRMLANDS LÄN</t>
        </is>
      </c>
      <c r="G274" t="inlineStr">
        <is>
          <t>FILIPSTAD</t>
        </is>
      </c>
      <c r="I274" t="n">
        <v>0.3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36827-2022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44805</v>
      </c>
      <c r="E275" s="1" t="n">
        <v>46306</v>
      </c>
      <c r="F275" t="inlineStr">
        <is>
          <t>VÄRMLANDS LÄN</t>
        </is>
      </c>
      <c r="G275" t="inlineStr">
        <is>
          <t>FILIPSTAD</t>
        </is>
      </c>
      <c r="H275" t="inlineStr">
        <is>
          <t>Bergvik skog väst AB</t>
        </is>
      </c>
      <c r="I275" t="n">
        <v>3.8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37611-2022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44809</v>
      </c>
      <c r="E276" s="1" t="n">
        <v>46306</v>
      </c>
      <c r="F276" t="inlineStr">
        <is>
          <t>VÄRMLANDS LÄN</t>
        </is>
      </c>
      <c r="G276" t="inlineStr">
        <is>
          <t>FILIPSTAD</t>
        </is>
      </c>
      <c r="I276" t="n">
        <v>5.4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57244-2023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45245</v>
      </c>
      <c r="E277" s="1" t="n">
        <v>46306</v>
      </c>
      <c r="F277" t="inlineStr">
        <is>
          <t>VÄRMLANDS LÄN</t>
        </is>
      </c>
      <c r="G277" t="inlineStr">
        <is>
          <t>FILIPSTAD</t>
        </is>
      </c>
      <c r="H277" t="inlineStr">
        <is>
          <t>Bergvik skog väst AB</t>
        </is>
      </c>
      <c r="I277" t="n">
        <v>1.6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36582-2025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45870</v>
      </c>
      <c r="E278" s="1" t="n">
        <v>46306</v>
      </c>
      <c r="F278" t="inlineStr">
        <is>
          <t>VÄRMLANDS LÄN</t>
        </is>
      </c>
      <c r="G278" t="inlineStr">
        <is>
          <t>FILIPSTAD</t>
        </is>
      </c>
      <c r="H278" t="inlineStr">
        <is>
          <t>Bergvik skog väst AB</t>
        </is>
      </c>
      <c r="I278" t="n">
        <v>4.7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10338-2025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45720</v>
      </c>
      <c r="E279" s="1" t="n">
        <v>46306</v>
      </c>
      <c r="F279" t="inlineStr">
        <is>
          <t>VÄRMLANDS LÄN</t>
        </is>
      </c>
      <c r="G279" t="inlineStr">
        <is>
          <t>FILIPSTAD</t>
        </is>
      </c>
      <c r="H279" t="inlineStr">
        <is>
          <t>Bergvik skog väst AB</t>
        </is>
      </c>
      <c r="I279" t="n">
        <v>2.3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25338-2023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45087</v>
      </c>
      <c r="E280" s="1" t="n">
        <v>46306</v>
      </c>
      <c r="F280" t="inlineStr">
        <is>
          <t>VÄRMLANDS LÄN</t>
        </is>
      </c>
      <c r="G280" t="inlineStr">
        <is>
          <t>FILIPSTAD</t>
        </is>
      </c>
      <c r="I280" t="n">
        <v>0.9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2440-2022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44579</v>
      </c>
      <c r="E281" s="1" t="n">
        <v>46306</v>
      </c>
      <c r="F281" t="inlineStr">
        <is>
          <t>VÄRMLANDS LÄN</t>
        </is>
      </c>
      <c r="G281" t="inlineStr">
        <is>
          <t>FILIPSTAD</t>
        </is>
      </c>
      <c r="I281" t="n">
        <v>1.6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58019-2025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45982</v>
      </c>
      <c r="E282" s="1" t="n">
        <v>46306</v>
      </c>
      <c r="F282" t="inlineStr">
        <is>
          <t>VÄRMLANDS LÄN</t>
        </is>
      </c>
      <c r="G282" t="inlineStr">
        <is>
          <t>FILIPSTAD</t>
        </is>
      </c>
      <c r="H282" t="inlineStr">
        <is>
          <t>Bergvik skog väst AB</t>
        </is>
      </c>
      <c r="I282" t="n">
        <v>28.4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19705-2025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45771</v>
      </c>
      <c r="E283" s="1" t="n">
        <v>46306</v>
      </c>
      <c r="F283" t="inlineStr">
        <is>
          <t>VÄRMLANDS LÄN</t>
        </is>
      </c>
      <c r="G283" t="inlineStr">
        <is>
          <t>FILIPSTAD</t>
        </is>
      </c>
      <c r="H283" t="inlineStr">
        <is>
          <t>Bergvik skog väst AB</t>
        </is>
      </c>
      <c r="I283" t="n">
        <v>6.9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38175-2025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45882</v>
      </c>
      <c r="E284" s="1" t="n">
        <v>46306</v>
      </c>
      <c r="F284" t="inlineStr">
        <is>
          <t>VÄRMLANDS LÄN</t>
        </is>
      </c>
      <c r="G284" t="inlineStr">
        <is>
          <t>FILIPSTAD</t>
        </is>
      </c>
      <c r="H284" t="inlineStr">
        <is>
          <t>Bergvik skog väst AB</t>
        </is>
      </c>
      <c r="I284" t="n">
        <v>3.4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57872-2025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45981</v>
      </c>
      <c r="E285" s="1" t="n">
        <v>46306</v>
      </c>
      <c r="F285" t="inlineStr">
        <is>
          <t>VÄRMLANDS LÄN</t>
        </is>
      </c>
      <c r="G285" t="inlineStr">
        <is>
          <t>FILIPSTAD</t>
        </is>
      </c>
      <c r="H285" t="inlineStr">
        <is>
          <t>Bergvik skog väst AB</t>
        </is>
      </c>
      <c r="I285" t="n">
        <v>4.4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13553-2026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46094</v>
      </c>
      <c r="E286" s="1" t="n">
        <v>46306</v>
      </c>
      <c r="F286" t="inlineStr">
        <is>
          <t>VÄRMLANDS LÄN</t>
        </is>
      </c>
      <c r="G286" t="inlineStr">
        <is>
          <t>FILIPSTAD</t>
        </is>
      </c>
      <c r="H286" t="inlineStr">
        <is>
          <t>Bergvik skog väst AB</t>
        </is>
      </c>
      <c r="I286" t="n">
        <v>8.9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13393-2026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46094</v>
      </c>
      <c r="E287" s="1" t="n">
        <v>46306</v>
      </c>
      <c r="F287" t="inlineStr">
        <is>
          <t>VÄRMLANDS LÄN</t>
        </is>
      </c>
      <c r="G287" t="inlineStr">
        <is>
          <t>FILIPSTAD</t>
        </is>
      </c>
      <c r="H287" t="inlineStr">
        <is>
          <t>Bergvik skog väst AB</t>
        </is>
      </c>
      <c r="I287" t="n">
        <v>2.3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13863-2026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46098</v>
      </c>
      <c r="E288" s="1" t="n">
        <v>46306</v>
      </c>
      <c r="F288" t="inlineStr">
        <is>
          <t>VÄRMLANDS LÄN</t>
        </is>
      </c>
      <c r="G288" t="inlineStr">
        <is>
          <t>FILIPSTAD</t>
        </is>
      </c>
      <c r="H288" t="inlineStr">
        <is>
          <t>Bergvik skog väst AB</t>
        </is>
      </c>
      <c r="I288" t="n">
        <v>13.7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13955-2026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46098</v>
      </c>
      <c r="E289" s="1" t="n">
        <v>46306</v>
      </c>
      <c r="F289" t="inlineStr">
        <is>
          <t>VÄRMLANDS LÄN</t>
        </is>
      </c>
      <c r="G289" t="inlineStr">
        <is>
          <t>FILIPSTAD</t>
        </is>
      </c>
      <c r="H289" t="inlineStr">
        <is>
          <t>Bergvik skog väst AB</t>
        </is>
      </c>
      <c r="I289" t="n">
        <v>1.6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54828-2023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45229</v>
      </c>
      <c r="E290" s="1" t="n">
        <v>46306</v>
      </c>
      <c r="F290" t="inlineStr">
        <is>
          <t>VÄRMLANDS LÄN</t>
        </is>
      </c>
      <c r="G290" t="inlineStr">
        <is>
          <t>FILIPSTAD</t>
        </is>
      </c>
      <c r="I290" t="n">
        <v>1.3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14379-2026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46100</v>
      </c>
      <c r="E291" s="1" t="n">
        <v>46306</v>
      </c>
      <c r="F291" t="inlineStr">
        <is>
          <t>VÄRMLANDS LÄN</t>
        </is>
      </c>
      <c r="G291" t="inlineStr">
        <is>
          <t>FILIPSTAD</t>
        </is>
      </c>
      <c r="H291" t="inlineStr">
        <is>
          <t>Bergvik skog väst AB</t>
        </is>
      </c>
      <c r="I291" t="n">
        <v>5.7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41983-2023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45177</v>
      </c>
      <c r="E292" s="1" t="n">
        <v>46306</v>
      </c>
      <c r="F292" t="inlineStr">
        <is>
          <t>VÄRMLANDS LÄN</t>
        </is>
      </c>
      <c r="G292" t="inlineStr">
        <is>
          <t>FILIPSTAD</t>
        </is>
      </c>
      <c r="I292" t="n">
        <v>2.7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58211-2025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45985</v>
      </c>
      <c r="E293" s="1" t="n">
        <v>46306</v>
      </c>
      <c r="F293" t="inlineStr">
        <is>
          <t>VÄRMLANDS LÄN</t>
        </is>
      </c>
      <c r="G293" t="inlineStr">
        <is>
          <t>FILIPSTAD</t>
        </is>
      </c>
      <c r="H293" t="inlineStr">
        <is>
          <t>Bergvik skog väst AB</t>
        </is>
      </c>
      <c r="I293" t="n">
        <v>1.7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14315-2026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46099</v>
      </c>
      <c r="E294" s="1" t="n">
        <v>46306</v>
      </c>
      <c r="F294" t="inlineStr">
        <is>
          <t>VÄRMLANDS LÄN</t>
        </is>
      </c>
      <c r="G294" t="inlineStr">
        <is>
          <t>FILIPSTAD</t>
        </is>
      </c>
      <c r="H294" t="inlineStr">
        <is>
          <t>Bergvik skog väst AB</t>
        </is>
      </c>
      <c r="I294" t="n">
        <v>1.5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6728-2025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45700</v>
      </c>
      <c r="E295" s="1" t="n">
        <v>46306</v>
      </c>
      <c r="F295" t="inlineStr">
        <is>
          <t>VÄRMLANDS LÄN</t>
        </is>
      </c>
      <c r="G295" t="inlineStr">
        <is>
          <t>FILIPSTAD</t>
        </is>
      </c>
      <c r="I295" t="n">
        <v>2.5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15197-2026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46105</v>
      </c>
      <c r="E296" s="1" t="n">
        <v>46306</v>
      </c>
      <c r="F296" t="inlineStr">
        <is>
          <t>VÄRMLANDS LÄN</t>
        </is>
      </c>
      <c r="G296" t="inlineStr">
        <is>
          <t>FILIPSTAD</t>
        </is>
      </c>
      <c r="H296" t="inlineStr">
        <is>
          <t>Bergvik skog väst AB</t>
        </is>
      </c>
      <c r="I296" t="n">
        <v>2.1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16100-2025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45750</v>
      </c>
      <c r="E297" s="1" t="n">
        <v>46306</v>
      </c>
      <c r="F297" t="inlineStr">
        <is>
          <t>VÄRMLANDS LÄN</t>
        </is>
      </c>
      <c r="G297" t="inlineStr">
        <is>
          <t>FILIPSTAD</t>
        </is>
      </c>
      <c r="I297" t="n">
        <v>1.9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58389-2025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45985</v>
      </c>
      <c r="E298" s="1" t="n">
        <v>46306</v>
      </c>
      <c r="F298" t="inlineStr">
        <is>
          <t>VÄRMLANDS LÄN</t>
        </is>
      </c>
      <c r="G298" t="inlineStr">
        <is>
          <t>FILIPSTAD</t>
        </is>
      </c>
      <c r="H298" t="inlineStr">
        <is>
          <t>Bergvik skog väst AB</t>
        </is>
      </c>
      <c r="I298" t="n">
        <v>4.4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15848-2026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46107</v>
      </c>
      <c r="E299" s="1" t="n">
        <v>46306</v>
      </c>
      <c r="F299" t="inlineStr">
        <is>
          <t>VÄRMLANDS LÄN</t>
        </is>
      </c>
      <c r="G299" t="inlineStr">
        <is>
          <t>FILIPSTAD</t>
        </is>
      </c>
      <c r="H299" t="inlineStr">
        <is>
          <t>Bergvik skog väst AB</t>
        </is>
      </c>
      <c r="I299" t="n">
        <v>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53034-2022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44876</v>
      </c>
      <c r="E300" s="1" t="n">
        <v>46306</v>
      </c>
      <c r="F300" t="inlineStr">
        <is>
          <t>VÄRMLANDS LÄN</t>
        </is>
      </c>
      <c r="G300" t="inlineStr">
        <is>
          <t>FILIPSTAD</t>
        </is>
      </c>
      <c r="I300" t="n">
        <v>0.6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14459-2023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45012</v>
      </c>
      <c r="E301" s="1" t="n">
        <v>46306</v>
      </c>
      <c r="F301" t="inlineStr">
        <is>
          <t>VÄRMLANDS LÄN</t>
        </is>
      </c>
      <c r="G301" t="inlineStr">
        <is>
          <t>FILIPSTAD</t>
        </is>
      </c>
      <c r="I301" t="n">
        <v>2.3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59290-2025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45988</v>
      </c>
      <c r="E302" s="1" t="n">
        <v>46306</v>
      </c>
      <c r="F302" t="inlineStr">
        <is>
          <t>VÄRMLANDS LÄN</t>
        </is>
      </c>
      <c r="G302" t="inlineStr">
        <is>
          <t>FILIPSTAD</t>
        </is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15619-2026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46106</v>
      </c>
      <c r="E303" s="1" t="n">
        <v>46306</v>
      </c>
      <c r="F303" t="inlineStr">
        <is>
          <t>VÄRMLANDS LÄN</t>
        </is>
      </c>
      <c r="G303" t="inlineStr">
        <is>
          <t>FILIPSTAD</t>
        </is>
      </c>
      <c r="H303" t="inlineStr">
        <is>
          <t>Bergvik skog väst AB</t>
        </is>
      </c>
      <c r="I303" t="n">
        <v>4.4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15920-2026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46107</v>
      </c>
      <c r="E304" s="1" t="n">
        <v>46306</v>
      </c>
      <c r="F304" t="inlineStr">
        <is>
          <t>VÄRMLANDS LÄN</t>
        </is>
      </c>
      <c r="G304" t="inlineStr">
        <is>
          <t>FILIPSTAD</t>
        </is>
      </c>
      <c r="H304" t="inlineStr">
        <is>
          <t>Bergvik skog väst AB</t>
        </is>
      </c>
      <c r="I304" t="n">
        <v>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15889-2026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46107</v>
      </c>
      <c r="E305" s="1" t="n">
        <v>46306</v>
      </c>
      <c r="F305" t="inlineStr">
        <is>
          <t>VÄRMLANDS LÄN</t>
        </is>
      </c>
      <c r="G305" t="inlineStr">
        <is>
          <t>FILIPSTAD</t>
        </is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15644-2026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46106</v>
      </c>
      <c r="E306" s="1" t="n">
        <v>46306</v>
      </c>
      <c r="F306" t="inlineStr">
        <is>
          <t>VÄRMLANDS LÄN</t>
        </is>
      </c>
      <c r="G306" t="inlineStr">
        <is>
          <t>FILIPSTAD</t>
        </is>
      </c>
      <c r="H306" t="inlineStr">
        <is>
          <t>Bergvik skog väst AB</t>
        </is>
      </c>
      <c r="I306" t="n">
        <v>4.4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15645-2026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46106</v>
      </c>
      <c r="E307" s="1" t="n">
        <v>46306</v>
      </c>
      <c r="F307" t="inlineStr">
        <is>
          <t>VÄRMLANDS LÄN</t>
        </is>
      </c>
      <c r="G307" t="inlineStr">
        <is>
          <t>FILIPSTAD</t>
        </is>
      </c>
      <c r="H307" t="inlineStr">
        <is>
          <t>Bergvik skog väst AB</t>
        </is>
      </c>
      <c r="I307" t="n">
        <v>6.7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16009-2026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46108</v>
      </c>
      <c r="E308" s="1" t="n">
        <v>46306</v>
      </c>
      <c r="F308" t="inlineStr">
        <is>
          <t>VÄRMLANDS LÄN</t>
        </is>
      </c>
      <c r="G308" t="inlineStr">
        <is>
          <t>FILIPSTAD</t>
        </is>
      </c>
      <c r="H308" t="inlineStr">
        <is>
          <t>Bergvik skog väst AB</t>
        </is>
      </c>
      <c r="I308" t="n">
        <v>2.2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16040-2026</t>
        </is>
      </c>
      <c r="B309" t="inlineStr">
        <is>
          <t>avverkningsanmälan</t>
        </is>
      </c>
      <c r="C309" t="inlineStr">
        <is>
          <t>Avverkning för att bevara och utveckla /försöksver</t>
        </is>
      </c>
      <c r="D309" s="1" t="n">
        <v>46108</v>
      </c>
      <c r="E309" s="1" t="n">
        <v>46306</v>
      </c>
      <c r="F309" t="inlineStr">
        <is>
          <t>VÄRMLANDS LÄN</t>
        </is>
      </c>
      <c r="G309" t="inlineStr">
        <is>
          <t>FILIPSTAD</t>
        </is>
      </c>
      <c r="H309" t="inlineStr">
        <is>
          <t>Bergvik skog väst AB</t>
        </is>
      </c>
      <c r="I309" t="n">
        <v>1.3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16050-2026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46108</v>
      </c>
      <c r="E310" s="1" t="n">
        <v>46306</v>
      </c>
      <c r="F310" t="inlineStr">
        <is>
          <t>VÄRMLANDS LÄN</t>
        </is>
      </c>
      <c r="G310" t="inlineStr">
        <is>
          <t>FILIPSTAD</t>
        </is>
      </c>
      <c r="H310" t="inlineStr">
        <is>
          <t>Bergvik skog väst AB</t>
        </is>
      </c>
      <c r="I310" t="n">
        <v>2.3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53348-2023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45229</v>
      </c>
      <c r="E311" s="1" t="n">
        <v>46306</v>
      </c>
      <c r="F311" t="inlineStr">
        <is>
          <t>VÄRMLANDS LÄN</t>
        </is>
      </c>
      <c r="G311" t="inlineStr">
        <is>
          <t>FILIPSTAD</t>
        </is>
      </c>
      <c r="H311" t="inlineStr">
        <is>
          <t>Bergvik skog väst AB</t>
        </is>
      </c>
      <c r="I311" t="n">
        <v>2.4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59414-2025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45989</v>
      </c>
      <c r="E312" s="1" t="n">
        <v>46306</v>
      </c>
      <c r="F312" t="inlineStr">
        <is>
          <t>VÄRMLANDS LÄN</t>
        </is>
      </c>
      <c r="G312" t="inlineStr">
        <is>
          <t>FILIPSTAD</t>
        </is>
      </c>
      <c r="H312" t="inlineStr">
        <is>
          <t>Bergvik skog väst AB</t>
        </is>
      </c>
      <c r="I312" t="n">
        <v>1.4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59712-2025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45992</v>
      </c>
      <c r="E313" s="1" t="n">
        <v>46306</v>
      </c>
      <c r="F313" t="inlineStr">
        <is>
          <t>VÄRMLANDS LÄN</t>
        </is>
      </c>
      <c r="G313" t="inlineStr">
        <is>
          <t>FILIPSTAD</t>
        </is>
      </c>
      <c r="H313" t="inlineStr">
        <is>
          <t>Bergvik skog väst AB</t>
        </is>
      </c>
      <c r="I313" t="n">
        <v>2.7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59707-2025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45992</v>
      </c>
      <c r="E314" s="1" t="n">
        <v>46306</v>
      </c>
      <c r="F314" t="inlineStr">
        <is>
          <t>VÄRMLANDS LÄN</t>
        </is>
      </c>
      <c r="G314" t="inlineStr">
        <is>
          <t>FILIPSTAD</t>
        </is>
      </c>
      <c r="H314" t="inlineStr">
        <is>
          <t>Bergvik skog väst AB</t>
        </is>
      </c>
      <c r="I314" t="n">
        <v>1.5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59709-2025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45992</v>
      </c>
      <c r="E315" s="1" t="n">
        <v>46306</v>
      </c>
      <c r="F315" t="inlineStr">
        <is>
          <t>VÄRMLANDS LÄN</t>
        </is>
      </c>
      <c r="G315" t="inlineStr">
        <is>
          <t>FILIPSTAD</t>
        </is>
      </c>
      <c r="H315" t="inlineStr">
        <is>
          <t>Bergvik skog väst AB</t>
        </is>
      </c>
      <c r="I315" t="n">
        <v>3.6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47455-2023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45202</v>
      </c>
      <c r="E316" s="1" t="n">
        <v>46306</v>
      </c>
      <c r="F316" t="inlineStr">
        <is>
          <t>VÄRMLANDS LÄN</t>
        </is>
      </c>
      <c r="G316" t="inlineStr">
        <is>
          <t>FILIPSTAD</t>
        </is>
      </c>
      <c r="H316" t="inlineStr">
        <is>
          <t>Bergvik skog väst AB</t>
        </is>
      </c>
      <c r="I316" t="n">
        <v>5.1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59423-2025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45989</v>
      </c>
      <c r="E317" s="1" t="n">
        <v>46306</v>
      </c>
      <c r="F317" t="inlineStr">
        <is>
          <t>VÄRMLANDS LÄN</t>
        </is>
      </c>
      <c r="G317" t="inlineStr">
        <is>
          <t>FILIPSTAD</t>
        </is>
      </c>
      <c r="I317" t="n">
        <v>1.5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59410-2025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45989</v>
      </c>
      <c r="E318" s="1" t="n">
        <v>46306</v>
      </c>
      <c r="F318" t="inlineStr">
        <is>
          <t>VÄRMLANDS LÄN</t>
        </is>
      </c>
      <c r="G318" t="inlineStr">
        <is>
          <t>FILIPSTAD</t>
        </is>
      </c>
      <c r="H318" t="inlineStr">
        <is>
          <t>Bergvik skog väst AB</t>
        </is>
      </c>
      <c r="I318" t="n">
        <v>2.7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59406-2025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45989</v>
      </c>
      <c r="E319" s="1" t="n">
        <v>46306</v>
      </c>
      <c r="F319" t="inlineStr">
        <is>
          <t>VÄRMLANDS LÄN</t>
        </is>
      </c>
      <c r="G319" t="inlineStr">
        <is>
          <t>FILIPSTAD</t>
        </is>
      </c>
      <c r="H319" t="inlineStr">
        <is>
          <t>Bergvik skog väst AB</t>
        </is>
      </c>
      <c r="I319" t="n">
        <v>8.9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51985-2023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45223</v>
      </c>
      <c r="E320" s="1" t="n">
        <v>46306</v>
      </c>
      <c r="F320" t="inlineStr">
        <is>
          <t>VÄRMLANDS LÄN</t>
        </is>
      </c>
      <c r="G320" t="inlineStr">
        <is>
          <t>FILIPSTAD</t>
        </is>
      </c>
      <c r="H320" t="inlineStr">
        <is>
          <t>Bergvik skog väst AB</t>
        </is>
      </c>
      <c r="I320" t="n">
        <v>6.7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50904-2023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45218</v>
      </c>
      <c r="E321" s="1" t="n">
        <v>46306</v>
      </c>
      <c r="F321" t="inlineStr">
        <is>
          <t>VÄRMLANDS LÄN</t>
        </is>
      </c>
      <c r="G321" t="inlineStr">
        <is>
          <t>FILIPSTAD</t>
        </is>
      </c>
      <c r="I321" t="n">
        <v>2.1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16975-2026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46114</v>
      </c>
      <c r="E322" s="1" t="n">
        <v>46306</v>
      </c>
      <c r="F322" t="inlineStr">
        <is>
          <t>VÄRMLANDS LÄN</t>
        </is>
      </c>
      <c r="G322" t="inlineStr">
        <is>
          <t>FILIPSTAD</t>
        </is>
      </c>
      <c r="H322" t="inlineStr">
        <is>
          <t>Bergvik skog väst AB</t>
        </is>
      </c>
      <c r="I322" t="n">
        <v>8.1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17292-2026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46119</v>
      </c>
      <c r="E323" s="1" t="n">
        <v>46306</v>
      </c>
      <c r="F323" t="inlineStr">
        <is>
          <t>VÄRMLANDS LÄN</t>
        </is>
      </c>
      <c r="G323" t="inlineStr">
        <is>
          <t>FILIPSTAD</t>
        </is>
      </c>
      <c r="H323" t="inlineStr">
        <is>
          <t>Bergvik skog väst AB</t>
        </is>
      </c>
      <c r="I323" t="n">
        <v>3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17278-2026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46119</v>
      </c>
      <c r="E324" s="1" t="n">
        <v>46306</v>
      </c>
      <c r="F324" t="inlineStr">
        <is>
          <t>VÄRMLANDS LÄN</t>
        </is>
      </c>
      <c r="G324" t="inlineStr">
        <is>
          <t>FILIPSTAD</t>
        </is>
      </c>
      <c r="H324" t="inlineStr">
        <is>
          <t>Bergvik skog väst AB</t>
        </is>
      </c>
      <c r="I324" t="n">
        <v>1.1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17326-2026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46119</v>
      </c>
      <c r="E325" s="1" t="n">
        <v>46306</v>
      </c>
      <c r="F325" t="inlineStr">
        <is>
          <t>VÄRMLANDS LÄN</t>
        </is>
      </c>
      <c r="G325" t="inlineStr">
        <is>
          <t>FILIPSTAD</t>
        </is>
      </c>
      <c r="H325" t="inlineStr">
        <is>
          <t>Bergvik skog väst AB</t>
        </is>
      </c>
      <c r="I325" t="n">
        <v>2.9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55397-2022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44887</v>
      </c>
      <c r="E326" s="1" t="n">
        <v>46306</v>
      </c>
      <c r="F326" t="inlineStr">
        <is>
          <t>VÄRMLANDS LÄN</t>
        </is>
      </c>
      <c r="G326" t="inlineStr">
        <is>
          <t>FILIPSTAD</t>
        </is>
      </c>
      <c r="H326" t="inlineStr">
        <is>
          <t>Bergvik skog väst AB</t>
        </is>
      </c>
      <c r="I326" t="n">
        <v>1.6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17531-2026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46120</v>
      </c>
      <c r="E327" s="1" t="n">
        <v>46306</v>
      </c>
      <c r="F327" t="inlineStr">
        <is>
          <t>VÄRMLANDS LÄN</t>
        </is>
      </c>
      <c r="G327" t="inlineStr">
        <is>
          <t>FILIPSTAD</t>
        </is>
      </c>
      <c r="I327" t="n">
        <v>9.699999999999999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59929-2025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45993</v>
      </c>
      <c r="E328" s="1" t="n">
        <v>46306</v>
      </c>
      <c r="F328" t="inlineStr">
        <is>
          <t>VÄRMLANDS LÄN</t>
        </is>
      </c>
      <c r="G328" t="inlineStr">
        <is>
          <t>FILIPSTAD</t>
        </is>
      </c>
      <c r="H328" t="inlineStr">
        <is>
          <t>Bergvik skog väst AB</t>
        </is>
      </c>
      <c r="I328" t="n">
        <v>3.3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17845-2026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46122</v>
      </c>
      <c r="E329" s="1" t="n">
        <v>46306</v>
      </c>
      <c r="F329" t="inlineStr">
        <is>
          <t>VÄRMLANDS LÄN</t>
        </is>
      </c>
      <c r="G329" t="inlineStr">
        <is>
          <t>FILIPSTAD</t>
        </is>
      </c>
      <c r="H329" t="inlineStr">
        <is>
          <t>Bergvik skog väst AB</t>
        </is>
      </c>
      <c r="I329" t="n">
        <v>0.7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6520-2023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44960</v>
      </c>
      <c r="E330" s="1" t="n">
        <v>46306</v>
      </c>
      <c r="F330" t="inlineStr">
        <is>
          <t>VÄRMLANDS LÄN</t>
        </is>
      </c>
      <c r="G330" t="inlineStr">
        <is>
          <t>FILIPSTAD</t>
        </is>
      </c>
      <c r="H330" t="inlineStr">
        <is>
          <t>Kommuner</t>
        </is>
      </c>
      <c r="I330" t="n">
        <v>1.6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17931-2026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46122</v>
      </c>
      <c r="E331" s="1" t="n">
        <v>46306</v>
      </c>
      <c r="F331" t="inlineStr">
        <is>
          <t>VÄRMLANDS LÄN</t>
        </is>
      </c>
      <c r="G331" t="inlineStr">
        <is>
          <t>FILIPSTAD</t>
        </is>
      </c>
      <c r="H331" t="inlineStr">
        <is>
          <t>Bergvik skog väst AB</t>
        </is>
      </c>
      <c r="I331" t="n">
        <v>0.7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18022-2026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46125</v>
      </c>
      <c r="E332" s="1" t="n">
        <v>46306</v>
      </c>
      <c r="F332" t="inlineStr">
        <is>
          <t>VÄRMLANDS LÄN</t>
        </is>
      </c>
      <c r="G332" t="inlineStr">
        <is>
          <t>FILIPSTAD</t>
        </is>
      </c>
      <c r="I332" t="n">
        <v>1.7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60653-2025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45996</v>
      </c>
      <c r="E333" s="1" t="n">
        <v>46306</v>
      </c>
      <c r="F333" t="inlineStr">
        <is>
          <t>VÄRMLANDS LÄN</t>
        </is>
      </c>
      <c r="G333" t="inlineStr">
        <is>
          <t>FILIPSTAD</t>
        </is>
      </c>
      <c r="H333" t="inlineStr">
        <is>
          <t>Bergvik skog väst AB</t>
        </is>
      </c>
      <c r="I333" t="n">
        <v>7.5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60550-2025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45995</v>
      </c>
      <c r="E334" s="1" t="n">
        <v>46306</v>
      </c>
      <c r="F334" t="inlineStr">
        <is>
          <t>VÄRMLANDS LÄN</t>
        </is>
      </c>
      <c r="G334" t="inlineStr">
        <is>
          <t>FILIPSTAD</t>
        </is>
      </c>
      <c r="H334" t="inlineStr">
        <is>
          <t>Bergvik skog väst AB</t>
        </is>
      </c>
      <c r="I334" t="n">
        <v>0.7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18507-2026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46127</v>
      </c>
      <c r="E335" s="1" t="n">
        <v>46306</v>
      </c>
      <c r="F335" t="inlineStr">
        <is>
          <t>VÄRMLANDS LÄN</t>
        </is>
      </c>
      <c r="G335" t="inlineStr">
        <is>
          <t>FILIPSTAD</t>
        </is>
      </c>
      <c r="H335" t="inlineStr">
        <is>
          <t>Bergvik skog väst AB</t>
        </is>
      </c>
      <c r="I335" t="n">
        <v>2.9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60433-2025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45995</v>
      </c>
      <c r="E336" s="1" t="n">
        <v>46306</v>
      </c>
      <c r="F336" t="inlineStr">
        <is>
          <t>VÄRMLANDS LÄN</t>
        </is>
      </c>
      <c r="G336" t="inlineStr">
        <is>
          <t>FILIPSTAD</t>
        </is>
      </c>
      <c r="H336" t="inlineStr">
        <is>
          <t>Bergvik skog väst AB</t>
        </is>
      </c>
      <c r="I336" t="n">
        <v>1.9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55978-2022</t>
        </is>
      </c>
      <c r="B337" t="inlineStr">
        <is>
          <t>avverkningsanmälan</t>
        </is>
      </c>
      <c r="C337" t="inlineStr">
        <is>
          <t>Avverkning för annat ändamål</t>
        </is>
      </c>
      <c r="D337" s="1" t="n">
        <v>44889</v>
      </c>
      <c r="E337" s="1" t="n">
        <v>46306</v>
      </c>
      <c r="F337" t="inlineStr">
        <is>
          <t>VÄRMLANDS LÄN</t>
        </is>
      </c>
      <c r="G337" t="inlineStr">
        <is>
          <t>FILIPSTAD</t>
        </is>
      </c>
      <c r="H337" t="inlineStr">
        <is>
          <t>Bergvik skog väst AB</t>
        </is>
      </c>
      <c r="I337" t="n">
        <v>2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18533-2026</t>
        </is>
      </c>
      <c r="B338" t="inlineStr">
        <is>
          <t>avverkningsanmälan</t>
        </is>
      </c>
      <c r="C338" t="inlineStr">
        <is>
          <t>Föryngringsavverkning</t>
        </is>
      </c>
      <c r="D338" s="1" t="n">
        <v>46127</v>
      </c>
      <c r="E338" s="1" t="n">
        <v>46306</v>
      </c>
      <c r="F338" t="inlineStr">
        <is>
          <t>VÄRMLANDS LÄN</t>
        </is>
      </c>
      <c r="G338" t="inlineStr">
        <is>
          <t>FILIPSTAD</t>
        </is>
      </c>
      <c r="H338" t="inlineStr">
        <is>
          <t>Bergvik skog väst AB</t>
        </is>
      </c>
      <c r="I338" t="n">
        <v>6.1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3844-2023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44951</v>
      </c>
      <c r="E339" s="1" t="n">
        <v>46306</v>
      </c>
      <c r="F339" t="inlineStr">
        <is>
          <t>VÄRMLANDS LÄN</t>
        </is>
      </c>
      <c r="G339" t="inlineStr">
        <is>
          <t>FILIPSTAD</t>
        </is>
      </c>
      <c r="H339" t="inlineStr">
        <is>
          <t>Bergvik skog väst AB</t>
        </is>
      </c>
      <c r="I339" t="n">
        <v>6.6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18443-2026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46127</v>
      </c>
      <c r="E340" s="1" t="n">
        <v>46306</v>
      </c>
      <c r="F340" t="inlineStr">
        <is>
          <t>VÄRMLANDS LÄN</t>
        </is>
      </c>
      <c r="G340" t="inlineStr">
        <is>
          <t>FILIPSTAD</t>
        </is>
      </c>
      <c r="H340" t="inlineStr">
        <is>
          <t>Bergvik skog väst AB</t>
        </is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60396-2025</t>
        </is>
      </c>
      <c r="B341" t="inlineStr">
        <is>
          <t>avverkningsanmälan</t>
        </is>
      </c>
      <c r="C341" t="inlineStr">
        <is>
          <t>Föryngringsavverkning</t>
        </is>
      </c>
      <c r="D341" s="1" t="n">
        <v>45995</v>
      </c>
      <c r="E341" s="1" t="n">
        <v>46306</v>
      </c>
      <c r="F341" t="inlineStr">
        <is>
          <t>VÄRMLANDS LÄN</t>
        </is>
      </c>
      <c r="G341" t="inlineStr">
        <is>
          <t>FILIPSTAD</t>
        </is>
      </c>
      <c r="H341" t="inlineStr">
        <is>
          <t>Bergvik skog väst AB</t>
        </is>
      </c>
      <c r="I341" t="n">
        <v>6.2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61069-2025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46000</v>
      </c>
      <c r="E342" s="1" t="n">
        <v>46306</v>
      </c>
      <c r="F342" t="inlineStr">
        <is>
          <t>VÄRMLANDS LÄN</t>
        </is>
      </c>
      <c r="G342" t="inlineStr">
        <is>
          <t>FILIPSTAD</t>
        </is>
      </c>
      <c r="I342" t="n">
        <v>0.7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61047-2025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46000</v>
      </c>
      <c r="E343" s="1" t="n">
        <v>46306</v>
      </c>
      <c r="F343" t="inlineStr">
        <is>
          <t>VÄRMLANDS LÄN</t>
        </is>
      </c>
      <c r="G343" t="inlineStr">
        <is>
          <t>FILIPSTAD</t>
        </is>
      </c>
      <c r="I343" t="n">
        <v>5.4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61327-2025</t>
        </is>
      </c>
      <c r="B344" t="inlineStr">
        <is>
          <t>avverkningsanmälan</t>
        </is>
      </c>
      <c r="C344" t="inlineStr">
        <is>
          <t>Avverkning för annat ändamål</t>
        </is>
      </c>
      <c r="D344" s="1" t="n">
        <v>46001</v>
      </c>
      <c r="E344" s="1" t="n">
        <v>46306</v>
      </c>
      <c r="F344" t="inlineStr">
        <is>
          <t>VÄRMLANDS LÄN</t>
        </is>
      </c>
      <c r="G344" t="inlineStr">
        <is>
          <t>FILIPSTAD</t>
        </is>
      </c>
      <c r="H344" t="inlineStr">
        <is>
          <t>Bergvik skog väst AB</t>
        </is>
      </c>
      <c r="I344" t="n">
        <v>0.5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61362-2025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46001</v>
      </c>
      <c r="E345" s="1" t="n">
        <v>46306</v>
      </c>
      <c r="F345" t="inlineStr">
        <is>
          <t>VÄRMLANDS LÄN</t>
        </is>
      </c>
      <c r="G345" t="inlineStr">
        <is>
          <t>FILIPSTAD</t>
        </is>
      </c>
      <c r="I345" t="n">
        <v>2.7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18530-2026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46127</v>
      </c>
      <c r="E346" s="1" t="n">
        <v>46306</v>
      </c>
      <c r="F346" t="inlineStr">
        <is>
          <t>VÄRMLANDS LÄN</t>
        </is>
      </c>
      <c r="G346" t="inlineStr">
        <is>
          <t>FILIPSTAD</t>
        </is>
      </c>
      <c r="H346" t="inlineStr">
        <is>
          <t>Bergvik skog väst AB</t>
        </is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18445-2026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46127</v>
      </c>
      <c r="E347" s="1" t="n">
        <v>46306</v>
      </c>
      <c r="F347" t="inlineStr">
        <is>
          <t>VÄRMLANDS LÄN</t>
        </is>
      </c>
      <c r="G347" t="inlineStr">
        <is>
          <t>FILIPSTAD</t>
        </is>
      </c>
      <c r="H347" t="inlineStr">
        <is>
          <t>Bergvik skog väst AB</t>
        </is>
      </c>
      <c r="I347" t="n">
        <v>1.7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61482-2025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46001</v>
      </c>
      <c r="E348" s="1" t="n">
        <v>46306</v>
      </c>
      <c r="F348" t="inlineStr">
        <is>
          <t>VÄRMLANDS LÄN</t>
        </is>
      </c>
      <c r="G348" t="inlineStr">
        <is>
          <t>FILIPSTAD</t>
        </is>
      </c>
      <c r="I348" t="n">
        <v>0.9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61717-2025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46002</v>
      </c>
      <c r="E349" s="1" t="n">
        <v>46306</v>
      </c>
      <c r="F349" t="inlineStr">
        <is>
          <t>VÄRMLANDS LÄN</t>
        </is>
      </c>
      <c r="G349" t="inlineStr">
        <is>
          <t>FILIPSTAD</t>
        </is>
      </c>
      <c r="I349" t="n">
        <v>1.5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18376-2026</t>
        </is>
      </c>
      <c r="B350" t="inlineStr">
        <is>
          <t>avverkningsanmälan</t>
        </is>
      </c>
      <c r="C350" t="inlineStr">
        <is>
          <t>Föryngringsavverkning</t>
        </is>
      </c>
      <c r="D350" s="1" t="n">
        <v>46126</v>
      </c>
      <c r="E350" s="1" t="n">
        <v>46306</v>
      </c>
      <c r="F350" t="inlineStr">
        <is>
          <t>VÄRMLANDS LÄN</t>
        </is>
      </c>
      <c r="G350" t="inlineStr">
        <is>
          <t>FILIPSTAD</t>
        </is>
      </c>
      <c r="H350" t="inlineStr">
        <is>
          <t>Bergvik skog väst AB</t>
        </is>
      </c>
      <c r="I350" t="n">
        <v>1.2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61417-2025</t>
        </is>
      </c>
      <c r="B351" t="inlineStr">
        <is>
          <t>avverkningsanmälan</t>
        </is>
      </c>
      <c r="C351" t="inlineStr">
        <is>
          <t>Avverkning för annat ändamål</t>
        </is>
      </c>
      <c r="D351" s="1" t="n">
        <v>46001</v>
      </c>
      <c r="E351" s="1" t="n">
        <v>46306</v>
      </c>
      <c r="F351" t="inlineStr">
        <is>
          <t>VÄRMLANDS LÄN</t>
        </is>
      </c>
      <c r="G351" t="inlineStr">
        <is>
          <t>FILIPSTAD</t>
        </is>
      </c>
      <c r="H351" t="inlineStr">
        <is>
          <t>Bergvik skog väst AB</t>
        </is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36377-2023</t>
        </is>
      </c>
      <c r="B352" t="inlineStr">
        <is>
          <t>avverkningsanmälan</t>
        </is>
      </c>
      <c r="C352" t="inlineStr">
        <is>
          <t>Föryngringsavverkning</t>
        </is>
      </c>
      <c r="D352" s="1" t="n">
        <v>45152</v>
      </c>
      <c r="E352" s="1" t="n">
        <v>46306</v>
      </c>
      <c r="F352" t="inlineStr">
        <is>
          <t>VÄRMLANDS LÄN</t>
        </is>
      </c>
      <c r="G352" t="inlineStr">
        <is>
          <t>FILIPSTAD</t>
        </is>
      </c>
      <c r="H352" t="inlineStr">
        <is>
          <t>Bergvik skog väst AB</t>
        </is>
      </c>
      <c r="I352" t="n">
        <v>0.5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61719-2025</t>
        </is>
      </c>
      <c r="B353" t="inlineStr">
        <is>
          <t>avverkningsanmälan</t>
        </is>
      </c>
      <c r="C353" t="inlineStr">
        <is>
          <t>Föryngringsavverkning</t>
        </is>
      </c>
      <c r="D353" s="1" t="n">
        <v>46002</v>
      </c>
      <c r="E353" s="1" t="n">
        <v>46306</v>
      </c>
      <c r="F353" t="inlineStr">
        <is>
          <t>VÄRMLANDS LÄN</t>
        </is>
      </c>
      <c r="G353" t="inlineStr">
        <is>
          <t>FILIPSTAD</t>
        </is>
      </c>
      <c r="I353" t="n">
        <v>0.3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61566-2025</t>
        </is>
      </c>
      <c r="B354" t="inlineStr">
        <is>
          <t>avverkningsanmälan</t>
        </is>
      </c>
      <c r="C354" t="inlineStr">
        <is>
          <t>Föryngringsavverkning</t>
        </is>
      </c>
      <c r="D354" s="1" t="n">
        <v>46001</v>
      </c>
      <c r="E354" s="1" t="n">
        <v>46306</v>
      </c>
      <c r="F354" t="inlineStr">
        <is>
          <t>VÄRMLANDS LÄN</t>
        </is>
      </c>
      <c r="G354" t="inlineStr">
        <is>
          <t>FILIPSTAD</t>
        </is>
      </c>
      <c r="I354" t="n">
        <v>7.7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18969-2026</t>
        </is>
      </c>
      <c r="B355" t="inlineStr">
        <is>
          <t>avverkningsanmälan</t>
        </is>
      </c>
      <c r="C355" t="inlineStr">
        <is>
          <t>Föryngringsavverkning</t>
        </is>
      </c>
      <c r="D355" s="1" t="n">
        <v>46129</v>
      </c>
      <c r="E355" s="1" t="n">
        <v>46306</v>
      </c>
      <c r="F355" t="inlineStr">
        <is>
          <t>VÄRMLANDS LÄN</t>
        </is>
      </c>
      <c r="G355" t="inlineStr">
        <is>
          <t>FILIPSTAD</t>
        </is>
      </c>
      <c r="H355" t="inlineStr">
        <is>
          <t>Bergvik skog väst AB</t>
        </is>
      </c>
      <c r="I355" t="n">
        <v>12.9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50856-2022</t>
        </is>
      </c>
      <c r="B356" t="inlineStr">
        <is>
          <t>avverkningsanmälan</t>
        </is>
      </c>
      <c r="C356" t="inlineStr">
        <is>
          <t>Avverkning för annat ändamål</t>
        </is>
      </c>
      <c r="D356" s="1" t="n">
        <v>44867</v>
      </c>
      <c r="E356" s="1" t="n">
        <v>46306</v>
      </c>
      <c r="F356" t="inlineStr">
        <is>
          <t>VÄRMLANDS LÄN</t>
        </is>
      </c>
      <c r="G356" t="inlineStr">
        <is>
          <t>FILIPSTAD</t>
        </is>
      </c>
      <c r="H356" t="inlineStr">
        <is>
          <t>Bergvik skog väst AB</t>
        </is>
      </c>
      <c r="I356" t="n">
        <v>3.5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61793-2025</t>
        </is>
      </c>
      <c r="B357" t="inlineStr">
        <is>
          <t>avverkningsanmälan</t>
        </is>
      </c>
      <c r="C357" t="inlineStr">
        <is>
          <t>Föryngringsavverkning</t>
        </is>
      </c>
      <c r="D357" s="1" t="n">
        <v>46002</v>
      </c>
      <c r="E357" s="1" t="n">
        <v>46306</v>
      </c>
      <c r="F357" t="inlineStr">
        <is>
          <t>VÄRMLANDS LÄN</t>
        </is>
      </c>
      <c r="G357" t="inlineStr">
        <is>
          <t>FILIPSTAD</t>
        </is>
      </c>
      <c r="I357" t="n">
        <v>5.6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61628-2022</t>
        </is>
      </c>
      <c r="B358" t="inlineStr">
        <is>
          <t>avverkningsanmälan</t>
        </is>
      </c>
      <c r="C358" t="inlineStr">
        <is>
          <t>Föryngringsavverkning</t>
        </is>
      </c>
      <c r="D358" s="1" t="n">
        <v>44911</v>
      </c>
      <c r="E358" s="1" t="n">
        <v>46306</v>
      </c>
      <c r="F358" t="inlineStr">
        <is>
          <t>VÄRMLANDS LÄN</t>
        </is>
      </c>
      <c r="G358" t="inlineStr">
        <is>
          <t>FILIPSTAD</t>
        </is>
      </c>
      <c r="I358" t="n">
        <v>1.7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18826-2026</t>
        </is>
      </c>
      <c r="B359" t="inlineStr">
        <is>
          <t>avverkningsanmälan</t>
        </is>
      </c>
      <c r="C359" t="inlineStr">
        <is>
          <t>Föryngringsavverkning</t>
        </is>
      </c>
      <c r="D359" s="1" t="n">
        <v>46128</v>
      </c>
      <c r="E359" s="1" t="n">
        <v>46306</v>
      </c>
      <c r="F359" t="inlineStr">
        <is>
          <t>VÄRMLANDS LÄN</t>
        </is>
      </c>
      <c r="G359" t="inlineStr">
        <is>
          <t>FILIPSTAD</t>
        </is>
      </c>
      <c r="I359" t="n">
        <v>1.6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43264-2024</t>
        </is>
      </c>
      <c r="B360" t="inlineStr">
        <is>
          <t>avverkningsanmälan</t>
        </is>
      </c>
      <c r="C360" t="inlineStr">
        <is>
          <t>Föryngringsavverkning</t>
        </is>
      </c>
      <c r="D360" s="1" t="n">
        <v>45568</v>
      </c>
      <c r="E360" s="1" t="n">
        <v>46306</v>
      </c>
      <c r="F360" t="inlineStr">
        <is>
          <t>VÄRMLANDS LÄN</t>
        </is>
      </c>
      <c r="G360" t="inlineStr">
        <is>
          <t>FILIPSTAD</t>
        </is>
      </c>
      <c r="I360" t="n">
        <v>2.4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59296-2023</t>
        </is>
      </c>
      <c r="B361" t="inlineStr">
        <is>
          <t>avverkningsanmälan</t>
        </is>
      </c>
      <c r="C361" t="inlineStr">
        <is>
          <t>Föryngringsavverkning</t>
        </is>
      </c>
      <c r="D361" s="1" t="n">
        <v>45253</v>
      </c>
      <c r="E361" s="1" t="n">
        <v>46306</v>
      </c>
      <c r="F361" t="inlineStr">
        <is>
          <t>VÄRMLANDS LÄN</t>
        </is>
      </c>
      <c r="G361" t="inlineStr">
        <is>
          <t>FILIPSTAD</t>
        </is>
      </c>
      <c r="I361" t="n">
        <v>0.9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61492-2025</t>
        </is>
      </c>
      <c r="B362" t="inlineStr">
        <is>
          <t>avverkningsanmälan</t>
        </is>
      </c>
      <c r="C362" t="inlineStr">
        <is>
          <t>Avverkning för annat ändamål</t>
        </is>
      </c>
      <c r="D362" s="1" t="n">
        <v>46001</v>
      </c>
      <c r="E362" s="1" t="n">
        <v>46306</v>
      </c>
      <c r="F362" t="inlineStr">
        <is>
          <t>VÄRMLANDS LÄN</t>
        </is>
      </c>
      <c r="G362" t="inlineStr">
        <is>
          <t>FILIPSTAD</t>
        </is>
      </c>
      <c r="H362" t="inlineStr">
        <is>
          <t>Bergvik skog väst AB</t>
        </is>
      </c>
      <c r="I362" t="n">
        <v>1.9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61391-2025</t>
        </is>
      </c>
      <c r="B363" t="inlineStr">
        <is>
          <t>avverkningsanmälan</t>
        </is>
      </c>
      <c r="C363" t="inlineStr">
        <is>
          <t>Föryngringsavverkning</t>
        </is>
      </c>
      <c r="D363" s="1" t="n">
        <v>46001</v>
      </c>
      <c r="E363" s="1" t="n">
        <v>46306</v>
      </c>
      <c r="F363" t="inlineStr">
        <is>
          <t>VÄRMLANDS LÄN</t>
        </is>
      </c>
      <c r="G363" t="inlineStr">
        <is>
          <t>FILIPSTAD</t>
        </is>
      </c>
      <c r="I363" t="n">
        <v>0.6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62034-2025</t>
        </is>
      </c>
      <c r="B364" t="inlineStr">
        <is>
          <t>avverkningsanmälan</t>
        </is>
      </c>
      <c r="C364" t="inlineStr">
        <is>
          <t>Föryngringsavverkning</t>
        </is>
      </c>
      <c r="D364" s="1" t="n">
        <v>46004</v>
      </c>
      <c r="E364" s="1" t="n">
        <v>46306</v>
      </c>
      <c r="F364" t="inlineStr">
        <is>
          <t>VÄRMLANDS LÄN</t>
        </is>
      </c>
      <c r="G364" t="inlineStr">
        <is>
          <t>FILIPSTAD</t>
        </is>
      </c>
      <c r="I364" t="n">
        <v>2.2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19435-2026</t>
        </is>
      </c>
      <c r="B365" t="inlineStr">
        <is>
          <t>avverkningsanmälan</t>
        </is>
      </c>
      <c r="C365" t="inlineStr">
        <is>
          <t>Föryngringsavverkning</t>
        </is>
      </c>
      <c r="D365" s="1" t="n">
        <v>46133</v>
      </c>
      <c r="E365" s="1" t="n">
        <v>46306</v>
      </c>
      <c r="F365" t="inlineStr">
        <is>
          <t>VÄRMLANDS LÄN</t>
        </is>
      </c>
      <c r="G365" t="inlineStr">
        <is>
          <t>FILIPSTAD</t>
        </is>
      </c>
      <c r="H365" t="inlineStr">
        <is>
          <t>Bergvik skog väst AB</t>
        </is>
      </c>
      <c r="I365" t="n">
        <v>6.5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62021-2025</t>
        </is>
      </c>
      <c r="B366" t="inlineStr">
        <is>
          <t>avverkningsanmälan</t>
        </is>
      </c>
      <c r="C366" t="inlineStr">
        <is>
          <t>Föryngringsavverkning</t>
        </is>
      </c>
      <c r="D366" s="1" t="n">
        <v>46003</v>
      </c>
      <c r="E366" s="1" t="n">
        <v>46306</v>
      </c>
      <c r="F366" t="inlineStr">
        <is>
          <t>VÄRMLANDS LÄN</t>
        </is>
      </c>
      <c r="G366" t="inlineStr">
        <is>
          <t>FILIPSTAD</t>
        </is>
      </c>
      <c r="I366" t="n">
        <v>1.1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19676-2026</t>
        </is>
      </c>
      <c r="B367" t="inlineStr">
        <is>
          <t>avverkningsanmälan</t>
        </is>
      </c>
      <c r="C367" t="inlineStr">
        <is>
          <t>Föryngringsavverkning</t>
        </is>
      </c>
      <c r="D367" s="1" t="n">
        <v>46134</v>
      </c>
      <c r="E367" s="1" t="n">
        <v>46306</v>
      </c>
      <c r="F367" t="inlineStr">
        <is>
          <t>VÄRMLANDS LÄN</t>
        </is>
      </c>
      <c r="G367" t="inlineStr">
        <is>
          <t>FILIPSTAD</t>
        </is>
      </c>
      <c r="I367" t="n">
        <v>4.6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19361-2026</t>
        </is>
      </c>
      <c r="B368" t="inlineStr">
        <is>
          <t>avverkningsanmälan</t>
        </is>
      </c>
      <c r="C368" t="inlineStr">
        <is>
          <t>Föryngringsavverkning</t>
        </is>
      </c>
      <c r="D368" s="1" t="n">
        <v>46133</v>
      </c>
      <c r="E368" s="1" t="n">
        <v>46306</v>
      </c>
      <c r="F368" t="inlineStr">
        <is>
          <t>VÄRMLANDS LÄN</t>
        </is>
      </c>
      <c r="G368" t="inlineStr">
        <is>
          <t>FILIPSTAD</t>
        </is>
      </c>
      <c r="H368" t="inlineStr">
        <is>
          <t>Bergvik skog väst AB</t>
        </is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19595-2026</t>
        </is>
      </c>
      <c r="B369" t="inlineStr">
        <is>
          <t>avverkningsanmälan</t>
        </is>
      </c>
      <c r="C369" t="inlineStr">
        <is>
          <t>Föryngringsavverkning</t>
        </is>
      </c>
      <c r="D369" s="1" t="n">
        <v>46134</v>
      </c>
      <c r="E369" s="1" t="n">
        <v>46306</v>
      </c>
      <c r="F369" t="inlineStr">
        <is>
          <t>VÄRMLANDS LÄN</t>
        </is>
      </c>
      <c r="G369" t="inlineStr">
        <is>
          <t>FILIPSTAD</t>
        </is>
      </c>
      <c r="H369" t="inlineStr">
        <is>
          <t>Bergvik skog väst AB</t>
        </is>
      </c>
      <c r="I369" t="n">
        <v>4.6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19669-2026</t>
        </is>
      </c>
      <c r="B370" t="inlineStr">
        <is>
          <t>avverkningsanmälan</t>
        </is>
      </c>
      <c r="C370" t="inlineStr">
        <is>
          <t>Föryngringsavverkning</t>
        </is>
      </c>
      <c r="D370" s="1" t="n">
        <v>46134</v>
      </c>
      <c r="E370" s="1" t="n">
        <v>46306</v>
      </c>
      <c r="F370" t="inlineStr">
        <is>
          <t>VÄRMLANDS LÄN</t>
        </is>
      </c>
      <c r="G370" t="inlineStr">
        <is>
          <t>FILIPSTAD</t>
        </is>
      </c>
      <c r="I370" t="n">
        <v>5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62033-2025</t>
        </is>
      </c>
      <c r="B371" t="inlineStr">
        <is>
          <t>avverkningsanmälan</t>
        </is>
      </c>
      <c r="C371" t="inlineStr">
        <is>
          <t>Föryngringsavverkning</t>
        </is>
      </c>
      <c r="D371" s="1" t="n">
        <v>46004</v>
      </c>
      <c r="E371" s="1" t="n">
        <v>46306</v>
      </c>
      <c r="F371" t="inlineStr">
        <is>
          <t>VÄRMLANDS LÄN</t>
        </is>
      </c>
      <c r="G371" t="inlineStr">
        <is>
          <t>FILIPSTAD</t>
        </is>
      </c>
      <c r="I371" t="n">
        <v>1.4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61823-2025</t>
        </is>
      </c>
      <c r="B372" t="inlineStr">
        <is>
          <t>avverkningsanmälan</t>
        </is>
      </c>
      <c r="C372" t="inlineStr">
        <is>
          <t>Avverkning för annat ändamål</t>
        </is>
      </c>
      <c r="D372" s="1" t="n">
        <v>46003</v>
      </c>
      <c r="E372" s="1" t="n">
        <v>46306</v>
      </c>
      <c r="F372" t="inlineStr">
        <is>
          <t>VÄRMLANDS LÄN</t>
        </is>
      </c>
      <c r="G372" t="inlineStr">
        <is>
          <t>FILIPSTAD</t>
        </is>
      </c>
      <c r="H372" t="inlineStr">
        <is>
          <t>Bergvik skog väst AB</t>
        </is>
      </c>
      <c r="I372" t="n">
        <v>0.9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62252-2025</t>
        </is>
      </c>
      <c r="B373" t="inlineStr">
        <is>
          <t>avverkningsanmälan</t>
        </is>
      </c>
      <c r="C373" t="inlineStr">
        <is>
          <t>Föryngringsavverkning</t>
        </is>
      </c>
      <c r="D373" s="1" t="n">
        <v>46006</v>
      </c>
      <c r="E373" s="1" t="n">
        <v>46306</v>
      </c>
      <c r="F373" t="inlineStr">
        <is>
          <t>VÄRMLANDS LÄN</t>
        </is>
      </c>
      <c r="G373" t="inlineStr">
        <is>
          <t>FILIPSTAD</t>
        </is>
      </c>
      <c r="H373" t="inlineStr">
        <is>
          <t>Bergvik skog väst AB</t>
        </is>
      </c>
      <c r="I373" t="n">
        <v>2.2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62243-2025</t>
        </is>
      </c>
      <c r="B374" t="inlineStr">
        <is>
          <t>avverkningsanmälan</t>
        </is>
      </c>
      <c r="C374" t="inlineStr">
        <is>
          <t>Föryngringsavverkning</t>
        </is>
      </c>
      <c r="D374" s="1" t="n">
        <v>46006</v>
      </c>
      <c r="E374" s="1" t="n">
        <v>46306</v>
      </c>
      <c r="F374" t="inlineStr">
        <is>
          <t>VÄRMLANDS LÄN</t>
        </is>
      </c>
      <c r="G374" t="inlineStr">
        <is>
          <t>FILIPSTAD</t>
        </is>
      </c>
      <c r="H374" t="inlineStr">
        <is>
          <t>Bergvik skog väst AB</t>
        </is>
      </c>
      <c r="I374" t="n">
        <v>4.5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54127-2023</t>
        </is>
      </c>
      <c r="B375" t="inlineStr">
        <is>
          <t>avverkningsanmälan</t>
        </is>
      </c>
      <c r="C375" t="inlineStr">
        <is>
          <t>Föryngringsavverkning</t>
        </is>
      </c>
      <c r="D375" s="1" t="n">
        <v>45232</v>
      </c>
      <c r="E375" s="1" t="n">
        <v>46306</v>
      </c>
      <c r="F375" t="inlineStr">
        <is>
          <t>VÄRMLANDS LÄN</t>
        </is>
      </c>
      <c r="G375" t="inlineStr">
        <is>
          <t>FILIPSTAD</t>
        </is>
      </c>
      <c r="I375" t="n">
        <v>15.5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20040-2026</t>
        </is>
      </c>
      <c r="B376" t="inlineStr">
        <is>
          <t>avverkningsanmälan</t>
        </is>
      </c>
      <c r="C376" t="inlineStr">
        <is>
          <t>Föryngringsavverkning</t>
        </is>
      </c>
      <c r="D376" s="1" t="n">
        <v>46136</v>
      </c>
      <c r="E376" s="1" t="n">
        <v>46306</v>
      </c>
      <c r="F376" t="inlineStr">
        <is>
          <t>VÄRMLANDS LÄN</t>
        </is>
      </c>
      <c r="G376" t="inlineStr">
        <is>
          <t>FILIPSTAD</t>
        </is>
      </c>
      <c r="H376" t="inlineStr">
        <is>
          <t>Bergvik skog väst AB</t>
        </is>
      </c>
      <c r="I376" t="n">
        <v>2.3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11680-2023</t>
        </is>
      </c>
      <c r="B377" t="inlineStr">
        <is>
          <t>avverkningsanmälan</t>
        </is>
      </c>
      <c r="C377" t="inlineStr">
        <is>
          <t>Föryngringsavverkning</t>
        </is>
      </c>
      <c r="D377" s="1" t="n">
        <v>44994</v>
      </c>
      <c r="E377" s="1" t="n">
        <v>46306</v>
      </c>
      <c r="F377" t="inlineStr">
        <is>
          <t>VÄRMLANDS LÄN</t>
        </is>
      </c>
      <c r="G377" t="inlineStr">
        <is>
          <t>FILIPSTAD</t>
        </is>
      </c>
      <c r="H377" t="inlineStr">
        <is>
          <t>Bergvik skog väst AB</t>
        </is>
      </c>
      <c r="I377" t="n">
        <v>3.2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20045-2026</t>
        </is>
      </c>
      <c r="B378" t="inlineStr">
        <is>
          <t>avverkningsanmälan</t>
        </is>
      </c>
      <c r="C378" t="inlineStr">
        <is>
          <t>Föryngringsavverkning</t>
        </is>
      </c>
      <c r="D378" s="1" t="n">
        <v>46136</v>
      </c>
      <c r="E378" s="1" t="n">
        <v>46306</v>
      </c>
      <c r="F378" t="inlineStr">
        <is>
          <t>VÄRMLANDS LÄN</t>
        </is>
      </c>
      <c r="G378" t="inlineStr">
        <is>
          <t>FILIPSTAD</t>
        </is>
      </c>
      <c r="H378" t="inlineStr">
        <is>
          <t>Bergvik skog väst AB</t>
        </is>
      </c>
      <c r="I378" t="n">
        <v>11.5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</row>
    <row r="379" ht="15" customHeight="1">
      <c r="A379" t="inlineStr">
        <is>
          <t>A 36680-2023</t>
        </is>
      </c>
      <c r="B379" t="inlineStr">
        <is>
          <t>avverkningsanmälan</t>
        </is>
      </c>
      <c r="C379" t="inlineStr">
        <is>
          <t>Avverkning för annat ändamål</t>
        </is>
      </c>
      <c r="D379" s="1" t="n">
        <v>45153</v>
      </c>
      <c r="E379" s="1" t="n">
        <v>46306</v>
      </c>
      <c r="F379" t="inlineStr">
        <is>
          <t>VÄRMLANDS LÄN</t>
        </is>
      </c>
      <c r="G379" t="inlineStr">
        <is>
          <t>FILIPSTAD</t>
        </is>
      </c>
      <c r="I379" t="n">
        <v>0.3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A 5803-2023</t>
        </is>
      </c>
      <c r="B380" t="inlineStr">
        <is>
          <t>avverkningsanmälan</t>
        </is>
      </c>
      <c r="C380" t="inlineStr">
        <is>
          <t>Avverkning för annat ändamål</t>
        </is>
      </c>
      <c r="D380" s="1" t="n">
        <v>44963</v>
      </c>
      <c r="E380" s="1" t="n">
        <v>46306</v>
      </c>
      <c r="F380" t="inlineStr">
        <is>
          <t>VÄRMLANDS LÄN</t>
        </is>
      </c>
      <c r="G380" t="inlineStr">
        <is>
          <t>FILIPSTAD</t>
        </is>
      </c>
      <c r="H380" t="inlineStr">
        <is>
          <t>Bergvik skog väst AB</t>
        </is>
      </c>
      <c r="I380" t="n">
        <v>2.5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A 63186-2025</t>
        </is>
      </c>
      <c r="B381" t="inlineStr">
        <is>
          <t>avverkningsanmälan</t>
        </is>
      </c>
      <c r="C381" t="inlineStr">
        <is>
          <t>Föryngringsavverkning</t>
        </is>
      </c>
      <c r="D381" s="1" t="n">
        <v>46010</v>
      </c>
      <c r="E381" s="1" t="n">
        <v>46306</v>
      </c>
      <c r="F381" t="inlineStr">
        <is>
          <t>VÄRMLANDS LÄN</t>
        </is>
      </c>
      <c r="G381" t="inlineStr">
        <is>
          <t>FILIPSTAD</t>
        </is>
      </c>
      <c r="H381" t="inlineStr">
        <is>
          <t>Bergvik skog väst AB</t>
        </is>
      </c>
      <c r="I381" t="n">
        <v>2.6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A 20050-2026</t>
        </is>
      </c>
      <c r="B382" t="inlineStr">
        <is>
          <t>avverkningsanmälan</t>
        </is>
      </c>
      <c r="C382" t="inlineStr">
        <is>
          <t>Föryngringsavverkning</t>
        </is>
      </c>
      <c r="D382" s="1" t="n">
        <v>46136</v>
      </c>
      <c r="E382" s="1" t="n">
        <v>46306</v>
      </c>
      <c r="F382" t="inlineStr">
        <is>
          <t>VÄRMLANDS LÄN</t>
        </is>
      </c>
      <c r="G382" t="inlineStr">
        <is>
          <t>FILIPSTAD</t>
        </is>
      </c>
      <c r="H382" t="inlineStr">
        <is>
          <t>Bergvik skog väst AB</t>
        </is>
      </c>
      <c r="I382" t="n">
        <v>3.1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A 19882-2026</t>
        </is>
      </c>
      <c r="B383" t="inlineStr">
        <is>
          <t>avverkningsanmälan</t>
        </is>
      </c>
      <c r="C383" t="inlineStr">
        <is>
          <t>Föryngringsavverkning</t>
        </is>
      </c>
      <c r="D383" s="1" t="n">
        <v>46135</v>
      </c>
      <c r="E383" s="1" t="n">
        <v>46306</v>
      </c>
      <c r="F383" t="inlineStr">
        <is>
          <t>VÄRMLANDS LÄN</t>
        </is>
      </c>
      <c r="G383" t="inlineStr">
        <is>
          <t>FILIPSTAD</t>
        </is>
      </c>
      <c r="H383" t="inlineStr">
        <is>
          <t>Bergvik skog väst AB</t>
        </is>
      </c>
      <c r="I383" t="n">
        <v>8.800000000000001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A 18210-2024</t>
        </is>
      </c>
      <c r="B384" t="inlineStr">
        <is>
          <t>avverkningsanmälan</t>
        </is>
      </c>
      <c r="C384" t="inlineStr">
        <is>
          <t>Föryngringsavverkning</t>
        </is>
      </c>
      <c r="D384" s="1" t="n">
        <v>45420</v>
      </c>
      <c r="E384" s="1" t="n">
        <v>46306</v>
      </c>
      <c r="F384" t="inlineStr">
        <is>
          <t>VÄRMLANDS LÄN</t>
        </is>
      </c>
      <c r="G384" t="inlineStr">
        <is>
          <t>FILIPSTAD</t>
        </is>
      </c>
      <c r="H384" t="inlineStr">
        <is>
          <t>Bergvik skog väst AB</t>
        </is>
      </c>
      <c r="I384" t="n">
        <v>5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A 40646-2025</t>
        </is>
      </c>
      <c r="B385" t="inlineStr">
        <is>
          <t>avverkningsanmälan</t>
        </is>
      </c>
      <c r="C385" t="inlineStr">
        <is>
          <t>Föryngringsavverkning</t>
        </is>
      </c>
      <c r="D385" s="1" t="n">
        <v>45896</v>
      </c>
      <c r="E385" s="1" t="n">
        <v>46306</v>
      </c>
      <c r="F385" t="inlineStr">
        <is>
          <t>VÄRMLANDS LÄN</t>
        </is>
      </c>
      <c r="G385" t="inlineStr">
        <is>
          <t>FILIPSTAD</t>
        </is>
      </c>
      <c r="H385" t="inlineStr">
        <is>
          <t>Bergvik skog väst AB</t>
        </is>
      </c>
      <c r="I385" t="n">
        <v>1.8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A 63678-2025</t>
        </is>
      </c>
      <c r="B386" t="inlineStr">
        <is>
          <t>avverkningsanmälan</t>
        </is>
      </c>
      <c r="C386" t="inlineStr">
        <is>
          <t>Föryngringsavverkning</t>
        </is>
      </c>
      <c r="D386" s="1" t="n">
        <v>46014</v>
      </c>
      <c r="E386" s="1" t="n">
        <v>46306</v>
      </c>
      <c r="F386" t="inlineStr">
        <is>
          <t>VÄRMLANDS LÄN</t>
        </is>
      </c>
      <c r="G386" t="inlineStr">
        <is>
          <t>FILIPSTAD</t>
        </is>
      </c>
      <c r="I386" t="n">
        <v>9.9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A 17763-2025</t>
        </is>
      </c>
      <c r="B387" t="inlineStr">
        <is>
          <t>avverkningsanmälan</t>
        </is>
      </c>
      <c r="C387" t="inlineStr">
        <is>
          <t>Föryngringsavverkning</t>
        </is>
      </c>
      <c r="D387" s="1" t="n">
        <v>45758</v>
      </c>
      <c r="E387" s="1" t="n">
        <v>46306</v>
      </c>
      <c r="F387" t="inlineStr">
        <is>
          <t>VÄRMLANDS LÄN</t>
        </is>
      </c>
      <c r="G387" t="inlineStr">
        <is>
          <t>FILIPSTAD</t>
        </is>
      </c>
      <c r="H387" t="inlineStr">
        <is>
          <t>Bergvik skog väst AB</t>
        </is>
      </c>
      <c r="I387" t="n">
        <v>13.1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A 41521-2025</t>
        </is>
      </c>
      <c r="B388" t="inlineStr">
        <is>
          <t>avverkningsanmälan</t>
        </is>
      </c>
      <c r="C388" t="inlineStr">
        <is>
          <t>Föryngringsavverkning</t>
        </is>
      </c>
      <c r="D388" s="1" t="n">
        <v>45901</v>
      </c>
      <c r="E388" s="1" t="n">
        <v>46306</v>
      </c>
      <c r="F388" t="inlineStr">
        <is>
          <t>VÄRMLANDS LÄN</t>
        </is>
      </c>
      <c r="G388" t="inlineStr">
        <is>
          <t>FILIPSTAD</t>
        </is>
      </c>
      <c r="H388" t="inlineStr">
        <is>
          <t>Bergvik skog väst AB</t>
        </is>
      </c>
      <c r="I388" t="n">
        <v>1.7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 ht="15" customHeight="1">
      <c r="A389" t="inlineStr">
        <is>
          <t>A 51618-2022</t>
        </is>
      </c>
      <c r="B389" t="inlineStr">
        <is>
          <t>avverkningsanmälan</t>
        </is>
      </c>
      <c r="C389" t="inlineStr">
        <is>
          <t>Föryngringsavverkning</t>
        </is>
      </c>
      <c r="D389" s="1" t="n">
        <v>44872</v>
      </c>
      <c r="E389" s="1" t="n">
        <v>46306</v>
      </c>
      <c r="F389" t="inlineStr">
        <is>
          <t>VÄRMLANDS LÄN</t>
        </is>
      </c>
      <c r="G389" t="inlineStr">
        <is>
          <t>FILIPSTAD</t>
        </is>
      </c>
      <c r="I389" t="n">
        <v>1.6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  <row r="390" ht="15" customHeight="1">
      <c r="A390" t="inlineStr">
        <is>
          <t>A 22843-2025</t>
        </is>
      </c>
      <c r="B390" t="inlineStr">
        <is>
          <t>avverkningsanmälan</t>
        </is>
      </c>
      <c r="C390" t="inlineStr">
        <is>
          <t>Föryngringsavverkning</t>
        </is>
      </c>
      <c r="D390" s="1" t="n">
        <v>45790</v>
      </c>
      <c r="E390" s="1" t="n">
        <v>46306</v>
      </c>
      <c r="F390" t="inlineStr">
        <is>
          <t>VÄRMLANDS LÄN</t>
        </is>
      </c>
      <c r="G390" t="inlineStr">
        <is>
          <t>FILIPSTAD</t>
        </is>
      </c>
      <c r="I390" t="n">
        <v>1.1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inlineStr"/>
    </row>
    <row r="391" ht="15" customHeight="1">
      <c r="A391" t="inlineStr">
        <is>
          <t>A 20487-2026</t>
        </is>
      </c>
      <c r="B391" t="inlineStr">
        <is>
          <t>avverkningsanmälan</t>
        </is>
      </c>
      <c r="C391" t="inlineStr">
        <is>
          <t>Föryngringsavverkning</t>
        </is>
      </c>
      <c r="D391" s="1" t="n">
        <v>46140</v>
      </c>
      <c r="E391" s="1" t="n">
        <v>46306</v>
      </c>
      <c r="F391" t="inlineStr">
        <is>
          <t>VÄRMLANDS LÄN</t>
        </is>
      </c>
      <c r="G391" t="inlineStr">
        <is>
          <t>FILIPSTAD</t>
        </is>
      </c>
      <c r="H391" t="inlineStr">
        <is>
          <t>Bergvik skog väst AB</t>
        </is>
      </c>
      <c r="I391" t="n">
        <v>5.2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inlineStr"/>
    </row>
    <row r="392" ht="15" customHeight="1">
      <c r="A392" t="inlineStr">
        <is>
          <t>A 28687-2025</t>
        </is>
      </c>
      <c r="B392" t="inlineStr">
        <is>
          <t>avverkningsanmälan</t>
        </is>
      </c>
      <c r="C392" t="inlineStr">
        <is>
          <t>Föryngringsavverkning</t>
        </is>
      </c>
      <c r="D392" s="1" t="n">
        <v>45819</v>
      </c>
      <c r="E392" s="1" t="n">
        <v>46306</v>
      </c>
      <c r="F392" t="inlineStr">
        <is>
          <t>VÄRMLANDS LÄN</t>
        </is>
      </c>
      <c r="G392" t="inlineStr">
        <is>
          <t>FILIPSTAD</t>
        </is>
      </c>
      <c r="H392" t="inlineStr">
        <is>
          <t>Bergvik skog väst AB</t>
        </is>
      </c>
      <c r="I392" t="n">
        <v>1.9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inlineStr"/>
    </row>
    <row r="393" ht="15" customHeight="1">
      <c r="A393" t="inlineStr">
        <is>
          <t>A 71971-2021</t>
        </is>
      </c>
      <c r="B393" t="inlineStr">
        <is>
          <t>avverkningsanmälan</t>
        </is>
      </c>
      <c r="C393" t="inlineStr">
        <is>
          <t>Föryngringsavverkning</t>
        </is>
      </c>
      <c r="D393" s="1" t="n">
        <v>44544</v>
      </c>
      <c r="E393" s="1" t="n">
        <v>46306</v>
      </c>
      <c r="F393" t="inlineStr">
        <is>
          <t>VÄRMLANDS LÄN</t>
        </is>
      </c>
      <c r="G393" t="inlineStr">
        <is>
          <t>FILIPSTAD</t>
        </is>
      </c>
      <c r="H393" t="inlineStr">
        <is>
          <t>Bergvik skog väst AB</t>
        </is>
      </c>
      <c r="I393" t="n">
        <v>6.1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inlineStr"/>
    </row>
    <row r="394" ht="15" customHeight="1">
      <c r="A394" t="inlineStr">
        <is>
          <t>A 22558-2025</t>
        </is>
      </c>
      <c r="B394" t="inlineStr">
        <is>
          <t>avverkningsanmälan</t>
        </is>
      </c>
      <c r="C394" t="inlineStr">
        <is>
          <t>Föryngringsavverkning</t>
        </is>
      </c>
      <c r="D394" s="1" t="n">
        <v>45789</v>
      </c>
      <c r="E394" s="1" t="n">
        <v>46306</v>
      </c>
      <c r="F394" t="inlineStr">
        <is>
          <t>VÄRMLANDS LÄN</t>
        </is>
      </c>
      <c r="G394" t="inlineStr">
        <is>
          <t>FILIPSTAD</t>
        </is>
      </c>
      <c r="I394" t="n">
        <v>3.6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s="2" t="inlineStr"/>
    </row>
    <row r="395" ht="15" customHeight="1">
      <c r="A395" t="inlineStr">
        <is>
          <t>A 31306-2023</t>
        </is>
      </c>
      <c r="B395" t="inlineStr">
        <is>
          <t>avverkningsanmälan</t>
        </is>
      </c>
      <c r="C395" t="inlineStr">
        <is>
          <t>Föryngringsavverkning</t>
        </is>
      </c>
      <c r="D395" s="1" t="n">
        <v>45114</v>
      </c>
      <c r="E395" s="1" t="n">
        <v>46306</v>
      </c>
      <c r="F395" t="inlineStr">
        <is>
          <t>VÄRMLANDS LÄN</t>
        </is>
      </c>
      <c r="G395" t="inlineStr">
        <is>
          <t>FILIPSTAD</t>
        </is>
      </c>
      <c r="H395" t="inlineStr">
        <is>
          <t>Bergvik skog väst AB</t>
        </is>
      </c>
      <c r="I395" t="n">
        <v>6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s="2" t="inlineStr"/>
    </row>
    <row r="396" ht="15" customHeight="1">
      <c r="A396" t="inlineStr">
        <is>
          <t>A 54080-2025</t>
        </is>
      </c>
      <c r="B396" t="inlineStr">
        <is>
          <t>avverkningsanmälan</t>
        </is>
      </c>
      <c r="C396" t="inlineStr">
        <is>
          <t>Föryngringsavverkning</t>
        </is>
      </c>
      <c r="D396" s="1" t="n">
        <v>45964</v>
      </c>
      <c r="E396" s="1" t="n">
        <v>46306</v>
      </c>
      <c r="F396" t="inlineStr">
        <is>
          <t>VÄRMLANDS LÄN</t>
        </is>
      </c>
      <c r="G396" t="inlineStr">
        <is>
          <t>FILIPSTAD</t>
        </is>
      </c>
      <c r="I396" t="n">
        <v>2.3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s="2" t="inlineStr"/>
    </row>
    <row r="397" ht="15" customHeight="1">
      <c r="A397" t="inlineStr">
        <is>
          <t>A 33379-2025</t>
        </is>
      </c>
      <c r="B397" t="inlineStr">
        <is>
          <t>avverkningsanmälan</t>
        </is>
      </c>
      <c r="C397" t="inlineStr">
        <is>
          <t>Föryngringsavverkning</t>
        </is>
      </c>
      <c r="D397" s="1" t="n">
        <v>45841</v>
      </c>
      <c r="E397" s="1" t="n">
        <v>46306</v>
      </c>
      <c r="F397" t="inlineStr">
        <is>
          <t>VÄRMLANDS LÄN</t>
        </is>
      </c>
      <c r="G397" t="inlineStr">
        <is>
          <t>FILIPSTAD</t>
        </is>
      </c>
      <c r="H397" t="inlineStr">
        <is>
          <t>Bergvik skog väst AB</t>
        </is>
      </c>
      <c r="I397" t="n">
        <v>1.7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s="2" t="inlineStr"/>
    </row>
    <row r="398" ht="15" customHeight="1">
      <c r="A398" t="inlineStr">
        <is>
          <t>A 58611-2025</t>
        </is>
      </c>
      <c r="B398" t="inlineStr">
        <is>
          <t>avverkningsanmälan</t>
        </is>
      </c>
      <c r="C398" t="inlineStr">
        <is>
          <t>Avverkning för annat ändamål</t>
        </is>
      </c>
      <c r="D398" s="1" t="n">
        <v>45986</v>
      </c>
      <c r="E398" s="1" t="n">
        <v>46306</v>
      </c>
      <c r="F398" t="inlineStr">
        <is>
          <t>VÄRMLANDS LÄN</t>
        </is>
      </c>
      <c r="G398" t="inlineStr">
        <is>
          <t>FILIPSTAD</t>
        </is>
      </c>
      <c r="I398" t="n">
        <v>3.7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s="2" t="inlineStr"/>
    </row>
    <row r="399" ht="15" customHeight="1">
      <c r="A399" t="inlineStr">
        <is>
          <t>A 9370-2023</t>
        </is>
      </c>
      <c r="B399" t="inlineStr">
        <is>
          <t>avverkningsanmälan</t>
        </is>
      </c>
      <c r="C399" t="inlineStr">
        <is>
          <t>Föryngringsavverkning</t>
        </is>
      </c>
      <c r="D399" s="1" t="n">
        <v>44981</v>
      </c>
      <c r="E399" s="1" t="n">
        <v>46306</v>
      </c>
      <c r="F399" t="inlineStr">
        <is>
          <t>VÄRMLANDS LÄN</t>
        </is>
      </c>
      <c r="G399" t="inlineStr">
        <is>
          <t>FILIPSTAD</t>
        </is>
      </c>
      <c r="H399" t="inlineStr">
        <is>
          <t>Bergvik skog väst AB</t>
        </is>
      </c>
      <c r="I399" t="n">
        <v>8.1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s="2" t="inlineStr"/>
    </row>
    <row r="400" ht="15" customHeight="1">
      <c r="A400" t="inlineStr">
        <is>
          <t>A 3071-2026</t>
        </is>
      </c>
      <c r="B400" t="inlineStr">
        <is>
          <t>avverkningsanmälan</t>
        </is>
      </c>
      <c r="C400" t="inlineStr">
        <is>
          <t>Föryngringsavverkning</t>
        </is>
      </c>
      <c r="D400" s="1" t="n">
        <v>46040</v>
      </c>
      <c r="E400" s="1" t="n">
        <v>46306</v>
      </c>
      <c r="F400" t="inlineStr">
        <is>
          <t>VÄRMLANDS LÄN</t>
        </is>
      </c>
      <c r="G400" t="inlineStr">
        <is>
          <t>FILIPSTAD</t>
        </is>
      </c>
      <c r="I400" t="n">
        <v>3.8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s="2" t="inlineStr"/>
    </row>
    <row r="401" ht="15" customHeight="1">
      <c r="A401" t="inlineStr">
        <is>
          <t>A 37733-2025</t>
        </is>
      </c>
      <c r="B401" t="inlineStr">
        <is>
          <t>avverkningsanmälan</t>
        </is>
      </c>
      <c r="C401" t="inlineStr">
        <is>
          <t>Föryngringsavverkning</t>
        </is>
      </c>
      <c r="D401" s="1" t="n">
        <v>45880</v>
      </c>
      <c r="E401" s="1" t="n">
        <v>46306</v>
      </c>
      <c r="F401" t="inlineStr">
        <is>
          <t>VÄRMLANDS LÄN</t>
        </is>
      </c>
      <c r="G401" t="inlineStr">
        <is>
          <t>FILIPSTAD</t>
        </is>
      </c>
      <c r="H401" t="inlineStr">
        <is>
          <t>Bergvik skog väst AB</t>
        </is>
      </c>
      <c r="I401" t="n">
        <v>7.6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s="2" t="inlineStr"/>
    </row>
    <row r="402" ht="15" customHeight="1">
      <c r="A402" t="inlineStr">
        <is>
          <t>A 33449-2025</t>
        </is>
      </c>
      <c r="B402" t="inlineStr">
        <is>
          <t>avverkningsanmälan</t>
        </is>
      </c>
      <c r="C402" t="inlineStr">
        <is>
          <t>Föryngringsavverkning</t>
        </is>
      </c>
      <c r="D402" s="1" t="n">
        <v>45841</v>
      </c>
      <c r="E402" s="1" t="n">
        <v>46306</v>
      </c>
      <c r="F402" t="inlineStr">
        <is>
          <t>VÄRMLANDS LÄN</t>
        </is>
      </c>
      <c r="G402" t="inlineStr">
        <is>
          <t>FILIPSTAD</t>
        </is>
      </c>
      <c r="H402" t="inlineStr">
        <is>
          <t>Bergvik skog väst AB</t>
        </is>
      </c>
      <c r="I402" t="n">
        <v>1.4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s="2" t="inlineStr"/>
    </row>
    <row r="403" ht="15" customHeight="1">
      <c r="A403" t="inlineStr">
        <is>
          <t>A 50786-2024</t>
        </is>
      </c>
      <c r="B403" t="inlineStr">
        <is>
          <t>avverkningsanmälan</t>
        </is>
      </c>
      <c r="C403" t="inlineStr">
        <is>
          <t>Föryngringsavverkning</t>
        </is>
      </c>
      <c r="D403" s="1" t="n">
        <v>45602</v>
      </c>
      <c r="E403" s="1" t="n">
        <v>46306</v>
      </c>
      <c r="F403" t="inlineStr">
        <is>
          <t>VÄRMLANDS LÄN</t>
        </is>
      </c>
      <c r="G403" t="inlineStr">
        <is>
          <t>FILIPSTAD</t>
        </is>
      </c>
      <c r="H403" t="inlineStr">
        <is>
          <t>Bergvik skog väst AB</t>
        </is>
      </c>
      <c r="I403" t="n">
        <v>3.9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s="2" t="inlineStr"/>
    </row>
    <row r="404" ht="15" customHeight="1">
      <c r="A404" t="inlineStr">
        <is>
          <t>A 20489-2026</t>
        </is>
      </c>
      <c r="B404" t="inlineStr">
        <is>
          <t>avverkningsanmälan</t>
        </is>
      </c>
      <c r="C404" t="inlineStr">
        <is>
          <t>Föryngringsavverkning</t>
        </is>
      </c>
      <c r="D404" s="1" t="n">
        <v>46140</v>
      </c>
      <c r="E404" s="1" t="n">
        <v>46306</v>
      </c>
      <c r="F404" t="inlineStr">
        <is>
          <t>VÄRMLANDS LÄN</t>
        </is>
      </c>
      <c r="G404" t="inlineStr">
        <is>
          <t>FILIPSTAD</t>
        </is>
      </c>
      <c r="H404" t="inlineStr">
        <is>
          <t>Bergvik skog väst AB</t>
        </is>
      </c>
      <c r="I404" t="n">
        <v>10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s="2" t="inlineStr"/>
    </row>
    <row r="405" ht="15" customHeight="1">
      <c r="A405" t="inlineStr">
        <is>
          <t>A 5846-2023</t>
        </is>
      </c>
      <c r="B405" t="inlineStr">
        <is>
          <t>avverkningsanmälan</t>
        </is>
      </c>
      <c r="C405" t="inlineStr">
        <is>
          <t>Föryngringsavverkning</t>
        </is>
      </c>
      <c r="D405" s="1" t="n">
        <v>44963</v>
      </c>
      <c r="E405" s="1" t="n">
        <v>46306</v>
      </c>
      <c r="F405" t="inlineStr">
        <is>
          <t>VÄRMLANDS LÄN</t>
        </is>
      </c>
      <c r="G405" t="inlineStr">
        <is>
          <t>FILIPSTAD</t>
        </is>
      </c>
      <c r="I405" t="n">
        <v>2.1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s="2" t="inlineStr"/>
    </row>
    <row r="406" ht="15" customHeight="1">
      <c r="A406" t="inlineStr">
        <is>
          <t>A 36809-2022</t>
        </is>
      </c>
      <c r="B406" t="inlineStr">
        <is>
          <t>avverkningsanmälan</t>
        </is>
      </c>
      <c r="C406" t="inlineStr">
        <is>
          <t>Föryngringsavverkning</t>
        </is>
      </c>
      <c r="D406" s="1" t="n">
        <v>44805</v>
      </c>
      <c r="E406" s="1" t="n">
        <v>46306</v>
      </c>
      <c r="F406" t="inlineStr">
        <is>
          <t>VÄRMLANDS LÄN</t>
        </is>
      </c>
      <c r="G406" t="inlineStr">
        <is>
          <t>FILIPSTAD</t>
        </is>
      </c>
      <c r="I406" t="n">
        <v>3.8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s="2" t="inlineStr"/>
    </row>
    <row r="407" ht="15" customHeight="1">
      <c r="A407" t="inlineStr">
        <is>
          <t>A 33967-2023</t>
        </is>
      </c>
      <c r="B407" t="inlineStr">
        <is>
          <t>avverkningsanmälan</t>
        </is>
      </c>
      <c r="C407" t="inlineStr">
        <is>
          <t>Föryngringsavverkning</t>
        </is>
      </c>
      <c r="D407" s="1" t="n">
        <v>45124</v>
      </c>
      <c r="E407" s="1" t="n">
        <v>46306</v>
      </c>
      <c r="F407" t="inlineStr">
        <is>
          <t>VÄRMLANDS LÄN</t>
        </is>
      </c>
      <c r="G407" t="inlineStr">
        <is>
          <t>FILIPSTAD</t>
        </is>
      </c>
      <c r="I407" t="n">
        <v>3.1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s="2" t="inlineStr"/>
    </row>
    <row r="408" ht="15" customHeight="1">
      <c r="A408" t="inlineStr">
        <is>
          <t>A 33973-2023</t>
        </is>
      </c>
      <c r="B408" t="inlineStr">
        <is>
          <t>avverkningsanmälan</t>
        </is>
      </c>
      <c r="C408" t="inlineStr">
        <is>
          <t>Föryngringsavverkning</t>
        </is>
      </c>
      <c r="D408" s="1" t="n">
        <v>45124</v>
      </c>
      <c r="E408" s="1" t="n">
        <v>46306</v>
      </c>
      <c r="F408" t="inlineStr">
        <is>
          <t>VÄRMLANDS LÄN</t>
        </is>
      </c>
      <c r="G408" t="inlineStr">
        <is>
          <t>FILIPSTAD</t>
        </is>
      </c>
      <c r="I408" t="n">
        <v>7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s="2" t="inlineStr"/>
    </row>
    <row r="409" ht="15" customHeight="1">
      <c r="A409" t="inlineStr">
        <is>
          <t>A 61741-2022</t>
        </is>
      </c>
      <c r="B409" t="inlineStr">
        <is>
          <t>avverkningsanmälan</t>
        </is>
      </c>
      <c r="C409" t="inlineStr">
        <is>
          <t>Föryngringsavverkning</t>
        </is>
      </c>
      <c r="D409" s="1" t="n">
        <v>44911</v>
      </c>
      <c r="E409" s="1" t="n">
        <v>46306</v>
      </c>
      <c r="F409" t="inlineStr">
        <is>
          <t>VÄRMLANDS LÄN</t>
        </is>
      </c>
      <c r="G409" t="inlineStr">
        <is>
          <t>FILIPSTAD</t>
        </is>
      </c>
      <c r="I409" t="n">
        <v>1.9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s="2" t="inlineStr"/>
    </row>
    <row r="410" ht="15" customHeight="1">
      <c r="A410" t="inlineStr">
        <is>
          <t>A 39896-2025</t>
        </is>
      </c>
      <c r="B410" t="inlineStr">
        <is>
          <t>avverkningsanmälan</t>
        </is>
      </c>
      <c r="C410" t="inlineStr">
        <is>
          <t>Föryngringsavverkning</t>
        </is>
      </c>
      <c r="D410" s="1" t="n">
        <v>45891</v>
      </c>
      <c r="E410" s="1" t="n">
        <v>46306</v>
      </c>
      <c r="F410" t="inlineStr">
        <is>
          <t>VÄRMLANDS LÄN</t>
        </is>
      </c>
      <c r="G410" t="inlineStr">
        <is>
          <t>FILIPSTAD</t>
        </is>
      </c>
      <c r="H410" t="inlineStr">
        <is>
          <t>Bergvik skog väst AB</t>
        </is>
      </c>
      <c r="I410" t="n">
        <v>3.3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s="2" t="inlineStr"/>
    </row>
    <row r="411" ht="15" customHeight="1">
      <c r="A411" t="inlineStr">
        <is>
          <t>A 32059-2025</t>
        </is>
      </c>
      <c r="B411" t="inlineStr">
        <is>
          <t>avverkningsanmälan</t>
        </is>
      </c>
      <c r="C411" t="inlineStr">
        <is>
          <t>Föryngringsavverkning</t>
        </is>
      </c>
      <c r="D411" s="1" t="n">
        <v>45835</v>
      </c>
      <c r="E411" s="1" t="n">
        <v>46306</v>
      </c>
      <c r="F411" t="inlineStr">
        <is>
          <t>VÄRMLANDS LÄN</t>
        </is>
      </c>
      <c r="G411" t="inlineStr">
        <is>
          <t>FILIPSTAD</t>
        </is>
      </c>
      <c r="I411" t="n">
        <v>5.5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s="2" t="inlineStr"/>
    </row>
    <row r="412" ht="15" customHeight="1">
      <c r="A412" t="inlineStr">
        <is>
          <t>A 20661-2026</t>
        </is>
      </c>
      <c r="B412" t="inlineStr">
        <is>
          <t>avverkningsanmälan</t>
        </is>
      </c>
      <c r="C412" t="inlineStr">
        <is>
          <t>Föryngringsavverkning</t>
        </is>
      </c>
      <c r="D412" s="1" t="n">
        <v>46141</v>
      </c>
      <c r="E412" s="1" t="n">
        <v>46306</v>
      </c>
      <c r="F412" t="inlineStr">
        <is>
          <t>VÄRMLANDS LÄN</t>
        </is>
      </c>
      <c r="G412" t="inlineStr">
        <is>
          <t>FILIPSTAD</t>
        </is>
      </c>
      <c r="H412" t="inlineStr">
        <is>
          <t>Bergvik skog väst AB</t>
        </is>
      </c>
      <c r="I412" t="n">
        <v>5.4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s="2" t="inlineStr"/>
    </row>
    <row r="413" ht="15" customHeight="1">
      <c r="A413" t="inlineStr">
        <is>
          <t>A 20801-2026</t>
        </is>
      </c>
      <c r="B413" t="inlineStr">
        <is>
          <t>avverkningsanmälan</t>
        </is>
      </c>
      <c r="C413" t="inlineStr">
        <is>
          <t>Föryngringsavverkning</t>
        </is>
      </c>
      <c r="D413" s="1" t="n">
        <v>46141</v>
      </c>
      <c r="E413" s="1" t="n">
        <v>46306</v>
      </c>
      <c r="F413" t="inlineStr">
        <is>
          <t>VÄRMLANDS LÄN</t>
        </is>
      </c>
      <c r="G413" t="inlineStr">
        <is>
          <t>FILIPSTAD</t>
        </is>
      </c>
      <c r="H413" t="inlineStr">
        <is>
          <t>Bergvik skog väst AB</t>
        </is>
      </c>
      <c r="I413" t="n">
        <v>5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s="2" t="inlineStr"/>
    </row>
    <row r="414" ht="15" customHeight="1">
      <c r="A414" t="inlineStr">
        <is>
          <t>A 25737-2023</t>
        </is>
      </c>
      <c r="B414" t="inlineStr">
        <is>
          <t>avverkningsanmälan</t>
        </is>
      </c>
      <c r="C414" t="inlineStr">
        <is>
          <t>Avverkning för annat ändamål</t>
        </is>
      </c>
      <c r="D414" s="1" t="n">
        <v>45090</v>
      </c>
      <c r="E414" s="1" t="n">
        <v>46306</v>
      </c>
      <c r="F414" t="inlineStr">
        <is>
          <t>VÄRMLANDS LÄN</t>
        </is>
      </c>
      <c r="G414" t="inlineStr">
        <is>
          <t>FILIPSTAD</t>
        </is>
      </c>
      <c r="H414" t="inlineStr">
        <is>
          <t>Bergvik skog väst AB</t>
        </is>
      </c>
      <c r="I414" t="n">
        <v>1.8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s="2" t="inlineStr"/>
    </row>
    <row r="415" ht="15" customHeight="1">
      <c r="A415" t="inlineStr">
        <is>
          <t>A 20554-2025</t>
        </is>
      </c>
      <c r="B415" t="inlineStr">
        <is>
          <t>avverkningsanmälan</t>
        </is>
      </c>
      <c r="C415" t="inlineStr">
        <is>
          <t>Avverkning för annat ändamål</t>
        </is>
      </c>
      <c r="D415" s="1" t="n">
        <v>45775</v>
      </c>
      <c r="E415" s="1" t="n">
        <v>46306</v>
      </c>
      <c r="F415" t="inlineStr">
        <is>
          <t>VÄRMLANDS LÄN</t>
        </is>
      </c>
      <c r="G415" t="inlineStr">
        <is>
          <t>FILIPSTAD</t>
        </is>
      </c>
      <c r="H415" t="inlineStr">
        <is>
          <t>Bergvik skog väst AB</t>
        </is>
      </c>
      <c r="I415" t="n">
        <v>2.3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s="2" t="inlineStr"/>
    </row>
    <row r="416" ht="15" customHeight="1">
      <c r="A416" t="inlineStr">
        <is>
          <t>A 49602-2025</t>
        </is>
      </c>
      <c r="B416" t="inlineStr">
        <is>
          <t>avverkningsanmälan</t>
        </is>
      </c>
      <c r="C416" t="inlineStr">
        <is>
          <t>Föryngringsavverkning</t>
        </is>
      </c>
      <c r="D416" s="1" t="n">
        <v>45939</v>
      </c>
      <c r="E416" s="1" t="n">
        <v>46306</v>
      </c>
      <c r="F416" t="inlineStr">
        <is>
          <t>VÄRMLANDS LÄN</t>
        </is>
      </c>
      <c r="G416" t="inlineStr">
        <is>
          <t>FILIPSTAD</t>
        </is>
      </c>
      <c r="H416" t="inlineStr">
        <is>
          <t>Bergvik skog väst AB</t>
        </is>
      </c>
      <c r="I416" t="n">
        <v>10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s="2" t="inlineStr"/>
    </row>
    <row r="417" ht="15" customHeight="1">
      <c r="A417" t="inlineStr">
        <is>
          <t>A 20919-2026</t>
        </is>
      </c>
      <c r="B417" t="inlineStr">
        <is>
          <t>avverkningsanmälan</t>
        </is>
      </c>
      <c r="C417" t="inlineStr">
        <is>
          <t>Föryngringsavverkning</t>
        </is>
      </c>
      <c r="D417" s="1" t="n">
        <v>46142</v>
      </c>
      <c r="E417" s="1" t="n">
        <v>46306</v>
      </c>
      <c r="F417" t="inlineStr">
        <is>
          <t>VÄRMLANDS LÄN</t>
        </is>
      </c>
      <c r="G417" t="inlineStr">
        <is>
          <t>FILIPSTAD</t>
        </is>
      </c>
      <c r="I417" t="n">
        <v>2.5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s="2" t="inlineStr"/>
    </row>
    <row r="418" ht="15" customHeight="1">
      <c r="A418" t="inlineStr">
        <is>
          <t>A 36272-2025</t>
        </is>
      </c>
      <c r="B418" t="inlineStr">
        <is>
          <t>avverkningsanmälan</t>
        </is>
      </c>
      <c r="C418" t="inlineStr">
        <is>
          <t>Föryngringsavverkning</t>
        </is>
      </c>
      <c r="D418" s="1" t="n">
        <v>45867</v>
      </c>
      <c r="E418" s="1" t="n">
        <v>46306</v>
      </c>
      <c r="F418" t="inlineStr">
        <is>
          <t>VÄRMLANDS LÄN</t>
        </is>
      </c>
      <c r="G418" t="inlineStr">
        <is>
          <t>FILIPSTAD</t>
        </is>
      </c>
      <c r="H418" t="inlineStr">
        <is>
          <t>Bergvik skog väst AB</t>
        </is>
      </c>
      <c r="I418" t="n">
        <v>5.7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s="2" t="inlineStr"/>
    </row>
    <row r="419" ht="15" customHeight="1">
      <c r="A419" t="inlineStr">
        <is>
          <t>A 31676-2025</t>
        </is>
      </c>
      <c r="B419" t="inlineStr">
        <is>
          <t>avverkningsanmälan</t>
        </is>
      </c>
      <c r="C419" t="inlineStr">
        <is>
          <t>Föryngringsavverkning</t>
        </is>
      </c>
      <c r="D419" s="1" t="n">
        <v>45834</v>
      </c>
      <c r="E419" s="1" t="n">
        <v>46306</v>
      </c>
      <c r="F419" t="inlineStr">
        <is>
          <t>VÄRMLANDS LÄN</t>
        </is>
      </c>
      <c r="G419" t="inlineStr">
        <is>
          <t>FILIPSTAD</t>
        </is>
      </c>
      <c r="H419" t="inlineStr">
        <is>
          <t>Bergvik skog väst AB</t>
        </is>
      </c>
      <c r="I419" t="n">
        <v>4.2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s="2" t="inlineStr"/>
    </row>
    <row r="420" ht="15" customHeight="1">
      <c r="A420" t="inlineStr">
        <is>
          <t>A 6593-2026</t>
        </is>
      </c>
      <c r="B420" t="inlineStr">
        <is>
          <t>avverkningsanmälan</t>
        </is>
      </c>
      <c r="C420" t="inlineStr">
        <is>
          <t>Föryngringsavverkning</t>
        </is>
      </c>
      <c r="D420" s="1" t="n">
        <v>46056</v>
      </c>
      <c r="E420" s="1" t="n">
        <v>46306</v>
      </c>
      <c r="F420" t="inlineStr">
        <is>
          <t>VÄRMLANDS LÄN</t>
        </is>
      </c>
      <c r="G420" t="inlineStr">
        <is>
          <t>FILIPSTAD</t>
        </is>
      </c>
      <c r="I420" t="n">
        <v>2.1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s="2" t="inlineStr"/>
    </row>
    <row r="421" ht="15" customHeight="1">
      <c r="A421" t="inlineStr">
        <is>
          <t>A 6600-2026</t>
        </is>
      </c>
      <c r="B421" t="inlineStr">
        <is>
          <t>avverkningsanmälan</t>
        </is>
      </c>
      <c r="C421" t="inlineStr">
        <is>
          <t>Föryngringsavverkning</t>
        </is>
      </c>
      <c r="D421" s="1" t="n">
        <v>46056</v>
      </c>
      <c r="E421" s="1" t="n">
        <v>46306</v>
      </c>
      <c r="F421" t="inlineStr">
        <is>
          <t>VÄRMLANDS LÄN</t>
        </is>
      </c>
      <c r="G421" t="inlineStr">
        <is>
          <t>FILIPSTAD</t>
        </is>
      </c>
      <c r="I421" t="n">
        <v>0.4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s="2" t="inlineStr"/>
    </row>
    <row r="422" ht="15" customHeight="1">
      <c r="A422" t="inlineStr">
        <is>
          <t>A 20874-2026</t>
        </is>
      </c>
      <c r="B422" t="inlineStr">
        <is>
          <t>avverkningsanmälan</t>
        </is>
      </c>
      <c r="C422" t="inlineStr">
        <is>
          <t>Föryngringsavverkning</t>
        </is>
      </c>
      <c r="D422" s="1" t="n">
        <v>46142</v>
      </c>
      <c r="E422" s="1" t="n">
        <v>46306</v>
      </c>
      <c r="F422" t="inlineStr">
        <is>
          <t>VÄRMLANDS LÄN</t>
        </is>
      </c>
      <c r="G422" t="inlineStr">
        <is>
          <t>FILIPSTAD</t>
        </is>
      </c>
      <c r="H422" t="inlineStr">
        <is>
          <t>Bergvik skog väst AB</t>
        </is>
      </c>
      <c r="I422" t="n">
        <v>7.9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s="2" t="inlineStr"/>
    </row>
    <row r="423" ht="15" customHeight="1">
      <c r="A423" t="inlineStr">
        <is>
          <t>A 24139-2024</t>
        </is>
      </c>
      <c r="B423" t="inlineStr">
        <is>
          <t>avverkningsanmälan</t>
        </is>
      </c>
      <c r="C423" t="inlineStr">
        <is>
          <t>Föryngringsavverkning</t>
        </is>
      </c>
      <c r="D423" s="1" t="n">
        <v>45456</v>
      </c>
      <c r="E423" s="1" t="n">
        <v>46306</v>
      </c>
      <c r="F423" t="inlineStr">
        <is>
          <t>VÄRMLANDS LÄN</t>
        </is>
      </c>
      <c r="G423" t="inlineStr">
        <is>
          <t>FILIPSTAD</t>
        </is>
      </c>
      <c r="H423" t="inlineStr">
        <is>
          <t>Bergvik skog väst AB</t>
        </is>
      </c>
      <c r="I423" t="n">
        <v>2.4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s="2" t="inlineStr"/>
    </row>
    <row r="424" ht="15" customHeight="1">
      <c r="A424" t="inlineStr">
        <is>
          <t>A 7430-2026</t>
        </is>
      </c>
      <c r="B424" t="inlineStr">
        <is>
          <t>avverkningsanmälan</t>
        </is>
      </c>
      <c r="C424" t="inlineStr">
        <is>
          <t>Föryngringsavverkning</t>
        </is>
      </c>
      <c r="D424" s="1" t="n">
        <v>46059</v>
      </c>
      <c r="E424" s="1" t="n">
        <v>46306</v>
      </c>
      <c r="F424" t="inlineStr">
        <is>
          <t>VÄRMLANDS LÄN</t>
        </is>
      </c>
      <c r="G424" t="inlineStr">
        <is>
          <t>FILIPSTAD</t>
        </is>
      </c>
      <c r="H424" t="inlineStr">
        <is>
          <t>Bergvik skog väst AB</t>
        </is>
      </c>
      <c r="I424" t="n">
        <v>2.8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s="2" t="inlineStr"/>
    </row>
    <row r="425" ht="15" customHeight="1">
      <c r="A425" t="inlineStr">
        <is>
          <t>A 16067-2026</t>
        </is>
      </c>
      <c r="B425" t="inlineStr">
        <is>
          <t>avverkningsanmälan</t>
        </is>
      </c>
      <c r="C425" t="inlineStr">
        <is>
          <t>Föryngringsavverkning</t>
        </is>
      </c>
      <c r="D425" s="1" t="n">
        <v>46108</v>
      </c>
      <c r="E425" s="1" t="n">
        <v>46306</v>
      </c>
      <c r="F425" t="inlineStr">
        <is>
          <t>VÄRMLANDS LÄN</t>
        </is>
      </c>
      <c r="G425" t="inlineStr">
        <is>
          <t>FILIPSTAD</t>
        </is>
      </c>
      <c r="I425" t="n">
        <v>1.2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s="2" t="inlineStr"/>
    </row>
    <row r="426" ht="15" customHeight="1">
      <c r="A426" t="inlineStr">
        <is>
          <t>A 8139-2026</t>
        </is>
      </c>
      <c r="B426" t="inlineStr">
        <is>
          <t>avverkningsanmälan</t>
        </is>
      </c>
      <c r="C426" t="inlineStr">
        <is>
          <t>Föryngringsavverkning</t>
        </is>
      </c>
      <c r="D426" s="1" t="n">
        <v>46064</v>
      </c>
      <c r="E426" s="1" t="n">
        <v>46306</v>
      </c>
      <c r="F426" t="inlineStr">
        <is>
          <t>VÄRMLANDS LÄN</t>
        </is>
      </c>
      <c r="G426" t="inlineStr">
        <is>
          <t>FILIPSTAD</t>
        </is>
      </c>
      <c r="I426" t="n">
        <v>1.6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s="2" t="inlineStr"/>
    </row>
    <row r="427" ht="15" customHeight="1">
      <c r="A427" t="inlineStr">
        <is>
          <t>A 21542-2026</t>
        </is>
      </c>
      <c r="B427" t="inlineStr">
        <is>
          <t>avverkningsanmälan</t>
        </is>
      </c>
      <c r="C427" t="inlineStr">
        <is>
          <t>Föryngringsavverkning</t>
        </is>
      </c>
      <c r="D427" s="1" t="n">
        <v>46148</v>
      </c>
      <c r="E427" s="1" t="n">
        <v>46306</v>
      </c>
      <c r="F427" t="inlineStr">
        <is>
          <t>VÄRMLANDS LÄN</t>
        </is>
      </c>
      <c r="G427" t="inlineStr">
        <is>
          <t>FILIPSTAD</t>
        </is>
      </c>
      <c r="H427" t="inlineStr">
        <is>
          <t>Bergvik skog väst AB</t>
        </is>
      </c>
      <c r="I427" t="n">
        <v>12.1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s="2" t="inlineStr"/>
    </row>
    <row r="428" ht="15" customHeight="1">
      <c r="A428" t="inlineStr">
        <is>
          <t>A 22045-2026</t>
        </is>
      </c>
      <c r="B428" t="inlineStr">
        <is>
          <t>avverkningsanmälan</t>
        </is>
      </c>
      <c r="C428" t="inlineStr">
        <is>
          <t>Föryngringsavverkning</t>
        </is>
      </c>
      <c r="D428" s="1" t="n">
        <v>46153</v>
      </c>
      <c r="E428" s="1" t="n">
        <v>46306</v>
      </c>
      <c r="F428" t="inlineStr">
        <is>
          <t>VÄRMLANDS LÄN</t>
        </is>
      </c>
      <c r="G428" t="inlineStr">
        <is>
          <t>FILIPSTAD</t>
        </is>
      </c>
      <c r="H428" t="inlineStr">
        <is>
          <t>Bergvik skog väst AB</t>
        </is>
      </c>
      <c r="I428" t="n">
        <v>5.4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s="2" t="inlineStr"/>
    </row>
    <row r="429" ht="15" customHeight="1">
      <c r="A429" t="inlineStr">
        <is>
          <t>A 22112-2026</t>
        </is>
      </c>
      <c r="B429" t="inlineStr">
        <is>
          <t>avverkningsanmälan</t>
        </is>
      </c>
      <c r="C429" t="inlineStr">
        <is>
          <t>Föryngringsavverkning</t>
        </is>
      </c>
      <c r="D429" s="1" t="n">
        <v>46153</v>
      </c>
      <c r="E429" s="1" t="n">
        <v>46306</v>
      </c>
      <c r="F429" t="inlineStr">
        <is>
          <t>VÄRMLANDS LÄN</t>
        </is>
      </c>
      <c r="G429" t="inlineStr">
        <is>
          <t>FILIPSTAD</t>
        </is>
      </c>
      <c r="H429" t="inlineStr">
        <is>
          <t>Bergvik skog väst AB</t>
        </is>
      </c>
      <c r="I429" t="n">
        <v>1.6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s="2" t="inlineStr"/>
    </row>
    <row r="430" ht="15" customHeight="1">
      <c r="A430" t="inlineStr">
        <is>
          <t>A 22136-2026</t>
        </is>
      </c>
      <c r="B430" t="inlineStr">
        <is>
          <t>avverkningsanmälan</t>
        </is>
      </c>
      <c r="C430" t="inlineStr">
        <is>
          <t>Föryngringsavverkning</t>
        </is>
      </c>
      <c r="D430" s="1" t="n">
        <v>46153</v>
      </c>
      <c r="E430" s="1" t="n">
        <v>46306</v>
      </c>
      <c r="F430" t="inlineStr">
        <is>
          <t>VÄRMLANDS LÄN</t>
        </is>
      </c>
      <c r="G430" t="inlineStr">
        <is>
          <t>FILIPSTAD</t>
        </is>
      </c>
      <c r="I430" t="n">
        <v>10.8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s="2" t="inlineStr"/>
    </row>
    <row r="431" ht="15" customHeight="1">
      <c r="A431" t="inlineStr">
        <is>
          <t>A 22144-2026</t>
        </is>
      </c>
      <c r="B431" t="inlineStr">
        <is>
          <t>avverkningsanmälan</t>
        </is>
      </c>
      <c r="C431" t="inlineStr">
        <is>
          <t>Föryngringsavverkning</t>
        </is>
      </c>
      <c r="D431" s="1" t="n">
        <v>46153</v>
      </c>
      <c r="E431" s="1" t="n">
        <v>46306</v>
      </c>
      <c r="F431" t="inlineStr">
        <is>
          <t>VÄRMLANDS LÄN</t>
        </is>
      </c>
      <c r="G431" t="inlineStr">
        <is>
          <t>FILIPSTAD</t>
        </is>
      </c>
      <c r="I431" t="n">
        <v>3.5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s="2" t="inlineStr"/>
    </row>
    <row r="432" ht="15" customHeight="1">
      <c r="A432" t="inlineStr">
        <is>
          <t>A 10279-2026</t>
        </is>
      </c>
      <c r="B432" t="inlineStr">
        <is>
          <t>avverkningsanmälan</t>
        </is>
      </c>
      <c r="C432" t="inlineStr">
        <is>
          <t>Föryngringsavverkning</t>
        </is>
      </c>
      <c r="D432" s="1" t="n">
        <v>46076</v>
      </c>
      <c r="E432" s="1" t="n">
        <v>46306</v>
      </c>
      <c r="F432" t="inlineStr">
        <is>
          <t>VÄRMLANDS LÄN</t>
        </is>
      </c>
      <c r="G432" t="inlineStr">
        <is>
          <t>FILIPSTAD</t>
        </is>
      </c>
      <c r="I432" t="n">
        <v>1.6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s="2" t="inlineStr"/>
    </row>
    <row r="433" ht="15" customHeight="1">
      <c r="A433" t="inlineStr">
        <is>
          <t>A 22201-2026</t>
        </is>
      </c>
      <c r="B433" t="inlineStr">
        <is>
          <t>avverkningsanmälan</t>
        </is>
      </c>
      <c r="C433" t="inlineStr">
        <is>
          <t>Föryngringsavverkning</t>
        </is>
      </c>
      <c r="D433" s="1" t="n">
        <v>46153</v>
      </c>
      <c r="E433" s="1" t="n">
        <v>46306</v>
      </c>
      <c r="F433" t="inlineStr">
        <is>
          <t>VÄRMLANDS LÄN</t>
        </is>
      </c>
      <c r="G433" t="inlineStr">
        <is>
          <t>FILIPSTAD</t>
        </is>
      </c>
      <c r="H433" t="inlineStr">
        <is>
          <t>Bergvik skog väst AB</t>
        </is>
      </c>
      <c r="I433" t="n">
        <v>1.2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s="2" t="inlineStr"/>
    </row>
    <row r="434" ht="15" customHeight="1">
      <c r="A434" t="inlineStr">
        <is>
          <t>A 22176-2026</t>
        </is>
      </c>
      <c r="B434" t="inlineStr">
        <is>
          <t>avverkningsanmälan</t>
        </is>
      </c>
      <c r="C434" t="inlineStr">
        <is>
          <t>Föryngringsavverkning</t>
        </is>
      </c>
      <c r="D434" s="1" t="n">
        <v>46153</v>
      </c>
      <c r="E434" s="1" t="n">
        <v>46306</v>
      </c>
      <c r="F434" t="inlineStr">
        <is>
          <t>VÄRMLANDS LÄN</t>
        </is>
      </c>
      <c r="G434" t="inlineStr">
        <is>
          <t>FILIPSTAD</t>
        </is>
      </c>
      <c r="H434" t="inlineStr">
        <is>
          <t>Bergvik skog väst AB</t>
        </is>
      </c>
      <c r="I434" t="n">
        <v>6.1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s="2" t="inlineStr"/>
    </row>
    <row r="435" ht="15" customHeight="1">
      <c r="A435" t="inlineStr">
        <is>
          <t>A 22229-2026</t>
        </is>
      </c>
      <c r="B435" t="inlineStr">
        <is>
          <t>avverkningsanmälan</t>
        </is>
      </c>
      <c r="C435" t="inlineStr">
        <is>
          <t>Föryngringsavverkning</t>
        </is>
      </c>
      <c r="D435" s="1" t="n">
        <v>46153</v>
      </c>
      <c r="E435" s="1" t="n">
        <v>46306</v>
      </c>
      <c r="F435" t="inlineStr">
        <is>
          <t>VÄRMLANDS LÄN</t>
        </is>
      </c>
      <c r="G435" t="inlineStr">
        <is>
          <t>FILIPSTAD</t>
        </is>
      </c>
      <c r="H435" t="inlineStr">
        <is>
          <t>Bergvik skog väst AB</t>
        </is>
      </c>
      <c r="I435" t="n">
        <v>1.5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s="2" t="inlineStr"/>
    </row>
    <row r="436" ht="15" customHeight="1">
      <c r="A436" t="inlineStr">
        <is>
          <t>A 22032-2026</t>
        </is>
      </c>
      <c r="B436" t="inlineStr">
        <is>
          <t>avverkningsanmälan</t>
        </is>
      </c>
      <c r="C436" t="inlineStr">
        <is>
          <t>Föryngringsavverkning</t>
        </is>
      </c>
      <c r="D436" s="1" t="n">
        <v>46153</v>
      </c>
      <c r="E436" s="1" t="n">
        <v>46306</v>
      </c>
      <c r="F436" t="inlineStr">
        <is>
          <t>VÄRMLANDS LÄN</t>
        </is>
      </c>
      <c r="G436" t="inlineStr">
        <is>
          <t>FILIPSTAD</t>
        </is>
      </c>
      <c r="H436" t="inlineStr">
        <is>
          <t>Bergvik skog väst AB</t>
        </is>
      </c>
      <c r="I436" t="n">
        <v>3.9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s="2" t="inlineStr"/>
    </row>
    <row r="437" ht="15" customHeight="1">
      <c r="A437" t="inlineStr">
        <is>
          <t>A 22138-2026</t>
        </is>
      </c>
      <c r="B437" t="inlineStr">
        <is>
          <t>avverkningsanmälan</t>
        </is>
      </c>
      <c r="C437" t="inlineStr">
        <is>
          <t>Föryngringsavverkning</t>
        </is>
      </c>
      <c r="D437" s="1" t="n">
        <v>46153</v>
      </c>
      <c r="E437" s="1" t="n">
        <v>46306</v>
      </c>
      <c r="F437" t="inlineStr">
        <is>
          <t>VÄRMLANDS LÄN</t>
        </is>
      </c>
      <c r="G437" t="inlineStr">
        <is>
          <t>FILIPSTAD</t>
        </is>
      </c>
      <c r="I437" t="n">
        <v>2.4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s="2" t="inlineStr"/>
    </row>
    <row r="438" ht="15" customHeight="1">
      <c r="A438" t="inlineStr">
        <is>
          <t>A 22021-2026</t>
        </is>
      </c>
      <c r="B438" t="inlineStr">
        <is>
          <t>avverkningsanmälan</t>
        </is>
      </c>
      <c r="C438" t="inlineStr">
        <is>
          <t>Föryngringsavverkning</t>
        </is>
      </c>
      <c r="D438" s="1" t="n">
        <v>46153</v>
      </c>
      <c r="E438" s="1" t="n">
        <v>46306</v>
      </c>
      <c r="F438" t="inlineStr">
        <is>
          <t>VÄRMLANDS LÄN</t>
        </is>
      </c>
      <c r="G438" t="inlineStr">
        <is>
          <t>FILIPSTAD</t>
        </is>
      </c>
      <c r="H438" t="inlineStr">
        <is>
          <t>Bergvik skog väst AB</t>
        </is>
      </c>
      <c r="I438" t="n">
        <v>5.6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s="2" t="inlineStr"/>
    </row>
    <row r="439" ht="15" customHeight="1">
      <c r="A439" t="inlineStr">
        <is>
          <t>A 22115-2026</t>
        </is>
      </c>
      <c r="B439" t="inlineStr">
        <is>
          <t>avverkningsanmälan</t>
        </is>
      </c>
      <c r="C439" t="inlineStr">
        <is>
          <t>Föryngringsavverkning</t>
        </is>
      </c>
      <c r="D439" s="1" t="n">
        <v>46153</v>
      </c>
      <c r="E439" s="1" t="n">
        <v>46306</v>
      </c>
      <c r="F439" t="inlineStr">
        <is>
          <t>VÄRMLANDS LÄN</t>
        </is>
      </c>
      <c r="G439" t="inlineStr">
        <is>
          <t>FILIPSTAD</t>
        </is>
      </c>
      <c r="H439" t="inlineStr">
        <is>
          <t>Bergvik skog väst AB</t>
        </is>
      </c>
      <c r="I439" t="n">
        <v>3.8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s="2" t="inlineStr"/>
    </row>
    <row r="440" ht="15" customHeight="1">
      <c r="A440" t="inlineStr">
        <is>
          <t>A 22051-2026</t>
        </is>
      </c>
      <c r="B440" t="inlineStr">
        <is>
          <t>avverkningsanmälan</t>
        </is>
      </c>
      <c r="C440" t="inlineStr">
        <is>
          <t>Föryngringsavverkning</t>
        </is>
      </c>
      <c r="D440" s="1" t="n">
        <v>46153</v>
      </c>
      <c r="E440" s="1" t="n">
        <v>46306</v>
      </c>
      <c r="F440" t="inlineStr">
        <is>
          <t>VÄRMLANDS LÄN</t>
        </is>
      </c>
      <c r="G440" t="inlineStr">
        <is>
          <t>FILIPSTAD</t>
        </is>
      </c>
      <c r="H440" t="inlineStr">
        <is>
          <t>Bergvik skog väst AB</t>
        </is>
      </c>
      <c r="I440" t="n">
        <v>3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s="2" t="inlineStr"/>
    </row>
    <row r="441" ht="15" customHeight="1">
      <c r="A441" t="inlineStr">
        <is>
          <t>A 22220-2026</t>
        </is>
      </c>
      <c r="B441" t="inlineStr">
        <is>
          <t>avverkningsanmälan</t>
        </is>
      </c>
      <c r="C441" t="inlineStr">
        <is>
          <t>Föryngringsavverkning</t>
        </is>
      </c>
      <c r="D441" s="1" t="n">
        <v>46153</v>
      </c>
      <c r="E441" s="1" t="n">
        <v>46306</v>
      </c>
      <c r="F441" t="inlineStr">
        <is>
          <t>VÄRMLANDS LÄN</t>
        </is>
      </c>
      <c r="G441" t="inlineStr">
        <is>
          <t>FILIPSTAD</t>
        </is>
      </c>
      <c r="H441" t="inlineStr">
        <is>
          <t>Bergvik skog väst AB</t>
        </is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s="2" t="inlineStr"/>
    </row>
    <row r="442" ht="15" customHeight="1">
      <c r="A442" t="inlineStr">
        <is>
          <t>A 22152-2026</t>
        </is>
      </c>
      <c r="B442" t="inlineStr">
        <is>
          <t>avverkningsanmälan</t>
        </is>
      </c>
      <c r="C442" t="inlineStr">
        <is>
          <t>Föryngringsavverkning</t>
        </is>
      </c>
      <c r="D442" s="1" t="n">
        <v>46153</v>
      </c>
      <c r="E442" s="1" t="n">
        <v>46306</v>
      </c>
      <c r="F442" t="inlineStr">
        <is>
          <t>VÄRMLANDS LÄN</t>
        </is>
      </c>
      <c r="G442" t="inlineStr">
        <is>
          <t>FILIPSTAD</t>
        </is>
      </c>
      <c r="H442" t="inlineStr">
        <is>
          <t>Bergvik skog väst AB</t>
        </is>
      </c>
      <c r="I442" t="n">
        <v>0.7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s="2" t="inlineStr"/>
    </row>
    <row r="443" ht="15" customHeight="1">
      <c r="A443" t="inlineStr">
        <is>
          <t>A 22533-2026</t>
        </is>
      </c>
      <c r="B443" t="inlineStr">
        <is>
          <t>avverkningsanmälan</t>
        </is>
      </c>
      <c r="C443" t="inlineStr">
        <is>
          <t>Föryngringsavverkning</t>
        </is>
      </c>
      <c r="D443" s="1" t="n">
        <v>46155</v>
      </c>
      <c r="E443" s="1" t="n">
        <v>46306</v>
      </c>
      <c r="F443" t="inlineStr">
        <is>
          <t>VÄRMLANDS LÄN</t>
        </is>
      </c>
      <c r="G443" t="inlineStr">
        <is>
          <t>FILIPSTAD</t>
        </is>
      </c>
      <c r="H443" t="inlineStr">
        <is>
          <t>Bergvik skog väst AB</t>
        </is>
      </c>
      <c r="I443" t="n">
        <v>4.8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s="2" t="inlineStr"/>
    </row>
    <row r="444" ht="15" customHeight="1">
      <c r="A444" t="inlineStr">
        <is>
          <t>A 12216-2026</t>
        </is>
      </c>
      <c r="B444" t="inlineStr">
        <is>
          <t>avverkningsanmälan</t>
        </is>
      </c>
      <c r="C444" t="inlineStr">
        <is>
          <t>Föryngringsavverkning</t>
        </is>
      </c>
      <c r="D444" s="1" t="n">
        <v>46087</v>
      </c>
      <c r="E444" s="1" t="n">
        <v>46306</v>
      </c>
      <c r="F444" t="inlineStr">
        <is>
          <t>VÄRMLANDS LÄN</t>
        </is>
      </c>
      <c r="G444" t="inlineStr">
        <is>
          <t>FILIPSTAD</t>
        </is>
      </c>
      <c r="H444" t="inlineStr">
        <is>
          <t>Bergvik skog väst AB</t>
        </is>
      </c>
      <c r="I444" t="n">
        <v>6.3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s="2" t="inlineStr"/>
    </row>
    <row r="445" ht="15" customHeight="1">
      <c r="A445" t="inlineStr">
        <is>
          <t>A 12943-2026</t>
        </is>
      </c>
      <c r="B445" t="inlineStr">
        <is>
          <t>avverkningsanmälan</t>
        </is>
      </c>
      <c r="C445" t="inlineStr">
        <is>
          <t>Föryngringsavverkning</t>
        </is>
      </c>
      <c r="D445" s="1" t="n">
        <v>46092</v>
      </c>
      <c r="E445" s="1" t="n">
        <v>46306</v>
      </c>
      <c r="F445" t="inlineStr">
        <is>
          <t>VÄRMLANDS LÄN</t>
        </is>
      </c>
      <c r="G445" t="inlineStr">
        <is>
          <t>FILIPSTAD</t>
        </is>
      </c>
      <c r="H445" t="inlineStr">
        <is>
          <t>Bergvik skog väst AB</t>
        </is>
      </c>
      <c r="I445" t="n">
        <v>3.4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s="2" t="inlineStr"/>
    </row>
    <row r="446" ht="15" customHeight="1">
      <c r="A446" t="inlineStr">
        <is>
          <t>A 12955-2026</t>
        </is>
      </c>
      <c r="B446" t="inlineStr">
        <is>
          <t>avverkningsanmälan</t>
        </is>
      </c>
      <c r="C446" t="inlineStr">
        <is>
          <t>Föryngringsavverkning</t>
        </is>
      </c>
      <c r="D446" s="1" t="n">
        <v>46092</v>
      </c>
      <c r="E446" s="1" t="n">
        <v>46306</v>
      </c>
      <c r="F446" t="inlineStr">
        <is>
          <t>VÄRMLANDS LÄN</t>
        </is>
      </c>
      <c r="G446" t="inlineStr">
        <is>
          <t>FILIPSTAD</t>
        </is>
      </c>
      <c r="H446" t="inlineStr">
        <is>
          <t>Bergvik skog väst AB</t>
        </is>
      </c>
      <c r="I446" t="n">
        <v>1.6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s="2" t="inlineStr"/>
    </row>
    <row r="447" ht="15" customHeight="1">
      <c r="A447" t="inlineStr">
        <is>
          <t>A 13555-2026</t>
        </is>
      </c>
      <c r="B447" t="inlineStr">
        <is>
          <t>avverkningsanmälan</t>
        </is>
      </c>
      <c r="C447" t="inlineStr">
        <is>
          <t>Föryngringsavverkning</t>
        </is>
      </c>
      <c r="D447" s="1" t="n">
        <v>46094</v>
      </c>
      <c r="E447" s="1" t="n">
        <v>46306</v>
      </c>
      <c r="F447" t="inlineStr">
        <is>
          <t>VÄRMLANDS LÄN</t>
        </is>
      </c>
      <c r="G447" t="inlineStr">
        <is>
          <t>FILIPSTAD</t>
        </is>
      </c>
      <c r="H447" t="inlineStr">
        <is>
          <t>Bergvik skog väst AB</t>
        </is>
      </c>
      <c r="I447" t="n">
        <v>4.8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s="2" t="inlineStr"/>
    </row>
    <row r="448" ht="15" customHeight="1">
      <c r="A448" t="inlineStr">
        <is>
          <t>A 13520-2026</t>
        </is>
      </c>
      <c r="B448" t="inlineStr">
        <is>
          <t>avverkningsanmälan</t>
        </is>
      </c>
      <c r="C448" t="inlineStr">
        <is>
          <t>Föryngringsavverkning</t>
        </is>
      </c>
      <c r="D448" s="1" t="n">
        <v>46094</v>
      </c>
      <c r="E448" s="1" t="n">
        <v>46306</v>
      </c>
      <c r="F448" t="inlineStr">
        <is>
          <t>VÄRMLANDS LÄN</t>
        </is>
      </c>
      <c r="G448" t="inlineStr">
        <is>
          <t>FILIPSTAD</t>
        </is>
      </c>
      <c r="H448" t="inlineStr">
        <is>
          <t>Bergvik skog väst AB</t>
        </is>
      </c>
      <c r="I448" t="n">
        <v>5.5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s="2" t="inlineStr"/>
    </row>
    <row r="449" ht="15" customHeight="1">
      <c r="A449" t="inlineStr">
        <is>
          <t>A 13387-2026</t>
        </is>
      </c>
      <c r="B449" t="inlineStr">
        <is>
          <t>avverkningsanmälan</t>
        </is>
      </c>
      <c r="C449" t="inlineStr">
        <is>
          <t>Föryngringsavverkning</t>
        </is>
      </c>
      <c r="D449" s="1" t="n">
        <v>46094</v>
      </c>
      <c r="E449" s="1" t="n">
        <v>46306</v>
      </c>
      <c r="F449" t="inlineStr">
        <is>
          <t>VÄRMLANDS LÄN</t>
        </is>
      </c>
      <c r="G449" t="inlineStr">
        <is>
          <t>FILIPSTAD</t>
        </is>
      </c>
      <c r="H449" t="inlineStr">
        <is>
          <t>Bergvik skog väst AB</t>
        </is>
      </c>
      <c r="I449" t="n">
        <v>7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s="2" t="inlineStr"/>
    </row>
    <row r="450" ht="15" customHeight="1">
      <c r="A450" t="inlineStr">
        <is>
          <t>A 23620-2023</t>
        </is>
      </c>
      <c r="B450" t="inlineStr">
        <is>
          <t>avverkningsanmälan</t>
        </is>
      </c>
      <c r="C450" t="inlineStr">
        <is>
          <t>Föryngringsavverkning</t>
        </is>
      </c>
      <c r="D450" s="1" t="n">
        <v>45077</v>
      </c>
      <c r="E450" s="1" t="n">
        <v>46306</v>
      </c>
      <c r="F450" t="inlineStr">
        <is>
          <t>VÄRMLANDS LÄN</t>
        </is>
      </c>
      <c r="G450" t="inlineStr">
        <is>
          <t>FILIPSTAD</t>
        </is>
      </c>
      <c r="I450" t="n">
        <v>7.5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s="2" t="inlineStr"/>
    </row>
    <row r="451" ht="15" customHeight="1">
      <c r="A451" t="inlineStr">
        <is>
          <t>A 23602-2026</t>
        </is>
      </c>
      <c r="B451" t="inlineStr">
        <is>
          <t>avverkningsanmälan</t>
        </is>
      </c>
      <c r="C451" t="inlineStr">
        <is>
          <t>Föryngringsavverkning</t>
        </is>
      </c>
      <c r="D451" s="1" t="n">
        <v>46163</v>
      </c>
      <c r="E451" s="1" t="n">
        <v>46306</v>
      </c>
      <c r="F451" t="inlineStr">
        <is>
          <t>VÄRMLANDS LÄN</t>
        </is>
      </c>
      <c r="G451" t="inlineStr">
        <is>
          <t>FILIPSTAD</t>
        </is>
      </c>
      <c r="H451" t="inlineStr">
        <is>
          <t>Bergvik skog väst AB</t>
        </is>
      </c>
      <c r="I451" t="n">
        <v>8.699999999999999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s="2" t="inlineStr"/>
    </row>
    <row r="452" ht="15" customHeight="1">
      <c r="A452" t="inlineStr">
        <is>
          <t>A 23576-2026</t>
        </is>
      </c>
      <c r="B452" t="inlineStr">
        <is>
          <t>avverkningsanmälan</t>
        </is>
      </c>
      <c r="C452" t="inlineStr">
        <is>
          <t>Föryngringsavverkning</t>
        </is>
      </c>
      <c r="D452" s="1" t="n">
        <v>46163</v>
      </c>
      <c r="E452" s="1" t="n">
        <v>46306</v>
      </c>
      <c r="F452" t="inlineStr">
        <is>
          <t>VÄRMLANDS LÄN</t>
        </is>
      </c>
      <c r="G452" t="inlineStr">
        <is>
          <t>FILIPSTAD</t>
        </is>
      </c>
      <c r="H452" t="inlineStr">
        <is>
          <t>Bergvik skog väst AB</t>
        </is>
      </c>
      <c r="I452" t="n">
        <v>17.9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s="2" t="inlineStr"/>
    </row>
    <row r="453" ht="15" customHeight="1">
      <c r="A453" t="inlineStr">
        <is>
          <t>A 23529-2026</t>
        </is>
      </c>
      <c r="B453" t="inlineStr">
        <is>
          <t>avverkningsanmälan</t>
        </is>
      </c>
      <c r="C453" t="inlineStr">
        <is>
          <t>Föryngringsavverkning</t>
        </is>
      </c>
      <c r="D453" s="1" t="n">
        <v>46163</v>
      </c>
      <c r="E453" s="1" t="n">
        <v>46306</v>
      </c>
      <c r="F453" t="inlineStr">
        <is>
          <t>VÄRMLANDS LÄN</t>
        </is>
      </c>
      <c r="G453" t="inlineStr">
        <is>
          <t>FILIPSTAD</t>
        </is>
      </c>
      <c r="H453" t="inlineStr">
        <is>
          <t>Bergvik skog väst AB</t>
        </is>
      </c>
      <c r="I453" t="n">
        <v>20.3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s="2" t="inlineStr"/>
    </row>
    <row r="454" ht="15" customHeight="1">
      <c r="A454" t="inlineStr">
        <is>
          <t>A 23440-2026</t>
        </is>
      </c>
      <c r="B454" t="inlineStr">
        <is>
          <t>avverkningsanmälan</t>
        </is>
      </c>
      <c r="C454" t="inlineStr">
        <is>
          <t>Föryngringsavverkning</t>
        </is>
      </c>
      <c r="D454" s="1" t="n">
        <v>46163</v>
      </c>
      <c r="E454" s="1" t="n">
        <v>46306</v>
      </c>
      <c r="F454" t="inlineStr">
        <is>
          <t>VÄRMLANDS LÄN</t>
        </is>
      </c>
      <c r="G454" t="inlineStr">
        <is>
          <t>FILIPSTAD</t>
        </is>
      </c>
      <c r="H454" t="inlineStr">
        <is>
          <t>Bergvik skog väst AB</t>
        </is>
      </c>
      <c r="I454" t="n">
        <v>3.9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s="2" t="inlineStr"/>
    </row>
    <row r="455" ht="15" customHeight="1">
      <c r="A455" t="inlineStr">
        <is>
          <t>A 23555-2026</t>
        </is>
      </c>
      <c r="B455" t="inlineStr">
        <is>
          <t>avverkningsanmälan</t>
        </is>
      </c>
      <c r="C455" t="inlineStr">
        <is>
          <t>Föryngringsavverkning</t>
        </is>
      </c>
      <c r="D455" s="1" t="n">
        <v>46163</v>
      </c>
      <c r="E455" s="1" t="n">
        <v>46306</v>
      </c>
      <c r="F455" t="inlineStr">
        <is>
          <t>VÄRMLANDS LÄN</t>
        </is>
      </c>
      <c r="G455" t="inlineStr">
        <is>
          <t>FILIPSTAD</t>
        </is>
      </c>
      <c r="H455" t="inlineStr">
        <is>
          <t>Bergvik skog väst AB</t>
        </is>
      </c>
      <c r="I455" t="n">
        <v>11.7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s="2" t="inlineStr"/>
    </row>
    <row r="456" ht="15" customHeight="1">
      <c r="A456" t="inlineStr">
        <is>
          <t>A 23500-2026</t>
        </is>
      </c>
      <c r="B456" t="inlineStr">
        <is>
          <t>avverkningsanmälan</t>
        </is>
      </c>
      <c r="C456" t="inlineStr">
        <is>
          <t>Föryngringsavverkning</t>
        </is>
      </c>
      <c r="D456" s="1" t="n">
        <v>46163</v>
      </c>
      <c r="E456" s="1" t="n">
        <v>46306</v>
      </c>
      <c r="F456" t="inlineStr">
        <is>
          <t>VÄRMLANDS LÄN</t>
        </is>
      </c>
      <c r="G456" t="inlineStr">
        <is>
          <t>FILIPSTAD</t>
        </is>
      </c>
      <c r="H456" t="inlineStr">
        <is>
          <t>Bergvik skog väst AB</t>
        </is>
      </c>
      <c r="I456" t="n">
        <v>5.4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s="2" t="inlineStr"/>
    </row>
    <row r="457" ht="15" customHeight="1">
      <c r="A457" t="inlineStr">
        <is>
          <t>A 23943-2026</t>
        </is>
      </c>
      <c r="B457" t="inlineStr">
        <is>
          <t>avverkningsanmälan</t>
        </is>
      </c>
      <c r="C457" t="inlineStr">
        <is>
          <t>Föryngringsavverkning</t>
        </is>
      </c>
      <c r="D457" s="1" t="n">
        <v>46167</v>
      </c>
      <c r="E457" s="1" t="n">
        <v>46306</v>
      </c>
      <c r="F457" t="inlineStr">
        <is>
          <t>VÄRMLANDS LÄN</t>
        </is>
      </c>
      <c r="G457" t="inlineStr">
        <is>
          <t>FILIPSTAD</t>
        </is>
      </c>
      <c r="H457" t="inlineStr">
        <is>
          <t>Bergvik skog väst AB</t>
        </is>
      </c>
      <c r="I457" t="n">
        <v>3.6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s="2" t="inlineStr"/>
    </row>
    <row r="458" ht="15" customHeight="1">
      <c r="A458" t="inlineStr">
        <is>
          <t>A 49935-2025</t>
        </is>
      </c>
      <c r="B458" t="inlineStr">
        <is>
          <t>avverkningsanmälan</t>
        </is>
      </c>
      <c r="C458" t="inlineStr">
        <is>
          <t>Avverkning för att bevara och utveckla /försöksver</t>
        </is>
      </c>
      <c r="D458" s="1" t="n">
        <v>45940</v>
      </c>
      <c r="E458" s="1" t="n">
        <v>46306</v>
      </c>
      <c r="F458" t="inlineStr">
        <is>
          <t>VÄRMLANDS LÄN</t>
        </is>
      </c>
      <c r="G458" t="inlineStr">
        <is>
          <t>FILIPSTAD</t>
        </is>
      </c>
      <c r="H458" t="inlineStr">
        <is>
          <t>Bergvik skog väst AB</t>
        </is>
      </c>
      <c r="I458" t="n">
        <v>1.8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s="2" t="inlineStr"/>
    </row>
    <row r="459" ht="15" customHeight="1">
      <c r="A459" t="inlineStr">
        <is>
          <t>A 24027-2026</t>
        </is>
      </c>
      <c r="B459" t="inlineStr">
        <is>
          <t>avverkningsanmälan</t>
        </is>
      </c>
      <c r="C459" t="inlineStr">
        <is>
          <t>Föryngringsavverkning</t>
        </is>
      </c>
      <c r="D459" s="1" t="n">
        <v>46167</v>
      </c>
      <c r="E459" s="1" t="n">
        <v>46306</v>
      </c>
      <c r="F459" t="inlineStr">
        <is>
          <t>VÄRMLANDS LÄN</t>
        </is>
      </c>
      <c r="G459" t="inlineStr">
        <is>
          <t>FILIPSTAD</t>
        </is>
      </c>
      <c r="H459" t="inlineStr">
        <is>
          <t>Bergvik skog väst AB</t>
        </is>
      </c>
      <c r="I459" t="n">
        <v>2.7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s="2" t="inlineStr"/>
    </row>
    <row r="460" ht="15" customHeight="1">
      <c r="A460" t="inlineStr">
        <is>
          <t>A 23934-2026</t>
        </is>
      </c>
      <c r="B460" t="inlineStr">
        <is>
          <t>avverkningsanmälan</t>
        </is>
      </c>
      <c r="C460" t="inlineStr">
        <is>
          <t>Föryngringsavverkning</t>
        </is>
      </c>
      <c r="D460" s="1" t="n">
        <v>46167</v>
      </c>
      <c r="E460" s="1" t="n">
        <v>46306</v>
      </c>
      <c r="F460" t="inlineStr">
        <is>
          <t>VÄRMLANDS LÄN</t>
        </is>
      </c>
      <c r="G460" t="inlineStr">
        <is>
          <t>FILIPSTAD</t>
        </is>
      </c>
      <c r="H460" t="inlineStr">
        <is>
          <t>Bergvik skog väst AB</t>
        </is>
      </c>
      <c r="I460" t="n">
        <v>1.2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s="2" t="inlineStr"/>
    </row>
    <row r="461" ht="15" customHeight="1">
      <c r="A461" t="inlineStr">
        <is>
          <t>A 23959-2026</t>
        </is>
      </c>
      <c r="B461" t="inlineStr">
        <is>
          <t>avverkningsanmälan</t>
        </is>
      </c>
      <c r="C461" t="inlineStr">
        <is>
          <t>Föryngringsavverkning</t>
        </is>
      </c>
      <c r="D461" s="1" t="n">
        <v>46167</v>
      </c>
      <c r="E461" s="1" t="n">
        <v>46306</v>
      </c>
      <c r="F461" t="inlineStr">
        <is>
          <t>VÄRMLANDS LÄN</t>
        </is>
      </c>
      <c r="G461" t="inlineStr">
        <is>
          <t>FILIPSTAD</t>
        </is>
      </c>
      <c r="H461" t="inlineStr">
        <is>
          <t>Bergvik skog väst AB</t>
        </is>
      </c>
      <c r="I461" t="n">
        <v>3.1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s="2" t="inlineStr"/>
    </row>
    <row r="462" ht="15" customHeight="1">
      <c r="A462" t="inlineStr">
        <is>
          <t>A 23952-2026</t>
        </is>
      </c>
      <c r="B462" t="inlineStr">
        <is>
          <t>avverkningsanmälan</t>
        </is>
      </c>
      <c r="C462" t="inlineStr">
        <is>
          <t>Föryngringsavverkning</t>
        </is>
      </c>
      <c r="D462" s="1" t="n">
        <v>46167</v>
      </c>
      <c r="E462" s="1" t="n">
        <v>46306</v>
      </c>
      <c r="F462" t="inlineStr">
        <is>
          <t>VÄRMLANDS LÄN</t>
        </is>
      </c>
      <c r="G462" t="inlineStr">
        <is>
          <t>FILIPSTAD</t>
        </is>
      </c>
      <c r="H462" t="inlineStr">
        <is>
          <t>Bergvik skog väst AB</t>
        </is>
      </c>
      <c r="I462" t="n">
        <v>2.3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s="2" t="inlineStr"/>
    </row>
    <row r="463" ht="15" customHeight="1">
      <c r="A463" t="inlineStr">
        <is>
          <t>A 23922-2026</t>
        </is>
      </c>
      <c r="B463" t="inlineStr">
        <is>
          <t>avverkningsanmälan</t>
        </is>
      </c>
      <c r="C463" t="inlineStr">
        <is>
          <t>Föryngringsavverkning</t>
        </is>
      </c>
      <c r="D463" s="1" t="n">
        <v>46167</v>
      </c>
      <c r="E463" s="1" t="n">
        <v>46306</v>
      </c>
      <c r="F463" t="inlineStr">
        <is>
          <t>VÄRMLANDS LÄN</t>
        </is>
      </c>
      <c r="G463" t="inlineStr">
        <is>
          <t>FILIPSTAD</t>
        </is>
      </c>
      <c r="H463" t="inlineStr">
        <is>
          <t>Bergvik skog väst AB</t>
        </is>
      </c>
      <c r="I463" t="n">
        <v>1.9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s="2" t="inlineStr"/>
    </row>
    <row r="464" ht="15" customHeight="1">
      <c r="A464" t="inlineStr">
        <is>
          <t>A 23931-2026</t>
        </is>
      </c>
      <c r="B464" t="inlineStr">
        <is>
          <t>avverkningsanmälan</t>
        </is>
      </c>
      <c r="C464" t="inlineStr">
        <is>
          <t>Föryngringsavverkning</t>
        </is>
      </c>
      <c r="D464" s="1" t="n">
        <v>46167</v>
      </c>
      <c r="E464" s="1" t="n">
        <v>46306</v>
      </c>
      <c r="F464" t="inlineStr">
        <is>
          <t>VÄRMLANDS LÄN</t>
        </is>
      </c>
      <c r="G464" t="inlineStr">
        <is>
          <t>FILIPSTAD</t>
        </is>
      </c>
      <c r="H464" t="inlineStr">
        <is>
          <t>Bergvik skog väst AB</t>
        </is>
      </c>
      <c r="I464" t="n">
        <v>9.1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s="2" t="inlineStr"/>
    </row>
    <row r="465" ht="15" customHeight="1">
      <c r="A465" t="inlineStr">
        <is>
          <t>A 24005-2026</t>
        </is>
      </c>
      <c r="B465" t="inlineStr">
        <is>
          <t>avverkningsanmälan</t>
        </is>
      </c>
      <c r="C465" t="inlineStr">
        <is>
          <t>Föryngringsavverkning</t>
        </is>
      </c>
      <c r="D465" s="1" t="n">
        <v>46167</v>
      </c>
      <c r="E465" s="1" t="n">
        <v>46306</v>
      </c>
      <c r="F465" t="inlineStr">
        <is>
          <t>VÄRMLANDS LÄN</t>
        </is>
      </c>
      <c r="G465" t="inlineStr">
        <is>
          <t>FILIPSTAD</t>
        </is>
      </c>
      <c r="H465" t="inlineStr">
        <is>
          <t>Bergvik skog väst AB</t>
        </is>
      </c>
      <c r="I465" t="n">
        <v>3.7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s="2" t="inlineStr"/>
    </row>
    <row r="466" ht="15" customHeight="1">
      <c r="A466" t="inlineStr">
        <is>
          <t>A 24026-2026</t>
        </is>
      </c>
      <c r="B466" t="inlineStr">
        <is>
          <t>avverkningsanmälan</t>
        </is>
      </c>
      <c r="C466" t="inlineStr">
        <is>
          <t>Föryngringsavverkning</t>
        </is>
      </c>
      <c r="D466" s="1" t="n">
        <v>46167</v>
      </c>
      <c r="E466" s="1" t="n">
        <v>46306</v>
      </c>
      <c r="F466" t="inlineStr">
        <is>
          <t>VÄRMLANDS LÄN</t>
        </is>
      </c>
      <c r="G466" t="inlineStr">
        <is>
          <t>FILIPSTAD</t>
        </is>
      </c>
      <c r="H466" t="inlineStr">
        <is>
          <t>Bergvik skog väst AB</t>
        </is>
      </c>
      <c r="I466" t="n">
        <v>8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s="2" t="inlineStr"/>
    </row>
    <row r="467" ht="15" customHeight="1">
      <c r="A467" t="inlineStr">
        <is>
          <t>A 23886-2026</t>
        </is>
      </c>
      <c r="B467" t="inlineStr">
        <is>
          <t>avverkningsanmälan</t>
        </is>
      </c>
      <c r="C467" t="inlineStr">
        <is>
          <t>Föryngringsavverkning</t>
        </is>
      </c>
      <c r="D467" s="1" t="n">
        <v>46167</v>
      </c>
      <c r="E467" s="1" t="n">
        <v>46306</v>
      </c>
      <c r="F467" t="inlineStr">
        <is>
          <t>VÄRMLANDS LÄN</t>
        </is>
      </c>
      <c r="G467" t="inlineStr">
        <is>
          <t>FILIPSTAD</t>
        </is>
      </c>
      <c r="H467" t="inlineStr">
        <is>
          <t>Bergvik skog väst AB</t>
        </is>
      </c>
      <c r="I467" t="n">
        <v>4.5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s="2" t="inlineStr"/>
    </row>
    <row r="468" ht="15" customHeight="1">
      <c r="A468" t="inlineStr">
        <is>
          <t>A 24022-2026</t>
        </is>
      </c>
      <c r="B468" t="inlineStr">
        <is>
          <t>avverkningsanmälan</t>
        </is>
      </c>
      <c r="C468" t="inlineStr">
        <is>
          <t>Föryngringsavverkning</t>
        </is>
      </c>
      <c r="D468" s="1" t="n">
        <v>46167</v>
      </c>
      <c r="E468" s="1" t="n">
        <v>46306</v>
      </c>
      <c r="F468" t="inlineStr">
        <is>
          <t>VÄRMLANDS LÄN</t>
        </is>
      </c>
      <c r="G468" t="inlineStr">
        <is>
          <t>FILIPSTAD</t>
        </is>
      </c>
      <c r="H468" t="inlineStr">
        <is>
          <t>Bergvik skog väst AB</t>
        </is>
      </c>
      <c r="I468" t="n">
        <v>3.3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s="2" t="inlineStr"/>
    </row>
    <row r="469" ht="15" customHeight="1">
      <c r="A469" t="inlineStr">
        <is>
          <t>A 24008-2026</t>
        </is>
      </c>
      <c r="B469" t="inlineStr">
        <is>
          <t>avverkningsanmälan</t>
        </is>
      </c>
      <c r="C469" t="inlineStr">
        <is>
          <t>Föryngringsavverkning</t>
        </is>
      </c>
      <c r="D469" s="1" t="n">
        <v>46167</v>
      </c>
      <c r="E469" s="1" t="n">
        <v>46306</v>
      </c>
      <c r="F469" t="inlineStr">
        <is>
          <t>VÄRMLANDS LÄN</t>
        </is>
      </c>
      <c r="G469" t="inlineStr">
        <is>
          <t>FILIPSTAD</t>
        </is>
      </c>
      <c r="H469" t="inlineStr">
        <is>
          <t>Bergvik skog väst AB</t>
        </is>
      </c>
      <c r="I469" t="n">
        <v>1.6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s="2" t="inlineStr"/>
    </row>
    <row r="470" ht="15" customHeight="1">
      <c r="A470" t="inlineStr">
        <is>
          <t>A 23970-2026</t>
        </is>
      </c>
      <c r="B470" t="inlineStr">
        <is>
          <t>avverkningsanmälan</t>
        </is>
      </c>
      <c r="C470" t="inlineStr">
        <is>
          <t>Föryngringsavverkning</t>
        </is>
      </c>
      <c r="D470" s="1" t="n">
        <v>46167</v>
      </c>
      <c r="E470" s="1" t="n">
        <v>46306</v>
      </c>
      <c r="F470" t="inlineStr">
        <is>
          <t>VÄRMLANDS LÄN</t>
        </is>
      </c>
      <c r="G470" t="inlineStr">
        <is>
          <t>FILIPSTAD</t>
        </is>
      </c>
      <c r="H470" t="inlineStr">
        <is>
          <t>Bergvik skog väst AB</t>
        </is>
      </c>
      <c r="I470" t="n">
        <v>9.300000000000001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s="2" t="inlineStr"/>
    </row>
    <row r="471" ht="15" customHeight="1">
      <c r="A471" t="inlineStr">
        <is>
          <t>A 24288-2026</t>
        </is>
      </c>
      <c r="B471" t="inlineStr">
        <is>
          <t>avverkningsanmälan</t>
        </is>
      </c>
      <c r="C471" t="inlineStr">
        <is>
          <t>Föryngringsavverkning</t>
        </is>
      </c>
      <c r="D471" s="1" t="n">
        <v>46169</v>
      </c>
      <c r="E471" s="1" t="n">
        <v>46306</v>
      </c>
      <c r="F471" t="inlineStr">
        <is>
          <t>VÄRMLANDS LÄN</t>
        </is>
      </c>
      <c r="G471" t="inlineStr">
        <is>
          <t>FILIPSTAD</t>
        </is>
      </c>
      <c r="H471" t="inlineStr">
        <is>
          <t>Bergvik skog väst AB</t>
        </is>
      </c>
      <c r="I471" t="n">
        <v>5.7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s="2" t="inlineStr"/>
    </row>
    <row r="472" ht="15" customHeight="1">
      <c r="A472" t="inlineStr">
        <is>
          <t>A 24260-2026</t>
        </is>
      </c>
      <c r="B472" t="inlineStr">
        <is>
          <t>avverkningsanmälan</t>
        </is>
      </c>
      <c r="C472" t="inlineStr">
        <is>
          <t>Föryngringsavverkning</t>
        </is>
      </c>
      <c r="D472" s="1" t="n">
        <v>46169</v>
      </c>
      <c r="E472" s="1" t="n">
        <v>46306</v>
      </c>
      <c r="F472" t="inlineStr">
        <is>
          <t>VÄRMLANDS LÄN</t>
        </is>
      </c>
      <c r="G472" t="inlineStr">
        <is>
          <t>FILIPSTAD</t>
        </is>
      </c>
      <c r="H472" t="inlineStr">
        <is>
          <t>Bergvik skog väst AB</t>
        </is>
      </c>
      <c r="I472" t="n">
        <v>11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s="2" t="inlineStr"/>
    </row>
    <row r="473" ht="15" customHeight="1">
      <c r="A473" t="inlineStr">
        <is>
          <t>A 24291-2026</t>
        </is>
      </c>
      <c r="B473" t="inlineStr">
        <is>
          <t>avverkningsanmälan</t>
        </is>
      </c>
      <c r="C473" t="inlineStr">
        <is>
          <t>Föryngringsavverkning</t>
        </is>
      </c>
      <c r="D473" s="1" t="n">
        <v>46169</v>
      </c>
      <c r="E473" s="1" t="n">
        <v>46306</v>
      </c>
      <c r="F473" t="inlineStr">
        <is>
          <t>VÄRMLANDS LÄN</t>
        </is>
      </c>
      <c r="G473" t="inlineStr">
        <is>
          <t>FILIPSTAD</t>
        </is>
      </c>
      <c r="H473" t="inlineStr">
        <is>
          <t>Bergvik skog väst AB</t>
        </is>
      </c>
      <c r="I473" t="n">
        <v>5.6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s="2" t="inlineStr"/>
    </row>
    <row r="474" ht="15" customHeight="1">
      <c r="A474" t="inlineStr">
        <is>
          <t>A 24514-2026</t>
        </is>
      </c>
      <c r="B474" t="inlineStr">
        <is>
          <t>avverkningsanmälan</t>
        </is>
      </c>
      <c r="C474" t="inlineStr">
        <is>
          <t>Föryngringsavverkning</t>
        </is>
      </c>
      <c r="D474" s="1" t="n">
        <v>46170</v>
      </c>
      <c r="E474" s="1" t="n">
        <v>46306</v>
      </c>
      <c r="F474" t="inlineStr">
        <is>
          <t>VÄRMLANDS LÄN</t>
        </is>
      </c>
      <c r="G474" t="inlineStr">
        <is>
          <t>FILIPSTAD</t>
        </is>
      </c>
      <c r="H474" t="inlineStr">
        <is>
          <t>Bergvik skog väst AB</t>
        </is>
      </c>
      <c r="I474" t="n">
        <v>14.3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s="2" t="inlineStr"/>
    </row>
    <row r="475" ht="15" customHeight="1">
      <c r="A475" t="inlineStr">
        <is>
          <t>A 24519-2026</t>
        </is>
      </c>
      <c r="B475" t="inlineStr">
        <is>
          <t>avverkningsanmälan</t>
        </is>
      </c>
      <c r="C475" t="inlineStr">
        <is>
          <t>Föryngringsavverkning</t>
        </is>
      </c>
      <c r="D475" s="1" t="n">
        <v>46170</v>
      </c>
      <c r="E475" s="1" t="n">
        <v>46306</v>
      </c>
      <c r="F475" t="inlineStr">
        <is>
          <t>VÄRMLANDS LÄN</t>
        </is>
      </c>
      <c r="G475" t="inlineStr">
        <is>
          <t>FILIPSTAD</t>
        </is>
      </c>
      <c r="H475" t="inlineStr">
        <is>
          <t>Bergvik skog väst AB</t>
        </is>
      </c>
      <c r="I475" t="n">
        <v>5.4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s="2" t="inlineStr"/>
    </row>
    <row r="476" ht="15" customHeight="1">
      <c r="A476" t="inlineStr">
        <is>
          <t>A 24520-2026</t>
        </is>
      </c>
      <c r="B476" t="inlineStr">
        <is>
          <t>avverkningsanmälan</t>
        </is>
      </c>
      <c r="C476" t="inlineStr">
        <is>
          <t>Föryngringsavverkning</t>
        </is>
      </c>
      <c r="D476" s="1" t="n">
        <v>46170</v>
      </c>
      <c r="E476" s="1" t="n">
        <v>46306</v>
      </c>
      <c r="F476" t="inlineStr">
        <is>
          <t>VÄRMLANDS LÄN</t>
        </is>
      </c>
      <c r="G476" t="inlineStr">
        <is>
          <t>FILIPSTAD</t>
        </is>
      </c>
      <c r="H476" t="inlineStr">
        <is>
          <t>Bergvik skog väst AB</t>
        </is>
      </c>
      <c r="I476" t="n">
        <v>4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s="2" t="inlineStr"/>
    </row>
    <row r="477" ht="15" customHeight="1">
      <c r="A477" t="inlineStr">
        <is>
          <t>A 24529-2026</t>
        </is>
      </c>
      <c r="B477" t="inlineStr">
        <is>
          <t>avverkningsanmälan</t>
        </is>
      </c>
      <c r="C477" t="inlineStr">
        <is>
          <t>Föryngringsavverkning</t>
        </is>
      </c>
      <c r="D477" s="1" t="n">
        <v>46170</v>
      </c>
      <c r="E477" s="1" t="n">
        <v>46306</v>
      </c>
      <c r="F477" t="inlineStr">
        <is>
          <t>VÄRMLANDS LÄN</t>
        </is>
      </c>
      <c r="G477" t="inlineStr">
        <is>
          <t>FILIPSTAD</t>
        </is>
      </c>
      <c r="H477" t="inlineStr">
        <is>
          <t>Bergvik skog väst AB</t>
        </is>
      </c>
      <c r="I477" t="n">
        <v>4.3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s="2" t="inlineStr"/>
    </row>
    <row r="478" ht="15" customHeight="1">
      <c r="A478" t="inlineStr">
        <is>
          <t>A 24537-2026</t>
        </is>
      </c>
      <c r="B478" t="inlineStr">
        <is>
          <t>avverkningsanmälan</t>
        </is>
      </c>
      <c r="C478" t="inlineStr">
        <is>
          <t>Föryngringsavverkning</t>
        </is>
      </c>
      <c r="D478" s="1" t="n">
        <v>46170</v>
      </c>
      <c r="E478" s="1" t="n">
        <v>46306</v>
      </c>
      <c r="F478" t="inlineStr">
        <is>
          <t>VÄRMLANDS LÄN</t>
        </is>
      </c>
      <c r="G478" t="inlineStr">
        <is>
          <t>FILIPSTAD</t>
        </is>
      </c>
      <c r="H478" t="inlineStr">
        <is>
          <t>Bergvik skog väst AB</t>
        </is>
      </c>
      <c r="I478" t="n">
        <v>2.7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s="2" t="inlineStr"/>
    </row>
    <row r="479" ht="15" customHeight="1">
      <c r="A479" t="inlineStr">
        <is>
          <t>A 24452-2026</t>
        </is>
      </c>
      <c r="B479" t="inlineStr">
        <is>
          <t>avverkningsanmälan</t>
        </is>
      </c>
      <c r="C479" t="inlineStr">
        <is>
          <t>Föryngringsavverkning</t>
        </is>
      </c>
      <c r="D479" s="1" t="n">
        <v>46170</v>
      </c>
      <c r="E479" s="1" t="n">
        <v>46306</v>
      </c>
      <c r="F479" t="inlineStr">
        <is>
          <t>VÄRMLANDS LÄN</t>
        </is>
      </c>
      <c r="G479" t="inlineStr">
        <is>
          <t>FILIPSTAD</t>
        </is>
      </c>
      <c r="H479" t="inlineStr">
        <is>
          <t>Bergvik skog väst AB</t>
        </is>
      </c>
      <c r="I479" t="n">
        <v>1.2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s="2" t="inlineStr"/>
    </row>
    <row r="480" ht="15" customHeight="1">
      <c r="A480" t="inlineStr">
        <is>
          <t>A 24453-2026</t>
        </is>
      </c>
      <c r="B480" t="inlineStr">
        <is>
          <t>avverkningsanmälan</t>
        </is>
      </c>
      <c r="C480" t="inlineStr">
        <is>
          <t>Föryngringsavverkning</t>
        </is>
      </c>
      <c r="D480" s="1" t="n">
        <v>46170</v>
      </c>
      <c r="E480" s="1" t="n">
        <v>46306</v>
      </c>
      <c r="F480" t="inlineStr">
        <is>
          <t>VÄRMLANDS LÄN</t>
        </is>
      </c>
      <c r="G480" t="inlineStr">
        <is>
          <t>FILIPSTAD</t>
        </is>
      </c>
      <c r="H480" t="inlineStr">
        <is>
          <t>Bergvik skog väst AB</t>
        </is>
      </c>
      <c r="I480" t="n">
        <v>1.5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s="2" t="inlineStr"/>
    </row>
    <row r="481" ht="15" customHeight="1">
      <c r="A481" t="inlineStr">
        <is>
          <t>A 24745-2026</t>
        </is>
      </c>
      <c r="B481" t="inlineStr">
        <is>
          <t>avverkningsanmälan</t>
        </is>
      </c>
      <c r="C481" t="inlineStr">
        <is>
          <t>Föryngringsavverkning</t>
        </is>
      </c>
      <c r="D481" s="1" t="n">
        <v>46171</v>
      </c>
      <c r="E481" s="1" t="n">
        <v>46306</v>
      </c>
      <c r="F481" t="inlineStr">
        <is>
          <t>VÄRMLANDS LÄN</t>
        </is>
      </c>
      <c r="G481" t="inlineStr">
        <is>
          <t>FILIPSTAD</t>
        </is>
      </c>
      <c r="I481" t="n">
        <v>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s="2" t="inlineStr"/>
    </row>
    <row r="482" ht="15" customHeight="1">
      <c r="A482" t="inlineStr">
        <is>
          <t>A 32183-2025</t>
        </is>
      </c>
      <c r="B482" t="inlineStr">
        <is>
          <t>avverkningsanmälan</t>
        </is>
      </c>
      <c r="C482" t="inlineStr">
        <is>
          <t>Föryngringsavverkning</t>
        </is>
      </c>
      <c r="D482" s="1" t="n">
        <v>45835</v>
      </c>
      <c r="E482" s="1" t="n">
        <v>46306</v>
      </c>
      <c r="F482" t="inlineStr">
        <is>
          <t>VÄRMLANDS LÄN</t>
        </is>
      </c>
      <c r="G482" t="inlineStr">
        <is>
          <t>FILIPSTAD</t>
        </is>
      </c>
      <c r="I482" t="n">
        <v>1.6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s="2" t="inlineStr"/>
    </row>
    <row r="483" ht="15" customHeight="1">
      <c r="A483" t="inlineStr">
        <is>
          <t>A 16063-2025</t>
        </is>
      </c>
      <c r="B483" t="inlineStr">
        <is>
          <t>avverkningsanmälan</t>
        </is>
      </c>
      <c r="C483" t="inlineStr">
        <is>
          <t>Föryngringsavverkning</t>
        </is>
      </c>
      <c r="D483" s="1" t="n">
        <v>45749</v>
      </c>
      <c r="E483" s="1" t="n">
        <v>46306</v>
      </c>
      <c r="F483" t="inlineStr">
        <is>
          <t>VÄRMLANDS LÄN</t>
        </is>
      </c>
      <c r="G483" t="inlineStr">
        <is>
          <t>FILIPSTAD</t>
        </is>
      </c>
      <c r="H483" t="inlineStr">
        <is>
          <t>Bergvik skog väst AB</t>
        </is>
      </c>
      <c r="I483" t="n">
        <v>4.1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s="2" t="inlineStr"/>
    </row>
    <row r="484" ht="15" customHeight="1">
      <c r="A484" t="inlineStr">
        <is>
          <t>A 25205-2026</t>
        </is>
      </c>
      <c r="B484" t="inlineStr">
        <is>
          <t>avverkningsanmälan</t>
        </is>
      </c>
      <c r="C484" t="inlineStr">
        <is>
          <t>Föryngringsavverkning</t>
        </is>
      </c>
      <c r="D484" s="1" t="n">
        <v>46175</v>
      </c>
      <c r="E484" s="1" t="n">
        <v>46306</v>
      </c>
      <c r="F484" t="inlineStr">
        <is>
          <t>VÄRMLANDS LÄN</t>
        </is>
      </c>
      <c r="G484" t="inlineStr">
        <is>
          <t>FILIPSTAD</t>
        </is>
      </c>
      <c r="H484" t="inlineStr">
        <is>
          <t>Bergvik skog väst AB</t>
        </is>
      </c>
      <c r="I484" t="n">
        <v>16.5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s="2" t="inlineStr"/>
    </row>
    <row r="485" ht="15" customHeight="1">
      <c r="A485" t="inlineStr">
        <is>
          <t>A 24886-2026</t>
        </is>
      </c>
      <c r="B485" t="inlineStr">
        <is>
          <t>avverkningsanmälan</t>
        </is>
      </c>
      <c r="C485" t="inlineStr">
        <is>
          <t>Föryngringsavverkning</t>
        </is>
      </c>
      <c r="D485" s="1" t="n">
        <v>46174</v>
      </c>
      <c r="E485" s="1" t="n">
        <v>46306</v>
      </c>
      <c r="F485" t="inlineStr">
        <is>
          <t>VÄRMLANDS LÄN</t>
        </is>
      </c>
      <c r="G485" t="inlineStr">
        <is>
          <t>FILIPSTAD</t>
        </is>
      </c>
      <c r="H485" t="inlineStr">
        <is>
          <t>Bergvik skog väst AB</t>
        </is>
      </c>
      <c r="I485" t="n">
        <v>1.9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s="2" t="inlineStr"/>
    </row>
    <row r="486" ht="15" customHeight="1">
      <c r="A486" t="inlineStr">
        <is>
          <t>A 25203-2026</t>
        </is>
      </c>
      <c r="B486" t="inlineStr">
        <is>
          <t>avverkningsanmälan</t>
        </is>
      </c>
      <c r="C486" t="inlineStr">
        <is>
          <t>Föryngringsavverkning</t>
        </is>
      </c>
      <c r="D486" s="1" t="n">
        <v>46175</v>
      </c>
      <c r="E486" s="1" t="n">
        <v>46306</v>
      </c>
      <c r="F486" t="inlineStr">
        <is>
          <t>VÄRMLANDS LÄN</t>
        </is>
      </c>
      <c r="G486" t="inlineStr">
        <is>
          <t>FILIPSTAD</t>
        </is>
      </c>
      <c r="H486" t="inlineStr">
        <is>
          <t>Bergvik skog väst AB</t>
        </is>
      </c>
      <c r="I486" t="n">
        <v>8.9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s="2" t="inlineStr"/>
    </row>
    <row r="487" ht="15" customHeight="1">
      <c r="A487" t="inlineStr">
        <is>
          <t>A 24941-2026</t>
        </is>
      </c>
      <c r="B487" t="inlineStr">
        <is>
          <t>avverkningsanmälan</t>
        </is>
      </c>
      <c r="C487" t="inlineStr">
        <is>
          <t>Föryngringsavverkning</t>
        </is>
      </c>
      <c r="D487" s="1" t="n">
        <v>46174</v>
      </c>
      <c r="E487" s="1" t="n">
        <v>46306</v>
      </c>
      <c r="F487" t="inlineStr">
        <is>
          <t>VÄRMLANDS LÄN</t>
        </is>
      </c>
      <c r="G487" t="inlineStr">
        <is>
          <t>FILIPSTAD</t>
        </is>
      </c>
      <c r="H487" t="inlineStr">
        <is>
          <t>Bergvik skog väst AB</t>
        </is>
      </c>
      <c r="I487" t="n">
        <v>8.5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s="2" t="inlineStr"/>
    </row>
    <row r="488" ht="15" customHeight="1">
      <c r="A488" t="inlineStr">
        <is>
          <t>A 25869-2026</t>
        </is>
      </c>
      <c r="B488" t="inlineStr">
        <is>
          <t>avverkningsanmälan</t>
        </is>
      </c>
      <c r="C488" t="inlineStr">
        <is>
          <t>Föryngringsavverkning</t>
        </is>
      </c>
      <c r="D488" s="1" t="n">
        <v>46178</v>
      </c>
      <c r="E488" s="1" t="n">
        <v>46306</v>
      </c>
      <c r="F488" t="inlineStr">
        <is>
          <t>VÄRMLANDS LÄN</t>
        </is>
      </c>
      <c r="G488" t="inlineStr">
        <is>
          <t>FILIPSTAD</t>
        </is>
      </c>
      <c r="H488" t="inlineStr">
        <is>
          <t>Bergvik skog väst AB</t>
        </is>
      </c>
      <c r="I488" t="n">
        <v>0.6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s="2" t="inlineStr"/>
    </row>
    <row r="489" ht="15" customHeight="1">
      <c r="A489" t="inlineStr">
        <is>
          <t>A 26107-2026</t>
        </is>
      </c>
      <c r="B489" t="inlineStr">
        <is>
          <t>avverkningsanmälan</t>
        </is>
      </c>
      <c r="C489" t="inlineStr">
        <is>
          <t>Föryngringsavverkning</t>
        </is>
      </c>
      <c r="D489" s="1" t="n">
        <v>46181</v>
      </c>
      <c r="E489" s="1" t="n">
        <v>46306</v>
      </c>
      <c r="F489" t="inlineStr">
        <is>
          <t>VÄRMLANDS LÄN</t>
        </is>
      </c>
      <c r="G489" t="inlineStr">
        <is>
          <t>FILIPSTAD</t>
        </is>
      </c>
      <c r="H489" t="inlineStr">
        <is>
          <t>Bergvik skog väst AB</t>
        </is>
      </c>
      <c r="I489" t="n">
        <v>20.9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s="2" t="inlineStr"/>
    </row>
    <row r="490" ht="15" customHeight="1">
      <c r="A490" t="inlineStr">
        <is>
          <t>A 25769-2026</t>
        </is>
      </c>
      <c r="B490" t="inlineStr">
        <is>
          <t>avverkningsanmälan</t>
        </is>
      </c>
      <c r="C490" t="inlineStr">
        <is>
          <t>Föryngringsavverkning</t>
        </is>
      </c>
      <c r="D490" s="1" t="n">
        <v>46178</v>
      </c>
      <c r="E490" s="1" t="n">
        <v>46306</v>
      </c>
      <c r="F490" t="inlineStr">
        <is>
          <t>VÄRMLANDS LÄN</t>
        </is>
      </c>
      <c r="G490" t="inlineStr">
        <is>
          <t>FILIPSTAD</t>
        </is>
      </c>
      <c r="H490" t="inlineStr">
        <is>
          <t>Bergvik skog väst AB</t>
        </is>
      </c>
      <c r="I490" t="n">
        <v>3.8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s="2" t="inlineStr"/>
    </row>
    <row r="491" ht="15" customHeight="1">
      <c r="A491" t="inlineStr">
        <is>
          <t>A 25786-2026</t>
        </is>
      </c>
      <c r="B491" t="inlineStr">
        <is>
          <t>avverkningsanmälan</t>
        </is>
      </c>
      <c r="C491" t="inlineStr">
        <is>
          <t>Föryngringsavverkning</t>
        </is>
      </c>
      <c r="D491" s="1" t="n">
        <v>46178</v>
      </c>
      <c r="E491" s="1" t="n">
        <v>46306</v>
      </c>
      <c r="F491" t="inlineStr">
        <is>
          <t>VÄRMLANDS LÄN</t>
        </is>
      </c>
      <c r="G491" t="inlineStr">
        <is>
          <t>FILIPSTAD</t>
        </is>
      </c>
      <c r="H491" t="inlineStr">
        <is>
          <t>Bergvik skog väst AB</t>
        </is>
      </c>
      <c r="I491" t="n">
        <v>7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s="2" t="inlineStr"/>
    </row>
    <row r="492" ht="15" customHeight="1">
      <c r="A492" t="inlineStr">
        <is>
          <t>A 26211-2026</t>
        </is>
      </c>
      <c r="B492" t="inlineStr">
        <is>
          <t>avverkningsanmälan</t>
        </is>
      </c>
      <c r="C492" t="inlineStr">
        <is>
          <t>Föryngringsavverkning</t>
        </is>
      </c>
      <c r="D492" s="1" t="n">
        <v>46182</v>
      </c>
      <c r="E492" s="1" t="n">
        <v>46306</v>
      </c>
      <c r="F492" t="inlineStr">
        <is>
          <t>VÄRMLANDS LÄN</t>
        </is>
      </c>
      <c r="G492" t="inlineStr">
        <is>
          <t>FILIPSTAD</t>
        </is>
      </c>
      <c r="H492" t="inlineStr">
        <is>
          <t>Bergvik skog väst AB</t>
        </is>
      </c>
      <c r="I492" t="n">
        <v>4.4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s="2" t="inlineStr"/>
    </row>
    <row r="493" ht="15" customHeight="1">
      <c r="A493" t="inlineStr">
        <is>
          <t>A 26323-2026</t>
        </is>
      </c>
      <c r="B493" t="inlineStr">
        <is>
          <t>avverkningsanmälan</t>
        </is>
      </c>
      <c r="C493" t="inlineStr">
        <is>
          <t>Föryngringsavverkning</t>
        </is>
      </c>
      <c r="D493" s="1" t="n">
        <v>46182</v>
      </c>
      <c r="E493" s="1" t="n">
        <v>46306</v>
      </c>
      <c r="F493" t="inlineStr">
        <is>
          <t>VÄRMLANDS LÄN</t>
        </is>
      </c>
      <c r="G493" t="inlineStr">
        <is>
          <t>FILIPSTAD</t>
        </is>
      </c>
      <c r="H493" t="inlineStr">
        <is>
          <t>Bergvik skog väst AB</t>
        </is>
      </c>
      <c r="I493" t="n">
        <v>11.9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s="2" t="inlineStr"/>
    </row>
    <row r="494" ht="15" customHeight="1">
      <c r="A494" t="inlineStr">
        <is>
          <t>A 26229-2026</t>
        </is>
      </c>
      <c r="B494" t="inlineStr">
        <is>
          <t>avverkningsanmälan</t>
        </is>
      </c>
      <c r="C494" t="inlineStr">
        <is>
          <t>Föryngringsavverkning</t>
        </is>
      </c>
      <c r="D494" s="1" t="n">
        <v>46182</v>
      </c>
      <c r="E494" s="1" t="n">
        <v>46306</v>
      </c>
      <c r="F494" t="inlineStr">
        <is>
          <t>VÄRMLANDS LÄN</t>
        </is>
      </c>
      <c r="G494" t="inlineStr">
        <is>
          <t>FILIPSTAD</t>
        </is>
      </c>
      <c r="H494" t="inlineStr">
        <is>
          <t>Bergvik skog väst AB</t>
        </is>
      </c>
      <c r="I494" t="n">
        <v>5.3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s="2" t="inlineStr"/>
    </row>
    <row r="495" ht="15" customHeight="1">
      <c r="A495" t="inlineStr">
        <is>
          <t>A 26227-2026</t>
        </is>
      </c>
      <c r="B495" t="inlineStr">
        <is>
          <t>avverkningsanmälan</t>
        </is>
      </c>
      <c r="C495" t="inlineStr">
        <is>
          <t>Föryngringsavverkning</t>
        </is>
      </c>
      <c r="D495" s="1" t="n">
        <v>46182</v>
      </c>
      <c r="E495" s="1" t="n">
        <v>46306</v>
      </c>
      <c r="F495" t="inlineStr">
        <is>
          <t>VÄRMLANDS LÄN</t>
        </is>
      </c>
      <c r="G495" t="inlineStr">
        <is>
          <t>FILIPSTAD</t>
        </is>
      </c>
      <c r="H495" t="inlineStr">
        <is>
          <t>Bergvik skog väst AB</t>
        </is>
      </c>
      <c r="I495" t="n">
        <v>12.8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s="2" t="inlineStr"/>
    </row>
    <row r="496" ht="15" customHeight="1">
      <c r="A496" t="inlineStr">
        <is>
          <t>A 26501-2026</t>
        </is>
      </c>
      <c r="B496" t="inlineStr">
        <is>
          <t>avverkningsanmälan</t>
        </is>
      </c>
      <c r="C496" t="inlineStr">
        <is>
          <t>Föryngringsavverkning</t>
        </is>
      </c>
      <c r="D496" s="1" t="n">
        <v>46183</v>
      </c>
      <c r="E496" s="1" t="n">
        <v>46306</v>
      </c>
      <c r="F496" t="inlineStr">
        <is>
          <t>VÄRMLANDS LÄN</t>
        </is>
      </c>
      <c r="G496" t="inlineStr">
        <is>
          <t>FILIPSTAD</t>
        </is>
      </c>
      <c r="H496" t="inlineStr">
        <is>
          <t>Bergvik skog väst AB</t>
        </is>
      </c>
      <c r="I496" t="n">
        <v>14.2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s="2" t="inlineStr"/>
    </row>
    <row r="497" ht="15" customHeight="1">
      <c r="A497" t="inlineStr">
        <is>
          <t>A 26298-2026</t>
        </is>
      </c>
      <c r="B497" t="inlineStr">
        <is>
          <t>avverkningsanmälan</t>
        </is>
      </c>
      <c r="C497" t="inlineStr">
        <is>
          <t>Föryngringsavverkning</t>
        </is>
      </c>
      <c r="D497" s="1" t="n">
        <v>46182</v>
      </c>
      <c r="E497" s="1" t="n">
        <v>46306</v>
      </c>
      <c r="F497" t="inlineStr">
        <is>
          <t>VÄRMLANDS LÄN</t>
        </is>
      </c>
      <c r="G497" t="inlineStr">
        <is>
          <t>FILIPSTAD</t>
        </is>
      </c>
      <c r="H497" t="inlineStr">
        <is>
          <t>Bergvik skog väst AB</t>
        </is>
      </c>
      <c r="I497" t="n">
        <v>4.7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s="2" t="inlineStr"/>
    </row>
    <row r="498" ht="15" customHeight="1">
      <c r="A498" t="inlineStr">
        <is>
          <t>A 25976-2026</t>
        </is>
      </c>
      <c r="B498" t="inlineStr">
        <is>
          <t>avverkningsanmälan</t>
        </is>
      </c>
      <c r="C498" t="inlineStr">
        <is>
          <t>Föryngringsavverkning</t>
        </is>
      </c>
      <c r="D498" s="1" t="n">
        <v>46181</v>
      </c>
      <c r="E498" s="1" t="n">
        <v>46306</v>
      </c>
      <c r="F498" t="inlineStr">
        <is>
          <t>VÄRMLANDS LÄN</t>
        </is>
      </c>
      <c r="G498" t="inlineStr">
        <is>
          <t>FILIPSTAD</t>
        </is>
      </c>
      <c r="H498" t="inlineStr">
        <is>
          <t>Bergvik skog väst AB</t>
        </is>
      </c>
      <c r="I498" t="n">
        <v>11.1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s="2" t="inlineStr"/>
    </row>
    <row r="499" ht="15" customHeight="1">
      <c r="A499" t="inlineStr">
        <is>
          <t>A 26343-2026</t>
        </is>
      </c>
      <c r="B499" t="inlineStr">
        <is>
          <t>avverkningsanmälan</t>
        </is>
      </c>
      <c r="C499" t="inlineStr">
        <is>
          <t>Föryngringsavverkning</t>
        </is>
      </c>
      <c r="D499" s="1" t="n">
        <v>46182</v>
      </c>
      <c r="E499" s="1" t="n">
        <v>46306</v>
      </c>
      <c r="F499" t="inlineStr">
        <is>
          <t>VÄRMLANDS LÄN</t>
        </is>
      </c>
      <c r="G499" t="inlineStr">
        <is>
          <t>FILIPSTAD</t>
        </is>
      </c>
      <c r="H499" t="inlineStr">
        <is>
          <t>Bergvik skog väst AB</t>
        </is>
      </c>
      <c r="I499" t="n">
        <v>1.5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s="2" t="inlineStr"/>
    </row>
    <row r="500" ht="15" customHeight="1">
      <c r="A500" t="inlineStr">
        <is>
          <t>A 27007-2026</t>
        </is>
      </c>
      <c r="B500" t="inlineStr">
        <is>
          <t>avverkningsanmälan</t>
        </is>
      </c>
      <c r="C500" t="inlineStr">
        <is>
          <t>Föryngringsavverkning</t>
        </is>
      </c>
      <c r="D500" s="1" t="n">
        <v>46185</v>
      </c>
      <c r="E500" s="1" t="n">
        <v>46306</v>
      </c>
      <c r="F500" t="inlineStr">
        <is>
          <t>VÄRMLANDS LÄN</t>
        </is>
      </c>
      <c r="G500" t="inlineStr">
        <is>
          <t>FILIPSTAD</t>
        </is>
      </c>
      <c r="H500" t="inlineStr">
        <is>
          <t>Bergvik skog väst AB</t>
        </is>
      </c>
      <c r="I500" t="n">
        <v>1.6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s="2" t="inlineStr"/>
    </row>
    <row r="501" ht="15" customHeight="1">
      <c r="A501" t="inlineStr">
        <is>
          <t>A 27085-2026</t>
        </is>
      </c>
      <c r="B501" t="inlineStr">
        <is>
          <t>avverkningsanmälan</t>
        </is>
      </c>
      <c r="C501" t="inlineStr">
        <is>
          <t>Föryngringsavverkning</t>
        </is>
      </c>
      <c r="D501" s="1" t="n">
        <v>46187</v>
      </c>
      <c r="E501" s="1" t="n">
        <v>46306</v>
      </c>
      <c r="F501" t="inlineStr">
        <is>
          <t>VÄRMLANDS LÄN</t>
        </is>
      </c>
      <c r="G501" t="inlineStr">
        <is>
          <t>FILIPSTAD</t>
        </is>
      </c>
      <c r="H501" t="inlineStr">
        <is>
          <t>Bergvik skog väst AB</t>
        </is>
      </c>
      <c r="I501" t="n">
        <v>1.6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s="2" t="inlineStr"/>
    </row>
    <row r="502" ht="15" customHeight="1">
      <c r="A502" t="inlineStr">
        <is>
          <t>A 26549-2026</t>
        </is>
      </c>
      <c r="B502" t="inlineStr">
        <is>
          <t>avverkningsanmälan</t>
        </is>
      </c>
      <c r="C502" t="inlineStr">
        <is>
          <t>Föryngringsavverkning</t>
        </is>
      </c>
      <c r="D502" s="1" t="n">
        <v>46183</v>
      </c>
      <c r="E502" s="1" t="n">
        <v>46306</v>
      </c>
      <c r="F502" t="inlineStr">
        <is>
          <t>VÄRMLANDS LÄN</t>
        </is>
      </c>
      <c r="G502" t="inlineStr">
        <is>
          <t>FILIPSTAD</t>
        </is>
      </c>
      <c r="H502" t="inlineStr">
        <is>
          <t>Bergvik skog väst AB</t>
        </is>
      </c>
      <c r="I502" t="n">
        <v>1.6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s="2" t="inlineStr"/>
    </row>
    <row r="503" ht="15" customHeight="1">
      <c r="A503" t="inlineStr">
        <is>
          <t>A 27079-2026</t>
        </is>
      </c>
      <c r="B503" t="inlineStr">
        <is>
          <t>avverkningsanmälan</t>
        </is>
      </c>
      <c r="C503" t="inlineStr">
        <is>
          <t>Föryngringsavverkning</t>
        </is>
      </c>
      <c r="D503" s="1" t="n">
        <v>46186</v>
      </c>
      <c r="E503" s="1" t="n">
        <v>46306</v>
      </c>
      <c r="F503" t="inlineStr">
        <is>
          <t>VÄRMLANDS LÄN</t>
        </is>
      </c>
      <c r="G503" t="inlineStr">
        <is>
          <t>FILIPSTAD</t>
        </is>
      </c>
      <c r="H503" t="inlineStr">
        <is>
          <t>Bergvik skog väst AB</t>
        </is>
      </c>
      <c r="I503" t="n">
        <v>11.7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s="2" t="inlineStr"/>
    </row>
    <row r="504" ht="15" customHeight="1">
      <c r="A504" t="inlineStr">
        <is>
          <t>A 27300-2026</t>
        </is>
      </c>
      <c r="B504" t="inlineStr">
        <is>
          <t>avverkningsanmälan</t>
        </is>
      </c>
      <c r="C504" t="inlineStr">
        <is>
          <t>Föryngringsavverkning</t>
        </is>
      </c>
      <c r="D504" s="1" t="n">
        <v>46188</v>
      </c>
      <c r="E504" s="1" t="n">
        <v>46306</v>
      </c>
      <c r="F504" t="inlineStr">
        <is>
          <t>VÄRMLANDS LÄN</t>
        </is>
      </c>
      <c r="G504" t="inlineStr">
        <is>
          <t>FILIPSTAD</t>
        </is>
      </c>
      <c r="H504" t="inlineStr">
        <is>
          <t>Bergvik skog väst AB</t>
        </is>
      </c>
      <c r="I504" t="n">
        <v>2.5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s="2" t="inlineStr"/>
    </row>
    <row r="505" ht="15" customHeight="1">
      <c r="A505" t="inlineStr">
        <is>
          <t>A 27372-2026</t>
        </is>
      </c>
      <c r="B505" t="inlineStr">
        <is>
          <t>avverkningsanmälan</t>
        </is>
      </c>
      <c r="C505" t="inlineStr">
        <is>
          <t>Föryngringsavverkning</t>
        </is>
      </c>
      <c r="D505" s="1" t="n">
        <v>46188</v>
      </c>
      <c r="E505" s="1" t="n">
        <v>46306</v>
      </c>
      <c r="F505" t="inlineStr">
        <is>
          <t>VÄRMLANDS LÄN</t>
        </is>
      </c>
      <c r="G505" t="inlineStr">
        <is>
          <t>FILIPSTAD</t>
        </is>
      </c>
      <c r="H505" t="inlineStr">
        <is>
          <t>Bergvik skog väst AB</t>
        </is>
      </c>
      <c r="I505" t="n">
        <v>7.4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s="2" t="inlineStr"/>
    </row>
    <row r="506" ht="15" customHeight="1">
      <c r="A506" t="inlineStr">
        <is>
          <t>A 27774-2026</t>
        </is>
      </c>
      <c r="B506" t="inlineStr">
        <is>
          <t>avverkningsanmälan</t>
        </is>
      </c>
      <c r="C506" t="inlineStr">
        <is>
          <t>Föryngringsavverkning</t>
        </is>
      </c>
      <c r="D506" s="1" t="n">
        <v>46191</v>
      </c>
      <c r="E506" s="1" t="n">
        <v>46306</v>
      </c>
      <c r="F506" t="inlineStr">
        <is>
          <t>VÄRMLANDS LÄN</t>
        </is>
      </c>
      <c r="G506" t="inlineStr">
        <is>
          <t>FILIPSTAD</t>
        </is>
      </c>
      <c r="H506" t="inlineStr">
        <is>
          <t>Bergvik skog väst AB</t>
        </is>
      </c>
      <c r="I506" t="n">
        <v>5.5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s="2" t="inlineStr"/>
    </row>
    <row r="507" ht="15" customHeight="1">
      <c r="A507" t="inlineStr">
        <is>
          <t>A 27595-2026</t>
        </is>
      </c>
      <c r="B507" t="inlineStr">
        <is>
          <t>avverkningsanmälan</t>
        </is>
      </c>
      <c r="C507" t="inlineStr">
        <is>
          <t>Föryngringsavverkning</t>
        </is>
      </c>
      <c r="D507" s="1" t="n">
        <v>46190</v>
      </c>
      <c r="E507" s="1" t="n">
        <v>46306</v>
      </c>
      <c r="F507" t="inlineStr">
        <is>
          <t>VÄRMLANDS LÄN</t>
        </is>
      </c>
      <c r="G507" t="inlineStr">
        <is>
          <t>FILIPSTAD</t>
        </is>
      </c>
      <c r="H507" t="inlineStr">
        <is>
          <t>Bergvik skog väst AB</t>
        </is>
      </c>
      <c r="I507" t="n">
        <v>2.4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s="2" t="inlineStr"/>
    </row>
    <row r="508" ht="15" customHeight="1">
      <c r="A508" t="inlineStr">
        <is>
          <t>A 27867-2026</t>
        </is>
      </c>
      <c r="B508" t="inlineStr">
        <is>
          <t>avverkningsanmälan</t>
        </is>
      </c>
      <c r="C508" t="inlineStr">
        <is>
          <t>Föryngringsavverkning</t>
        </is>
      </c>
      <c r="D508" s="1" t="n">
        <v>46191</v>
      </c>
      <c r="E508" s="1" t="n">
        <v>46306</v>
      </c>
      <c r="F508" t="inlineStr">
        <is>
          <t>VÄRMLANDS LÄN</t>
        </is>
      </c>
      <c r="G508" t="inlineStr">
        <is>
          <t>FILIPSTAD</t>
        </is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s="2" t="inlineStr"/>
    </row>
    <row r="509" ht="15" customHeight="1">
      <c r="A509" t="inlineStr">
        <is>
          <t>A 27968-2026</t>
        </is>
      </c>
      <c r="B509" t="inlineStr">
        <is>
          <t>avverkningsanmälan</t>
        </is>
      </c>
      <c r="C509" t="inlineStr">
        <is>
          <t>Föryngringsavverkning</t>
        </is>
      </c>
      <c r="D509" s="1" t="n">
        <v>46195</v>
      </c>
      <c r="E509" s="1" t="n">
        <v>46306</v>
      </c>
      <c r="F509" t="inlineStr">
        <is>
          <t>VÄRMLANDS LÄN</t>
        </is>
      </c>
      <c r="G509" t="inlineStr">
        <is>
          <t>FILIPSTAD</t>
        </is>
      </c>
      <c r="H509" t="inlineStr">
        <is>
          <t>Bergvik skog väst AB</t>
        </is>
      </c>
      <c r="I509" t="n">
        <v>6.3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s="2" t="inlineStr"/>
    </row>
    <row r="510" ht="15" customHeight="1">
      <c r="A510" t="inlineStr">
        <is>
          <t>A 28094-2026</t>
        </is>
      </c>
      <c r="B510" t="inlineStr">
        <is>
          <t>avverkningsanmälan</t>
        </is>
      </c>
      <c r="C510" t="inlineStr">
        <is>
          <t>Föryngringsavverkning</t>
        </is>
      </c>
      <c r="D510" s="1" t="n">
        <v>46195</v>
      </c>
      <c r="E510" s="1" t="n">
        <v>46306</v>
      </c>
      <c r="F510" t="inlineStr">
        <is>
          <t>VÄRMLANDS LÄN</t>
        </is>
      </c>
      <c r="G510" t="inlineStr">
        <is>
          <t>FILIPSTAD</t>
        </is>
      </c>
      <c r="H510" t="inlineStr">
        <is>
          <t>Bergvik skog väst AB</t>
        </is>
      </c>
      <c r="I510" t="n">
        <v>23.8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s="2" t="inlineStr"/>
    </row>
    <row r="511" ht="15" customHeight="1">
      <c r="A511" t="inlineStr">
        <is>
          <t>A 51031-2025</t>
        </is>
      </c>
      <c r="B511" t="inlineStr">
        <is>
          <t>avverkningsanmälan</t>
        </is>
      </c>
      <c r="C511" t="inlineStr">
        <is>
          <t>Föryngringsavverkning</t>
        </is>
      </c>
      <c r="D511" s="1" t="n">
        <v>45947</v>
      </c>
      <c r="E511" s="1" t="n">
        <v>46306</v>
      </c>
      <c r="F511" t="inlineStr">
        <is>
          <t>VÄRMLANDS LÄN</t>
        </is>
      </c>
      <c r="G511" t="inlineStr">
        <is>
          <t>FILIPSTAD</t>
        </is>
      </c>
      <c r="H511" t="inlineStr">
        <is>
          <t>Bergvik skog väst AB</t>
        </is>
      </c>
      <c r="I511" t="n">
        <v>2.6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s="2" t="inlineStr"/>
    </row>
    <row r="512" ht="15" customHeight="1">
      <c r="A512" t="inlineStr">
        <is>
          <t>A 28516-2026</t>
        </is>
      </c>
      <c r="B512" t="inlineStr">
        <is>
          <t>avverkningsanmälan</t>
        </is>
      </c>
      <c r="C512" t="inlineStr">
        <is>
          <t>Föryngringsavverkning</t>
        </is>
      </c>
      <c r="D512" s="1" t="n">
        <v>46197</v>
      </c>
      <c r="E512" s="1" t="n">
        <v>46306</v>
      </c>
      <c r="F512" t="inlineStr">
        <is>
          <t>VÄRMLANDS LÄN</t>
        </is>
      </c>
      <c r="G512" t="inlineStr">
        <is>
          <t>FILIPSTAD</t>
        </is>
      </c>
      <c r="I512" t="n">
        <v>3.8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s="2" t="inlineStr"/>
    </row>
    <row r="513" ht="15" customHeight="1">
      <c r="A513" t="inlineStr">
        <is>
          <t>A 28419-2026</t>
        </is>
      </c>
      <c r="B513" t="inlineStr">
        <is>
          <t>avverkningsanmälan</t>
        </is>
      </c>
      <c r="C513" t="inlineStr">
        <is>
          <t>Föryngringsavverkning</t>
        </is>
      </c>
      <c r="D513" s="1" t="n">
        <v>46197</v>
      </c>
      <c r="E513" s="1" t="n">
        <v>46306</v>
      </c>
      <c r="F513" t="inlineStr">
        <is>
          <t>VÄRMLANDS LÄN</t>
        </is>
      </c>
      <c r="G513" t="inlineStr">
        <is>
          <t>FILIPSTAD</t>
        </is>
      </c>
      <c r="H513" t="inlineStr">
        <is>
          <t>Bergvik skog väst AB</t>
        </is>
      </c>
      <c r="I513" t="n">
        <v>2.3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s="2" t="inlineStr"/>
    </row>
    <row r="514" ht="15" customHeight="1">
      <c r="A514" t="inlineStr">
        <is>
          <t>A 28977-2026</t>
        </is>
      </c>
      <c r="B514" t="inlineStr">
        <is>
          <t>avverkningsanmälan</t>
        </is>
      </c>
      <c r="C514" t="inlineStr">
        <is>
          <t>Föryngringsavverkning</t>
        </is>
      </c>
      <c r="D514" s="1" t="n">
        <v>46199</v>
      </c>
      <c r="E514" s="1" t="n">
        <v>46306</v>
      </c>
      <c r="F514" t="inlineStr">
        <is>
          <t>VÄRMLANDS LÄN</t>
        </is>
      </c>
      <c r="G514" t="inlineStr">
        <is>
          <t>FILIPSTAD</t>
        </is>
      </c>
      <c r="H514" t="inlineStr">
        <is>
          <t>Bergvik skog väst AB</t>
        </is>
      </c>
      <c r="I514" t="n">
        <v>5.6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s="2" t="inlineStr"/>
    </row>
    <row r="515" ht="15" customHeight="1">
      <c r="A515" t="inlineStr">
        <is>
          <t>A 29385-2026</t>
        </is>
      </c>
      <c r="B515" t="inlineStr">
        <is>
          <t>avverkningsanmälan</t>
        </is>
      </c>
      <c r="C515" t="inlineStr">
        <is>
          <t>Föryngringsavverkning</t>
        </is>
      </c>
      <c r="D515" s="1" t="n">
        <v>46203</v>
      </c>
      <c r="E515" s="1" t="n">
        <v>46306</v>
      </c>
      <c r="F515" t="inlineStr">
        <is>
          <t>VÄRMLANDS LÄN</t>
        </is>
      </c>
      <c r="G515" t="inlineStr">
        <is>
          <t>FILIPSTAD</t>
        </is>
      </c>
      <c r="H515" t="inlineStr">
        <is>
          <t>Bergvik skog väst AB</t>
        </is>
      </c>
      <c r="I515" t="n">
        <v>5.5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s="2" t="inlineStr"/>
    </row>
    <row r="516" ht="15" customHeight="1">
      <c r="A516" t="inlineStr">
        <is>
          <t>A 29376-2026</t>
        </is>
      </c>
      <c r="B516" t="inlineStr">
        <is>
          <t>avverkningsanmälan</t>
        </is>
      </c>
      <c r="C516" t="inlineStr">
        <is>
          <t>Föryngringsavverkning</t>
        </is>
      </c>
      <c r="D516" s="1" t="n">
        <v>46203</v>
      </c>
      <c r="E516" s="1" t="n">
        <v>46306</v>
      </c>
      <c r="F516" t="inlineStr">
        <is>
          <t>VÄRMLANDS LÄN</t>
        </is>
      </c>
      <c r="G516" t="inlineStr">
        <is>
          <t>FILIPSTAD</t>
        </is>
      </c>
      <c r="H516" t="inlineStr">
        <is>
          <t>Bergvik skog väst AB</t>
        </is>
      </c>
      <c r="I516" t="n">
        <v>14.6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s="2" t="inlineStr"/>
    </row>
    <row r="517" ht="15" customHeight="1">
      <c r="A517" t="inlineStr">
        <is>
          <t>A 29127-2026</t>
        </is>
      </c>
      <c r="B517" t="inlineStr">
        <is>
          <t>avverkningsanmälan</t>
        </is>
      </c>
      <c r="C517" t="inlineStr">
        <is>
          <t>Föryngringsavverkning</t>
        </is>
      </c>
      <c r="D517" s="1" t="n">
        <v>46202</v>
      </c>
      <c r="E517" s="1" t="n">
        <v>46306</v>
      </c>
      <c r="F517" t="inlineStr">
        <is>
          <t>VÄRMLANDS LÄN</t>
        </is>
      </c>
      <c r="G517" t="inlineStr">
        <is>
          <t>FILIPSTAD</t>
        </is>
      </c>
      <c r="H517" t="inlineStr">
        <is>
          <t>Bergvik skog väst AB</t>
        </is>
      </c>
      <c r="I517" t="n">
        <v>2.8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s="2" t="inlineStr"/>
    </row>
    <row r="518" ht="15" customHeight="1">
      <c r="A518" t="inlineStr">
        <is>
          <t>A 29328-2026</t>
        </is>
      </c>
      <c r="B518" t="inlineStr">
        <is>
          <t>avverkningsanmälan</t>
        </is>
      </c>
      <c r="C518" t="inlineStr">
        <is>
          <t>Föryngringsavverkning</t>
        </is>
      </c>
      <c r="D518" s="1" t="n">
        <v>46202</v>
      </c>
      <c r="E518" s="1" t="n">
        <v>46306</v>
      </c>
      <c r="F518" t="inlineStr">
        <is>
          <t>VÄRMLANDS LÄN</t>
        </is>
      </c>
      <c r="G518" t="inlineStr">
        <is>
          <t>FILIPSTAD</t>
        </is>
      </c>
      <c r="H518" t="inlineStr">
        <is>
          <t>Bergvik skog väst AB</t>
        </is>
      </c>
      <c r="I518" t="n">
        <v>3.5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s="2" t="inlineStr"/>
    </row>
    <row r="519" ht="15" customHeight="1">
      <c r="A519" t="inlineStr">
        <is>
          <t>A 29010-2026</t>
        </is>
      </c>
      <c r="B519" t="inlineStr">
        <is>
          <t>avverkningsanmälan</t>
        </is>
      </c>
      <c r="C519" t="inlineStr">
        <is>
          <t>Föryngringsavverkning</t>
        </is>
      </c>
      <c r="D519" s="1" t="n">
        <v>46199</v>
      </c>
      <c r="E519" s="1" t="n">
        <v>46306</v>
      </c>
      <c r="F519" t="inlineStr">
        <is>
          <t>VÄRMLANDS LÄN</t>
        </is>
      </c>
      <c r="G519" t="inlineStr">
        <is>
          <t>FILIPSTAD</t>
        </is>
      </c>
      <c r="H519" t="inlineStr">
        <is>
          <t>Bergvik skog väst AB</t>
        </is>
      </c>
      <c r="I519" t="n">
        <v>4.8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s="2" t="inlineStr"/>
    </row>
    <row r="520" ht="15" customHeight="1">
      <c r="A520" t="inlineStr">
        <is>
          <t>A 29821-2026</t>
        </is>
      </c>
      <c r="B520" t="inlineStr">
        <is>
          <t>avverkningsanmälan</t>
        </is>
      </c>
      <c r="C520" t="inlineStr">
        <is>
          <t>Föryngringsavverkning</t>
        </is>
      </c>
      <c r="D520" s="1" t="n">
        <v>46205</v>
      </c>
      <c r="E520" s="1" t="n">
        <v>46306</v>
      </c>
      <c r="F520" t="inlineStr">
        <is>
          <t>VÄRMLANDS LÄN</t>
        </is>
      </c>
      <c r="G520" t="inlineStr">
        <is>
          <t>FILIPSTAD</t>
        </is>
      </c>
      <c r="H520" t="inlineStr">
        <is>
          <t>Bergvik skog väst AB</t>
        </is>
      </c>
      <c r="I520" t="n">
        <v>1.9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s="2" t="inlineStr"/>
    </row>
    <row r="521" ht="15" customHeight="1">
      <c r="A521" t="inlineStr">
        <is>
          <t>A 29417-2026</t>
        </is>
      </c>
      <c r="B521" t="inlineStr">
        <is>
          <t>avverkningsanmälan</t>
        </is>
      </c>
      <c r="C521" t="inlineStr">
        <is>
          <t>Föryngringsavverkning</t>
        </is>
      </c>
      <c r="D521" s="1" t="n">
        <v>46203</v>
      </c>
      <c r="E521" s="1" t="n">
        <v>46306</v>
      </c>
      <c r="F521" t="inlineStr">
        <is>
          <t>VÄRMLANDS LÄN</t>
        </is>
      </c>
      <c r="G521" t="inlineStr">
        <is>
          <t>FILIPSTAD</t>
        </is>
      </c>
      <c r="H521" t="inlineStr">
        <is>
          <t>Bergvik skog väst AB</t>
        </is>
      </c>
      <c r="I521" t="n">
        <v>7.4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s="2" t="inlineStr"/>
    </row>
    <row r="522" ht="15" customHeight="1">
      <c r="A522" t="inlineStr">
        <is>
          <t>A 29591-2026</t>
        </is>
      </c>
      <c r="B522" t="inlineStr">
        <is>
          <t>avverkningsanmälan</t>
        </is>
      </c>
      <c r="C522" t="inlineStr">
        <is>
          <t>Föryngringsavverkning</t>
        </is>
      </c>
      <c r="D522" s="1" t="n">
        <v>46204</v>
      </c>
      <c r="E522" s="1" t="n">
        <v>46306</v>
      </c>
      <c r="F522" t="inlineStr">
        <is>
          <t>VÄRMLANDS LÄN</t>
        </is>
      </c>
      <c r="G522" t="inlineStr">
        <is>
          <t>FILIPSTAD</t>
        </is>
      </c>
      <c r="H522" t="inlineStr">
        <is>
          <t>Bergvik skog väst AB</t>
        </is>
      </c>
      <c r="I522" t="n">
        <v>5.6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s="2" t="inlineStr"/>
    </row>
    <row r="523" ht="15" customHeight="1">
      <c r="A523" t="inlineStr">
        <is>
          <t>A 29389-2026</t>
        </is>
      </c>
      <c r="B523" t="inlineStr">
        <is>
          <t>avverkningsanmälan</t>
        </is>
      </c>
      <c r="C523" t="inlineStr">
        <is>
          <t>Föryngringsavverkning</t>
        </is>
      </c>
      <c r="D523" s="1" t="n">
        <v>46203</v>
      </c>
      <c r="E523" s="1" t="n">
        <v>46306</v>
      </c>
      <c r="F523" t="inlineStr">
        <is>
          <t>VÄRMLANDS LÄN</t>
        </is>
      </c>
      <c r="G523" t="inlineStr">
        <is>
          <t>FILIPSTAD</t>
        </is>
      </c>
      <c r="H523" t="inlineStr">
        <is>
          <t>Bergvik skog väst AB</t>
        </is>
      </c>
      <c r="I523" t="n">
        <v>8.199999999999999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s="2" t="inlineStr"/>
    </row>
    <row r="524" ht="15" customHeight="1">
      <c r="A524" t="inlineStr">
        <is>
          <t>A 29863-2026</t>
        </is>
      </c>
      <c r="B524" t="inlineStr">
        <is>
          <t>avverkningsanmälan</t>
        </is>
      </c>
      <c r="C524" t="inlineStr">
        <is>
          <t>Föryngringsavverkning</t>
        </is>
      </c>
      <c r="D524" s="1" t="n">
        <v>46205</v>
      </c>
      <c r="E524" s="1" t="n">
        <v>46306</v>
      </c>
      <c r="F524" t="inlineStr">
        <is>
          <t>VÄRMLANDS LÄN</t>
        </is>
      </c>
      <c r="G524" t="inlineStr">
        <is>
          <t>FILIPSTAD</t>
        </is>
      </c>
      <c r="H524" t="inlineStr">
        <is>
          <t>Bergvik skog väst AB</t>
        </is>
      </c>
      <c r="I524" t="n">
        <v>26.6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s="2" t="inlineStr"/>
    </row>
    <row r="525" ht="15" customHeight="1">
      <c r="A525" t="inlineStr">
        <is>
          <t>A 12509-2026</t>
        </is>
      </c>
      <c r="B525" t="inlineStr">
        <is>
          <t>avverkningsanmälan</t>
        </is>
      </c>
      <c r="C525" t="inlineStr">
        <is>
          <t>Föryngringsavverkning</t>
        </is>
      </c>
      <c r="D525" s="1" t="n">
        <v>46090</v>
      </c>
      <c r="E525" s="1" t="n">
        <v>46306</v>
      </c>
      <c r="F525" t="inlineStr">
        <is>
          <t>VÄRMLANDS LÄN</t>
        </is>
      </c>
      <c r="G525" t="inlineStr">
        <is>
          <t>FILIPSTAD</t>
        </is>
      </c>
      <c r="I525" t="n">
        <v>5.3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s="2" t="inlineStr"/>
    </row>
    <row r="526" ht="15" customHeight="1">
      <c r="A526" t="inlineStr">
        <is>
          <t>A 29814-2026</t>
        </is>
      </c>
      <c r="B526" t="inlineStr">
        <is>
          <t>avverkningsanmälan</t>
        </is>
      </c>
      <c r="C526" t="inlineStr">
        <is>
          <t>Föryngringsavverkning</t>
        </is>
      </c>
      <c r="D526" s="1" t="n">
        <v>46205</v>
      </c>
      <c r="E526" s="1" t="n">
        <v>46306</v>
      </c>
      <c r="F526" t="inlineStr">
        <is>
          <t>VÄRMLANDS LÄN</t>
        </is>
      </c>
      <c r="G526" t="inlineStr">
        <is>
          <t>FILIPSTAD</t>
        </is>
      </c>
      <c r="I526" t="n">
        <v>1.2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s="2" t="inlineStr"/>
    </row>
    <row r="527" ht="15" customHeight="1">
      <c r="A527" t="inlineStr">
        <is>
          <t>A 30074-2026</t>
        </is>
      </c>
      <c r="B527" t="inlineStr">
        <is>
          <t>avverkningsanmälan</t>
        </is>
      </c>
      <c r="C527" t="inlineStr">
        <is>
          <t>Föryngringsavverkning</t>
        </is>
      </c>
      <c r="D527" s="1" t="n">
        <v>46206</v>
      </c>
      <c r="E527" s="1" t="n">
        <v>46306</v>
      </c>
      <c r="F527" t="inlineStr">
        <is>
          <t>VÄRMLANDS LÄN</t>
        </is>
      </c>
      <c r="G527" t="inlineStr">
        <is>
          <t>FILIPSTAD</t>
        </is>
      </c>
      <c r="H527" t="inlineStr">
        <is>
          <t>Bergvik skog väst AB</t>
        </is>
      </c>
      <c r="I527" t="n">
        <v>12.8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s="2" t="inlineStr"/>
    </row>
    <row r="528" ht="15" customHeight="1">
      <c r="A528" t="inlineStr">
        <is>
          <t>A 30540-2026</t>
        </is>
      </c>
      <c r="B528" t="inlineStr">
        <is>
          <t>avverkningsanmälan</t>
        </is>
      </c>
      <c r="C528" t="inlineStr">
        <is>
          <t>Föryngringsavverkning</t>
        </is>
      </c>
      <c r="D528" s="1" t="n">
        <v>46210</v>
      </c>
      <c r="E528" s="1" t="n">
        <v>46306</v>
      </c>
      <c r="F528" t="inlineStr">
        <is>
          <t>VÄRMLANDS LÄN</t>
        </is>
      </c>
      <c r="G528" t="inlineStr">
        <is>
          <t>FILIPSTAD</t>
        </is>
      </c>
      <c r="H528" t="inlineStr">
        <is>
          <t>Bergvik skog väst AB</t>
        </is>
      </c>
      <c r="I528" t="n">
        <v>4.9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s="2" t="inlineStr"/>
    </row>
    <row r="529" ht="15" customHeight="1">
      <c r="A529" t="inlineStr">
        <is>
          <t>A 30799-2026</t>
        </is>
      </c>
      <c r="B529" t="inlineStr">
        <is>
          <t>avverkningsanmälan</t>
        </is>
      </c>
      <c r="C529" t="inlineStr">
        <is>
          <t>Föryngringsavverkning</t>
        </is>
      </c>
      <c r="D529" s="1" t="n">
        <v>46212</v>
      </c>
      <c r="E529" s="1" t="n">
        <v>46306</v>
      </c>
      <c r="F529" t="inlineStr">
        <is>
          <t>VÄRMLANDS LÄN</t>
        </is>
      </c>
      <c r="G529" t="inlineStr">
        <is>
          <t>FILIPSTAD</t>
        </is>
      </c>
      <c r="H529" t="inlineStr">
        <is>
          <t>Bergvik skog väst AB</t>
        </is>
      </c>
      <c r="I529" t="n">
        <v>10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s="2" t="inlineStr"/>
    </row>
    <row r="530" ht="15" customHeight="1">
      <c r="A530" t="inlineStr">
        <is>
          <t>A 31316-2026</t>
        </is>
      </c>
      <c r="B530" t="inlineStr">
        <is>
          <t>avverkningsanmälan</t>
        </is>
      </c>
      <c r="C530" t="inlineStr">
        <is>
          <t>Föryngringsavverkning</t>
        </is>
      </c>
      <c r="D530" s="1" t="n">
        <v>46219</v>
      </c>
      <c r="E530" s="1" t="n">
        <v>46306</v>
      </c>
      <c r="F530" t="inlineStr">
        <is>
          <t>VÄRMLANDS LÄN</t>
        </is>
      </c>
      <c r="G530" t="inlineStr">
        <is>
          <t>FILIPSTAD</t>
        </is>
      </c>
      <c r="H530" t="inlineStr">
        <is>
          <t>Bergvik skog väst AB</t>
        </is>
      </c>
      <c r="I530" t="n">
        <v>1.9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s="2" t="inlineStr"/>
    </row>
    <row r="531" ht="15" customHeight="1">
      <c r="A531" t="inlineStr">
        <is>
          <t>A 31283-2026</t>
        </is>
      </c>
      <c r="B531" t="inlineStr">
        <is>
          <t>avverkningsanmälan</t>
        </is>
      </c>
      <c r="C531" t="inlineStr">
        <is>
          <t>Föryngringsavverkning</t>
        </is>
      </c>
      <c r="D531" s="1" t="n">
        <v>46218</v>
      </c>
      <c r="E531" s="1" t="n">
        <v>46306</v>
      </c>
      <c r="F531" t="inlineStr">
        <is>
          <t>VÄRMLANDS LÄN</t>
        </is>
      </c>
      <c r="G531" t="inlineStr">
        <is>
          <t>FILIPSTAD</t>
        </is>
      </c>
      <c r="H531" t="inlineStr">
        <is>
          <t>Bergvik skog väst AB</t>
        </is>
      </c>
      <c r="I531" t="n">
        <v>4.6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s="2" t="inlineStr"/>
    </row>
    <row r="532" ht="15" customHeight="1">
      <c r="A532" t="inlineStr">
        <is>
          <t>A 35927-2026</t>
        </is>
      </c>
      <c r="B532" t="inlineStr">
        <is>
          <t>avverkningsanmälan</t>
        </is>
      </c>
      <c r="C532" t="inlineStr">
        <is>
          <t>Föryngringsavverkning</t>
        </is>
      </c>
      <c r="D532" s="1" t="n">
        <v>46266</v>
      </c>
      <c r="E532" s="1" t="n">
        <v>46306</v>
      </c>
      <c r="F532" t="inlineStr">
        <is>
          <t>VÄRMLANDS LÄN</t>
        </is>
      </c>
      <c r="G532" t="inlineStr">
        <is>
          <t>FILIPSTAD</t>
        </is>
      </c>
      <c r="H532" t="inlineStr">
        <is>
          <t>Bergvik skog väst AB</t>
        </is>
      </c>
      <c r="I532" t="n">
        <v>27.4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s="2" t="inlineStr"/>
    </row>
    <row r="533" ht="15" customHeight="1">
      <c r="A533" t="inlineStr">
        <is>
          <t>A 35614-2026</t>
        </is>
      </c>
      <c r="B533" t="inlineStr">
        <is>
          <t>avverkningsanmälan</t>
        </is>
      </c>
      <c r="C533" t="inlineStr">
        <is>
          <t>Föryngringsavverkning</t>
        </is>
      </c>
      <c r="D533" s="1" t="n">
        <v>46264</v>
      </c>
      <c r="E533" s="1" t="n">
        <v>46306</v>
      </c>
      <c r="F533" t="inlineStr">
        <is>
          <t>VÄRMLANDS LÄN</t>
        </is>
      </c>
      <c r="G533" t="inlineStr">
        <is>
          <t>FILIPSTAD</t>
        </is>
      </c>
      <c r="H533" t="inlineStr">
        <is>
          <t>Bergvik skog väst AB</t>
        </is>
      </c>
      <c r="I533" t="n">
        <v>20.8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s="2" t="inlineStr"/>
    </row>
    <row r="534" ht="15" customHeight="1">
      <c r="A534" t="inlineStr">
        <is>
          <t>A 27426-2026</t>
        </is>
      </c>
      <c r="B534" t="inlineStr">
        <is>
          <t>avverkningsanmälan</t>
        </is>
      </c>
      <c r="C534" t="inlineStr">
        <is>
          <t>Föryngringsavverkning</t>
        </is>
      </c>
      <c r="D534" s="1" t="n">
        <v>46189</v>
      </c>
      <c r="E534" s="1" t="n">
        <v>46306</v>
      </c>
      <c r="F534" t="inlineStr">
        <is>
          <t>VÄRMLANDS LÄN</t>
        </is>
      </c>
      <c r="G534" t="inlineStr">
        <is>
          <t>FILIPSTAD</t>
        </is>
      </c>
      <c r="I534" t="n">
        <v>5.6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s="2" t="inlineStr"/>
    </row>
    <row r="535" ht="15" customHeight="1">
      <c r="A535" t="inlineStr">
        <is>
          <t>A 31548-2026</t>
        </is>
      </c>
      <c r="B535" t="inlineStr">
        <is>
          <t>avverkningsanmälan</t>
        </is>
      </c>
      <c r="C535" t="inlineStr">
        <is>
          <t>Föryngringsavverkning</t>
        </is>
      </c>
      <c r="D535" s="1" t="n">
        <v>46223</v>
      </c>
      <c r="E535" s="1" t="n">
        <v>46306</v>
      </c>
      <c r="F535" t="inlineStr">
        <is>
          <t>VÄRMLANDS LÄN</t>
        </is>
      </c>
      <c r="G535" t="inlineStr">
        <is>
          <t>FILIPSTAD</t>
        </is>
      </c>
      <c r="I535" t="n">
        <v>3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s="2" t="inlineStr"/>
    </row>
    <row r="536" ht="15" customHeight="1">
      <c r="A536" t="inlineStr">
        <is>
          <t>A 35821-2026</t>
        </is>
      </c>
      <c r="B536" t="inlineStr">
        <is>
          <t>avverkningsanmälan</t>
        </is>
      </c>
      <c r="C536" t="inlineStr">
        <is>
          <t>Föryngringsavverkning</t>
        </is>
      </c>
      <c r="D536" s="1" t="n">
        <v>46265</v>
      </c>
      <c r="E536" s="1" t="n">
        <v>46306</v>
      </c>
      <c r="F536" t="inlineStr">
        <is>
          <t>VÄRMLANDS LÄN</t>
        </is>
      </c>
      <c r="G536" t="inlineStr">
        <is>
          <t>FILIPSTAD</t>
        </is>
      </c>
      <c r="I536" t="n">
        <v>2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s="2" t="inlineStr"/>
    </row>
    <row r="537" ht="15" customHeight="1">
      <c r="A537" t="inlineStr">
        <is>
          <t>A 35948-2026</t>
        </is>
      </c>
      <c r="B537" t="inlineStr">
        <is>
          <t>avverkningsanmälan</t>
        </is>
      </c>
      <c r="C537" t="inlineStr">
        <is>
          <t>Föryngringsavverkning</t>
        </is>
      </c>
      <c r="D537" s="1" t="n">
        <v>46266</v>
      </c>
      <c r="E537" s="1" t="n">
        <v>46306</v>
      </c>
      <c r="F537" t="inlineStr">
        <is>
          <t>VÄRMLANDS LÄN</t>
        </is>
      </c>
      <c r="G537" t="inlineStr">
        <is>
          <t>FILIPSTAD</t>
        </is>
      </c>
      <c r="H537" t="inlineStr">
        <is>
          <t>Bergvik skog väst AB</t>
        </is>
      </c>
      <c r="I537" t="n">
        <v>1.2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s="2" t="inlineStr"/>
    </row>
    <row r="538" ht="15" customHeight="1">
      <c r="A538" t="inlineStr">
        <is>
          <t>A 35641-2026</t>
        </is>
      </c>
      <c r="B538" t="inlineStr">
        <is>
          <t>avverkningsanmälan</t>
        </is>
      </c>
      <c r="C538" t="inlineStr">
        <is>
          <t>Föryngringsavverkning</t>
        </is>
      </c>
      <c r="D538" s="1" t="n">
        <v>46265</v>
      </c>
      <c r="E538" s="1" t="n">
        <v>46306</v>
      </c>
      <c r="F538" t="inlineStr">
        <is>
          <t>VÄRMLANDS LÄN</t>
        </is>
      </c>
      <c r="G538" t="inlineStr">
        <is>
          <t>FILIPSTAD</t>
        </is>
      </c>
      <c r="H538" t="inlineStr">
        <is>
          <t>Bergvik skog väst AB</t>
        </is>
      </c>
      <c r="I538" t="n">
        <v>22.8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s="2" t="inlineStr"/>
    </row>
    <row r="539" ht="15" customHeight="1">
      <c r="A539" t="inlineStr">
        <is>
          <t>A 35615-2026</t>
        </is>
      </c>
      <c r="B539" t="inlineStr">
        <is>
          <t>avverkningsanmälan</t>
        </is>
      </c>
      <c r="C539" t="inlineStr">
        <is>
          <t>Föryngringsavverkning</t>
        </is>
      </c>
      <c r="D539" s="1" t="n">
        <v>46264</v>
      </c>
      <c r="E539" s="1" t="n">
        <v>46306</v>
      </c>
      <c r="F539" t="inlineStr">
        <is>
          <t>VÄRMLANDS LÄN</t>
        </is>
      </c>
      <c r="G539" t="inlineStr">
        <is>
          <t>FILIPSTAD</t>
        </is>
      </c>
      <c r="H539" t="inlineStr">
        <is>
          <t>Bergvik skog väst AB</t>
        </is>
      </c>
      <c r="I539" t="n">
        <v>2.8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s="2" t="inlineStr"/>
    </row>
    <row r="540" ht="15" customHeight="1">
      <c r="A540" t="inlineStr">
        <is>
          <t>A 35995-2026</t>
        </is>
      </c>
      <c r="B540" t="inlineStr">
        <is>
          <t>avverkningsanmälan</t>
        </is>
      </c>
      <c r="C540" t="inlineStr">
        <is>
          <t>Föryngringsavverkning</t>
        </is>
      </c>
      <c r="D540" s="1" t="n">
        <v>46266</v>
      </c>
      <c r="E540" s="1" t="n">
        <v>46306</v>
      </c>
      <c r="F540" t="inlineStr">
        <is>
          <t>VÄRMLANDS LÄN</t>
        </is>
      </c>
      <c r="G540" t="inlineStr">
        <is>
          <t>FILIPSTAD</t>
        </is>
      </c>
      <c r="H540" t="inlineStr">
        <is>
          <t>Bergvik skog väst AB</t>
        </is>
      </c>
      <c r="I540" t="n">
        <v>12.7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s="2" t="inlineStr"/>
    </row>
    <row r="541" ht="15" customHeight="1">
      <c r="A541" t="inlineStr">
        <is>
          <t>A 31537-2026</t>
        </is>
      </c>
      <c r="B541" t="inlineStr">
        <is>
          <t>avverkningsanmälan</t>
        </is>
      </c>
      <c r="C541" t="inlineStr">
        <is>
          <t>Avverkning för att bevara och utveckla /försöksver</t>
        </is>
      </c>
      <c r="D541" s="1" t="n">
        <v>46223</v>
      </c>
      <c r="E541" s="1" t="n">
        <v>46306</v>
      </c>
      <c r="F541" t="inlineStr">
        <is>
          <t>VÄRMLANDS LÄN</t>
        </is>
      </c>
      <c r="G541" t="inlineStr">
        <is>
          <t>FILIPSTAD</t>
        </is>
      </c>
      <c r="I541" t="n">
        <v>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s="2" t="inlineStr"/>
    </row>
    <row r="542" ht="15" customHeight="1">
      <c r="A542" t="inlineStr">
        <is>
          <t>A 36195-2026</t>
        </is>
      </c>
      <c r="B542" t="inlineStr">
        <is>
          <t>avverkningsanmälan</t>
        </is>
      </c>
      <c r="C542" t="inlineStr">
        <is>
          <t>Föryngringsavverkning</t>
        </is>
      </c>
      <c r="D542" s="1" t="n">
        <v>46267</v>
      </c>
      <c r="E542" s="1" t="n">
        <v>46306</v>
      </c>
      <c r="F542" t="inlineStr">
        <is>
          <t>VÄRMLANDS LÄN</t>
        </is>
      </c>
      <c r="G542" t="inlineStr">
        <is>
          <t>FILIPSTAD</t>
        </is>
      </c>
      <c r="H542" t="inlineStr">
        <is>
          <t>Bergvik skog väst AB</t>
        </is>
      </c>
      <c r="I542" t="n">
        <v>1.9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s="2" t="inlineStr"/>
    </row>
    <row r="543" ht="15" customHeight="1">
      <c r="A543" t="inlineStr">
        <is>
          <t>A 31648-2026</t>
        </is>
      </c>
      <c r="B543" t="inlineStr">
        <is>
          <t>avverkningsanmälan</t>
        </is>
      </c>
      <c r="C543" t="inlineStr">
        <is>
          <t>Föryngringsavverkning</t>
        </is>
      </c>
      <c r="D543" s="1" t="n">
        <v>46225</v>
      </c>
      <c r="E543" s="1" t="n">
        <v>46306</v>
      </c>
      <c r="F543" t="inlineStr">
        <is>
          <t>VÄRMLANDS LÄN</t>
        </is>
      </c>
      <c r="G543" t="inlineStr">
        <is>
          <t>FILIPSTAD</t>
        </is>
      </c>
      <c r="H543" t="inlineStr">
        <is>
          <t>Bergvik skog väst AB</t>
        </is>
      </c>
      <c r="I543" t="n">
        <v>1.6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s="2" t="inlineStr"/>
    </row>
    <row r="544" ht="15" customHeight="1">
      <c r="A544" t="inlineStr">
        <is>
          <t>A 36297-2026</t>
        </is>
      </c>
      <c r="B544" t="inlineStr">
        <is>
          <t>avverkningsanmälan</t>
        </is>
      </c>
      <c r="C544" t="inlineStr">
        <is>
          <t>Föryngringsavverkning</t>
        </is>
      </c>
      <c r="D544" s="1" t="n">
        <v>46268</v>
      </c>
      <c r="E544" s="1" t="n">
        <v>46306</v>
      </c>
      <c r="F544" t="inlineStr">
        <is>
          <t>VÄRMLANDS LÄN</t>
        </is>
      </c>
      <c r="G544" t="inlineStr">
        <is>
          <t>FILIPSTAD</t>
        </is>
      </c>
      <c r="H544" t="inlineStr">
        <is>
          <t>Bergvik skog väst AB</t>
        </is>
      </c>
      <c r="I544" t="n">
        <v>13.1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s="2" t="inlineStr"/>
    </row>
    <row r="545" ht="15" customHeight="1">
      <c r="A545" t="inlineStr">
        <is>
          <t>A 31688-2026</t>
        </is>
      </c>
      <c r="B545" t="inlineStr">
        <is>
          <t>avverkningsanmälan</t>
        </is>
      </c>
      <c r="C545" t="inlineStr">
        <is>
          <t>Föryngringsavverkning</t>
        </is>
      </c>
      <c r="D545" s="1" t="n">
        <v>46226</v>
      </c>
      <c r="E545" s="1" t="n">
        <v>46306</v>
      </c>
      <c r="F545" t="inlineStr">
        <is>
          <t>VÄRMLANDS LÄN</t>
        </is>
      </c>
      <c r="G545" t="inlineStr">
        <is>
          <t>FILIPSTAD</t>
        </is>
      </c>
      <c r="H545" t="inlineStr">
        <is>
          <t>Bergvik skog väst AB</t>
        </is>
      </c>
      <c r="I545" t="n">
        <v>14.9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s="2" t="inlineStr"/>
    </row>
    <row r="546" ht="15" customHeight="1">
      <c r="A546" t="inlineStr">
        <is>
          <t>A 31699-2026</t>
        </is>
      </c>
      <c r="B546" t="inlineStr">
        <is>
          <t>avverkningsanmälan</t>
        </is>
      </c>
      <c r="C546" t="inlineStr">
        <is>
          <t>Föryngringsavverkning</t>
        </is>
      </c>
      <c r="D546" s="1" t="n">
        <v>46226</v>
      </c>
      <c r="E546" s="1" t="n">
        <v>46306</v>
      </c>
      <c r="F546" t="inlineStr">
        <is>
          <t>VÄRMLANDS LÄN</t>
        </is>
      </c>
      <c r="G546" t="inlineStr">
        <is>
          <t>FILIPSTAD</t>
        </is>
      </c>
      <c r="H546" t="inlineStr">
        <is>
          <t>Bergvik skog väst AB</t>
        </is>
      </c>
      <c r="I546" t="n">
        <v>20.1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s="2" t="inlineStr"/>
    </row>
    <row r="547" ht="15" customHeight="1">
      <c r="A547" t="inlineStr">
        <is>
          <t>A 31706-2026</t>
        </is>
      </c>
      <c r="B547" t="inlineStr">
        <is>
          <t>avverkningsanmälan</t>
        </is>
      </c>
      <c r="C547" t="inlineStr">
        <is>
          <t>Föryngringsavverkning</t>
        </is>
      </c>
      <c r="D547" s="1" t="n">
        <v>46226</v>
      </c>
      <c r="E547" s="1" t="n">
        <v>46306</v>
      </c>
      <c r="F547" t="inlineStr">
        <is>
          <t>VÄRMLANDS LÄN</t>
        </is>
      </c>
      <c r="G547" t="inlineStr">
        <is>
          <t>FILIPSTAD</t>
        </is>
      </c>
      <c r="H547" t="inlineStr">
        <is>
          <t>Bergvik skog väst AB</t>
        </is>
      </c>
      <c r="I547" t="n">
        <v>4.2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s="2" t="inlineStr"/>
    </row>
    <row r="548" ht="15" customHeight="1">
      <c r="A548" t="inlineStr">
        <is>
          <t>A 31726-2026</t>
        </is>
      </c>
      <c r="B548" t="inlineStr">
        <is>
          <t>avverkningsanmälan</t>
        </is>
      </c>
      <c r="C548" t="inlineStr">
        <is>
          <t>Föryngringsavverkning</t>
        </is>
      </c>
      <c r="D548" s="1" t="n">
        <v>46227</v>
      </c>
      <c r="E548" s="1" t="n">
        <v>46306</v>
      </c>
      <c r="F548" t="inlineStr">
        <is>
          <t>VÄRMLANDS LÄN</t>
        </is>
      </c>
      <c r="G548" t="inlineStr">
        <is>
          <t>FILIPSTAD</t>
        </is>
      </c>
      <c r="H548" t="inlineStr">
        <is>
          <t>Bergvik skog väst AB</t>
        </is>
      </c>
      <c r="I548" t="n">
        <v>4.3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s="2" t="inlineStr"/>
    </row>
    <row r="549" ht="15" customHeight="1">
      <c r="A549" t="inlineStr">
        <is>
          <t>A 31746-2026</t>
        </is>
      </c>
      <c r="B549" t="inlineStr">
        <is>
          <t>avverkningsanmälan</t>
        </is>
      </c>
      <c r="C549" t="inlineStr">
        <is>
          <t>Föryngringsavverkning</t>
        </is>
      </c>
      <c r="D549" s="1" t="n">
        <v>46227</v>
      </c>
      <c r="E549" s="1" t="n">
        <v>46306</v>
      </c>
      <c r="F549" t="inlineStr">
        <is>
          <t>VÄRMLANDS LÄN</t>
        </is>
      </c>
      <c r="G549" t="inlineStr">
        <is>
          <t>FILIPSTAD</t>
        </is>
      </c>
      <c r="H549" t="inlineStr">
        <is>
          <t>Bergvik skog väst AB</t>
        </is>
      </c>
      <c r="I549" t="n">
        <v>10.4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s="2" t="inlineStr"/>
    </row>
    <row r="550" ht="15" customHeight="1">
      <c r="A550" t="inlineStr">
        <is>
          <t>A 36819-2026</t>
        </is>
      </c>
      <c r="B550" t="inlineStr">
        <is>
          <t>avverkningsanmälan</t>
        </is>
      </c>
      <c r="C550" t="inlineStr">
        <is>
          <t>Föryngringsavverkning</t>
        </is>
      </c>
      <c r="D550" s="1" t="n">
        <v>46272</v>
      </c>
      <c r="E550" s="1" t="n">
        <v>46306</v>
      </c>
      <c r="F550" t="inlineStr">
        <is>
          <t>VÄRMLANDS LÄN</t>
        </is>
      </c>
      <c r="G550" t="inlineStr">
        <is>
          <t>FILIPSTAD</t>
        </is>
      </c>
      <c r="H550" t="inlineStr">
        <is>
          <t>Bergvik skog väst AB</t>
        </is>
      </c>
      <c r="I550" t="n">
        <v>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s="2" t="inlineStr"/>
    </row>
    <row r="551" ht="15" customHeight="1">
      <c r="A551" t="inlineStr">
        <is>
          <t>A 36818-2026</t>
        </is>
      </c>
      <c r="B551" t="inlineStr">
        <is>
          <t>avverkningsanmälan</t>
        </is>
      </c>
      <c r="C551" t="inlineStr">
        <is>
          <t>Föryngringsavverkning</t>
        </is>
      </c>
      <c r="D551" s="1" t="n">
        <v>46272</v>
      </c>
      <c r="E551" s="1" t="n">
        <v>46306</v>
      </c>
      <c r="F551" t="inlineStr">
        <is>
          <t>VÄRMLANDS LÄN</t>
        </is>
      </c>
      <c r="G551" t="inlineStr">
        <is>
          <t>FILIPSTAD</t>
        </is>
      </c>
      <c r="H551" t="inlineStr">
        <is>
          <t>Bergvik skog väst AB</t>
        </is>
      </c>
      <c r="I551" t="n">
        <v>4.2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s="2" t="inlineStr"/>
    </row>
    <row r="552" ht="15" customHeight="1">
      <c r="A552" t="inlineStr">
        <is>
          <t>A 36456-2026</t>
        </is>
      </c>
      <c r="B552" t="inlineStr">
        <is>
          <t>avverkningsanmälan</t>
        </is>
      </c>
      <c r="C552" t="inlineStr">
        <is>
          <t>Föryngringsavverkning</t>
        </is>
      </c>
      <c r="D552" s="1" t="n">
        <v>46269</v>
      </c>
      <c r="E552" s="1" t="n">
        <v>46306</v>
      </c>
      <c r="F552" t="inlineStr">
        <is>
          <t>VÄRMLANDS LÄN</t>
        </is>
      </c>
      <c r="G552" t="inlineStr">
        <is>
          <t>FILIPSTAD</t>
        </is>
      </c>
      <c r="H552" t="inlineStr">
        <is>
          <t>Bergvik skog väst AB</t>
        </is>
      </c>
      <c r="I552" t="n">
        <v>3.8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s="2" t="inlineStr"/>
    </row>
    <row r="553" ht="15" customHeight="1">
      <c r="A553" t="inlineStr">
        <is>
          <t>A 36744-2026</t>
        </is>
      </c>
      <c r="B553" t="inlineStr">
        <is>
          <t>avverkningsanmälan</t>
        </is>
      </c>
      <c r="C553" t="inlineStr">
        <is>
          <t>Föryngringsavverkning</t>
        </is>
      </c>
      <c r="D553" s="1" t="n">
        <v>46272</v>
      </c>
      <c r="E553" s="1" t="n">
        <v>46306</v>
      </c>
      <c r="F553" t="inlineStr">
        <is>
          <t>VÄRMLANDS LÄN</t>
        </is>
      </c>
      <c r="G553" t="inlineStr">
        <is>
          <t>FILIPSTAD</t>
        </is>
      </c>
      <c r="I553" t="n">
        <v>1.6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s="2" t="inlineStr"/>
    </row>
    <row r="554" ht="15" customHeight="1">
      <c r="A554" t="inlineStr">
        <is>
          <t>A 36508-2026</t>
        </is>
      </c>
      <c r="B554" t="inlineStr">
        <is>
          <t>avverkningsanmälan</t>
        </is>
      </c>
      <c r="C554" t="inlineStr">
        <is>
          <t>Föryngringsavverkning</t>
        </is>
      </c>
      <c r="D554" s="1" t="n">
        <v>46269</v>
      </c>
      <c r="E554" s="1" t="n">
        <v>46306</v>
      </c>
      <c r="F554" t="inlineStr">
        <is>
          <t>VÄRMLANDS LÄN</t>
        </is>
      </c>
      <c r="G554" t="inlineStr">
        <is>
          <t>FILIPSTAD</t>
        </is>
      </c>
      <c r="H554" t="inlineStr">
        <is>
          <t>Bergvik skog väst AB</t>
        </is>
      </c>
      <c r="I554" t="n">
        <v>18.6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s="2" t="inlineStr"/>
    </row>
    <row r="555" ht="15" customHeight="1">
      <c r="A555" t="inlineStr">
        <is>
          <t>A 36801-2026</t>
        </is>
      </c>
      <c r="B555" t="inlineStr">
        <is>
          <t>avverkningsanmälan</t>
        </is>
      </c>
      <c r="C555" t="inlineStr">
        <is>
          <t>Föryngringsavverkning</t>
        </is>
      </c>
      <c r="D555" s="1" t="n">
        <v>46272</v>
      </c>
      <c r="E555" s="1" t="n">
        <v>46306</v>
      </c>
      <c r="F555" t="inlineStr">
        <is>
          <t>VÄRMLANDS LÄN</t>
        </is>
      </c>
      <c r="G555" t="inlineStr">
        <is>
          <t>FILIPSTAD</t>
        </is>
      </c>
      <c r="I555" t="n">
        <v>11.6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s="2" t="inlineStr"/>
    </row>
    <row r="556" ht="15" customHeight="1">
      <c r="A556" t="inlineStr">
        <is>
          <t>A 36455-2026</t>
        </is>
      </c>
      <c r="B556" t="inlineStr">
        <is>
          <t>avverkningsanmälan</t>
        </is>
      </c>
      <c r="C556" t="inlineStr">
        <is>
          <t>Föryngringsavverkning</t>
        </is>
      </c>
      <c r="D556" s="1" t="n">
        <v>46269</v>
      </c>
      <c r="E556" s="1" t="n">
        <v>46306</v>
      </c>
      <c r="F556" t="inlineStr">
        <is>
          <t>VÄRMLANDS LÄN</t>
        </is>
      </c>
      <c r="G556" t="inlineStr">
        <is>
          <t>FILIPSTAD</t>
        </is>
      </c>
      <c r="H556" t="inlineStr">
        <is>
          <t>Bergvik skog väst AB</t>
        </is>
      </c>
      <c r="I556" t="n">
        <v>16.4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s="2" t="inlineStr"/>
    </row>
    <row r="557" ht="15" customHeight="1">
      <c r="A557" t="inlineStr">
        <is>
          <t>A 36458-2026</t>
        </is>
      </c>
      <c r="B557" t="inlineStr">
        <is>
          <t>avverkningsanmälan</t>
        </is>
      </c>
      <c r="C557" t="inlineStr">
        <is>
          <t>Föryngringsavverkning</t>
        </is>
      </c>
      <c r="D557" s="1" t="n">
        <v>46269</v>
      </c>
      <c r="E557" s="1" t="n">
        <v>46306</v>
      </c>
      <c r="F557" t="inlineStr">
        <is>
          <t>VÄRMLANDS LÄN</t>
        </is>
      </c>
      <c r="G557" t="inlineStr">
        <is>
          <t>FILIPSTAD</t>
        </is>
      </c>
      <c r="H557" t="inlineStr">
        <is>
          <t>Bergvik skog väst AB</t>
        </is>
      </c>
      <c r="I557" t="n">
        <v>4.2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s="2" t="inlineStr"/>
    </row>
    <row r="558" ht="15" customHeight="1">
      <c r="A558" t="inlineStr">
        <is>
          <t>A 27078-2026</t>
        </is>
      </c>
      <c r="B558" t="inlineStr">
        <is>
          <t>avverkningsanmälan</t>
        </is>
      </c>
      <c r="C558" t="inlineStr">
        <is>
          <t>Föryngringsavverkning</t>
        </is>
      </c>
      <c r="D558" s="1" t="n">
        <v>46186</v>
      </c>
      <c r="E558" s="1" t="n">
        <v>46306</v>
      </c>
      <c r="F558" t="inlineStr">
        <is>
          <t>VÄRMLANDS LÄN</t>
        </is>
      </c>
      <c r="G558" t="inlineStr">
        <is>
          <t>FILIPSTAD</t>
        </is>
      </c>
      <c r="H558" t="inlineStr">
        <is>
          <t>Bergvik skog väst AB</t>
        </is>
      </c>
      <c r="I558" t="n">
        <v>5.6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s="2" t="inlineStr"/>
    </row>
    <row r="559" ht="15" customHeight="1">
      <c r="A559" t="inlineStr">
        <is>
          <t>A 31914-2026</t>
        </is>
      </c>
      <c r="B559" t="inlineStr">
        <is>
          <t>avverkningsanmälan</t>
        </is>
      </c>
      <c r="C559" t="inlineStr">
        <is>
          <t>Föryngringsavverkning</t>
        </is>
      </c>
      <c r="D559" s="1" t="n">
        <v>46231</v>
      </c>
      <c r="E559" s="1" t="n">
        <v>46306</v>
      </c>
      <c r="F559" t="inlineStr">
        <is>
          <t>VÄRMLANDS LÄN</t>
        </is>
      </c>
      <c r="G559" t="inlineStr">
        <is>
          <t>FILIPSTAD</t>
        </is>
      </c>
      <c r="H559" t="inlineStr">
        <is>
          <t>Bergvik skog väst AB</t>
        </is>
      </c>
      <c r="I559" t="n">
        <v>3.6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s="2" t="inlineStr"/>
    </row>
    <row r="560" ht="15" customHeight="1">
      <c r="A560" t="inlineStr">
        <is>
          <t>A 37249-2026</t>
        </is>
      </c>
      <c r="B560" t="inlineStr">
        <is>
          <t>avverkningsanmälan</t>
        </is>
      </c>
      <c r="C560" t="inlineStr">
        <is>
          <t>Föryngringsavverkning</t>
        </is>
      </c>
      <c r="D560" s="1" t="n">
        <v>46274</v>
      </c>
      <c r="E560" s="1" t="n">
        <v>46306</v>
      </c>
      <c r="F560" t="inlineStr">
        <is>
          <t>VÄRMLANDS LÄN</t>
        </is>
      </c>
      <c r="G560" t="inlineStr">
        <is>
          <t>FILIPSTAD</t>
        </is>
      </c>
      <c r="H560" t="inlineStr">
        <is>
          <t>Bergvik skog väst AB</t>
        </is>
      </c>
      <c r="I560" t="n">
        <v>7.4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s="2" t="inlineStr"/>
    </row>
    <row r="561" ht="15" customHeight="1">
      <c r="A561" t="inlineStr">
        <is>
          <t>A 36955-2026</t>
        </is>
      </c>
      <c r="B561" t="inlineStr">
        <is>
          <t>avverkningsanmälan</t>
        </is>
      </c>
      <c r="C561" t="inlineStr">
        <is>
          <t>Föryngringsavverkning</t>
        </is>
      </c>
      <c r="D561" s="1" t="n">
        <v>46273</v>
      </c>
      <c r="E561" s="1" t="n">
        <v>46306</v>
      </c>
      <c r="F561" t="inlineStr">
        <is>
          <t>VÄRMLANDS LÄN</t>
        </is>
      </c>
      <c r="G561" t="inlineStr">
        <is>
          <t>FILIPSTAD</t>
        </is>
      </c>
      <c r="H561" t="inlineStr">
        <is>
          <t>Bergvik skog väst AB</t>
        </is>
      </c>
      <c r="I561" t="n">
        <v>14.7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s="2" t="inlineStr"/>
    </row>
    <row r="562" ht="15" customHeight="1">
      <c r="A562" t="inlineStr">
        <is>
          <t>A 36490-2026</t>
        </is>
      </c>
      <c r="B562" t="inlineStr">
        <is>
          <t>avverkningsanmälan</t>
        </is>
      </c>
      <c r="C562" t="inlineStr">
        <is>
          <t>Föryngringsavverkning</t>
        </is>
      </c>
      <c r="D562" s="1" t="n">
        <v>46269</v>
      </c>
      <c r="E562" s="1" t="n">
        <v>46306</v>
      </c>
      <c r="F562" t="inlineStr">
        <is>
          <t>VÄRMLANDS LÄN</t>
        </is>
      </c>
      <c r="G562" t="inlineStr">
        <is>
          <t>FILIPSTAD</t>
        </is>
      </c>
      <c r="H562" t="inlineStr">
        <is>
          <t>Bergvik skog väst AB</t>
        </is>
      </c>
      <c r="I562" t="n">
        <v>4.3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s="2" t="inlineStr"/>
    </row>
    <row r="563" ht="15" customHeight="1">
      <c r="A563" t="inlineStr">
        <is>
          <t>A 32008-2026</t>
        </is>
      </c>
      <c r="B563" t="inlineStr">
        <is>
          <t>avverkningsanmälan</t>
        </is>
      </c>
      <c r="C563" t="inlineStr">
        <is>
          <t>Föryngringsavverkning</t>
        </is>
      </c>
      <c r="D563" s="1" t="n">
        <v>46233</v>
      </c>
      <c r="E563" s="1" t="n">
        <v>46306</v>
      </c>
      <c r="F563" t="inlineStr">
        <is>
          <t>VÄRMLANDS LÄN</t>
        </is>
      </c>
      <c r="G563" t="inlineStr">
        <is>
          <t>FILIPSTAD</t>
        </is>
      </c>
      <c r="H563" t="inlineStr">
        <is>
          <t>Bergvik skog väst AB</t>
        </is>
      </c>
      <c r="I563" t="n">
        <v>5.1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s="2" t="inlineStr"/>
    </row>
    <row r="564" ht="15" customHeight="1">
      <c r="A564" t="inlineStr">
        <is>
          <t>A 31950-2026</t>
        </is>
      </c>
      <c r="B564" t="inlineStr">
        <is>
          <t>avverkningsanmälan</t>
        </is>
      </c>
      <c r="C564" t="inlineStr">
        <is>
          <t>Föryngringsavverkning</t>
        </is>
      </c>
      <c r="D564" s="1" t="n">
        <v>46232</v>
      </c>
      <c r="E564" s="1" t="n">
        <v>46306</v>
      </c>
      <c r="F564" t="inlineStr">
        <is>
          <t>VÄRMLANDS LÄN</t>
        </is>
      </c>
      <c r="G564" t="inlineStr">
        <is>
          <t>FILIPSTAD</t>
        </is>
      </c>
      <c r="H564" t="inlineStr">
        <is>
          <t>Bergvik skog väst AB</t>
        </is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s="2" t="inlineStr"/>
    </row>
    <row r="565" ht="15" customHeight="1">
      <c r="A565" t="inlineStr">
        <is>
          <t>A 31957-2026</t>
        </is>
      </c>
      <c r="B565" t="inlineStr">
        <is>
          <t>avverkningsanmälan</t>
        </is>
      </c>
      <c r="C565" t="inlineStr">
        <is>
          <t>Föryngringsavverkning</t>
        </is>
      </c>
      <c r="D565" s="1" t="n">
        <v>46232</v>
      </c>
      <c r="E565" s="1" t="n">
        <v>46306</v>
      </c>
      <c r="F565" t="inlineStr">
        <is>
          <t>VÄRMLANDS LÄN</t>
        </is>
      </c>
      <c r="G565" t="inlineStr">
        <is>
          <t>FILIPSTAD</t>
        </is>
      </c>
      <c r="H565" t="inlineStr">
        <is>
          <t>Bergvik skog väst AB</t>
        </is>
      </c>
      <c r="I565" t="n">
        <v>1.4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s="2" t="inlineStr"/>
    </row>
    <row r="566" ht="15" customHeight="1">
      <c r="A566" t="inlineStr">
        <is>
          <t>A 31963-2026</t>
        </is>
      </c>
      <c r="B566" t="inlineStr">
        <is>
          <t>avverkningsanmälan</t>
        </is>
      </c>
      <c r="C566" t="inlineStr">
        <is>
          <t>Föryngringsavverkning</t>
        </is>
      </c>
      <c r="D566" s="1" t="n">
        <v>46232</v>
      </c>
      <c r="E566" s="1" t="n">
        <v>46306</v>
      </c>
      <c r="F566" t="inlineStr">
        <is>
          <t>VÄRMLANDS LÄN</t>
        </is>
      </c>
      <c r="G566" t="inlineStr">
        <is>
          <t>FILIPSTAD</t>
        </is>
      </c>
      <c r="H566" t="inlineStr">
        <is>
          <t>Bergvik skog väst AB</t>
        </is>
      </c>
      <c r="I566" t="n">
        <v>8.699999999999999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s="2" t="inlineStr"/>
    </row>
    <row r="567" ht="15" customHeight="1">
      <c r="A567" t="inlineStr">
        <is>
          <t>A 32035-2026</t>
        </is>
      </c>
      <c r="B567" t="inlineStr">
        <is>
          <t>avverkningsanmälan</t>
        </is>
      </c>
      <c r="C567" t="inlineStr">
        <is>
          <t>Föryngringsavverkning</t>
        </is>
      </c>
      <c r="D567" s="1" t="n">
        <v>46233</v>
      </c>
      <c r="E567" s="1" t="n">
        <v>46306</v>
      </c>
      <c r="F567" t="inlineStr">
        <is>
          <t>VÄRMLANDS LÄN</t>
        </is>
      </c>
      <c r="G567" t="inlineStr">
        <is>
          <t>FILIPSTAD</t>
        </is>
      </c>
      <c r="H567" t="inlineStr">
        <is>
          <t>Bergvik skog väst AB</t>
        </is>
      </c>
      <c r="I567" t="n">
        <v>3.8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s="2" t="inlineStr"/>
    </row>
    <row r="568" ht="15" customHeight="1">
      <c r="A568" t="inlineStr">
        <is>
          <t>A 37519-2026</t>
        </is>
      </c>
      <c r="B568" t="inlineStr">
        <is>
          <t>avverkningsanmälan</t>
        </is>
      </c>
      <c r="C568" t="inlineStr">
        <is>
          <t>Föryngringsavverkning</t>
        </is>
      </c>
      <c r="D568" s="1" t="n">
        <v>46276</v>
      </c>
      <c r="E568" s="1" t="n">
        <v>46306</v>
      </c>
      <c r="F568" t="inlineStr">
        <is>
          <t>VÄRMLANDS LÄN</t>
        </is>
      </c>
      <c r="G568" t="inlineStr">
        <is>
          <t>FILIPSTAD</t>
        </is>
      </c>
      <c r="H568" t="inlineStr">
        <is>
          <t>Bergvik skog väst AB</t>
        </is>
      </c>
      <c r="I568" t="n">
        <v>0.8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s="2" t="inlineStr"/>
    </row>
    <row r="569" ht="15" customHeight="1">
      <c r="A569" t="inlineStr">
        <is>
          <t>A 32249-2026</t>
        </is>
      </c>
      <c r="B569" t="inlineStr">
        <is>
          <t>avverkningsanmälan</t>
        </is>
      </c>
      <c r="C569" t="inlineStr">
        <is>
          <t>Föryngringsavverkning</t>
        </is>
      </c>
      <c r="D569" s="1" t="n">
        <v>46237</v>
      </c>
      <c r="E569" s="1" t="n">
        <v>46306</v>
      </c>
      <c r="F569" t="inlineStr">
        <is>
          <t>VÄRMLANDS LÄN</t>
        </is>
      </c>
      <c r="G569" t="inlineStr">
        <is>
          <t>FILIPSTAD</t>
        </is>
      </c>
      <c r="H569" t="inlineStr">
        <is>
          <t>Kommuner</t>
        </is>
      </c>
      <c r="I569" t="n">
        <v>5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s="2" t="inlineStr"/>
    </row>
    <row r="570" ht="15" customHeight="1">
      <c r="A570" t="inlineStr">
        <is>
          <t>A 32141-2026</t>
        </is>
      </c>
      <c r="B570" t="inlineStr">
        <is>
          <t>avverkningsanmälan</t>
        </is>
      </c>
      <c r="C570" t="inlineStr">
        <is>
          <t>Föryngringsavverkning</t>
        </is>
      </c>
      <c r="D570" s="1" t="n">
        <v>46234</v>
      </c>
      <c r="E570" s="1" t="n">
        <v>46306</v>
      </c>
      <c r="F570" t="inlineStr">
        <is>
          <t>VÄRMLANDS LÄN</t>
        </is>
      </c>
      <c r="G570" t="inlineStr">
        <is>
          <t>FILIPSTAD</t>
        </is>
      </c>
      <c r="H570" t="inlineStr">
        <is>
          <t>Bergvik skog väst AB</t>
        </is>
      </c>
      <c r="I570" t="n">
        <v>16.5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s="2" t="inlineStr"/>
    </row>
    <row r="571" ht="15" customHeight="1">
      <c r="A571" t="inlineStr">
        <is>
          <t>A 37757-2026</t>
        </is>
      </c>
      <c r="B571" t="inlineStr">
        <is>
          <t>avverkningsanmälan</t>
        </is>
      </c>
      <c r="C571" t="inlineStr">
        <is>
          <t>Föryngringsavverkning</t>
        </is>
      </c>
      <c r="D571" s="1" t="n">
        <v>46279</v>
      </c>
      <c r="E571" s="1" t="n">
        <v>46306</v>
      </c>
      <c r="F571" t="inlineStr">
        <is>
          <t>VÄRMLANDS LÄN</t>
        </is>
      </c>
      <c r="G571" t="inlineStr">
        <is>
          <t>FILIPSTAD</t>
        </is>
      </c>
      <c r="H571" t="inlineStr">
        <is>
          <t>Bergvik skog väst AB</t>
        </is>
      </c>
      <c r="I571" t="n">
        <v>2.1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s="2" t="inlineStr"/>
    </row>
    <row r="572" ht="15" customHeight="1">
      <c r="A572" t="inlineStr">
        <is>
          <t>A 32248-2026</t>
        </is>
      </c>
      <c r="B572" t="inlineStr">
        <is>
          <t>avverkningsanmälan</t>
        </is>
      </c>
      <c r="C572" t="inlineStr">
        <is>
          <t>Föryngringsavverkning</t>
        </is>
      </c>
      <c r="D572" s="1" t="n">
        <v>46237</v>
      </c>
      <c r="E572" s="1" t="n">
        <v>46306</v>
      </c>
      <c r="F572" t="inlineStr">
        <is>
          <t>VÄRMLANDS LÄN</t>
        </is>
      </c>
      <c r="G572" t="inlineStr">
        <is>
          <t>FILIPSTAD</t>
        </is>
      </c>
      <c r="I572" t="n">
        <v>13.4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s="2" t="inlineStr"/>
    </row>
    <row r="573" ht="15" customHeight="1">
      <c r="A573" t="inlineStr">
        <is>
          <t>A 32031-2026</t>
        </is>
      </c>
      <c r="B573" t="inlineStr">
        <is>
          <t>avverkningsanmälan</t>
        </is>
      </c>
      <c r="C573" t="inlineStr">
        <is>
          <t>Föryngringsavverkning</t>
        </is>
      </c>
      <c r="D573" s="1" t="n">
        <v>46233</v>
      </c>
      <c r="E573" s="1" t="n">
        <v>46306</v>
      </c>
      <c r="F573" t="inlineStr">
        <is>
          <t>VÄRMLANDS LÄN</t>
        </is>
      </c>
      <c r="G573" t="inlineStr">
        <is>
          <t>FILIPSTAD</t>
        </is>
      </c>
      <c r="H573" t="inlineStr">
        <is>
          <t>Bergvik skog väst AB</t>
        </is>
      </c>
      <c r="I573" t="n">
        <v>4.7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s="2" t="inlineStr"/>
    </row>
    <row r="574" ht="15" customHeight="1">
      <c r="A574" t="inlineStr">
        <is>
          <t>A 32563-2026</t>
        </is>
      </c>
      <c r="B574" t="inlineStr">
        <is>
          <t>avverkningsanmälan</t>
        </is>
      </c>
      <c r="C574" t="inlineStr">
        <is>
          <t>Föryngringsavverkning</t>
        </is>
      </c>
      <c r="D574" s="1" t="n">
        <v>46239</v>
      </c>
      <c r="E574" s="1" t="n">
        <v>46306</v>
      </c>
      <c r="F574" t="inlineStr">
        <is>
          <t>VÄRMLANDS LÄN</t>
        </is>
      </c>
      <c r="G574" t="inlineStr">
        <is>
          <t>FILIPSTAD</t>
        </is>
      </c>
      <c r="H574" t="inlineStr">
        <is>
          <t>Bergvik skog väst AB</t>
        </is>
      </c>
      <c r="I574" t="n">
        <v>3.4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s="2" t="inlineStr"/>
    </row>
    <row r="575" ht="15" customHeight="1">
      <c r="A575" t="inlineStr">
        <is>
          <t>A 38325-2026</t>
        </is>
      </c>
      <c r="B575" t="inlineStr">
        <is>
          <t>avverkningsanmälan</t>
        </is>
      </c>
      <c r="C575" t="inlineStr">
        <is>
          <t>Föryngringsavverkning</t>
        </is>
      </c>
      <c r="D575" s="1" t="n">
        <v>46282</v>
      </c>
      <c r="E575" s="1" t="n">
        <v>46306</v>
      </c>
      <c r="F575" t="inlineStr">
        <is>
          <t>VÄRMLANDS LÄN</t>
        </is>
      </c>
      <c r="G575" t="inlineStr">
        <is>
          <t>FILIPSTAD</t>
        </is>
      </c>
      <c r="H575" t="inlineStr">
        <is>
          <t>Kyrkan</t>
        </is>
      </c>
      <c r="I575" t="n">
        <v>3.5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s="2" t="inlineStr"/>
    </row>
    <row r="576" ht="15" customHeight="1">
      <c r="A576" t="inlineStr">
        <is>
          <t>A 32572-2026</t>
        </is>
      </c>
      <c r="B576" t="inlineStr">
        <is>
          <t>avverkningsanmälan</t>
        </is>
      </c>
      <c r="C576" t="inlineStr">
        <is>
          <t>Föryngringsavverkning</t>
        </is>
      </c>
      <c r="D576" s="1" t="n">
        <v>46239</v>
      </c>
      <c r="E576" s="1" t="n">
        <v>46306</v>
      </c>
      <c r="F576" t="inlineStr">
        <is>
          <t>VÄRMLANDS LÄN</t>
        </is>
      </c>
      <c r="G576" t="inlineStr">
        <is>
          <t>FILIPSTAD</t>
        </is>
      </c>
      <c r="H576" t="inlineStr">
        <is>
          <t>Bergvik skog väst AB</t>
        </is>
      </c>
      <c r="I576" t="n">
        <v>4.7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s="2" t="inlineStr"/>
    </row>
    <row r="577" ht="15" customHeight="1">
      <c r="A577" t="inlineStr">
        <is>
          <t>A 38228-2026</t>
        </is>
      </c>
      <c r="B577" t="inlineStr">
        <is>
          <t>avverkningsanmälan</t>
        </is>
      </c>
      <c r="C577" t="inlineStr">
        <is>
          <t>Föryngringsavverkning</t>
        </is>
      </c>
      <c r="D577" s="1" t="n">
        <v>46281</v>
      </c>
      <c r="E577" s="1" t="n">
        <v>46306</v>
      </c>
      <c r="F577" t="inlineStr">
        <is>
          <t>VÄRMLANDS LÄN</t>
        </is>
      </c>
      <c r="G577" t="inlineStr">
        <is>
          <t>FILIPSTAD</t>
        </is>
      </c>
      <c r="H577" t="inlineStr">
        <is>
          <t>Bergvik skog väst AB</t>
        </is>
      </c>
      <c r="I577" t="n">
        <v>12.2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s="2" t="inlineStr"/>
    </row>
    <row r="578" ht="15" customHeight="1">
      <c r="A578" t="inlineStr">
        <is>
          <t>A 32442-2026</t>
        </is>
      </c>
      <c r="B578" t="inlineStr">
        <is>
          <t>avverkningsanmälan</t>
        </is>
      </c>
      <c r="C578" t="inlineStr">
        <is>
          <t>Föryngringsavverkning</t>
        </is>
      </c>
      <c r="D578" s="1" t="n">
        <v>46239</v>
      </c>
      <c r="E578" s="1" t="n">
        <v>46306</v>
      </c>
      <c r="F578" t="inlineStr">
        <is>
          <t>VÄRMLANDS LÄN</t>
        </is>
      </c>
      <c r="G578" t="inlineStr">
        <is>
          <t>FILIPSTAD</t>
        </is>
      </c>
      <c r="H578" t="inlineStr">
        <is>
          <t>Bergvik skog väst AB</t>
        </is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s="2" t="inlineStr"/>
    </row>
    <row r="579" ht="15" customHeight="1">
      <c r="A579" t="inlineStr">
        <is>
          <t>A 32588-2026</t>
        </is>
      </c>
      <c r="B579" t="inlineStr">
        <is>
          <t>avverkningsanmälan</t>
        </is>
      </c>
      <c r="C579" t="inlineStr">
        <is>
          <t>Föryngringsavverkning</t>
        </is>
      </c>
      <c r="D579" s="1" t="n">
        <v>46240</v>
      </c>
      <c r="E579" s="1" t="n">
        <v>46306</v>
      </c>
      <c r="F579" t="inlineStr">
        <is>
          <t>VÄRMLANDS LÄN</t>
        </is>
      </c>
      <c r="G579" t="inlineStr">
        <is>
          <t>FILIPSTAD</t>
        </is>
      </c>
      <c r="H579" t="inlineStr">
        <is>
          <t>Bergvik skog väst AB</t>
        </is>
      </c>
      <c r="I579" t="n">
        <v>1.4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s="2" t="inlineStr"/>
    </row>
    <row r="580" ht="15" customHeight="1">
      <c r="A580" t="inlineStr">
        <is>
          <t>A 32603-2026</t>
        </is>
      </c>
      <c r="B580" t="inlineStr">
        <is>
          <t>avverkningsanmälan</t>
        </is>
      </c>
      <c r="C580" t="inlineStr">
        <is>
          <t>Föryngringsavverkning</t>
        </is>
      </c>
      <c r="D580" s="1" t="n">
        <v>46240</v>
      </c>
      <c r="E580" s="1" t="n">
        <v>46306</v>
      </c>
      <c r="F580" t="inlineStr">
        <is>
          <t>VÄRMLANDS LÄN</t>
        </is>
      </c>
      <c r="G580" t="inlineStr">
        <is>
          <t>FILIPSTAD</t>
        </is>
      </c>
      <c r="H580" t="inlineStr">
        <is>
          <t>Bergvik skog väst AB</t>
        </is>
      </c>
      <c r="I580" t="n">
        <v>3.8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s="2" t="inlineStr"/>
    </row>
    <row r="581" ht="15" customHeight="1">
      <c r="A581" t="inlineStr">
        <is>
          <t>A 32601-2026</t>
        </is>
      </c>
      <c r="B581" t="inlineStr">
        <is>
          <t>avverkningsanmälan</t>
        </is>
      </c>
      <c r="C581" t="inlineStr">
        <is>
          <t>Föryngringsavverkning</t>
        </is>
      </c>
      <c r="D581" s="1" t="n">
        <v>46240</v>
      </c>
      <c r="E581" s="1" t="n">
        <v>46306</v>
      </c>
      <c r="F581" t="inlineStr">
        <is>
          <t>VÄRMLANDS LÄN</t>
        </is>
      </c>
      <c r="G581" t="inlineStr">
        <is>
          <t>FILIPSTAD</t>
        </is>
      </c>
      <c r="H581" t="inlineStr">
        <is>
          <t>Bergvik skog väst AB</t>
        </is>
      </c>
      <c r="I581" t="n">
        <v>1.1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s="2" t="inlineStr"/>
    </row>
    <row r="582" ht="15" customHeight="1">
      <c r="A582" t="inlineStr">
        <is>
          <t>A 38820-2026</t>
        </is>
      </c>
      <c r="B582" t="inlineStr">
        <is>
          <t>avverkningsanmälan</t>
        </is>
      </c>
      <c r="C582" t="inlineStr">
        <is>
          <t>Föryngringsavverkning</t>
        </is>
      </c>
      <c r="D582" s="1" t="n">
        <v>46286</v>
      </c>
      <c r="E582" s="1" t="n">
        <v>46306</v>
      </c>
      <c r="F582" t="inlineStr">
        <is>
          <t>VÄRMLANDS LÄN</t>
        </is>
      </c>
      <c r="G582" t="inlineStr">
        <is>
          <t>FILIPSTAD</t>
        </is>
      </c>
      <c r="H582" t="inlineStr">
        <is>
          <t>Bergvik skog väst AB</t>
        </is>
      </c>
      <c r="I582" t="n">
        <v>1.1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s="2" t="inlineStr"/>
    </row>
    <row r="583" ht="15" customHeight="1">
      <c r="A583" t="inlineStr">
        <is>
          <t>A 38578-2026</t>
        </is>
      </c>
      <c r="B583" t="inlineStr">
        <is>
          <t>avverkningsanmälan</t>
        </is>
      </c>
      <c r="C583" t="inlineStr">
        <is>
          <t>Föryngringsavverkning</t>
        </is>
      </c>
      <c r="D583" s="1" t="n">
        <v>46283</v>
      </c>
      <c r="E583" s="1" t="n">
        <v>46306</v>
      </c>
      <c r="F583" t="inlineStr">
        <is>
          <t>VÄRMLANDS LÄN</t>
        </is>
      </c>
      <c r="G583" t="inlineStr">
        <is>
          <t>FILIPSTAD</t>
        </is>
      </c>
      <c r="H583" t="inlineStr">
        <is>
          <t>Bergvik skog väst AB</t>
        </is>
      </c>
      <c r="I583" t="n">
        <v>0.6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s="2" t="inlineStr"/>
    </row>
    <row r="584" ht="15" customHeight="1">
      <c r="A584" t="inlineStr">
        <is>
          <t>A 32783-2026</t>
        </is>
      </c>
      <c r="B584" t="inlineStr">
        <is>
          <t>avverkningsanmälan</t>
        </is>
      </c>
      <c r="C584" t="inlineStr">
        <is>
          <t>Föryngringsavverkning</t>
        </is>
      </c>
      <c r="D584" s="1" t="n">
        <v>46241</v>
      </c>
      <c r="E584" s="1" t="n">
        <v>46306</v>
      </c>
      <c r="F584" t="inlineStr">
        <is>
          <t>VÄRMLANDS LÄN</t>
        </is>
      </c>
      <c r="G584" t="inlineStr">
        <is>
          <t>FILIPSTAD</t>
        </is>
      </c>
      <c r="H584" t="inlineStr">
        <is>
          <t>Bergvik skog väst AB</t>
        </is>
      </c>
      <c r="I584" t="n">
        <v>0.5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s="2" t="inlineStr"/>
    </row>
    <row r="585" ht="15" customHeight="1">
      <c r="A585" t="inlineStr">
        <is>
          <t>A 32600-2026</t>
        </is>
      </c>
      <c r="B585" t="inlineStr">
        <is>
          <t>avverkningsanmälan</t>
        </is>
      </c>
      <c r="C585" t="inlineStr">
        <is>
          <t>Föryngringsavverkning</t>
        </is>
      </c>
      <c r="D585" s="1" t="n">
        <v>46240</v>
      </c>
      <c r="E585" s="1" t="n">
        <v>46306</v>
      </c>
      <c r="F585" t="inlineStr">
        <is>
          <t>VÄRMLANDS LÄN</t>
        </is>
      </c>
      <c r="G585" t="inlineStr">
        <is>
          <t>FILIPSTAD</t>
        </is>
      </c>
      <c r="H585" t="inlineStr">
        <is>
          <t>Bergvik skog väst AB</t>
        </is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s="2" t="inlineStr"/>
    </row>
    <row r="586" ht="15" customHeight="1">
      <c r="A586" t="inlineStr">
        <is>
          <t>A 38575-2026</t>
        </is>
      </c>
      <c r="B586" t="inlineStr">
        <is>
          <t>avverkningsanmälan</t>
        </is>
      </c>
      <c r="C586" t="inlineStr">
        <is>
          <t>Föryngringsavverkning</t>
        </is>
      </c>
      <c r="D586" s="1" t="n">
        <v>46283</v>
      </c>
      <c r="E586" s="1" t="n">
        <v>46306</v>
      </c>
      <c r="F586" t="inlineStr">
        <is>
          <t>VÄRMLANDS LÄN</t>
        </is>
      </c>
      <c r="G586" t="inlineStr">
        <is>
          <t>FILIPSTAD</t>
        </is>
      </c>
      <c r="H586" t="inlineStr">
        <is>
          <t>Bergvik skog väst AB</t>
        </is>
      </c>
      <c r="I586" t="n">
        <v>7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s="2" t="inlineStr"/>
    </row>
    <row r="587" ht="15" customHeight="1">
      <c r="A587" t="inlineStr">
        <is>
          <t>A 38664-2026</t>
        </is>
      </c>
      <c r="B587" t="inlineStr">
        <is>
          <t>avverkningsanmälan</t>
        </is>
      </c>
      <c r="C587" t="inlineStr">
        <is>
          <t>Föryngringsavverkning</t>
        </is>
      </c>
      <c r="D587" s="1" t="n">
        <v>46283</v>
      </c>
      <c r="E587" s="1" t="n">
        <v>46306</v>
      </c>
      <c r="F587" t="inlineStr">
        <is>
          <t>VÄRMLANDS LÄN</t>
        </is>
      </c>
      <c r="G587" t="inlineStr">
        <is>
          <t>FILIPSTAD</t>
        </is>
      </c>
      <c r="H587" t="inlineStr">
        <is>
          <t>Bergvik skog väst AB</t>
        </is>
      </c>
      <c r="I587" t="n">
        <v>1.8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s="2" t="inlineStr"/>
    </row>
    <row r="588" ht="15" customHeight="1">
      <c r="A588" t="inlineStr">
        <is>
          <t>A 32852-2026</t>
        </is>
      </c>
      <c r="B588" t="inlineStr">
        <is>
          <t>avverkningsanmälan</t>
        </is>
      </c>
      <c r="C588" t="inlineStr">
        <is>
          <t>Föryngringsavverkning</t>
        </is>
      </c>
      <c r="D588" s="1" t="n">
        <v>46244</v>
      </c>
      <c r="E588" s="1" t="n">
        <v>46306</v>
      </c>
      <c r="F588" t="inlineStr">
        <is>
          <t>VÄRMLANDS LÄN</t>
        </is>
      </c>
      <c r="G588" t="inlineStr">
        <is>
          <t>FILIPSTAD</t>
        </is>
      </c>
      <c r="H588" t="inlineStr">
        <is>
          <t>Bergvik skog väst AB</t>
        </is>
      </c>
      <c r="I588" t="n">
        <v>4.2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s="2" t="inlineStr"/>
    </row>
    <row r="589" ht="15" customHeight="1">
      <c r="A589" t="inlineStr">
        <is>
          <t>A 39373-2026</t>
        </is>
      </c>
      <c r="B589" t="inlineStr">
        <is>
          <t>avverkningsanmälan</t>
        </is>
      </c>
      <c r="C589" t="inlineStr">
        <is>
          <t>Föryngringsavverkning</t>
        </is>
      </c>
      <c r="D589" s="1" t="n">
        <v>46288</v>
      </c>
      <c r="E589" s="1" t="n">
        <v>46306</v>
      </c>
      <c r="F589" t="inlineStr">
        <is>
          <t>VÄRMLANDS LÄN</t>
        </is>
      </c>
      <c r="G589" t="inlineStr">
        <is>
          <t>FILIPSTAD</t>
        </is>
      </c>
      <c r="H589" t="inlineStr">
        <is>
          <t>Bergvik skog väst AB</t>
        </is>
      </c>
      <c r="I589" t="n">
        <v>2.1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s="2" t="inlineStr"/>
    </row>
    <row r="590" ht="15" customHeight="1">
      <c r="A590" t="inlineStr">
        <is>
          <t>A 33092-2026</t>
        </is>
      </c>
      <c r="B590" t="inlineStr">
        <is>
          <t>avverkningsanmälan</t>
        </is>
      </c>
      <c r="C590" t="inlineStr">
        <is>
          <t>Föryngringsavverkning</t>
        </is>
      </c>
      <c r="D590" s="1" t="n">
        <v>46245</v>
      </c>
      <c r="E590" s="1" t="n">
        <v>46306</v>
      </c>
      <c r="F590" t="inlineStr">
        <is>
          <t>VÄRMLANDS LÄN</t>
        </is>
      </c>
      <c r="G590" t="inlineStr">
        <is>
          <t>FILIPSTAD</t>
        </is>
      </c>
      <c r="I590" t="n">
        <v>6.4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s="2" t="inlineStr"/>
    </row>
    <row r="591" ht="15" customHeight="1">
      <c r="A591" t="inlineStr">
        <is>
          <t>A 33130-2026</t>
        </is>
      </c>
      <c r="B591" t="inlineStr">
        <is>
          <t>avverkningsanmälan</t>
        </is>
      </c>
      <c r="C591" t="inlineStr">
        <is>
          <t>Föryngringsavverkning</t>
        </is>
      </c>
      <c r="D591" s="1" t="n">
        <v>46245</v>
      </c>
      <c r="E591" s="1" t="n">
        <v>46306</v>
      </c>
      <c r="F591" t="inlineStr">
        <is>
          <t>VÄRMLANDS LÄN</t>
        </is>
      </c>
      <c r="G591" t="inlineStr">
        <is>
          <t>FILIPSTAD</t>
        </is>
      </c>
      <c r="H591" t="inlineStr">
        <is>
          <t>Bergvik skog väst AB</t>
        </is>
      </c>
      <c r="I591" t="n">
        <v>22.4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s="2" t="inlineStr"/>
    </row>
    <row r="592" ht="15" customHeight="1">
      <c r="A592" t="inlineStr">
        <is>
          <t>A 18892-2026</t>
        </is>
      </c>
      <c r="B592" t="inlineStr">
        <is>
          <t>avverkningsanmälan</t>
        </is>
      </c>
      <c r="C592" t="inlineStr">
        <is>
          <t>Föryngringsavverkning</t>
        </is>
      </c>
      <c r="D592" s="1" t="n">
        <v>46129</v>
      </c>
      <c r="E592" s="1" t="n">
        <v>46306</v>
      </c>
      <c r="F592" t="inlineStr">
        <is>
          <t>VÄRMLANDS LÄN</t>
        </is>
      </c>
      <c r="G592" t="inlineStr">
        <is>
          <t>FILIPSTAD</t>
        </is>
      </c>
      <c r="H592" t="inlineStr">
        <is>
          <t>Bergvik skog väst AB</t>
        </is>
      </c>
      <c r="I592" t="n">
        <v>24.9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s="2" t="inlineStr"/>
    </row>
    <row r="593" ht="15" customHeight="1">
      <c r="A593" t="inlineStr">
        <is>
          <t>A 32980-2026</t>
        </is>
      </c>
      <c r="B593" t="inlineStr">
        <is>
          <t>avverkningsanmälan</t>
        </is>
      </c>
      <c r="C593" t="inlineStr">
        <is>
          <t>Föryngringsavverkning</t>
        </is>
      </c>
      <c r="D593" s="1" t="n">
        <v>46244</v>
      </c>
      <c r="E593" s="1" t="n">
        <v>46306</v>
      </c>
      <c r="F593" t="inlineStr">
        <is>
          <t>VÄRMLANDS LÄN</t>
        </is>
      </c>
      <c r="G593" t="inlineStr">
        <is>
          <t>FILIPSTAD</t>
        </is>
      </c>
      <c r="I593" t="n">
        <v>6.3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s="2" t="inlineStr"/>
    </row>
    <row r="594" ht="15" customHeight="1">
      <c r="A594" t="inlineStr">
        <is>
          <t>A 39080-2026</t>
        </is>
      </c>
      <c r="B594" t="inlineStr">
        <is>
          <t>avverkningsanmälan</t>
        </is>
      </c>
      <c r="C594" t="inlineStr">
        <is>
          <t>Föryngringsavverkning</t>
        </is>
      </c>
      <c r="D594" s="1" t="n">
        <v>46287</v>
      </c>
      <c r="E594" s="1" t="n">
        <v>46306</v>
      </c>
      <c r="F594" t="inlineStr">
        <is>
          <t>VÄRMLANDS LÄN</t>
        </is>
      </c>
      <c r="G594" t="inlineStr">
        <is>
          <t>FILIPSTAD</t>
        </is>
      </c>
      <c r="H594" t="inlineStr">
        <is>
          <t>Bergvik skog väst AB</t>
        </is>
      </c>
      <c r="I594" t="n">
        <v>19.1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s="2" t="inlineStr"/>
    </row>
    <row r="595" ht="15" customHeight="1">
      <c r="A595" t="inlineStr">
        <is>
          <t>A 39333-2026</t>
        </is>
      </c>
      <c r="B595" t="inlineStr">
        <is>
          <t>avverkningsanmälan</t>
        </is>
      </c>
      <c r="C595" t="inlineStr">
        <is>
          <t>Föryngringsavverkning</t>
        </is>
      </c>
      <c r="D595" s="1" t="n">
        <v>46288</v>
      </c>
      <c r="E595" s="1" t="n">
        <v>46306</v>
      </c>
      <c r="F595" t="inlineStr">
        <is>
          <t>VÄRMLANDS LÄN</t>
        </is>
      </c>
      <c r="G595" t="inlineStr">
        <is>
          <t>FILIPSTAD</t>
        </is>
      </c>
      <c r="H595" t="inlineStr">
        <is>
          <t>Bergvik skog väst AB</t>
        </is>
      </c>
      <c r="I595" t="n">
        <v>3.8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s="2" t="inlineStr"/>
    </row>
    <row r="596" ht="15" customHeight="1">
      <c r="A596" t="inlineStr">
        <is>
          <t>A 32972-2026</t>
        </is>
      </c>
      <c r="B596" t="inlineStr">
        <is>
          <t>avverkningsanmälan</t>
        </is>
      </c>
      <c r="C596" t="inlineStr">
        <is>
          <t>Föryngringsavverkning</t>
        </is>
      </c>
      <c r="D596" s="1" t="n">
        <v>46244</v>
      </c>
      <c r="E596" s="1" t="n">
        <v>46306</v>
      </c>
      <c r="F596" t="inlineStr">
        <is>
          <t>VÄRMLANDS LÄN</t>
        </is>
      </c>
      <c r="G596" t="inlineStr">
        <is>
          <t>FILIPSTAD</t>
        </is>
      </c>
      <c r="H596" t="inlineStr">
        <is>
          <t>Bergvik skog väst AB</t>
        </is>
      </c>
      <c r="I596" t="n">
        <v>1.4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s="2" t="inlineStr"/>
    </row>
    <row r="597" ht="15" customHeight="1">
      <c r="A597" t="inlineStr">
        <is>
          <t>A 39591-2026</t>
        </is>
      </c>
      <c r="B597" t="inlineStr">
        <is>
          <t>avverkningsanmälan</t>
        </is>
      </c>
      <c r="C597" t="inlineStr">
        <is>
          <t>Föryngringsavverkning</t>
        </is>
      </c>
      <c r="D597" s="1" t="n">
        <v>46289</v>
      </c>
      <c r="E597" s="1" t="n">
        <v>46306</v>
      </c>
      <c r="F597" t="inlineStr">
        <is>
          <t>VÄRMLANDS LÄN</t>
        </is>
      </c>
      <c r="G597" t="inlineStr">
        <is>
          <t>FILIPSTAD</t>
        </is>
      </c>
      <c r="H597" t="inlineStr">
        <is>
          <t>Kyrkan</t>
        </is>
      </c>
      <c r="I597" t="n">
        <v>1.8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s="2" t="inlineStr"/>
    </row>
    <row r="598" ht="15" customHeight="1">
      <c r="A598" t="inlineStr">
        <is>
          <t>A 35945-2026</t>
        </is>
      </c>
      <c r="B598" t="inlineStr">
        <is>
          <t>avverkningsanmälan</t>
        </is>
      </c>
      <c r="C598" t="inlineStr">
        <is>
          <t>Föryngringsavverkning</t>
        </is>
      </c>
      <c r="D598" s="1" t="n">
        <v>46266</v>
      </c>
      <c r="E598" s="1" t="n">
        <v>46306</v>
      </c>
      <c r="F598" t="inlineStr">
        <is>
          <t>VÄRMLANDS LÄN</t>
        </is>
      </c>
      <c r="G598" t="inlineStr">
        <is>
          <t>FILIPSTAD</t>
        </is>
      </c>
      <c r="H598" t="inlineStr">
        <is>
          <t>Bergvik skog väst AB</t>
        </is>
      </c>
      <c r="I598" t="n">
        <v>6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s="2" t="inlineStr"/>
    </row>
    <row r="599" ht="15" customHeight="1">
      <c r="A599" t="inlineStr">
        <is>
          <t>A 33324-2026</t>
        </is>
      </c>
      <c r="B599" t="inlineStr">
        <is>
          <t>avverkningsanmälan</t>
        </is>
      </c>
      <c r="C599" t="inlineStr">
        <is>
          <t>Föryngringsavverkning</t>
        </is>
      </c>
      <c r="D599" s="1" t="n">
        <v>46246</v>
      </c>
      <c r="E599" s="1" t="n">
        <v>46306</v>
      </c>
      <c r="F599" t="inlineStr">
        <is>
          <t>VÄRMLANDS LÄN</t>
        </is>
      </c>
      <c r="G599" t="inlineStr">
        <is>
          <t>FILIPSTAD</t>
        </is>
      </c>
      <c r="H599" t="inlineStr">
        <is>
          <t>Bergvik skog väst AB</t>
        </is>
      </c>
      <c r="I599" t="n">
        <v>23.8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s="2" t="inlineStr"/>
    </row>
    <row r="600" ht="15" customHeight="1">
      <c r="A600" t="inlineStr">
        <is>
          <t>A 33468-2026</t>
        </is>
      </c>
      <c r="B600" t="inlineStr">
        <is>
          <t>avverkningsanmälan</t>
        </is>
      </c>
      <c r="C600" t="inlineStr">
        <is>
          <t>Föryngringsavverkning</t>
        </is>
      </c>
      <c r="D600" s="1" t="n">
        <v>46247</v>
      </c>
      <c r="E600" s="1" t="n">
        <v>46306</v>
      </c>
      <c r="F600" t="inlineStr">
        <is>
          <t>VÄRMLANDS LÄN</t>
        </is>
      </c>
      <c r="G600" t="inlineStr">
        <is>
          <t>FILIPSTAD</t>
        </is>
      </c>
      <c r="H600" t="inlineStr">
        <is>
          <t>Bergvik skog väst AB</t>
        </is>
      </c>
      <c r="I600" t="n">
        <v>2.7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s="2" t="inlineStr"/>
    </row>
    <row r="601" ht="15" customHeight="1">
      <c r="A601" t="inlineStr">
        <is>
          <t>A 39893-2026</t>
        </is>
      </c>
      <c r="B601" t="inlineStr">
        <is>
          <t>avverkningsanmälan</t>
        </is>
      </c>
      <c r="C601" t="inlineStr">
        <is>
          <t>Föryngringsavverkning</t>
        </is>
      </c>
      <c r="D601" s="1" t="n">
        <v>46290</v>
      </c>
      <c r="E601" s="1" t="n">
        <v>46306</v>
      </c>
      <c r="F601" t="inlineStr">
        <is>
          <t>VÄRMLANDS LÄN</t>
        </is>
      </c>
      <c r="G601" t="inlineStr">
        <is>
          <t>FILIPSTAD</t>
        </is>
      </c>
      <c r="H601" t="inlineStr">
        <is>
          <t>Bergvik skog väst AB</t>
        </is>
      </c>
      <c r="I601" t="n">
        <v>14.5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s="2" t="inlineStr"/>
    </row>
    <row r="602" ht="15" customHeight="1">
      <c r="A602" t="inlineStr">
        <is>
          <t>A 33493-2026</t>
        </is>
      </c>
      <c r="B602" t="inlineStr">
        <is>
          <t>avverkningsanmälan</t>
        </is>
      </c>
      <c r="C602" t="inlineStr">
        <is>
          <t>Föryngringsavverkning</t>
        </is>
      </c>
      <c r="D602" s="1" t="n">
        <v>46247</v>
      </c>
      <c r="E602" s="1" t="n">
        <v>46306</v>
      </c>
      <c r="F602" t="inlineStr">
        <is>
          <t>VÄRMLANDS LÄN</t>
        </is>
      </c>
      <c r="G602" t="inlineStr">
        <is>
          <t>FILIPSTAD</t>
        </is>
      </c>
      <c r="I602" t="n">
        <v>1.9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s="2" t="inlineStr"/>
    </row>
    <row r="603" ht="15" customHeight="1">
      <c r="A603" t="inlineStr">
        <is>
          <t>A 40121-2026</t>
        </is>
      </c>
      <c r="B603" t="inlineStr">
        <is>
          <t>avverkningsanmälan</t>
        </is>
      </c>
      <c r="C603" t="inlineStr">
        <is>
          <t>Föryngringsavverkning</t>
        </is>
      </c>
      <c r="D603" s="1" t="n">
        <v>46293</v>
      </c>
      <c r="E603" s="1" t="n">
        <v>46306</v>
      </c>
      <c r="F603" t="inlineStr">
        <is>
          <t>VÄRMLANDS LÄN</t>
        </is>
      </c>
      <c r="G603" t="inlineStr">
        <is>
          <t>FILIPSTAD</t>
        </is>
      </c>
      <c r="H603" t="inlineStr">
        <is>
          <t>Bergvik skog väst AB</t>
        </is>
      </c>
      <c r="I603" t="n">
        <v>2.4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s="2" t="inlineStr"/>
    </row>
    <row r="604" ht="15" customHeight="1">
      <c r="A604" t="inlineStr">
        <is>
          <t>A 40113-2026</t>
        </is>
      </c>
      <c r="B604" t="inlineStr">
        <is>
          <t>avverkningsanmälan</t>
        </is>
      </c>
      <c r="C604" t="inlineStr">
        <is>
          <t>Föryngringsavverkning</t>
        </is>
      </c>
      <c r="D604" s="1" t="n">
        <v>46293</v>
      </c>
      <c r="E604" s="1" t="n">
        <v>46306</v>
      </c>
      <c r="F604" t="inlineStr">
        <is>
          <t>VÄRMLANDS LÄN</t>
        </is>
      </c>
      <c r="G604" t="inlineStr">
        <is>
          <t>FILIPSTAD</t>
        </is>
      </c>
      <c r="H604" t="inlineStr">
        <is>
          <t>Bergvik skog väst AB</t>
        </is>
      </c>
      <c r="I604" t="n">
        <v>3.2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s="2" t="inlineStr"/>
    </row>
    <row r="605" ht="15" customHeight="1">
      <c r="A605" t="inlineStr">
        <is>
          <t>A 40092-2026</t>
        </is>
      </c>
      <c r="B605" t="inlineStr">
        <is>
          <t>avverkningsanmälan</t>
        </is>
      </c>
      <c r="C605" t="inlineStr">
        <is>
          <t>Föryngringsavverkning</t>
        </is>
      </c>
      <c r="D605" s="1" t="n">
        <v>46293</v>
      </c>
      <c r="E605" s="1" t="n">
        <v>46306</v>
      </c>
      <c r="F605" t="inlineStr">
        <is>
          <t>VÄRMLANDS LÄN</t>
        </is>
      </c>
      <c r="G605" t="inlineStr">
        <is>
          <t>FILIPSTAD</t>
        </is>
      </c>
      <c r="H605" t="inlineStr">
        <is>
          <t>Bergvik skog väst AB</t>
        </is>
      </c>
      <c r="I605" t="n">
        <v>2.7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s="2" t="inlineStr"/>
    </row>
    <row r="606" ht="15" customHeight="1">
      <c r="A606" t="inlineStr">
        <is>
          <t>A 33837-2026</t>
        </is>
      </c>
      <c r="B606" t="inlineStr">
        <is>
          <t>avverkningsanmälan</t>
        </is>
      </c>
      <c r="C606" t="inlineStr">
        <is>
          <t>Föryngringsavverkning</t>
        </is>
      </c>
      <c r="D606" s="1" t="n">
        <v>46251</v>
      </c>
      <c r="E606" s="1" t="n">
        <v>46306</v>
      </c>
      <c r="F606" t="inlineStr">
        <is>
          <t>VÄRMLANDS LÄN</t>
        </is>
      </c>
      <c r="G606" t="inlineStr">
        <is>
          <t>FILIPSTAD</t>
        </is>
      </c>
      <c r="H606" t="inlineStr">
        <is>
          <t>Bergvik skog väst AB</t>
        </is>
      </c>
      <c r="I606" t="n">
        <v>7.4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s="2" t="inlineStr"/>
    </row>
    <row r="607" ht="15" customHeight="1">
      <c r="A607" t="inlineStr">
        <is>
          <t>A 33855-2026</t>
        </is>
      </c>
      <c r="B607" t="inlineStr">
        <is>
          <t>avverkningsanmälan</t>
        </is>
      </c>
      <c r="C607" t="inlineStr">
        <is>
          <t>Föryngringsavverkning</t>
        </is>
      </c>
      <c r="D607" s="1" t="n">
        <v>46251</v>
      </c>
      <c r="E607" s="1" t="n">
        <v>46306</v>
      </c>
      <c r="F607" t="inlineStr">
        <is>
          <t>VÄRMLANDS LÄN</t>
        </is>
      </c>
      <c r="G607" t="inlineStr">
        <is>
          <t>FILIPSTAD</t>
        </is>
      </c>
      <c r="H607" t="inlineStr">
        <is>
          <t>Bergvik skog väst AB</t>
        </is>
      </c>
      <c r="I607" t="n">
        <v>3.1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s="2" t="inlineStr"/>
    </row>
    <row r="608" ht="15" customHeight="1">
      <c r="A608" t="inlineStr">
        <is>
          <t>A 33859-2026</t>
        </is>
      </c>
      <c r="B608" t="inlineStr">
        <is>
          <t>avverkningsanmälan</t>
        </is>
      </c>
      <c r="C608" t="inlineStr">
        <is>
          <t>Föryngringsavverkning</t>
        </is>
      </c>
      <c r="D608" s="1" t="n">
        <v>46251</v>
      </c>
      <c r="E608" s="1" t="n">
        <v>46306</v>
      </c>
      <c r="F608" t="inlineStr">
        <is>
          <t>VÄRMLANDS LÄN</t>
        </is>
      </c>
      <c r="G608" t="inlineStr">
        <is>
          <t>FILIPSTAD</t>
        </is>
      </c>
      <c r="H608" t="inlineStr">
        <is>
          <t>Bergvik skog väst AB</t>
        </is>
      </c>
      <c r="I608" t="n">
        <v>2.8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s="2" t="inlineStr"/>
    </row>
    <row r="609" ht="15" customHeight="1">
      <c r="A609" t="inlineStr">
        <is>
          <t>A 36871-2026</t>
        </is>
      </c>
      <c r="B609" t="inlineStr">
        <is>
          <t>avverkningsanmälan</t>
        </is>
      </c>
      <c r="C609" t="inlineStr">
        <is>
          <t>Föryngringsavverkning</t>
        </is>
      </c>
      <c r="D609" s="1" t="n">
        <v>46272</v>
      </c>
      <c r="E609" s="1" t="n">
        <v>46306</v>
      </c>
      <c r="F609" t="inlineStr">
        <is>
          <t>VÄRMLANDS LÄN</t>
        </is>
      </c>
      <c r="G609" t="inlineStr">
        <is>
          <t>FILIPSTAD</t>
        </is>
      </c>
      <c r="I609" t="n">
        <v>2.6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s="2" t="inlineStr"/>
    </row>
    <row r="610" ht="15" customHeight="1">
      <c r="A610" t="inlineStr">
        <is>
          <t>A 33866-2026</t>
        </is>
      </c>
      <c r="B610" t="inlineStr">
        <is>
          <t>avverkningsanmälan</t>
        </is>
      </c>
      <c r="C610" t="inlineStr">
        <is>
          <t>Föryngringsavverkning</t>
        </is>
      </c>
      <c r="D610" s="1" t="n">
        <v>46251</v>
      </c>
      <c r="E610" s="1" t="n">
        <v>46306</v>
      </c>
      <c r="F610" t="inlineStr">
        <is>
          <t>VÄRMLANDS LÄN</t>
        </is>
      </c>
      <c r="G610" t="inlineStr">
        <is>
          <t>FILIPSTAD</t>
        </is>
      </c>
      <c r="H610" t="inlineStr">
        <is>
          <t>Bergvik skog väst AB</t>
        </is>
      </c>
      <c r="I610" t="n">
        <v>3.1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s="2" t="inlineStr"/>
    </row>
    <row r="611" ht="15" customHeight="1">
      <c r="A611" t="inlineStr">
        <is>
          <t>A 34054-2026</t>
        </is>
      </c>
      <c r="B611" t="inlineStr">
        <is>
          <t>avverkningsanmälan</t>
        </is>
      </c>
      <c r="C611" t="inlineStr">
        <is>
          <t>Föryngringsavverkning</t>
        </is>
      </c>
      <c r="D611" s="1" t="n">
        <v>46252</v>
      </c>
      <c r="E611" s="1" t="n">
        <v>46306</v>
      </c>
      <c r="F611" t="inlineStr">
        <is>
          <t>VÄRMLANDS LÄN</t>
        </is>
      </c>
      <c r="G611" t="inlineStr">
        <is>
          <t>FILIPSTAD</t>
        </is>
      </c>
      <c r="H611" t="inlineStr">
        <is>
          <t>Bergvik skog väst AB</t>
        </is>
      </c>
      <c r="I611" t="n">
        <v>3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s="2" t="inlineStr"/>
    </row>
    <row r="612" ht="15" customHeight="1">
      <c r="A612" t="inlineStr">
        <is>
          <t>A 40378-2026</t>
        </is>
      </c>
      <c r="B612" t="inlineStr">
        <is>
          <t>avverkningsanmälan</t>
        </is>
      </c>
      <c r="C612" t="inlineStr">
        <is>
          <t>Föryngringsavverkning</t>
        </is>
      </c>
      <c r="D612" s="1" t="n">
        <v>46294</v>
      </c>
      <c r="E612" s="1" t="n">
        <v>46306</v>
      </c>
      <c r="F612" t="inlineStr">
        <is>
          <t>VÄRMLANDS LÄN</t>
        </is>
      </c>
      <c r="G612" t="inlineStr">
        <is>
          <t>FILIPSTAD</t>
        </is>
      </c>
      <c r="H612" t="inlineStr">
        <is>
          <t>Bergvik skog väst AB</t>
        </is>
      </c>
      <c r="I612" t="n">
        <v>0.7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s="2" t="inlineStr"/>
    </row>
    <row r="613" ht="15" customHeight="1">
      <c r="A613" t="inlineStr">
        <is>
          <t>A 40386-2026</t>
        </is>
      </c>
      <c r="B613" t="inlineStr">
        <is>
          <t>avverkningsanmälan</t>
        </is>
      </c>
      <c r="C613" t="inlineStr">
        <is>
          <t>Föryngringsavverkning</t>
        </is>
      </c>
      <c r="D613" s="1" t="n">
        <v>46294</v>
      </c>
      <c r="E613" s="1" t="n">
        <v>46306</v>
      </c>
      <c r="F613" t="inlineStr">
        <is>
          <t>VÄRMLANDS LÄN</t>
        </is>
      </c>
      <c r="G613" t="inlineStr">
        <is>
          <t>FILIPSTAD</t>
        </is>
      </c>
      <c r="H613" t="inlineStr">
        <is>
          <t>Bergvik skog väst AB</t>
        </is>
      </c>
      <c r="I613" t="n">
        <v>4.2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s="2" t="inlineStr"/>
    </row>
    <row r="614" ht="15" customHeight="1">
      <c r="A614" t="inlineStr">
        <is>
          <t>A 33857-2026</t>
        </is>
      </c>
      <c r="B614" t="inlineStr">
        <is>
          <t>avverkningsanmälan</t>
        </is>
      </c>
      <c r="C614" t="inlineStr">
        <is>
          <t>Föryngringsavverkning</t>
        </is>
      </c>
      <c r="D614" s="1" t="n">
        <v>46251</v>
      </c>
      <c r="E614" s="1" t="n">
        <v>46306</v>
      </c>
      <c r="F614" t="inlineStr">
        <is>
          <t>VÄRMLANDS LÄN</t>
        </is>
      </c>
      <c r="G614" t="inlineStr">
        <is>
          <t>FILIPSTAD</t>
        </is>
      </c>
      <c r="H614" t="inlineStr">
        <is>
          <t>Bergvik skog väst AB</t>
        </is>
      </c>
      <c r="I614" t="n">
        <v>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s="2" t="inlineStr"/>
    </row>
    <row r="615" ht="15" customHeight="1">
      <c r="A615" t="inlineStr">
        <is>
          <t>A 34053-2026</t>
        </is>
      </c>
      <c r="B615" t="inlineStr">
        <is>
          <t>avverkningsanmälan</t>
        </is>
      </c>
      <c r="C615" t="inlineStr">
        <is>
          <t>Föryngringsavverkning</t>
        </is>
      </c>
      <c r="D615" s="1" t="n">
        <v>46252</v>
      </c>
      <c r="E615" s="1" t="n">
        <v>46306</v>
      </c>
      <c r="F615" t="inlineStr">
        <is>
          <t>VÄRMLANDS LÄN</t>
        </is>
      </c>
      <c r="G615" t="inlineStr">
        <is>
          <t>FILIPSTAD</t>
        </is>
      </c>
      <c r="H615" t="inlineStr">
        <is>
          <t>Bergvik skog väst AB</t>
        </is>
      </c>
      <c r="I615" t="n">
        <v>20.2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s="2" t="inlineStr"/>
    </row>
    <row r="616" ht="15" customHeight="1">
      <c r="A616" t="inlineStr">
        <is>
          <t>A 30984-2026</t>
        </is>
      </c>
      <c r="B616" t="inlineStr">
        <is>
          <t>avverkningsanmälan</t>
        </is>
      </c>
      <c r="C616" t="inlineStr">
        <is>
          <t>Föryngringsavverkning</t>
        </is>
      </c>
      <c r="D616" s="1" t="n">
        <v>46213</v>
      </c>
      <c r="E616" s="1" t="n">
        <v>46306</v>
      </c>
      <c r="F616" t="inlineStr">
        <is>
          <t>VÄRMLANDS LÄN</t>
        </is>
      </c>
      <c r="G616" t="inlineStr">
        <is>
          <t>FILIPSTAD</t>
        </is>
      </c>
      <c r="I616" t="n">
        <v>4.5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s="2" t="inlineStr"/>
    </row>
    <row r="617" ht="15" customHeight="1">
      <c r="A617" t="inlineStr">
        <is>
          <t>A 34442-2026</t>
        </is>
      </c>
      <c r="B617" t="inlineStr">
        <is>
          <t>avverkningsanmälan</t>
        </is>
      </c>
      <c r="C617" t="inlineStr">
        <is>
          <t>Föryngringsavverkning</t>
        </is>
      </c>
      <c r="D617" s="1" t="n">
        <v>46254</v>
      </c>
      <c r="E617" s="1" t="n">
        <v>46306</v>
      </c>
      <c r="F617" t="inlineStr">
        <is>
          <t>VÄRMLANDS LÄN</t>
        </is>
      </c>
      <c r="G617" t="inlineStr">
        <is>
          <t>FILIPSTAD</t>
        </is>
      </c>
      <c r="H617" t="inlineStr">
        <is>
          <t>Bergvik skog väst AB</t>
        </is>
      </c>
      <c r="I617" t="n">
        <v>10.4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s="2" t="inlineStr"/>
    </row>
    <row r="618" ht="15" customHeight="1">
      <c r="A618" t="inlineStr">
        <is>
          <t>A 34539-2026</t>
        </is>
      </c>
      <c r="B618" t="inlineStr">
        <is>
          <t>avverkningsanmälan</t>
        </is>
      </c>
      <c r="C618" t="inlineStr">
        <is>
          <t>Föryngringsavverkning</t>
        </is>
      </c>
      <c r="D618" s="1" t="n">
        <v>46255</v>
      </c>
      <c r="E618" s="1" t="n">
        <v>46306</v>
      </c>
      <c r="F618" t="inlineStr">
        <is>
          <t>VÄRMLANDS LÄN</t>
        </is>
      </c>
      <c r="G618" t="inlineStr">
        <is>
          <t>FILIPSTAD</t>
        </is>
      </c>
      <c r="H618" t="inlineStr">
        <is>
          <t>Bergvik skog väst AB</t>
        </is>
      </c>
      <c r="I618" t="n">
        <v>5.3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s="2" t="inlineStr"/>
    </row>
    <row r="619" ht="15" customHeight="1">
      <c r="A619" t="inlineStr">
        <is>
          <t>A 32978-2026</t>
        </is>
      </c>
      <c r="B619" t="inlineStr">
        <is>
          <t>avverkningsanmälan</t>
        </is>
      </c>
      <c r="C619" t="inlineStr">
        <is>
          <t>Föryngringsavverkning</t>
        </is>
      </c>
      <c r="D619" s="1" t="n">
        <v>46244</v>
      </c>
      <c r="E619" s="1" t="n">
        <v>46306</v>
      </c>
      <c r="F619" t="inlineStr">
        <is>
          <t>VÄRMLANDS LÄN</t>
        </is>
      </c>
      <c r="G619" t="inlineStr">
        <is>
          <t>FILIPSTAD</t>
        </is>
      </c>
      <c r="I619" t="n">
        <v>7.5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s="2" t="inlineStr"/>
    </row>
    <row r="620" ht="15" customHeight="1">
      <c r="A620" t="inlineStr">
        <is>
          <t>A 34493-2026</t>
        </is>
      </c>
      <c r="B620" t="inlineStr">
        <is>
          <t>avverkningsanmälan</t>
        </is>
      </c>
      <c r="C620" t="inlineStr">
        <is>
          <t>Föryngringsavverkning</t>
        </is>
      </c>
      <c r="D620" s="1" t="n">
        <v>46255</v>
      </c>
      <c r="E620" s="1" t="n">
        <v>46306</v>
      </c>
      <c r="F620" t="inlineStr">
        <is>
          <t>VÄRMLANDS LÄN</t>
        </is>
      </c>
      <c r="G620" t="inlineStr">
        <is>
          <t>FILIPSTAD</t>
        </is>
      </c>
      <c r="H620" t="inlineStr">
        <is>
          <t>Bergvik skog väst AB</t>
        </is>
      </c>
      <c r="I620" t="n">
        <v>19.2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s="2" t="inlineStr"/>
    </row>
    <row r="621" ht="15" customHeight="1">
      <c r="A621" t="inlineStr">
        <is>
          <t>A 34916-2026</t>
        </is>
      </c>
      <c r="B621" t="inlineStr">
        <is>
          <t>avverkningsanmälan</t>
        </is>
      </c>
      <c r="C621" t="inlineStr">
        <is>
          <t>Föryngringsavverkning</t>
        </is>
      </c>
      <c r="D621" s="1" t="n">
        <v>46259</v>
      </c>
      <c r="E621" s="1" t="n">
        <v>46306</v>
      </c>
      <c r="F621" t="inlineStr">
        <is>
          <t>VÄRMLANDS LÄN</t>
        </is>
      </c>
      <c r="G621" t="inlineStr">
        <is>
          <t>FILIPSTAD</t>
        </is>
      </c>
      <c r="H621" t="inlineStr">
        <is>
          <t>Bergvik skog väst AB</t>
        </is>
      </c>
      <c r="I621" t="n">
        <v>5.3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s="2" t="inlineStr"/>
    </row>
    <row r="622" ht="15" customHeight="1">
      <c r="A622" t="inlineStr">
        <is>
          <t>A 41229-2026</t>
        </is>
      </c>
      <c r="B622" t="inlineStr">
        <is>
          <t>avverkningsanmälan</t>
        </is>
      </c>
      <c r="C622" t="inlineStr">
        <is>
          <t>Föryngringsavverkning</t>
        </is>
      </c>
      <c r="D622" s="1" t="n">
        <v>46297</v>
      </c>
      <c r="E622" s="1" t="n">
        <v>46306</v>
      </c>
      <c r="F622" t="inlineStr">
        <is>
          <t>VÄRMLANDS LÄN</t>
        </is>
      </c>
      <c r="G622" t="inlineStr">
        <is>
          <t>FILIPSTAD</t>
        </is>
      </c>
      <c r="I622" t="n">
        <v>3.2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s="2" t="inlineStr"/>
    </row>
    <row r="623" ht="15" customHeight="1">
      <c r="A623" t="inlineStr">
        <is>
          <t>A 34982-2026</t>
        </is>
      </c>
      <c r="B623" t="inlineStr">
        <is>
          <t>avverkningsanmälan</t>
        </is>
      </c>
      <c r="C623" t="inlineStr">
        <is>
          <t>Föryngringsavverkning</t>
        </is>
      </c>
      <c r="D623" s="1" t="n">
        <v>46259</v>
      </c>
      <c r="E623" s="1" t="n">
        <v>46306</v>
      </c>
      <c r="F623" t="inlineStr">
        <is>
          <t>VÄRMLANDS LÄN</t>
        </is>
      </c>
      <c r="G623" t="inlineStr">
        <is>
          <t>FILIPSTAD</t>
        </is>
      </c>
      <c r="H623" t="inlineStr">
        <is>
          <t>Bergvik skog väst AB</t>
        </is>
      </c>
      <c r="I623" t="n">
        <v>16.1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s="2" t="inlineStr"/>
    </row>
    <row r="624" ht="15" customHeight="1">
      <c r="A624" t="inlineStr">
        <is>
          <t>A 35368-2026</t>
        </is>
      </c>
      <c r="B624" t="inlineStr">
        <is>
          <t>avverkningsanmälan</t>
        </is>
      </c>
      <c r="C624" t="inlineStr">
        <is>
          <t>Föryngringsavverkning</t>
        </is>
      </c>
      <c r="D624" s="1" t="n">
        <v>46261</v>
      </c>
      <c r="E624" s="1" t="n">
        <v>46306</v>
      </c>
      <c r="F624" t="inlineStr">
        <is>
          <t>VÄRMLANDS LÄN</t>
        </is>
      </c>
      <c r="G624" t="inlineStr">
        <is>
          <t>FILIPSTAD</t>
        </is>
      </c>
      <c r="H624" t="inlineStr">
        <is>
          <t>Bergvik skog väst AB</t>
        </is>
      </c>
      <c r="I624" t="n">
        <v>10.3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s="2" t="inlineStr"/>
    </row>
    <row r="625" ht="15" customHeight="1">
      <c r="A625" t="inlineStr">
        <is>
          <t>A 42117-2026</t>
        </is>
      </c>
      <c r="B625" t="inlineStr">
        <is>
          <t>avverkningsanmälan</t>
        </is>
      </c>
      <c r="C625" t="inlineStr">
        <is>
          <t>Föryngringsavverkning</t>
        </is>
      </c>
      <c r="D625" s="1" t="n">
        <v>46304</v>
      </c>
      <c r="E625" s="1" t="n">
        <v>46306</v>
      </c>
      <c r="F625" t="inlineStr">
        <is>
          <t>VÄRMLANDS LÄN</t>
        </is>
      </c>
      <c r="G625" t="inlineStr">
        <is>
          <t>FILIPSTAD</t>
        </is>
      </c>
      <c r="H625" t="inlineStr">
        <is>
          <t>Bergvik skog väst AB</t>
        </is>
      </c>
      <c r="I625" t="n">
        <v>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s="2" t="inlineStr"/>
    </row>
    <row r="626" ht="15" customHeight="1">
      <c r="A626" t="inlineStr">
        <is>
          <t>A 35314-2026</t>
        </is>
      </c>
      <c r="B626" t="inlineStr">
        <is>
          <t>avverkningsanmälan</t>
        </is>
      </c>
      <c r="C626" t="inlineStr">
        <is>
          <t>Föryngringsavverkning</t>
        </is>
      </c>
      <c r="D626" s="1" t="n">
        <v>46261</v>
      </c>
      <c r="E626" s="1" t="n">
        <v>46306</v>
      </c>
      <c r="F626" t="inlineStr">
        <is>
          <t>VÄRMLANDS LÄN</t>
        </is>
      </c>
      <c r="G626" t="inlineStr">
        <is>
          <t>FILIPSTAD</t>
        </is>
      </c>
      <c r="H626" t="inlineStr">
        <is>
          <t>Bergvik skog väst AB</t>
        </is>
      </c>
      <c r="I626" t="n">
        <v>8.4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s="2" t="inlineStr"/>
    </row>
    <row r="627" ht="15" customHeight="1">
      <c r="A627" t="inlineStr">
        <is>
          <t>A 35290-2026</t>
        </is>
      </c>
      <c r="B627" t="inlineStr">
        <is>
          <t>avverkningsanmälan</t>
        </is>
      </c>
      <c r="C627" t="inlineStr">
        <is>
          <t>Föryngringsavverkning</t>
        </is>
      </c>
      <c r="D627" s="1" t="n">
        <v>46261</v>
      </c>
      <c r="E627" s="1" t="n">
        <v>46306</v>
      </c>
      <c r="F627" t="inlineStr">
        <is>
          <t>VÄRMLANDS LÄN</t>
        </is>
      </c>
      <c r="G627" t="inlineStr">
        <is>
          <t>FILIPSTAD</t>
        </is>
      </c>
      <c r="H627" t="inlineStr">
        <is>
          <t>Bergvik skog väst AB</t>
        </is>
      </c>
      <c r="I627" t="n">
        <v>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s="2" t="inlineStr"/>
    </row>
    <row r="628" ht="15" customHeight="1">
      <c r="A628" t="inlineStr">
        <is>
          <t>A 35423-2026</t>
        </is>
      </c>
      <c r="B628" t="inlineStr">
        <is>
          <t>avverkningsanmälan</t>
        </is>
      </c>
      <c r="C628" t="inlineStr">
        <is>
          <t>Föryngringsavverkning</t>
        </is>
      </c>
      <c r="D628" s="1" t="n">
        <v>46261</v>
      </c>
      <c r="E628" s="1" t="n">
        <v>46306</v>
      </c>
      <c r="F628" t="inlineStr">
        <is>
          <t>VÄRMLANDS LÄN</t>
        </is>
      </c>
      <c r="G628" t="inlineStr">
        <is>
          <t>FILIPSTAD</t>
        </is>
      </c>
      <c r="I628" t="n">
        <v>2.1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s="2" t="inlineStr"/>
    </row>
    <row r="629" ht="15" customHeight="1">
      <c r="A629" t="inlineStr">
        <is>
          <t>A 42123-2026</t>
        </is>
      </c>
      <c r="B629" t="inlineStr">
        <is>
          <t>avverkningsanmälan</t>
        </is>
      </c>
      <c r="C629" t="inlineStr">
        <is>
          <t>Föryngringsavverkning</t>
        </is>
      </c>
      <c r="D629" s="1" t="n">
        <v>46304</v>
      </c>
      <c r="E629" s="1" t="n">
        <v>46306</v>
      </c>
      <c r="F629" t="inlineStr">
        <is>
          <t>VÄRMLANDS LÄN</t>
        </is>
      </c>
      <c r="G629" t="inlineStr">
        <is>
          <t>FILIPSTAD</t>
        </is>
      </c>
      <c r="H629" t="inlineStr">
        <is>
          <t>Bergvik skog väst AB</t>
        </is>
      </c>
      <c r="I629" t="n">
        <v>1.7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s="2" t="inlineStr"/>
    </row>
    <row r="630" ht="15" customHeight="1">
      <c r="A630" t="inlineStr">
        <is>
          <t>A 56037-2025</t>
        </is>
      </c>
      <c r="B630" t="inlineStr">
        <is>
          <t>avverkningsanmälan</t>
        </is>
      </c>
      <c r="C630" t="inlineStr">
        <is>
          <t>Föryngringsavverkning</t>
        </is>
      </c>
      <c r="D630" s="1" t="n">
        <v>45973</v>
      </c>
      <c r="E630" s="1" t="n">
        <v>46306</v>
      </c>
      <c r="F630" t="inlineStr">
        <is>
          <t>VÄRMLANDS LÄN</t>
        </is>
      </c>
      <c r="G630" t="inlineStr">
        <is>
          <t>FILIPSTAD</t>
        </is>
      </c>
      <c r="H630" t="inlineStr">
        <is>
          <t>Bergvik skog väst AB</t>
        </is>
      </c>
      <c r="I630" t="n">
        <v>5.7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s="2" t="inlineStr"/>
    </row>
    <row r="631" ht="15" customHeight="1">
      <c r="A631" t="inlineStr">
        <is>
          <t>S 5757-2021</t>
        </is>
      </c>
      <c r="B631" t="inlineStr">
        <is>
          <t>samrådsanmälan</t>
        </is>
      </c>
      <c r="C631" t="inlineStr">
        <is>
          <t>Basväg</t>
        </is>
      </c>
      <c r="D631" s="1" t="n">
        <v>44438</v>
      </c>
      <c r="E631" s="1" t="n">
        <v>46306</v>
      </c>
      <c r="F631" t="inlineStr">
        <is>
          <t>VÄRMLANDS LÄN</t>
        </is>
      </c>
      <c r="G631" t="inlineStr">
        <is>
          <t>FILIPSTAD</t>
        </is>
      </c>
      <c r="H631" t="inlineStr">
        <is>
          <t>Bergvik skog väst AB</t>
        </is>
      </c>
      <c r="I631" t="n">
        <v>0.2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s="2" t="inlineStr"/>
    </row>
    <row r="632" ht="15" customHeight="1">
      <c r="A632" t="inlineStr">
        <is>
          <t>S 1191-2021</t>
        </is>
      </c>
      <c r="B632" t="inlineStr">
        <is>
          <t>samrådsanmälan</t>
        </is>
      </c>
      <c r="C632" t="inlineStr">
        <is>
          <t>Åtgärd i nyckelbiotop</t>
        </is>
      </c>
      <c r="D632" s="1" t="n">
        <v>44328</v>
      </c>
      <c r="E632" s="1" t="n">
        <v>46306</v>
      </c>
      <c r="F632" t="inlineStr">
        <is>
          <t>VÄRMLANDS LÄN</t>
        </is>
      </c>
      <c r="G632" t="inlineStr">
        <is>
          <t>FILIPSTAD</t>
        </is>
      </c>
      <c r="I632" t="n">
        <v>2.4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s="2" t="inlineStr"/>
    </row>
    <row r="633" ht="15" customHeight="1">
      <c r="A633" t="inlineStr">
        <is>
          <t>S 4134-2023</t>
        </is>
      </c>
      <c r="B633" t="inlineStr">
        <is>
          <t>samrådsanmälan</t>
        </is>
      </c>
      <c r="C633" t="inlineStr">
        <is>
          <t>Skogsgödsling</t>
        </is>
      </c>
      <c r="D633" s="1" t="n">
        <v>45247</v>
      </c>
      <c r="E633" s="1" t="n">
        <v>46306</v>
      </c>
      <c r="F633" t="inlineStr">
        <is>
          <t>VÄRMLANDS LÄN</t>
        </is>
      </c>
      <c r="G633" t="inlineStr">
        <is>
          <t>FILIPSTAD</t>
        </is>
      </c>
      <c r="H633" t="inlineStr">
        <is>
          <t>Bergvik skog väst AB</t>
        </is>
      </c>
      <c r="I633" t="n">
        <v>5.7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s="2" t="inlineStr"/>
    </row>
    <row r="634" ht="15" customHeight="1">
      <c r="A634" t="inlineStr">
        <is>
          <t>S 4115-2023</t>
        </is>
      </c>
      <c r="B634" t="inlineStr">
        <is>
          <t>samrådsanmälan</t>
        </is>
      </c>
      <c r="C634" t="inlineStr">
        <is>
          <t>Skogsgödsling</t>
        </is>
      </c>
      <c r="D634" s="1" t="n">
        <v>45246</v>
      </c>
      <c r="E634" s="1" t="n">
        <v>46306</v>
      </c>
      <c r="F634" t="inlineStr">
        <is>
          <t>VÄRMLANDS LÄN</t>
        </is>
      </c>
      <c r="G634" t="inlineStr">
        <is>
          <t>FILIPSTAD</t>
        </is>
      </c>
      <c r="H634" t="inlineStr">
        <is>
          <t>Bergvik skog väst AB</t>
        </is>
      </c>
      <c r="I634" t="n">
        <v>14.6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s="2" t="inlineStr"/>
    </row>
    <row r="635" ht="15" customHeight="1">
      <c r="A635" t="inlineStr">
        <is>
          <t>S 4137-2023</t>
        </is>
      </c>
      <c r="B635" t="inlineStr">
        <is>
          <t>samrådsanmälan</t>
        </is>
      </c>
      <c r="C635" t="inlineStr">
        <is>
          <t>Skogsgödsling</t>
        </is>
      </c>
      <c r="D635" s="1" t="n">
        <v>45247</v>
      </c>
      <c r="E635" s="1" t="n">
        <v>46306</v>
      </c>
      <c r="F635" t="inlineStr">
        <is>
          <t>VÄRMLANDS LÄN</t>
        </is>
      </c>
      <c r="G635" t="inlineStr">
        <is>
          <t>FILIPSTAD</t>
        </is>
      </c>
      <c r="H635" t="inlineStr">
        <is>
          <t>Bergvik skog väst AB</t>
        </is>
      </c>
      <c r="I635" t="n">
        <v>16.5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s="2" t="inlineStr"/>
    </row>
    <row r="636" ht="15" customHeight="1">
      <c r="A636" t="inlineStr">
        <is>
          <t>S 4132-2023</t>
        </is>
      </c>
      <c r="B636" t="inlineStr">
        <is>
          <t>samrådsanmälan</t>
        </is>
      </c>
      <c r="C636" t="inlineStr">
        <is>
          <t>Skogsgödsling</t>
        </is>
      </c>
      <c r="D636" s="1" t="n">
        <v>45247</v>
      </c>
      <c r="E636" s="1" t="n">
        <v>46306</v>
      </c>
      <c r="F636" t="inlineStr">
        <is>
          <t>VÄRMLANDS LÄN</t>
        </is>
      </c>
      <c r="G636" t="inlineStr">
        <is>
          <t>FILIPSTAD</t>
        </is>
      </c>
      <c r="H636" t="inlineStr">
        <is>
          <t>Bergvik skog väst AB</t>
        </is>
      </c>
      <c r="I636" t="n">
        <v>8.300000000000001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s="2" t="inlineStr"/>
    </row>
    <row r="637" ht="15" customHeight="1">
      <c r="A637" t="inlineStr">
        <is>
          <t>S 4130-2023</t>
        </is>
      </c>
      <c r="B637" t="inlineStr">
        <is>
          <t>samrådsanmälan</t>
        </is>
      </c>
      <c r="C637" t="inlineStr">
        <is>
          <t>Skogsgödsling</t>
        </is>
      </c>
      <c r="D637" s="1" t="n">
        <v>45247</v>
      </c>
      <c r="E637" s="1" t="n">
        <v>46306</v>
      </c>
      <c r="F637" t="inlineStr">
        <is>
          <t>VÄRMLANDS LÄN</t>
        </is>
      </c>
      <c r="G637" t="inlineStr">
        <is>
          <t>FILIPSTAD</t>
        </is>
      </c>
      <c r="H637" t="inlineStr">
        <is>
          <t>Bergvik skog väst AB</t>
        </is>
      </c>
      <c r="I637" t="n">
        <v>14.6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s="2" t="inlineStr"/>
    </row>
    <row r="638" ht="15" customHeight="1">
      <c r="A638" t="inlineStr">
        <is>
          <t>S 4127-2023</t>
        </is>
      </c>
      <c r="B638" t="inlineStr">
        <is>
          <t>samrådsanmälan</t>
        </is>
      </c>
      <c r="C638" t="inlineStr">
        <is>
          <t>Skogsgödsling</t>
        </is>
      </c>
      <c r="D638" s="1" t="n">
        <v>45247</v>
      </c>
      <c r="E638" s="1" t="n">
        <v>46306</v>
      </c>
      <c r="F638" t="inlineStr">
        <is>
          <t>VÄRMLANDS LÄN</t>
        </is>
      </c>
      <c r="G638" t="inlineStr">
        <is>
          <t>FILIPSTAD</t>
        </is>
      </c>
      <c r="H638" t="inlineStr">
        <is>
          <t>Bergvik skog väst AB</t>
        </is>
      </c>
      <c r="I638" t="n">
        <v>56.4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s="2" t="inlineStr"/>
    </row>
    <row r="639" ht="15" customHeight="1">
      <c r="A639" t="inlineStr">
        <is>
          <t>S 837-2023</t>
        </is>
      </c>
      <c r="B639" t="inlineStr">
        <is>
          <t>samrådsanmälan</t>
        </is>
      </c>
      <c r="C639" t="inlineStr">
        <is>
          <t>Annan skogsbruksåtgärd</t>
        </is>
      </c>
      <c r="D639" s="1" t="n">
        <v>44991</v>
      </c>
      <c r="E639" s="1" t="n">
        <v>46306</v>
      </c>
      <c r="F639" t="inlineStr">
        <is>
          <t>VÄRMLANDS LÄN</t>
        </is>
      </c>
      <c r="G639" t="inlineStr">
        <is>
          <t>FILIPSTAD</t>
        </is>
      </c>
      <c r="I639" t="n">
        <v>19.3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s="2" t="inlineStr"/>
    </row>
    <row r="640" ht="15" customHeight="1">
      <c r="A640" t="inlineStr">
        <is>
          <t>S 4129-2023</t>
        </is>
      </c>
      <c r="B640" t="inlineStr">
        <is>
          <t>samrådsanmälan</t>
        </is>
      </c>
      <c r="C640" t="inlineStr">
        <is>
          <t>Skogsgödsling</t>
        </is>
      </c>
      <c r="D640" s="1" t="n">
        <v>45247</v>
      </c>
      <c r="E640" s="1" t="n">
        <v>46306</v>
      </c>
      <c r="F640" t="inlineStr">
        <is>
          <t>VÄRMLANDS LÄN</t>
        </is>
      </c>
      <c r="G640" t="inlineStr">
        <is>
          <t>FILIPSTAD</t>
        </is>
      </c>
      <c r="H640" t="inlineStr">
        <is>
          <t>Bergvik skog väst AB</t>
        </is>
      </c>
      <c r="I640" t="n">
        <v>13.9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s="2" t="inlineStr"/>
    </row>
    <row r="641" ht="15" customHeight="1">
      <c r="A641" t="inlineStr">
        <is>
          <t>S 3919-2023</t>
        </is>
      </c>
      <c r="B641" t="inlineStr">
        <is>
          <t>samrådsanmälan</t>
        </is>
      </c>
      <c r="C641" t="inlineStr">
        <is>
          <t>Skogsgödsling</t>
        </is>
      </c>
      <c r="D641" s="1" t="n">
        <v>45233</v>
      </c>
      <c r="E641" s="1" t="n">
        <v>46306</v>
      </c>
      <c r="F641" t="inlineStr">
        <is>
          <t>VÄRMLANDS LÄN</t>
        </is>
      </c>
      <c r="G641" t="inlineStr">
        <is>
          <t>FILIPSTAD</t>
        </is>
      </c>
      <c r="H641" t="inlineStr">
        <is>
          <t>Bergvik skog väst AB</t>
        </is>
      </c>
      <c r="I641" t="n">
        <v>17.4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s="2" t="inlineStr"/>
    </row>
    <row r="642" ht="15" customHeight="1">
      <c r="A642" t="inlineStr">
        <is>
          <t>S 4135-2023</t>
        </is>
      </c>
      <c r="B642" t="inlineStr">
        <is>
          <t>samrådsanmälan</t>
        </is>
      </c>
      <c r="C642" t="inlineStr">
        <is>
          <t>Skogsgödsling</t>
        </is>
      </c>
      <c r="D642" s="1" t="n">
        <v>45247</v>
      </c>
      <c r="E642" s="1" t="n">
        <v>46306</v>
      </c>
      <c r="F642" t="inlineStr">
        <is>
          <t>VÄRMLANDS LÄN</t>
        </is>
      </c>
      <c r="G642" t="inlineStr">
        <is>
          <t>FILIPSTAD</t>
        </is>
      </c>
      <c r="H642" t="inlineStr">
        <is>
          <t>Bergvik skog väst AB</t>
        </is>
      </c>
      <c r="I642" t="n">
        <v>18.9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s="2" t="inlineStr"/>
    </row>
    <row r="643" ht="15" customHeight="1">
      <c r="A643" t="inlineStr">
        <is>
          <t>S 4126-2023</t>
        </is>
      </c>
      <c r="B643" t="inlineStr">
        <is>
          <t>samrådsanmälan</t>
        </is>
      </c>
      <c r="C643" t="inlineStr">
        <is>
          <t>Skogsgödsling</t>
        </is>
      </c>
      <c r="D643" s="1" t="n">
        <v>45247</v>
      </c>
      <c r="E643" s="1" t="n">
        <v>46306</v>
      </c>
      <c r="F643" t="inlineStr">
        <is>
          <t>VÄRMLANDS LÄN</t>
        </is>
      </c>
      <c r="G643" t="inlineStr">
        <is>
          <t>FILIPSTAD</t>
        </is>
      </c>
      <c r="H643" t="inlineStr">
        <is>
          <t>Bergvik skog väst AB</t>
        </is>
      </c>
      <c r="I643" t="n">
        <v>20.4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s="2" t="inlineStr"/>
    </row>
    <row r="644" ht="15" customHeight="1">
      <c r="A644" t="inlineStr">
        <is>
          <t>S 294-2025</t>
        </is>
      </c>
      <c r="B644" t="inlineStr">
        <is>
          <t>samrådsanmälan</t>
        </is>
      </c>
      <c r="C644" t="inlineStr">
        <is>
          <t>Skogsgödsling</t>
        </is>
      </c>
      <c r="D644" s="1" t="n">
        <v>45687</v>
      </c>
      <c r="E644" s="1" t="n">
        <v>46306</v>
      </c>
      <c r="F644" t="inlineStr">
        <is>
          <t>VÄRMLANDS LÄN</t>
        </is>
      </c>
      <c r="G644" t="inlineStr">
        <is>
          <t>FILIPSTAD</t>
        </is>
      </c>
      <c r="H644" t="inlineStr">
        <is>
          <t>Bergvik skog väst AB</t>
        </is>
      </c>
      <c r="I644" t="n">
        <v>186.4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s="2" t="inlineStr"/>
    </row>
    <row r="645" ht="15" customHeight="1">
      <c r="A645" t="inlineStr">
        <is>
          <t>S 4116-2023</t>
        </is>
      </c>
      <c r="B645" t="inlineStr">
        <is>
          <t>samrådsanmälan</t>
        </is>
      </c>
      <c r="C645" t="inlineStr">
        <is>
          <t>Skogsgödsling</t>
        </is>
      </c>
      <c r="D645" s="1" t="n">
        <v>45246</v>
      </c>
      <c r="E645" s="1" t="n">
        <v>46306</v>
      </c>
      <c r="F645" t="inlineStr">
        <is>
          <t>VÄRMLANDS LÄN</t>
        </is>
      </c>
      <c r="G645" t="inlineStr">
        <is>
          <t>FILIPSTAD</t>
        </is>
      </c>
      <c r="H645" t="inlineStr">
        <is>
          <t>Bergvik skog väst AB</t>
        </is>
      </c>
      <c r="I645" t="n">
        <v>6.4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s="2" t="inlineStr"/>
    </row>
    <row r="646" ht="15" customHeight="1">
      <c r="A646" t="inlineStr">
        <is>
          <t>S 661-2025</t>
        </is>
      </c>
      <c r="B646" t="inlineStr">
        <is>
          <t>samrådsanmälan</t>
        </is>
      </c>
      <c r="C646" t="inlineStr">
        <is>
          <t>Skogsgödsling</t>
        </is>
      </c>
      <c r="D646" s="1" t="n">
        <v>45716</v>
      </c>
      <c r="E646" s="1" t="n">
        <v>46306</v>
      </c>
      <c r="F646" t="inlineStr">
        <is>
          <t>VÄRMLANDS LÄN</t>
        </is>
      </c>
      <c r="G646" t="inlineStr">
        <is>
          <t>FILIPSTAD</t>
        </is>
      </c>
      <c r="H646" t="inlineStr">
        <is>
          <t>Bergvik skog väst AB</t>
        </is>
      </c>
      <c r="I646" t="n">
        <v>161.7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s="2" t="inlineStr"/>
    </row>
    <row r="647" ht="15" customHeight="1">
      <c r="A647" t="inlineStr">
        <is>
          <t>S 3429-2025</t>
        </is>
      </c>
      <c r="B647" t="inlineStr">
        <is>
          <t>samrådsanmälan</t>
        </is>
      </c>
      <c r="C647" t="inlineStr">
        <is>
          <t>Annan skogsbruksåtgärd</t>
        </is>
      </c>
      <c r="D647" s="1" t="n">
        <v>45995</v>
      </c>
      <c r="E647" s="1" t="n">
        <v>46306</v>
      </c>
      <c r="F647" t="inlineStr">
        <is>
          <t>VÄRMLANDS LÄN</t>
        </is>
      </c>
      <c r="G647" t="inlineStr">
        <is>
          <t>FILIPSTAD</t>
        </is>
      </c>
      <c r="H647" t="inlineStr">
        <is>
          <t>Bergvik skog väst AB</t>
        </is>
      </c>
      <c r="I647" t="n">
        <v>12.1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s="2" t="inlineStr"/>
    </row>
    <row r="648" ht="15" customHeight="1">
      <c r="A648" t="inlineStr">
        <is>
          <t>S 3576-2025</t>
        </is>
      </c>
      <c r="B648" t="inlineStr">
        <is>
          <t>samrådsanmälan</t>
        </is>
      </c>
      <c r="C648" t="inlineStr">
        <is>
          <t>Skogsgödsling</t>
        </is>
      </c>
      <c r="D648" s="1" t="n">
        <v>46010</v>
      </c>
      <c r="E648" s="1" t="n">
        <v>46306</v>
      </c>
      <c r="F648" t="inlineStr">
        <is>
          <t>VÄRMLANDS LÄN</t>
        </is>
      </c>
      <c r="G648" t="inlineStr">
        <is>
          <t>FILIPSTAD</t>
        </is>
      </c>
      <c r="H648" t="inlineStr">
        <is>
          <t>Bergvik skog väst AB</t>
        </is>
      </c>
      <c r="I648" t="n">
        <v>27.1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s="2" t="inlineStr"/>
    </row>
    <row r="649">
      <c r="A649" t="inlineStr">
        <is>
          <t>S 105-2026</t>
        </is>
      </c>
      <c r="B649" t="inlineStr">
        <is>
          <t>samrådsanmälan</t>
        </is>
      </c>
      <c r="C649" t="inlineStr">
        <is>
          <t>Skogsgödsling</t>
        </is>
      </c>
      <c r="D649" s="1" t="n">
        <v>46036</v>
      </c>
      <c r="E649" s="1" t="n">
        <v>46306</v>
      </c>
      <c r="F649" t="inlineStr">
        <is>
          <t>VÄRMLANDS LÄN</t>
        </is>
      </c>
      <c r="G649" t="inlineStr">
        <is>
          <t>FILIPSTAD</t>
        </is>
      </c>
      <c r="H649" t="inlineStr">
        <is>
          <t>Bergvik skog väst AB</t>
        </is>
      </c>
      <c r="I649" t="n">
        <v>238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2026-10-11T02:02:37Z</dcterms:created>
  <dcterms:modified xmlns:dcterms="http://purl.org/dc/terms/" xmlns:xsi="http://www.w3.org/2001/XMLSchema-instance" xsi:type="dcterms:W3CDTF">2026-10-11T02:02:37Z</dcterms:modified>
</cp:coreProperties>
</file>