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46284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46284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46284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46284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46284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46284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46284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46284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37620-2026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46284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4.1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Kandelabersvamp
Tretåig hackspett</t>
        </is>
      </c>
      <c r="W19">
        <f>HYPERLINK("https://klasma.github.io/Logging_1782/artfynd/A 37620-2026 artfynd.xlsx", "A 37620-2026")</f>
        <v/>
      </c>
      <c r="X19">
        <f>HYPERLINK("https://klasma.github.io/Logging_1782/kartor/A 37620-2026 karta.png", "A 37620-2026")</f>
        <v/>
      </c>
      <c r="Y19">
        <f>HYPERLINK("https://klasma.github.io/Logging_1782/kartor_geotiff/A 37620-2026 georefererad karta.tif", "A 37620-2026")</f>
        <v/>
      </c>
      <c r="AA19">
        <f>HYPERLINK("https://klasma.github.io/Logging_1782/klagomål/A 37620-2026 FSC-klagomål.docx", "A 37620-2026")</f>
        <v/>
      </c>
      <c r="AB19">
        <f>HYPERLINK("https://klasma.github.io/Logging_1782/klagomålsmail/A 37620-2026 FSC-klagomål mail.docx", "A 37620-2026")</f>
        <v/>
      </c>
      <c r="AC19">
        <f>HYPERLINK("https://klasma.github.io/Logging_1782/tillsyn/A 37620-2026 tillsynsbegäran.docx", "A 37620-2026")</f>
        <v/>
      </c>
      <c r="AD19">
        <f>HYPERLINK("https://klasma.github.io/Logging_1782/tillsynsmail/A 37620-2026 tillsynsbegäran mail.docx", "A 37620-2026")</f>
        <v/>
      </c>
      <c r="AE19">
        <f>HYPERLINK("https://klasma.github.io/Logging_1782/fåglar/A 37620-2026 prioriterade fågelarter.docx", "A 37620-2026")</f>
        <v/>
      </c>
    </row>
    <row r="20" ht="15" customHeight="1">
      <c r="A20" t="inlineStr">
        <is>
          <t>A 38667-2026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46283</v>
      </c>
      <c r="E20" s="1" t="n">
        <v>46284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10.7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Brunklöver
Tvåblad
Fläcknycklar</t>
        </is>
      </c>
      <c r="W20">
        <f>HYPERLINK("https://klasma.github.io/Logging_1782/artfynd/A 38667-2026 artfynd.xlsx", "A 38667-2026")</f>
        <v/>
      </c>
      <c r="X20">
        <f>HYPERLINK("https://klasma.github.io/Logging_1782/kartor/A 38667-2026 karta.png", "A 38667-2026")</f>
        <v/>
      </c>
      <c r="Y20">
        <f>HYPERLINK("https://klasma.github.io/Logging_1782/kartor_geotiff/A 38667-2026 georefererad karta.tif", "A 38667-2026")</f>
        <v/>
      </c>
      <c r="AA20">
        <f>HYPERLINK("https://klasma.github.io/Logging_1782/klagomål/A 38667-2026 FSC-klagomål.docx", "A 38667-2026")</f>
        <v/>
      </c>
      <c r="AB20">
        <f>HYPERLINK("https://klasma.github.io/Logging_1782/klagomålsmail/A 38667-2026 FSC-klagomål mail.docx", "A 38667-2026")</f>
        <v/>
      </c>
      <c r="AC20">
        <f>HYPERLINK("https://klasma.github.io/Logging_1782/tillsyn/A 38667-2026 tillsynsbegäran.docx", "A 38667-2026")</f>
        <v/>
      </c>
      <c r="AD20">
        <f>HYPERLINK("https://klasma.github.io/Logging_1782/tillsynsmail/A 38667-2026 tillsynsbegäran mail.docx", "A 38667-2026")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46284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46284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46284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46284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16139-2025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45750</v>
      </c>
      <c r="E25" s="1" t="n">
        <v>46284</v>
      </c>
      <c r="F25" t="inlineStr">
        <is>
          <t>VÄRMLANDS LÄN</t>
        </is>
      </c>
      <c r="G25" t="inlineStr">
        <is>
          <t>FILIPSTAD</t>
        </is>
      </c>
      <c r="I25" t="n">
        <v>18.2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Bronshjon</t>
        </is>
      </c>
      <c r="W25">
        <f>HYPERLINK("https://klasma.github.io/Logging_1782/artfynd/A 16139-2025 artfynd.xlsx", "A 16139-2025")</f>
        <v/>
      </c>
      <c r="X25">
        <f>HYPERLINK("https://klasma.github.io/Logging_1782/kartor/A 16139-2025 karta.png", "A 16139-2025")</f>
        <v/>
      </c>
      <c r="Y25">
        <f>HYPERLINK("https://klasma.github.io/Logging_1782/kartor_geotiff/A 16139-2025 georefererad karta.tif", "A 16139-2025")</f>
        <v/>
      </c>
      <c r="AA25">
        <f>HYPERLINK("https://klasma.github.io/Logging_1782/klagomål/A 16139-2025 FSC-klagomål.docx", "A 16139-2025")</f>
        <v/>
      </c>
      <c r="AB25">
        <f>HYPERLINK("https://klasma.github.io/Logging_1782/klagomålsmail/A 16139-2025 FSC-klagomål mail.docx", "A 16139-2025")</f>
        <v/>
      </c>
      <c r="AC25">
        <f>HYPERLINK("https://klasma.github.io/Logging_1782/tillsyn/A 16139-2025 tillsynsbegäran.docx", "A 16139-2025")</f>
        <v/>
      </c>
      <c r="AD25">
        <f>HYPERLINK("https://klasma.github.io/Logging_1782/tillsynsmail/A 16139-2025 tillsynsbegäran mail.docx", "A 16139-2025")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46284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46284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46284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46284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46284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32438-2026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46284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Dubbelnycklar
Ängsnycklar</t>
        </is>
      </c>
      <c r="W31">
        <f>HYPERLINK("https://klasma.github.io/Logging_1782/artfynd/A 32438-2026 artfynd.xlsx", "A 32438-2026")</f>
        <v/>
      </c>
      <c r="X31">
        <f>HYPERLINK("https://klasma.github.io/Logging_1782/kartor/A 32438-2026 karta.png", "A 32438-2026")</f>
        <v/>
      </c>
      <c r="Y31">
        <f>HYPERLINK("https://klasma.github.io/Logging_1782/kartor_geotiff/A 32438-2026 georefererad karta.tif", "A 32438-2026")</f>
        <v/>
      </c>
      <c r="AA31">
        <f>HYPERLINK("https://klasma.github.io/Logging_1782/klagomål/A 32438-2026 FSC-klagomål.docx", "A 32438-2026")</f>
        <v/>
      </c>
      <c r="AB31">
        <f>HYPERLINK("https://klasma.github.io/Logging_1782/klagomålsmail/A 32438-2026 FSC-klagomål mail.docx", "A 32438-2026")</f>
        <v/>
      </c>
      <c r="AC31">
        <f>HYPERLINK("https://klasma.github.io/Logging_1782/tillsyn/A 32438-2026 tillsynsbegäran.docx", "A 32438-2026")</f>
        <v/>
      </c>
      <c r="AD31">
        <f>HYPERLINK("https://klasma.github.io/Logging_1782/tillsynsmail/A 32438-2026 tillsynsbegäran mail.docx", "A 32438-2026")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46284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46284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46284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46284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46284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46284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46284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46284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46284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46284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10138-2024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45364</v>
      </c>
      <c r="E42" s="1" t="n">
        <v>46284</v>
      </c>
      <c r="F42" t="inlineStr">
        <is>
          <t>VÄRMLANDS LÄN</t>
        </is>
      </c>
      <c r="G42" t="inlineStr">
        <is>
          <t>FILIPSTAD</t>
        </is>
      </c>
      <c r="H42" t="inlineStr">
        <is>
          <t>Kommuner</t>
        </is>
      </c>
      <c r="I42" t="n">
        <v>6.8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Purpurknipprot</t>
        </is>
      </c>
      <c r="W42">
        <f>HYPERLINK("https://klasma.github.io/Logging_1782/artfynd/A 10138-2024 artfynd.xlsx", "A 10138-2024")</f>
        <v/>
      </c>
      <c r="X42">
        <f>HYPERLINK("https://klasma.github.io/Logging_1782/kartor/A 10138-2024 karta.png", "A 10138-2024")</f>
        <v/>
      </c>
      <c r="Y42">
        <f>HYPERLINK("https://klasma.github.io/Logging_1782/kartor_geotiff/A 10138-2024 georefererad karta.tif", "A 10138-2024")</f>
        <v/>
      </c>
      <c r="AA42">
        <f>HYPERLINK("https://klasma.github.io/Logging_1782/klagomål/A 10138-2024 FSC-klagomål.docx", "A 10138-2024")</f>
        <v/>
      </c>
      <c r="AB42">
        <f>HYPERLINK("https://klasma.github.io/Logging_1782/klagomålsmail/A 10138-2024 FSC-klagomål mail.docx", "A 10138-2024")</f>
        <v/>
      </c>
      <c r="AC42">
        <f>HYPERLINK("https://klasma.github.io/Logging_1782/tillsyn/A 10138-2024 tillsynsbegäran.docx", "A 10138-2024")</f>
        <v/>
      </c>
      <c r="AD42">
        <f>HYPERLINK("https://klasma.github.io/Logging_1782/tillsynsmail/A 10138-2024 tillsynsbegäran mail.docx", "A 10138-2024")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46284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Talltaggsvamp</t>
        </is>
      </c>
      <c r="W43">
        <f>HYPERLINK("https://klasma.github.io/Logging_1782/artfynd/A 25862-2026 artfynd.xlsx", "A 25862-2026")</f>
        <v/>
      </c>
      <c r="X43">
        <f>HYPERLINK("https://klasma.github.io/Logging_1782/kartor/A 25862-2026 karta.png", "A 25862-2026")</f>
        <v/>
      </c>
      <c r="Y43">
        <f>HYPERLINK("https://klasma.github.io/Logging_1782/kartor_geotiff/A 25862-2026 georefererad karta.tif", "A 25862-2026")</f>
        <v/>
      </c>
      <c r="AA43">
        <f>HYPERLINK("https://klasma.github.io/Logging_1782/klagomål/A 25862-2026 FSC-klagomål.docx", "A 25862-2026")</f>
        <v/>
      </c>
      <c r="AB43">
        <f>HYPERLINK("https://klasma.github.io/Logging_1782/klagomålsmail/A 25862-2026 FSC-klagomål mail.docx", "A 25862-2026")</f>
        <v/>
      </c>
      <c r="AC43">
        <f>HYPERLINK("https://klasma.github.io/Logging_1782/tillsyn/A 25862-2026 tillsynsbegäran.docx", "A 25862-2026")</f>
        <v/>
      </c>
      <c r="AD43">
        <f>HYPERLINK("https://klasma.github.io/Logging_1782/tillsynsmail/A 25862-2026 tillsynsbegäran mail.docx", "A 25862-2026")</f>
        <v/>
      </c>
    </row>
    <row r="44" ht="15" customHeight="1">
      <c r="A44" t="inlineStr">
        <is>
          <t>A 5992-2023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44959</v>
      </c>
      <c r="E44" s="1" t="n">
        <v>46284</v>
      </c>
      <c r="F44" t="inlineStr">
        <is>
          <t>VÄRMLANDS LÄN</t>
        </is>
      </c>
      <c r="G44" t="inlineStr">
        <is>
          <t>FILIPSTAD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5992-2023 artfynd.xlsx", "A 5992-2023")</f>
        <v/>
      </c>
      <c r="X44">
        <f>HYPERLINK("https://klasma.github.io/Logging_1782/kartor/A 5992-2023 karta.png", "A 5992-2023")</f>
        <v/>
      </c>
      <c r="Y44">
        <f>HYPERLINK("https://klasma.github.io/Logging_1782/kartor_geotiff/A 5992-2023 georefererad karta.tif", "A 5992-2023")</f>
        <v/>
      </c>
      <c r="AA44">
        <f>HYPERLINK("https://klasma.github.io/Logging_1782/klagomål/A 5992-2023 FSC-klagomål.docx", "A 5992-2023")</f>
        <v/>
      </c>
      <c r="AB44">
        <f>HYPERLINK("https://klasma.github.io/Logging_1782/klagomålsmail/A 5992-2023 FSC-klagomål mail.docx", "A 5992-2023")</f>
        <v/>
      </c>
      <c r="AC44">
        <f>HYPERLINK("https://klasma.github.io/Logging_1782/tillsyn/A 5992-2023 tillsynsbegäran.docx", "A 5992-2023")</f>
        <v/>
      </c>
      <c r="AD44">
        <f>HYPERLINK("https://klasma.github.io/Logging_1782/tillsynsmail/A 5992-2023 tillsynsbegäran mail.docx", "A 5992-2023")</f>
        <v/>
      </c>
    </row>
    <row r="45" ht="15" customHeight="1">
      <c r="A45" t="inlineStr">
        <is>
          <t>A 17529-2026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46284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Ädellav</t>
        </is>
      </c>
      <c r="W45">
        <f>HYPERLINK("https://klasma.github.io/Logging_1782/artfynd/A 17529-2026 artfynd.xlsx", "A 17529-2026")</f>
        <v/>
      </c>
      <c r="X45">
        <f>HYPERLINK("https://klasma.github.io/Logging_1782/kartor/A 17529-2026 karta.png", "A 17529-2026")</f>
        <v/>
      </c>
      <c r="Y45">
        <f>HYPERLINK("https://klasma.github.io/Logging_1782/kartor_geotiff/A 17529-2026 georefererad karta.tif", "A 17529-2026")</f>
        <v/>
      </c>
      <c r="AA45">
        <f>HYPERLINK("https://klasma.github.io/Logging_1782/klagomål/A 17529-2026 FSC-klagomål.docx", "A 17529-2026")</f>
        <v/>
      </c>
      <c r="AB45">
        <f>HYPERLINK("https://klasma.github.io/Logging_1782/klagomålsmail/A 17529-2026 FSC-klagomål mail.docx", "A 17529-2026")</f>
        <v/>
      </c>
      <c r="AC45">
        <f>HYPERLINK("https://klasma.github.io/Logging_1782/tillsyn/A 17529-2026 tillsynsbegäran.docx", "A 17529-2026")</f>
        <v/>
      </c>
      <c r="AD45">
        <f>HYPERLINK("https://klasma.github.io/Logging_1782/tillsynsmail/A 17529-2026 tillsynsbegäran mail.docx", "A 17529-2026")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46284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46284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46284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46284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23046-2023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46284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1.7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HYPERLINK("https://klasma.github.io/Logging_1782/artfynd/A 23046-2023 artfynd.xlsx", "A 23046-2023")</f>
        <v/>
      </c>
      <c r="X50">
        <f>HYPERLINK("https://klasma.github.io/Logging_1782/kartor/A 23046-2023 karta.png", "A 23046-2023")</f>
        <v/>
      </c>
      <c r="Y50">
        <f>HYPERLINK("https://klasma.github.io/Logging_1782/kartor_geotiff/A 23046-2023 georefererad karta.tif", "A 23046-2023")</f>
        <v/>
      </c>
      <c r="Z50">
        <f>HYPERLINK("https://klasma.github.io/Logging_1782/knärot/A 23046-2023 karta knärot.png", "A 23046-2023")</f>
        <v/>
      </c>
      <c r="AA50">
        <f>HYPERLINK("https://klasma.github.io/Logging_1782/klagomål/A 23046-2023 FSC-klagomål.docx", "A 23046-2023")</f>
        <v/>
      </c>
      <c r="AB50">
        <f>HYPERLINK("https://klasma.github.io/Logging_1782/klagomålsmail/A 23046-2023 FSC-klagomål mail.docx", "A 23046-2023")</f>
        <v/>
      </c>
      <c r="AC50">
        <f>HYPERLINK("https://klasma.github.io/Logging_1782/tillsyn/A 23046-2023 tillsynsbegäran.docx", "A 23046-2023")</f>
        <v/>
      </c>
      <c r="AD50">
        <f>HYPERLINK("https://klasma.github.io/Logging_1782/tillsynsmail/A 23046-2023 tillsynsbegäran mail.docx", "A 23046-2023")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46284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46284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46284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46284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46284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46284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46284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46284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46284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46284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46284</v>
      </c>
      <c r="F61" t="inlineStr">
        <is>
          <t>VÄRMLANDS LÄN</t>
        </is>
      </c>
      <c r="G61" t="inlineStr">
        <is>
          <t>FILIPSTAD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46284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28198-2022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46284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46284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46284</v>
      </c>
      <c r="F65" t="inlineStr">
        <is>
          <t>VÄRMLANDS LÄN</t>
        </is>
      </c>
      <c r="G65" t="inlineStr">
        <is>
          <t>FILIPSTAD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44651</v>
      </c>
      <c r="E66" s="1" t="n">
        <v>46284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44719</v>
      </c>
      <c r="E67" s="1" t="n">
        <v>46284</v>
      </c>
      <c r="F67" t="inlineStr">
        <is>
          <t>VÄRMLANDS LÄN</t>
        </is>
      </c>
      <c r="G67" t="inlineStr">
        <is>
          <t>FILIPSTAD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46284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22356-2022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44713</v>
      </c>
      <c r="E69" s="1" t="n">
        <v>46284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46284</v>
      </c>
      <c r="F70" t="inlineStr">
        <is>
          <t>VÄRMLANDS LÄN</t>
        </is>
      </c>
      <c r="G70" t="inlineStr">
        <is>
          <t>FILIPSTAD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44783</v>
      </c>
      <c r="E71" s="1" t="n">
        <v>46284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30.5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46284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46284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46284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46284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44651</v>
      </c>
      <c r="E76" s="1" t="n">
        <v>46284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46284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46284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46284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46284</v>
      </c>
      <c r="F80" t="inlineStr">
        <is>
          <t>VÄRMLANDS LÄN</t>
        </is>
      </c>
      <c r="G80" t="inlineStr">
        <is>
          <t>FILIPSTAD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44598</v>
      </c>
      <c r="E81" s="1" t="n">
        <v>46284</v>
      </c>
      <c r="F81" t="inlineStr">
        <is>
          <t>VÄRMLANDS LÄN</t>
        </is>
      </c>
      <c r="G81" t="inlineStr">
        <is>
          <t>FILIPSTAD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9270-2023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46284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46284</v>
      </c>
      <c r="F83" t="inlineStr">
        <is>
          <t>VÄRMLANDS LÄN</t>
        </is>
      </c>
      <c r="G83" t="inlineStr">
        <is>
          <t>FILIPSTAD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46284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45674</v>
      </c>
      <c r="E85" s="1" t="n">
        <v>46284</v>
      </c>
      <c r="F85" t="inlineStr">
        <is>
          <t>VÄRMLANDS LÄN</t>
        </is>
      </c>
      <c r="G85" t="inlineStr">
        <is>
          <t>FILIPSTAD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44637</v>
      </c>
      <c r="E86" s="1" t="n">
        <v>46284</v>
      </c>
      <c r="F86" t="inlineStr">
        <is>
          <t>VÄRMLANDS LÄN</t>
        </is>
      </c>
      <c r="G86" t="inlineStr">
        <is>
          <t>FILIPSTAD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25737-2023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45090</v>
      </c>
      <c r="E87" s="1" t="n">
        <v>46284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46284</v>
      </c>
      <c r="F88" t="inlineStr">
        <is>
          <t>VÄRMLANDS LÄN</t>
        </is>
      </c>
      <c r="G88" t="inlineStr">
        <is>
          <t>FILIPSTAD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44963</v>
      </c>
      <c r="E89" s="1" t="n">
        <v>46284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46284</v>
      </c>
      <c r="F90" t="inlineStr">
        <is>
          <t>VÄRMLANDS LÄN</t>
        </is>
      </c>
      <c r="G90" t="inlineStr">
        <is>
          <t>FILIPSTAD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46284</v>
      </c>
      <c r="F91" t="inlineStr">
        <is>
          <t>VÄRMLANDS LÄN</t>
        </is>
      </c>
      <c r="G91" t="inlineStr">
        <is>
          <t>FILIPSTAD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46284</v>
      </c>
      <c r="F92" t="inlineStr">
        <is>
          <t>VÄRMLANDS LÄN</t>
        </is>
      </c>
      <c r="G92" t="inlineStr">
        <is>
          <t>FILIPSTAD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46284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46284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14582-2025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45742</v>
      </c>
      <c r="E95" s="1" t="n">
        <v>46284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46284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45471</v>
      </c>
      <c r="E97" s="1" t="n">
        <v>46284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46284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46284</v>
      </c>
      <c r="F99" t="inlineStr">
        <is>
          <t>VÄRMLANDS LÄN</t>
        </is>
      </c>
      <c r="G99" t="inlineStr">
        <is>
          <t>FILIPSTAD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44889</v>
      </c>
      <c r="E100" s="1" t="n">
        <v>46284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46284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16103-2025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45750</v>
      </c>
      <c r="E102" s="1" t="n">
        <v>46284</v>
      </c>
      <c r="F102" t="inlineStr">
        <is>
          <t>VÄRMLANDS LÄN</t>
        </is>
      </c>
      <c r="G102" t="inlineStr">
        <is>
          <t>FILIPSTAD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46284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46284</v>
      </c>
      <c r="F104" t="inlineStr">
        <is>
          <t>VÄRMLANDS LÄN</t>
        </is>
      </c>
      <c r="G104" t="inlineStr">
        <is>
          <t>FILIPSTAD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46284</v>
      </c>
      <c r="F105" t="inlineStr">
        <is>
          <t>VÄRMLANDS LÄN</t>
        </is>
      </c>
      <c r="G105" t="inlineStr">
        <is>
          <t>FILIPSTAD</t>
        </is>
      </c>
      <c r="H105" t="inlineStr">
        <is>
          <t>Kyrkan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45453</v>
      </c>
      <c r="E106" s="1" t="n">
        <v>46284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46284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46284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45153</v>
      </c>
      <c r="E109" s="1" t="n">
        <v>46284</v>
      </c>
      <c r="F109" t="inlineStr">
        <is>
          <t>VÄRMLANDS LÄN</t>
        </is>
      </c>
      <c r="G109" t="inlineStr">
        <is>
          <t>FILIPSTAD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46284</v>
      </c>
      <c r="F110" t="inlineStr">
        <is>
          <t>VÄRMLANDS LÄN</t>
        </is>
      </c>
      <c r="G110" t="inlineStr">
        <is>
          <t>FILIPSTAD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46284</v>
      </c>
      <c r="F111" t="inlineStr">
        <is>
          <t>VÄRMLANDS LÄN</t>
        </is>
      </c>
      <c r="G111" t="inlineStr">
        <is>
          <t>FILIPSTAD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46284</v>
      </c>
      <c r="F112" t="inlineStr">
        <is>
          <t>VÄRMLANDS LÄN</t>
        </is>
      </c>
      <c r="G112" t="inlineStr">
        <is>
          <t>FILIPSTAD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46284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44867</v>
      </c>
      <c r="E114" s="1" t="n">
        <v>46284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46284</v>
      </c>
      <c r="F115" t="inlineStr">
        <is>
          <t>VÄRMLANDS LÄN</t>
        </is>
      </c>
      <c r="G115" t="inlineStr">
        <is>
          <t>FILIPSTAD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46284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46284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46284</v>
      </c>
      <c r="F118" t="inlineStr">
        <is>
          <t>VÄRMLANDS LÄN</t>
        </is>
      </c>
      <c r="G118" t="inlineStr">
        <is>
          <t>FILIPSTAD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46284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46284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29825-2023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45107</v>
      </c>
      <c r="E121" s="1" t="n">
        <v>46284</v>
      </c>
      <c r="F121" t="inlineStr">
        <is>
          <t>VÄRMLANDS LÄN</t>
        </is>
      </c>
      <c r="G121" t="inlineStr">
        <is>
          <t>FILIPSTAD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46284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46284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46284</v>
      </c>
      <c r="F124" t="inlineStr">
        <is>
          <t>VÄRMLANDS LÄN</t>
        </is>
      </c>
      <c r="G124" t="inlineStr">
        <is>
          <t>FILIPSTAD</t>
        </is>
      </c>
      <c r="H124" t="inlineStr">
        <is>
          <t>Kyrkan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45114</v>
      </c>
      <c r="E125" s="1" t="n">
        <v>46284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46284</v>
      </c>
      <c r="F126" t="inlineStr">
        <is>
          <t>VÄRMLANDS LÄN</t>
        </is>
      </c>
      <c r="G126" t="inlineStr">
        <is>
          <t>FILIPSTAD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46284</v>
      </c>
      <c r="F127" t="inlineStr">
        <is>
          <t>VÄRMLANDS LÄN</t>
        </is>
      </c>
      <c r="G127" t="inlineStr">
        <is>
          <t>FILIPSTAD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46284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46284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46284</v>
      </c>
      <c r="F130" t="inlineStr">
        <is>
          <t>VÄRMLANDS LÄN</t>
        </is>
      </c>
      <c r="G130" t="inlineStr">
        <is>
          <t>FILIPSTAD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22830-2023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45072</v>
      </c>
      <c r="E131" s="1" t="n">
        <v>46284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22866-2023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45072</v>
      </c>
      <c r="E132" s="1" t="n">
        <v>46284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46284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46284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45271</v>
      </c>
      <c r="E135" s="1" t="n">
        <v>46284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40244-2023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46284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46284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45790</v>
      </c>
      <c r="E138" s="1" t="n">
        <v>46284</v>
      </c>
      <c r="F138" t="inlineStr">
        <is>
          <t>VÄRMLANDS LÄN</t>
        </is>
      </c>
      <c r="G138" t="inlineStr">
        <is>
          <t>FILIPSTAD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46284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46284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46284</v>
      </c>
      <c r="F141" t="inlineStr">
        <is>
          <t>VÄRMLANDS LÄN</t>
        </is>
      </c>
      <c r="G141" t="inlineStr">
        <is>
          <t>FILIPSTAD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46284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46284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22558-2025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45789</v>
      </c>
      <c r="E144" s="1" t="n">
        <v>46284</v>
      </c>
      <c r="F144" t="inlineStr">
        <is>
          <t>VÄRMLANDS LÄN</t>
        </is>
      </c>
      <c r="G144" t="inlineStr">
        <is>
          <t>FILIPSTAD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19351-2025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45769</v>
      </c>
      <c r="E145" s="1" t="n">
        <v>46284</v>
      </c>
      <c r="F145" t="inlineStr">
        <is>
          <t>VÄRMLANDS LÄN</t>
        </is>
      </c>
      <c r="G145" t="inlineStr">
        <is>
          <t>FILIPSTAD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46284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45902</v>
      </c>
      <c r="E147" s="1" t="n">
        <v>46284</v>
      </c>
      <c r="F147" t="inlineStr">
        <is>
          <t>VÄRMLANDS LÄN</t>
        </is>
      </c>
      <c r="G147" t="inlineStr">
        <is>
          <t>FILIPSTAD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46284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46284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46284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46284</v>
      </c>
      <c r="F151" t="inlineStr">
        <is>
          <t>VÄRMLANDS LÄN</t>
        </is>
      </c>
      <c r="G151" t="inlineStr">
        <is>
          <t>FILIPSTAD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46284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46284</v>
      </c>
      <c r="F153" t="inlineStr">
        <is>
          <t>VÄRMLANDS LÄN</t>
        </is>
      </c>
      <c r="G153" t="inlineStr">
        <is>
          <t>FILIPSTAD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49602-2025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46284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46284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46284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46284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46284</v>
      </c>
      <c r="F158" t="inlineStr">
        <is>
          <t>VÄRMLANDS LÄN</t>
        </is>
      </c>
      <c r="G158" t="inlineStr">
        <is>
          <t>FILIPSTAD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45407</v>
      </c>
      <c r="E159" s="1" t="n">
        <v>46284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46284</v>
      </c>
      <c r="F160" t="inlineStr">
        <is>
          <t>VÄRMLANDS LÄN</t>
        </is>
      </c>
      <c r="G160" t="inlineStr">
        <is>
          <t>FILIPSTAD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36272-2025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45867</v>
      </c>
      <c r="E161" s="1" t="n">
        <v>46284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46284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45456</v>
      </c>
      <c r="E163" s="1" t="n">
        <v>46284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45880</v>
      </c>
      <c r="E164" s="1" t="n">
        <v>46284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20554-2025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45775</v>
      </c>
      <c r="E165" s="1" t="n">
        <v>46284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46284</v>
      </c>
      <c r="F166" t="inlineStr">
        <is>
          <t>VÄRMLANDS LÄN</t>
        </is>
      </c>
      <c r="G166" t="inlineStr">
        <is>
          <t>FILIPSTAD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46284</v>
      </c>
      <c r="F167" t="inlineStr">
        <is>
          <t>VÄRMLANDS LÄN</t>
        </is>
      </c>
      <c r="G167" t="inlineStr">
        <is>
          <t>FILIPSTAD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46284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46284</v>
      </c>
      <c r="F169" t="inlineStr">
        <is>
          <t>VÄRMLANDS LÄN</t>
        </is>
      </c>
      <c r="G169" t="inlineStr">
        <is>
          <t>FILIPSTAD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46284</v>
      </c>
      <c r="F170" t="inlineStr">
        <is>
          <t>VÄRMLANDS LÄN</t>
        </is>
      </c>
      <c r="G170" t="inlineStr">
        <is>
          <t>FILIPSTAD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46282-2025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46284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46284</v>
      </c>
      <c r="F172" t="inlineStr">
        <is>
          <t>VÄRMLANDS LÄN</t>
        </is>
      </c>
      <c r="G172" t="inlineStr">
        <is>
          <t>FILIPSTAD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46284</v>
      </c>
      <c r="F173" t="inlineStr">
        <is>
          <t>VÄRMLANDS LÄN</t>
        </is>
      </c>
      <c r="G173" t="inlineStr">
        <is>
          <t>FILIPSTAD</t>
        </is>
      </c>
      <c r="H173" t="inlineStr">
        <is>
          <t>Kommuner</t>
        </is>
      </c>
      <c r="I173" t="n">
        <v>17.7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46284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45253</v>
      </c>
      <c r="E175" s="1" t="n">
        <v>46284</v>
      </c>
      <c r="F175" t="inlineStr">
        <is>
          <t>VÄRMLANDS LÄN</t>
        </is>
      </c>
      <c r="G175" t="inlineStr">
        <is>
          <t>FILIPSTAD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56840-2024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45628</v>
      </c>
      <c r="E176" s="1" t="n">
        <v>46284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46284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46284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46284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46142</v>
      </c>
      <c r="E180" s="1" t="n">
        <v>46284</v>
      </c>
      <c r="F180" t="inlineStr">
        <is>
          <t>VÄRMLANDS LÄN</t>
        </is>
      </c>
      <c r="G180" t="inlineStr">
        <is>
          <t>FILIPSTAD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46284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45087</v>
      </c>
      <c r="E182" s="1" t="n">
        <v>46284</v>
      </c>
      <c r="F182" t="inlineStr">
        <is>
          <t>VÄRMLANDS LÄN</t>
        </is>
      </c>
      <c r="G182" t="inlineStr">
        <is>
          <t>FILIPSTAD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45088</v>
      </c>
      <c r="E183" s="1" t="n">
        <v>46284</v>
      </c>
      <c r="F183" t="inlineStr">
        <is>
          <t>VÄRMLANDS LÄN</t>
        </is>
      </c>
      <c r="G183" t="inlineStr">
        <is>
          <t>FILIPSTAD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45932</v>
      </c>
      <c r="E184" s="1" t="n">
        <v>46284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48103-2025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45933</v>
      </c>
      <c r="E185" s="1" t="n">
        <v>46284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46284</v>
      </c>
      <c r="F186" t="inlineStr">
        <is>
          <t>VÄRMLANDS LÄN</t>
        </is>
      </c>
      <c r="G186" t="inlineStr">
        <is>
          <t>FILIPSTAD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45167</v>
      </c>
      <c r="E187" s="1" t="n">
        <v>46284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44911</v>
      </c>
      <c r="E188" s="1" t="n">
        <v>46284</v>
      </c>
      <c r="F188" t="inlineStr">
        <is>
          <t>VÄRMLANDS LÄN</t>
        </is>
      </c>
      <c r="G188" t="inlineStr">
        <is>
          <t>FILIPSTAD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46148</v>
      </c>
      <c r="E189" s="1" t="n">
        <v>46284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46284</v>
      </c>
      <c r="F190" t="inlineStr">
        <is>
          <t>VÄRMLANDS LÄN</t>
        </is>
      </c>
      <c r="G190" t="inlineStr">
        <is>
          <t>FILIPSTAD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28161-2023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45093</v>
      </c>
      <c r="E191" s="1" t="n">
        <v>46284</v>
      </c>
      <c r="F191" t="inlineStr">
        <is>
          <t>VÄRMLANDS LÄN</t>
        </is>
      </c>
      <c r="G191" t="inlineStr">
        <is>
          <t>FILIPSTAD</t>
        </is>
      </c>
      <c r="H191" t="inlineStr">
        <is>
          <t>Kommuner</t>
        </is>
      </c>
      <c r="I191" t="n">
        <v>15.4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46284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46284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46284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46153</v>
      </c>
      <c r="E195" s="1" t="n">
        <v>46284</v>
      </c>
      <c r="F195" t="inlineStr">
        <is>
          <t>VÄRMLANDS LÄN</t>
        </is>
      </c>
      <c r="G195" t="inlineStr">
        <is>
          <t>FILIPSTAD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46284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46284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45436</v>
      </c>
      <c r="E198" s="1" t="n">
        <v>46284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46284</v>
      </c>
      <c r="F199" t="inlineStr">
        <is>
          <t>VÄRMLANDS LÄN</t>
        </is>
      </c>
      <c r="G199" t="inlineStr">
        <is>
          <t>FILIPSTAD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46284</v>
      </c>
      <c r="F200" t="inlineStr">
        <is>
          <t>VÄRMLANDS LÄN</t>
        </is>
      </c>
      <c r="G200" t="inlineStr">
        <is>
          <t>FILIPSTAD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46153</v>
      </c>
      <c r="E201" s="1" t="n">
        <v>46284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46153</v>
      </c>
      <c r="E202" s="1" t="n">
        <v>46284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46153</v>
      </c>
      <c r="E203" s="1" t="n">
        <v>46284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46284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46153</v>
      </c>
      <c r="E205" s="1" t="n">
        <v>46284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46284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46153</v>
      </c>
      <c r="E207" s="1" t="n">
        <v>46284</v>
      </c>
      <c r="F207" t="inlineStr">
        <is>
          <t>VÄRMLANDS LÄN</t>
        </is>
      </c>
      <c r="G207" t="inlineStr">
        <is>
          <t>FILIPSTAD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46153</v>
      </c>
      <c r="E208" s="1" t="n">
        <v>46284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46284</v>
      </c>
      <c r="F209" t="inlineStr">
        <is>
          <t>VÄRMLANDS LÄN</t>
        </is>
      </c>
      <c r="G209" t="inlineStr">
        <is>
          <t>FILIPSTAD</t>
        </is>
      </c>
      <c r="H209" t="inlineStr">
        <is>
          <t>Kyrkan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22115-2026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46153</v>
      </c>
      <c r="E210" s="1" t="n">
        <v>46284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46284</v>
      </c>
      <c r="F211" t="inlineStr">
        <is>
          <t>VÄRMLANDS LÄN</t>
        </is>
      </c>
      <c r="G211" t="inlineStr">
        <is>
          <t>FILIPSTAD</t>
        </is>
      </c>
      <c r="H211" t="inlineStr">
        <is>
          <t>Kyrkan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22138-2026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46284</v>
      </c>
      <c r="F212" t="inlineStr">
        <is>
          <t>VÄRMLANDS LÄN</t>
        </is>
      </c>
      <c r="G212" t="inlineStr">
        <is>
          <t>FILIPSTAD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46284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46284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46284</v>
      </c>
      <c r="F215" t="inlineStr">
        <is>
          <t>VÄRMLANDS LÄN</t>
        </is>
      </c>
      <c r="G215" t="inlineStr">
        <is>
          <t>FILIPSTAD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53649-2025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46284</v>
      </c>
      <c r="F216" t="inlineStr">
        <is>
          <t>VÄRMLANDS LÄN</t>
        </is>
      </c>
      <c r="G216" t="inlineStr">
        <is>
          <t>FILIPSTAD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46284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46284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45428</v>
      </c>
      <c r="E219" s="1" t="n">
        <v>46284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46284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36251-2022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44803</v>
      </c>
      <c r="E221" s="1" t="n">
        <v>46284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46284</v>
      </c>
      <c r="F222" t="inlineStr">
        <is>
          <t>VÄRMLANDS LÄN</t>
        </is>
      </c>
      <c r="G222" t="inlineStr">
        <is>
          <t>FILIPSTAD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45968</v>
      </c>
      <c r="E223" s="1" t="n">
        <v>46284</v>
      </c>
      <c r="F223" t="inlineStr">
        <is>
          <t>VÄRMLANDS LÄN</t>
        </is>
      </c>
      <c r="G223" t="inlineStr">
        <is>
          <t>FILIPSTAD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45364</v>
      </c>
      <c r="E224" s="1" t="n">
        <v>46284</v>
      </c>
      <c r="F224" t="inlineStr">
        <is>
          <t>VÄRMLANDS LÄN</t>
        </is>
      </c>
      <c r="G224" t="inlineStr">
        <is>
          <t>FILIPSTAD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45658</v>
      </c>
      <c r="E225" s="1" t="n">
        <v>46284</v>
      </c>
      <c r="F225" t="inlineStr">
        <is>
          <t>VÄRMLANDS LÄN</t>
        </is>
      </c>
      <c r="G225" t="inlineStr">
        <is>
          <t>FILIPSTAD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46284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46284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46284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9.199999999999999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46284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46284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46284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46284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46284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46284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56083-2025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46284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46284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45401</v>
      </c>
      <c r="E237" s="1" t="n">
        <v>46284</v>
      </c>
      <c r="F237" t="inlineStr">
        <is>
          <t>VÄRMLANDS LÄN</t>
        </is>
      </c>
      <c r="G237" t="inlineStr">
        <is>
          <t>FILIPSTAD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45618</v>
      </c>
      <c r="E238" s="1" t="n">
        <v>46284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45384</v>
      </c>
      <c r="E239" s="1" t="n">
        <v>46284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46284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46284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46284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46284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46284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46284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18.8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54828-2023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45229</v>
      </c>
      <c r="E246" s="1" t="n">
        <v>46284</v>
      </c>
      <c r="F246" t="inlineStr">
        <is>
          <t>VÄRMLANDS LÄN</t>
        </is>
      </c>
      <c r="G246" t="inlineStr">
        <is>
          <t>FILIPSTAD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45484</v>
      </c>
      <c r="E247" s="1" t="n">
        <v>46284</v>
      </c>
      <c r="F247" t="inlineStr">
        <is>
          <t>VÄRMLANDS LÄN</t>
        </is>
      </c>
      <c r="G247" t="inlineStr">
        <is>
          <t>FILIPSTAD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45327</v>
      </c>
      <c r="E248" s="1" t="n">
        <v>46284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9.300000000000001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46284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46284</v>
      </c>
      <c r="F250" t="inlineStr">
        <is>
          <t>VÄRMLANDS LÄN</t>
        </is>
      </c>
      <c r="G250" t="inlineStr">
        <is>
          <t>FILIPSTAD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45981</v>
      </c>
      <c r="E251" s="1" t="n">
        <v>46284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45982</v>
      </c>
      <c r="E252" s="1" t="n">
        <v>46284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46284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46284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46284</v>
      </c>
      <c r="F255" t="inlineStr">
        <is>
          <t>VÄRMLANDS LÄN</t>
        </is>
      </c>
      <c r="G255" t="inlineStr">
        <is>
          <t>FILIPSTAD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46284</v>
      </c>
      <c r="F256" t="inlineStr">
        <is>
          <t>VÄRMLANDS LÄN</t>
        </is>
      </c>
      <c r="G256" t="inlineStr">
        <is>
          <t>FILIPSTAD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46284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46284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45989</v>
      </c>
      <c r="E259" s="1" t="n">
        <v>46284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45989</v>
      </c>
      <c r="E260" s="1" t="n">
        <v>46284</v>
      </c>
      <c r="F260" t="inlineStr">
        <is>
          <t>VÄRMLANDS LÄN</t>
        </is>
      </c>
      <c r="G260" t="inlineStr">
        <is>
          <t>FILIPSTAD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45992</v>
      </c>
      <c r="E261" s="1" t="n">
        <v>46284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45602</v>
      </c>
      <c r="E262" s="1" t="n">
        <v>46284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46284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46284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46284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46284</v>
      </c>
      <c r="F266" t="inlineStr">
        <is>
          <t>VÄRMLANDS LÄN</t>
        </is>
      </c>
      <c r="G266" t="inlineStr">
        <is>
          <t>FILIPSTAD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46284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46284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45391</v>
      </c>
      <c r="E269" s="1" t="n">
        <v>46284</v>
      </c>
      <c r="F269" t="inlineStr">
        <is>
          <t>VÄRMLANDS LÄN</t>
        </is>
      </c>
      <c r="G269" t="inlineStr">
        <is>
          <t>FILIPSTAD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70405-2021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44536</v>
      </c>
      <c r="E270" s="1" t="n">
        <v>46284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44579</v>
      </c>
      <c r="E271" s="1" t="n">
        <v>46284</v>
      </c>
      <c r="F271" t="inlineStr">
        <is>
          <t>VÄRMLANDS LÄN</t>
        </is>
      </c>
      <c r="G271" t="inlineStr">
        <is>
          <t>FILIPSTAD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23514-2026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46284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46284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46284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46284</v>
      </c>
      <c r="F275" t="inlineStr">
        <is>
          <t>VÄRMLANDS LÄN</t>
        </is>
      </c>
      <c r="G275" t="inlineStr">
        <is>
          <t>FILIPSTAD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46284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46284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61628-2022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46284</v>
      </c>
      <c r="F278" t="inlineStr">
        <is>
          <t>VÄRMLANDS LÄN</t>
        </is>
      </c>
      <c r="G278" t="inlineStr">
        <is>
          <t>FILIPSTAD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46284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60550-2025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46284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46284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46284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60653-2025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46284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46284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46284</v>
      </c>
      <c r="F285" t="inlineStr">
        <is>
          <t>VÄRMLANDS LÄN</t>
        </is>
      </c>
      <c r="G285" t="inlineStr">
        <is>
          <t>FILIPSTAD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46284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61492-2025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46001</v>
      </c>
      <c r="E287" s="1" t="n">
        <v>46284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46284</v>
      </c>
      <c r="F288" t="inlineStr">
        <is>
          <t>VÄRMLANDS LÄN</t>
        </is>
      </c>
      <c r="G288" t="inlineStr">
        <is>
          <t>FILIPSTAD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46284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46284</v>
      </c>
      <c r="F290" t="inlineStr">
        <is>
          <t>VÄRMLANDS LÄN</t>
        </is>
      </c>
      <c r="G290" t="inlineStr">
        <is>
          <t>FILIPSTAD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46284</v>
      </c>
      <c r="F291" t="inlineStr">
        <is>
          <t>VÄRMLANDS LÄN</t>
        </is>
      </c>
      <c r="G291" t="inlineStr">
        <is>
          <t>FILIPSTAD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61417-2025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46001</v>
      </c>
      <c r="E292" s="1" t="n">
        <v>46284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24026-2026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46284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46284</v>
      </c>
      <c r="F294" t="inlineStr">
        <is>
          <t>VÄRMLANDS LÄN</t>
        </is>
      </c>
      <c r="G294" t="inlineStr">
        <is>
          <t>FILIPSTAD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61327-2025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46001</v>
      </c>
      <c r="E295" s="1" t="n">
        <v>46284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61823-2025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46003</v>
      </c>
      <c r="E296" s="1" t="n">
        <v>46284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46284</v>
      </c>
      <c r="F297" t="inlineStr">
        <is>
          <t>VÄRMLANDS LÄN</t>
        </is>
      </c>
      <c r="G297" t="inlineStr">
        <is>
          <t>FILIPSTAD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46284</v>
      </c>
      <c r="F298" t="inlineStr">
        <is>
          <t>VÄRMLANDS LÄN</t>
        </is>
      </c>
      <c r="G298" t="inlineStr">
        <is>
          <t>FILIPSTAD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46284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46284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46284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61793-2025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46284</v>
      </c>
      <c r="F302" t="inlineStr">
        <is>
          <t>VÄRMLANDS LÄN</t>
        </is>
      </c>
      <c r="G302" t="inlineStr">
        <is>
          <t>FILIPSTAD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46284</v>
      </c>
      <c r="F303" t="inlineStr">
        <is>
          <t>VÄRMLANDS LÄN</t>
        </is>
      </c>
      <c r="G303" t="inlineStr">
        <is>
          <t>FILIPSTAD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46284</v>
      </c>
      <c r="F304" t="inlineStr">
        <is>
          <t>VÄRMLANDS LÄN</t>
        </is>
      </c>
      <c r="G304" t="inlineStr">
        <is>
          <t>FILIPSTAD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44789</v>
      </c>
      <c r="E305" s="1" t="n">
        <v>46284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46284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46284</v>
      </c>
      <c r="F307" t="inlineStr">
        <is>
          <t>VÄRMLANDS LÄN</t>
        </is>
      </c>
      <c r="G307" t="inlineStr">
        <is>
          <t>FILIPSTAD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36827-2022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46284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46284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46284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45202</v>
      </c>
      <c r="E311" s="1" t="n">
        <v>46284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46284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46284</v>
      </c>
      <c r="F313" t="inlineStr">
        <is>
          <t>VÄRMLANDS LÄN</t>
        </is>
      </c>
      <c r="G313" t="inlineStr">
        <is>
          <t>FILIPSTAD</t>
        </is>
      </c>
      <c r="I313" t="n">
        <v>15.5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46284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46004</v>
      </c>
      <c r="E315" s="1" t="n">
        <v>46284</v>
      </c>
      <c r="F315" t="inlineStr">
        <is>
          <t>VÄRMLANDS LÄN</t>
        </is>
      </c>
      <c r="G315" t="inlineStr">
        <is>
          <t>FILIPSTAD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46284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46284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45133</v>
      </c>
      <c r="E318" s="1" t="n">
        <v>46284</v>
      </c>
      <c r="F318" t="inlineStr">
        <is>
          <t>VÄRMLANDS LÄN</t>
        </is>
      </c>
      <c r="G318" t="inlineStr">
        <is>
          <t>FILIPSTAD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46004</v>
      </c>
      <c r="E319" s="1" t="n">
        <v>46284</v>
      </c>
      <c r="F319" t="inlineStr">
        <is>
          <t>VÄRMLANDS LÄN</t>
        </is>
      </c>
      <c r="G319" t="inlineStr">
        <is>
          <t>FILIPSTAD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45456</v>
      </c>
      <c r="E320" s="1" t="n">
        <v>46284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54008-2021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46284</v>
      </c>
      <c r="F321" t="inlineStr">
        <is>
          <t>VÄRMLANDS LÄN</t>
        </is>
      </c>
      <c r="G321" t="inlineStr">
        <is>
          <t>FILIPSTAD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46284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46284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46014</v>
      </c>
      <c r="E324" s="1" t="n">
        <v>46284</v>
      </c>
      <c r="F324" t="inlineStr">
        <is>
          <t>VÄRMLANDS LÄN</t>
        </is>
      </c>
      <c r="G324" t="inlineStr">
        <is>
          <t>FILIPSTAD</t>
        </is>
      </c>
      <c r="I324" t="n">
        <v>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24291-2026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46169</v>
      </c>
      <c r="E325" s="1" t="n">
        <v>46284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46169</v>
      </c>
      <c r="E326" s="1" t="n">
        <v>46284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46257-2022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44847</v>
      </c>
      <c r="E327" s="1" t="n">
        <v>46284</v>
      </c>
      <c r="F327" t="inlineStr">
        <is>
          <t>VÄRMLANDS LÄN</t>
        </is>
      </c>
      <c r="G327" t="inlineStr">
        <is>
          <t>FILIPSTAD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49935-2025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45940</v>
      </c>
      <c r="E328" s="1" t="n">
        <v>46284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46284</v>
      </c>
      <c r="F329" t="inlineStr">
        <is>
          <t>VÄRMLANDS LÄN</t>
        </is>
      </c>
      <c r="G329" t="inlineStr">
        <is>
          <t>FILIPSTAD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46284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46284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46284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46284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45077</v>
      </c>
      <c r="E334" s="1" t="n">
        <v>46284</v>
      </c>
      <c r="F334" t="inlineStr">
        <is>
          <t>VÄRMLANDS LÄN</t>
        </is>
      </c>
      <c r="G334" t="inlineStr">
        <is>
          <t>FILIPSTAD</t>
        </is>
      </c>
      <c r="I334" t="n">
        <v>15.8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44960</v>
      </c>
      <c r="E335" s="1" t="n">
        <v>46284</v>
      </c>
      <c r="F335" t="inlineStr">
        <is>
          <t>VÄRMLANDS LÄN</t>
        </is>
      </c>
      <c r="G335" t="inlineStr">
        <is>
          <t>FILIPSTAD</t>
        </is>
      </c>
      <c r="H335" t="inlineStr">
        <is>
          <t>Kommuner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29473-2024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45484</v>
      </c>
      <c r="E336" s="1" t="n">
        <v>46284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46284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44588</v>
      </c>
      <c r="E338" s="1" t="n">
        <v>46284</v>
      </c>
      <c r="F338" t="inlineStr">
        <is>
          <t>VÄRMLANDS LÄN</t>
        </is>
      </c>
      <c r="G338" t="inlineStr">
        <is>
          <t>FILIPSTAD</t>
        </is>
      </c>
      <c r="H338" t="inlineStr">
        <is>
          <t>Kommuner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46284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46284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46284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46284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58611-2025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45986</v>
      </c>
      <c r="E343" s="1" t="n">
        <v>46284</v>
      </c>
      <c r="F343" t="inlineStr">
        <is>
          <t>VÄRMLANDS LÄN</t>
        </is>
      </c>
      <c r="G343" t="inlineStr">
        <is>
          <t>FILIPSTAD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45063</v>
      </c>
      <c r="E344" s="1" t="n">
        <v>46284</v>
      </c>
      <c r="F344" t="inlineStr">
        <is>
          <t>VÄRMLANDS LÄN</t>
        </is>
      </c>
      <c r="G344" t="inlineStr">
        <is>
          <t>FILIPSTAD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46284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46284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45463</v>
      </c>
      <c r="E347" s="1" t="n">
        <v>46284</v>
      </c>
      <c r="F347" t="inlineStr">
        <is>
          <t>VÄRMLANDS LÄN</t>
        </is>
      </c>
      <c r="G347" t="inlineStr">
        <is>
          <t>FILIPSTAD</t>
        </is>
      </c>
      <c r="I347" t="n">
        <v>13.2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44579</v>
      </c>
      <c r="E348" s="1" t="n">
        <v>46284</v>
      </c>
      <c r="F348" t="inlineStr">
        <is>
          <t>VÄRMLANDS LÄN</t>
        </is>
      </c>
      <c r="G348" t="inlineStr">
        <is>
          <t>FILIPSTAD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46040</v>
      </c>
      <c r="E349" s="1" t="n">
        <v>46284</v>
      </c>
      <c r="F349" t="inlineStr">
        <is>
          <t>VÄRMLANDS LÄN</t>
        </is>
      </c>
      <c r="G349" t="inlineStr">
        <is>
          <t>FILIPSTAD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46284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16063-2025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45749</v>
      </c>
      <c r="E351" s="1" t="n">
        <v>46284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46284</v>
      </c>
      <c r="F352" t="inlineStr">
        <is>
          <t>VÄRMLANDS LÄN</t>
        </is>
      </c>
      <c r="G352" t="inlineStr">
        <is>
          <t>FILIPSTAD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46284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46284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45578</v>
      </c>
      <c r="E355" s="1" t="n">
        <v>46284</v>
      </c>
      <c r="F355" t="inlineStr">
        <is>
          <t>VÄRMLANDS LÄN</t>
        </is>
      </c>
      <c r="G355" t="inlineStr">
        <is>
          <t>FILIPSTAD</t>
        </is>
      </c>
      <c r="I355" t="n">
        <v>27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46284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46284</v>
      </c>
      <c r="F357" t="inlineStr">
        <is>
          <t>VÄRMLANDS LÄN</t>
        </is>
      </c>
      <c r="G357" t="inlineStr">
        <is>
          <t>FILIPSTAD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45240</v>
      </c>
      <c r="E358" s="1" t="n">
        <v>46284</v>
      </c>
      <c r="F358" t="inlineStr">
        <is>
          <t>VÄRMLANDS LÄN</t>
        </is>
      </c>
      <c r="G358" t="inlineStr">
        <is>
          <t>FILIPSTAD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46284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46284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45202</v>
      </c>
      <c r="E361" s="1" t="n">
        <v>46284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46284</v>
      </c>
      <c r="F362" t="inlineStr">
        <is>
          <t>VÄRMLANDS LÄN</t>
        </is>
      </c>
      <c r="G362" t="inlineStr">
        <is>
          <t>FILIPSTAD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46284</v>
      </c>
      <c r="F363" t="inlineStr">
        <is>
          <t>VÄRMLANDS LÄN</t>
        </is>
      </c>
      <c r="G363" t="inlineStr">
        <is>
          <t>FILIPSTAD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46284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46284</v>
      </c>
      <c r="F365" t="inlineStr">
        <is>
          <t>VÄRMLANDS LÄN</t>
        </is>
      </c>
      <c r="G365" t="inlineStr">
        <is>
          <t>FILIPSTAD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46284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46284</v>
      </c>
      <c r="F367" t="inlineStr">
        <is>
          <t>VÄRMLANDS LÄN</t>
        </is>
      </c>
      <c r="G367" t="inlineStr">
        <is>
          <t>FILIPSTAD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46284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46284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26211-2026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46284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45616</v>
      </c>
      <c r="E371" s="1" t="n">
        <v>46284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46284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46284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46284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46284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55397-2022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44887</v>
      </c>
      <c r="E376" s="1" t="n">
        <v>46284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46284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46284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46284</v>
      </c>
      <c r="F379" t="inlineStr">
        <is>
          <t>VÄRMLANDS LÄN</t>
        </is>
      </c>
      <c r="G379" t="inlineStr">
        <is>
          <t>FILIPSTAD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46284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46284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46284</v>
      </c>
      <c r="F382" t="inlineStr">
        <is>
          <t>VÄRMLANDS LÄN</t>
        </is>
      </c>
      <c r="G382" t="inlineStr">
        <is>
          <t>FILIPSTAD</t>
        </is>
      </c>
      <c r="H382" t="inlineStr">
        <is>
          <t>Kyrkan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46183</v>
      </c>
      <c r="E383" s="1" t="n">
        <v>46284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4819-2023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44957</v>
      </c>
      <c r="E384" s="1" t="n">
        <v>46284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46188</v>
      </c>
      <c r="E385" s="1" t="n">
        <v>46284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46187</v>
      </c>
      <c r="E386" s="1" t="n">
        <v>46284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46284</v>
      </c>
      <c r="F387" t="inlineStr">
        <is>
          <t>VÄRMLANDS LÄN</t>
        </is>
      </c>
      <c r="G387" t="inlineStr">
        <is>
          <t>FILIPSTAD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46284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46087</v>
      </c>
      <c r="E389" s="1" t="n">
        <v>46284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32185-2024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45511</v>
      </c>
      <c r="E390" s="1" t="n">
        <v>46284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5754-2022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44596</v>
      </c>
      <c r="E391" s="1" t="n">
        <v>46284</v>
      </c>
      <c r="F391" t="inlineStr">
        <is>
          <t>VÄRMLANDS LÄN</t>
        </is>
      </c>
      <c r="G391" t="inlineStr">
        <is>
          <t>FILIPSTAD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46284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45186</v>
      </c>
      <c r="E393" s="1" t="n">
        <v>46284</v>
      </c>
      <c r="F393" t="inlineStr">
        <is>
          <t>VÄRMLANDS LÄN</t>
        </is>
      </c>
      <c r="G393" t="inlineStr">
        <is>
          <t>FILIPSTAD</t>
        </is>
      </c>
      <c r="I393" t="n">
        <v>15.3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46186</v>
      </c>
      <c r="E394" s="1" t="n">
        <v>46284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46284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46284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46284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46094</v>
      </c>
      <c r="E398" s="1" t="n">
        <v>46284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8.9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46284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43633-2024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45569</v>
      </c>
      <c r="E400" s="1" t="n">
        <v>46284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46284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45114</v>
      </c>
      <c r="E402" s="1" t="n">
        <v>46284</v>
      </c>
      <c r="F402" t="inlineStr">
        <is>
          <t>VÄRMLANDS LÄN</t>
        </is>
      </c>
      <c r="G402" t="inlineStr">
        <is>
          <t>FILIPSTAD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45244</v>
      </c>
      <c r="E403" s="1" t="n">
        <v>46284</v>
      </c>
      <c r="F403" t="inlineStr">
        <is>
          <t>VÄRMLANDS LÄN</t>
        </is>
      </c>
      <c r="G403" t="inlineStr">
        <is>
          <t>FILIPSTAD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46284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46284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45583</v>
      </c>
      <c r="E406" s="1" t="n">
        <v>46284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46284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46284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46284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19030-2022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44691</v>
      </c>
      <c r="E410" s="1" t="n">
        <v>46284</v>
      </c>
      <c r="F410" t="inlineStr">
        <is>
          <t>VÄRMLANDS LÄN</t>
        </is>
      </c>
      <c r="G410" t="inlineStr">
        <is>
          <t>FILIPSTAD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46284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46284</v>
      </c>
      <c r="F412" t="inlineStr">
        <is>
          <t>VÄRMLANDS LÄN</t>
        </is>
      </c>
      <c r="G412" t="inlineStr">
        <is>
          <t>FILIPSTAD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46100</v>
      </c>
      <c r="E413" s="1" t="n">
        <v>46284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45947</v>
      </c>
      <c r="E414" s="1" t="n">
        <v>46284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46284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46284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46284</v>
      </c>
      <c r="F417" t="inlineStr">
        <is>
          <t>VÄRMLANDS LÄN</t>
        </is>
      </c>
      <c r="G417" t="inlineStr">
        <is>
          <t>FILIPSTAD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48908-2023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45195</v>
      </c>
      <c r="E418" s="1" t="n">
        <v>46284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46284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46284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46284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6.7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46284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46284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46284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28516-2026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46284</v>
      </c>
      <c r="F425" t="inlineStr">
        <is>
          <t>VÄRMLANDS LÄN</t>
        </is>
      </c>
      <c r="G425" t="inlineStr">
        <is>
          <t>FILIPSTAD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62013-2024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45655</v>
      </c>
      <c r="E426" s="1" t="n">
        <v>46284</v>
      </c>
      <c r="F426" t="inlineStr">
        <is>
          <t>VÄRMLANDS LÄN</t>
        </is>
      </c>
      <c r="G426" t="inlineStr">
        <is>
          <t>FILIPSTAD</t>
        </is>
      </c>
      <c r="I426" t="n">
        <v>26.5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62014-2024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45655</v>
      </c>
      <c r="E427" s="1" t="n">
        <v>46284</v>
      </c>
      <c r="F427" t="inlineStr">
        <is>
          <t>VÄRMLANDS LÄN</t>
        </is>
      </c>
      <c r="G427" t="inlineStr">
        <is>
          <t>FILIPSTAD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46284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46284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46107</v>
      </c>
      <c r="E430" s="1" t="n">
        <v>46284</v>
      </c>
      <c r="F430" t="inlineStr">
        <is>
          <t>VÄRMLANDS LÄN</t>
        </is>
      </c>
      <c r="G430" t="inlineStr">
        <is>
          <t>FILIPSTAD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16050-2026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46284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16040-2026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46108</v>
      </c>
      <c r="E432" s="1" t="n">
        <v>46284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1170-2023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44935</v>
      </c>
      <c r="E433" s="1" t="n">
        <v>46284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46114</v>
      </c>
      <c r="E434" s="1" t="n">
        <v>46284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46284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46284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17278-2026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46284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46284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46284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46284</v>
      </c>
      <c r="F440" t="inlineStr">
        <is>
          <t>VÄRMLANDS LÄN</t>
        </is>
      </c>
      <c r="G440" t="inlineStr">
        <is>
          <t>FILIPSTAD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46284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46284</v>
      </c>
      <c r="F442" t="inlineStr">
        <is>
          <t>VÄRMLANDS LÄN</t>
        </is>
      </c>
      <c r="G442" t="inlineStr">
        <is>
          <t>FILIPSTAD</t>
        </is>
      </c>
      <c r="H442" t="inlineStr">
        <is>
          <t>Kommuner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46284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46284</v>
      </c>
      <c r="F444" t="inlineStr">
        <is>
          <t>VÄRMLANDS LÄN</t>
        </is>
      </c>
      <c r="G444" t="inlineStr">
        <is>
          <t>FILIPSTAD</t>
        </is>
      </c>
      <c r="H444" t="inlineStr">
        <is>
          <t>Kommuner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18022-2026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46284</v>
      </c>
      <c r="F445" t="inlineStr">
        <is>
          <t>VÄRMLANDS LÄN</t>
        </is>
      </c>
      <c r="G445" t="inlineStr">
        <is>
          <t>FILIPSTAD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46244</v>
      </c>
      <c r="E446" s="1" t="n">
        <v>46284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63411-2023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46284</v>
      </c>
      <c r="F447" t="inlineStr">
        <is>
          <t>VÄRMLANDS LÄN</t>
        </is>
      </c>
      <c r="G447" t="inlineStr">
        <is>
          <t>FILIPSTAD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46284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46284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46127</v>
      </c>
      <c r="E450" s="1" t="n">
        <v>46284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46245</v>
      </c>
      <c r="E451" s="1" t="n">
        <v>46284</v>
      </c>
      <c r="F451" t="inlineStr">
        <is>
          <t>VÄRMLANDS LÄN</t>
        </is>
      </c>
      <c r="G451" t="inlineStr">
        <is>
          <t>FILIPSTAD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46284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18892-2026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46284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46284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46284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45152</v>
      </c>
      <c r="E456" s="1" t="n">
        <v>46284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44951</v>
      </c>
      <c r="E457" s="1" t="n">
        <v>46284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46284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46284</v>
      </c>
      <c r="F459" t="inlineStr">
        <is>
          <t>VÄRMLANDS LÄN</t>
        </is>
      </c>
      <c r="G459" t="inlineStr">
        <is>
          <t>FILIPSTAD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46284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46284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46284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46284</v>
      </c>
      <c r="F463" t="inlineStr">
        <is>
          <t>VÄRMLANDS LÄN</t>
        </is>
      </c>
      <c r="G463" t="inlineStr">
        <is>
          <t>FILIPSTAD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46284</v>
      </c>
      <c r="F464" t="inlineStr">
        <is>
          <t>VÄRMLANDS LÄN</t>
        </is>
      </c>
      <c r="G464" t="inlineStr">
        <is>
          <t>FILIPSTAD</t>
        </is>
      </c>
      <c r="H464" t="inlineStr">
        <is>
          <t>Kommuner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46284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46284</v>
      </c>
      <c r="F466" t="inlineStr">
        <is>
          <t>VÄRMLANDS LÄN</t>
        </is>
      </c>
      <c r="G466" t="inlineStr">
        <is>
          <t>FILIPSTAD</t>
        </is>
      </c>
      <c r="I466" t="n">
        <v>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46284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46284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19361-2026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46284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46284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46284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46284</v>
      </c>
      <c r="F472" t="inlineStr">
        <is>
          <t>VÄRMLANDS LÄN</t>
        </is>
      </c>
      <c r="G472" t="inlineStr">
        <is>
          <t>FILIPSTAD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46284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45124</v>
      </c>
      <c r="E474" s="1" t="n">
        <v>46284</v>
      </c>
      <c r="F474" t="inlineStr">
        <is>
          <t>VÄRMLANDS LÄN</t>
        </is>
      </c>
      <c r="G474" t="inlineStr">
        <is>
          <t>FILIPSTAD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46247</v>
      </c>
      <c r="E475" s="1" t="n">
        <v>46284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46284</v>
      </c>
      <c r="F476" t="inlineStr">
        <is>
          <t>VÄRMLANDS LÄN</t>
        </is>
      </c>
      <c r="G476" t="inlineStr">
        <is>
          <t>FILIPSTAD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19882-2026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46284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46284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46284</v>
      </c>
      <c r="F479" t="inlineStr">
        <is>
          <t>VÄRMLANDS LÄN</t>
        </is>
      </c>
      <c r="G479" t="inlineStr">
        <is>
          <t>FILIPSTAD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46284</v>
      </c>
      <c r="F480" t="inlineStr">
        <is>
          <t>VÄRMLANDS LÄN</t>
        </is>
      </c>
      <c r="G480" t="inlineStr">
        <is>
          <t>FILIPSTAD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45592-2024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46284</v>
      </c>
      <c r="F481" t="inlineStr">
        <is>
          <t>VÄRMLANDS LÄN</t>
        </is>
      </c>
      <c r="G481" t="inlineStr">
        <is>
          <t>FILIPSTAD</t>
        </is>
      </c>
      <c r="H481" t="inlineStr">
        <is>
          <t>Kyrkan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43264-2024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46284</v>
      </c>
      <c r="F482" t="inlineStr">
        <is>
          <t>VÄRMLANDS LÄN</t>
        </is>
      </c>
      <c r="G482" t="inlineStr">
        <is>
          <t>FILIPSTAD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46203</v>
      </c>
      <c r="E483" s="1" t="n">
        <v>46284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46284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54080-2025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45964</v>
      </c>
      <c r="E485" s="1" t="n">
        <v>46284</v>
      </c>
      <c r="F485" t="inlineStr">
        <is>
          <t>VÄRMLANDS LÄN</t>
        </is>
      </c>
      <c r="G485" t="inlineStr">
        <is>
          <t>FILIPSTAD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46284</v>
      </c>
      <c r="F486" t="inlineStr">
        <is>
          <t>VÄRMLANDS LÄN</t>
        </is>
      </c>
      <c r="G486" t="inlineStr">
        <is>
          <t>FILIPSTAD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46284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46284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46284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33493-2026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46284</v>
      </c>
      <c r="F490" t="inlineStr">
        <is>
          <t>VÄRMLANDS LÄN</t>
        </is>
      </c>
      <c r="G490" t="inlineStr">
        <is>
          <t>FILIPSTAD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33324-2026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46246</v>
      </c>
      <c r="E491" s="1" t="n">
        <v>46284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33837-2026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46251</v>
      </c>
      <c r="E492" s="1" t="n">
        <v>46284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7.4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46284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29863-2026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46284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46284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33857-2026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46251</v>
      </c>
      <c r="E496" s="1" t="n">
        <v>46284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30074-2026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46284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46284</v>
      </c>
      <c r="F498" t="inlineStr">
        <is>
          <t>VÄRMLANDS LÄN</t>
        </is>
      </c>
      <c r="G498" t="inlineStr">
        <is>
          <t>FILIPSTAD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46284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34053-2026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46252</v>
      </c>
      <c r="E501" s="1" t="n">
        <v>46284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46284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43045-2024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45567</v>
      </c>
      <c r="E503" s="1" t="n">
        <v>46284</v>
      </c>
      <c r="F503" t="inlineStr">
        <is>
          <t>VÄRMLANDS LÄN</t>
        </is>
      </c>
      <c r="G503" t="inlineStr">
        <is>
          <t>FILIPSTAD</t>
        </is>
      </c>
      <c r="H503" t="inlineStr">
        <is>
          <t>Kyrkan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45700</v>
      </c>
      <c r="E504" s="1" t="n">
        <v>46284</v>
      </c>
      <c r="F504" t="inlineStr">
        <is>
          <t>VÄRMLANDS LÄN</t>
        </is>
      </c>
      <c r="G504" t="inlineStr">
        <is>
          <t>FILIPSTAD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46284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46213</v>
      </c>
      <c r="E506" s="1" t="n">
        <v>46284</v>
      </c>
      <c r="F506" t="inlineStr">
        <is>
          <t>VÄRMLANDS LÄN</t>
        </is>
      </c>
      <c r="G506" t="inlineStr">
        <is>
          <t>FILIPSTAD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25376-2023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45088</v>
      </c>
      <c r="E507" s="1" t="n">
        <v>46284</v>
      </c>
      <c r="F507" t="inlineStr">
        <is>
          <t>VÄRMLANDS LÄN</t>
        </is>
      </c>
      <c r="G507" t="inlineStr">
        <is>
          <t>FILIPSTAD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46284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19.2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69015-2021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44530</v>
      </c>
      <c r="E509" s="1" t="n">
        <v>46284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46284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45439</v>
      </c>
      <c r="E511" s="1" t="n">
        <v>46284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46284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44960</v>
      </c>
      <c r="E513" s="1" t="n">
        <v>46284</v>
      </c>
      <c r="F513" t="inlineStr">
        <is>
          <t>VÄRMLANDS LÄN</t>
        </is>
      </c>
      <c r="G513" t="inlineStr">
        <is>
          <t>FILIPSTAD</t>
        </is>
      </c>
      <c r="H513" t="inlineStr">
        <is>
          <t>Kommuner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46284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46284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20661-2024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45436</v>
      </c>
      <c r="E516" s="1" t="n">
        <v>46284</v>
      </c>
      <c r="F516" t="inlineStr">
        <is>
          <t>VÄRMLANDS LÄN</t>
        </is>
      </c>
      <c r="G516" t="inlineStr">
        <is>
          <t>FILIPSTAD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46259</v>
      </c>
      <c r="E517" s="1" t="n">
        <v>46284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53690-2022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44880</v>
      </c>
      <c r="E518" s="1" t="n">
        <v>46284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6728-2025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45700</v>
      </c>
      <c r="E519" s="1" t="n">
        <v>46284</v>
      </c>
      <c r="F519" t="inlineStr">
        <is>
          <t>VÄRMLANDS LÄN</t>
        </is>
      </c>
      <c r="G519" t="inlineStr">
        <is>
          <t>FILIPSTAD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48040-2023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46284</v>
      </c>
      <c r="F520" t="inlineStr">
        <is>
          <t>VÄRMLANDS LÄN</t>
        </is>
      </c>
      <c r="G520" t="inlineStr">
        <is>
          <t>FILIPSTAD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52981-2021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44467</v>
      </c>
      <c r="E521" s="1" t="n">
        <v>46284</v>
      </c>
      <c r="F521" t="inlineStr">
        <is>
          <t>VÄRMLANDS LÄN</t>
        </is>
      </c>
      <c r="G521" t="inlineStr">
        <is>
          <t>FILIPSTAD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10306-2025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45720</v>
      </c>
      <c r="E522" s="1" t="n">
        <v>46284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31283-2026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46218</v>
      </c>
      <c r="E523" s="1" t="n">
        <v>46284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35368-2026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46261</v>
      </c>
      <c r="E524" s="1" t="n">
        <v>46284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46261</v>
      </c>
      <c r="E525" s="1" t="n">
        <v>46284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46261</v>
      </c>
      <c r="E526" s="1" t="n">
        <v>46284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35423-2026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46261</v>
      </c>
      <c r="E527" s="1" t="n">
        <v>46284</v>
      </c>
      <c r="F527" t="inlineStr">
        <is>
          <t>VÄRMLANDS LÄN</t>
        </is>
      </c>
      <c r="G527" t="inlineStr">
        <is>
          <t>FILIPSTAD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51266-2021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44461</v>
      </c>
      <c r="E528" s="1" t="n">
        <v>46284</v>
      </c>
      <c r="F528" t="inlineStr">
        <is>
          <t>VÄRMLANDS LÄN</t>
        </is>
      </c>
      <c r="G528" t="inlineStr">
        <is>
          <t>FILIPSTAD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51618-2022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44872</v>
      </c>
      <c r="E529" s="1" t="n">
        <v>46284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45516</v>
      </c>
      <c r="E530" s="1" t="n">
        <v>46284</v>
      </c>
      <c r="F530" t="inlineStr">
        <is>
          <t>VÄRMLANDS LÄN</t>
        </is>
      </c>
      <c r="G530" t="inlineStr">
        <is>
          <t>FILIPSTAD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46284</v>
      </c>
      <c r="F531" t="inlineStr">
        <is>
          <t>VÄRMLANDS LÄN</t>
        </is>
      </c>
      <c r="G531" t="inlineStr">
        <is>
          <t>FILIPSTAD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37611-2022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44809</v>
      </c>
      <c r="E532" s="1" t="n">
        <v>46284</v>
      </c>
      <c r="F532" t="inlineStr">
        <is>
          <t>VÄRMLANDS LÄN</t>
        </is>
      </c>
      <c r="G532" t="inlineStr">
        <is>
          <t>FILIPSTAD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46223</v>
      </c>
      <c r="E533" s="1" t="n">
        <v>46284</v>
      </c>
      <c r="F533" t="inlineStr">
        <is>
          <t>VÄRMLANDS LÄN</t>
        </is>
      </c>
      <c r="G533" t="inlineStr">
        <is>
          <t>FILIPSTAD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44672</v>
      </c>
      <c r="E534" s="1" t="n">
        <v>46284</v>
      </c>
      <c r="F534" t="inlineStr">
        <is>
          <t>VÄRMLANDS LÄN</t>
        </is>
      </c>
      <c r="G534" t="inlineStr">
        <is>
          <t>FILIPSTAD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46264</v>
      </c>
      <c r="E535" s="1" t="n">
        <v>46284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20.8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35641-2026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46284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35615-2026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46264</v>
      </c>
      <c r="E537" s="1" t="n">
        <v>46284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44998</v>
      </c>
      <c r="E538" s="1" t="n">
        <v>46284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31537-2026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46223</v>
      </c>
      <c r="E539" s="1" t="n">
        <v>46284</v>
      </c>
      <c r="F539" t="inlineStr">
        <is>
          <t>VÄRMLANDS LÄN</t>
        </is>
      </c>
      <c r="G539" t="inlineStr">
        <is>
          <t>FILIPSTAD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46284</v>
      </c>
      <c r="F540" t="inlineStr">
        <is>
          <t>VÄRMLANDS LÄN</t>
        </is>
      </c>
      <c r="G540" t="inlineStr">
        <is>
          <t>FILIPSTAD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31316-2026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46284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14432-2025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45741</v>
      </c>
      <c r="E542" s="1" t="n">
        <v>46284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46284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46284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46284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46266</v>
      </c>
      <c r="E546" s="1" t="n">
        <v>46284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46284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46284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46269</v>
      </c>
      <c r="E549" s="1" t="n">
        <v>46284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46269</v>
      </c>
      <c r="E550" s="1" t="n">
        <v>46284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46269</v>
      </c>
      <c r="E551" s="1" t="n">
        <v>46284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46269</v>
      </c>
      <c r="E552" s="1" t="n">
        <v>46284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46225</v>
      </c>
      <c r="E553" s="1" t="n">
        <v>46284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46226</v>
      </c>
      <c r="E554" s="1" t="n">
        <v>46284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31699-2026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46226</v>
      </c>
      <c r="E555" s="1" t="n">
        <v>46284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46284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46227</v>
      </c>
      <c r="E557" s="1" t="n">
        <v>46284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46284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46227</v>
      </c>
      <c r="E559" s="1" t="n">
        <v>46284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45471</v>
      </c>
      <c r="E560" s="1" t="n">
        <v>46284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46284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46284</v>
      </c>
      <c r="F562" t="inlineStr">
        <is>
          <t>VÄRMLANDS LÄN</t>
        </is>
      </c>
      <c r="G562" t="inlineStr">
        <is>
          <t>FILIPSTAD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46284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45414</v>
      </c>
      <c r="E564" s="1" t="n">
        <v>46284</v>
      </c>
      <c r="F564" t="inlineStr">
        <is>
          <t>VÄRMLANDS LÄN</t>
        </is>
      </c>
      <c r="G564" t="inlineStr">
        <is>
          <t>FILIPSTAD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46272</v>
      </c>
      <c r="E565" s="1" t="n">
        <v>46284</v>
      </c>
      <c r="F565" t="inlineStr">
        <is>
          <t>VÄRMLANDS LÄN</t>
        </is>
      </c>
      <c r="G565" t="inlineStr">
        <is>
          <t>FILIPSTAD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46284</v>
      </c>
      <c r="F566" t="inlineStr">
        <is>
          <t>VÄRMLANDS LÄN</t>
        </is>
      </c>
      <c r="G566" t="inlineStr">
        <is>
          <t>FILIPSTAD</t>
        </is>
      </c>
      <c r="I566" t="n">
        <v>11.6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47002-2024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45586</v>
      </c>
      <c r="E567" s="1" t="n">
        <v>46284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46186</v>
      </c>
      <c r="E568" s="1" t="n">
        <v>46284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45495</v>
      </c>
      <c r="E569" s="1" t="n">
        <v>46284</v>
      </c>
      <c r="F569" t="inlineStr">
        <is>
          <t>VÄRMLANDS LÄN</t>
        </is>
      </c>
      <c r="G569" t="inlineStr">
        <is>
          <t>FILIPSTAD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46284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46232</v>
      </c>
      <c r="E571" s="1" t="n">
        <v>46284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46284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46231</v>
      </c>
      <c r="E573" s="1" t="n">
        <v>46284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46232</v>
      </c>
      <c r="E574" s="1" t="n">
        <v>46284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46232</v>
      </c>
      <c r="E575" s="1" t="n">
        <v>46284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46233</v>
      </c>
      <c r="E576" s="1" t="n">
        <v>46284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46276</v>
      </c>
      <c r="E577" s="1" t="n">
        <v>46284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46284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46234</v>
      </c>
      <c r="E579" s="1" t="n">
        <v>46284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46284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32035-2026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46233</v>
      </c>
      <c r="E581" s="1" t="n">
        <v>46284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65167-2021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44515</v>
      </c>
      <c r="E582" s="1" t="n">
        <v>46284</v>
      </c>
      <c r="F582" t="inlineStr">
        <is>
          <t>VÄRMLANDS LÄN</t>
        </is>
      </c>
      <c r="G582" t="inlineStr">
        <is>
          <t>FILIPSTAD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46237</v>
      </c>
      <c r="E583" s="1" t="n">
        <v>46284</v>
      </c>
      <c r="F583" t="inlineStr">
        <is>
          <t>VÄRMLANDS LÄN</t>
        </is>
      </c>
      <c r="G583" t="inlineStr">
        <is>
          <t>FILIPSTAD</t>
        </is>
      </c>
      <c r="I583" t="n">
        <v>13.4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46237</v>
      </c>
      <c r="E584" s="1" t="n">
        <v>46284</v>
      </c>
      <c r="F584" t="inlineStr">
        <is>
          <t>VÄRMLANDS LÄN</t>
        </is>
      </c>
      <c r="G584" t="inlineStr">
        <is>
          <t>FILIPSTAD</t>
        </is>
      </c>
      <c r="H584" t="inlineStr">
        <is>
          <t>Kommuner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46284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38228-2026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46281</v>
      </c>
      <c r="E586" s="1" t="n">
        <v>46284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45477</v>
      </c>
      <c r="E587" s="1" t="n">
        <v>46284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35304-2024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45530</v>
      </c>
      <c r="E588" s="1" t="n">
        <v>46284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23266-2025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46284</v>
      </c>
      <c r="F589" t="inlineStr">
        <is>
          <t>VÄRMLANDS LÄN</t>
        </is>
      </c>
      <c r="G589" t="inlineStr">
        <is>
          <t>FILIPSTAD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48702-2024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46284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46284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45667</v>
      </c>
      <c r="E592" s="1" t="n">
        <v>46284</v>
      </c>
      <c r="F592" t="inlineStr">
        <is>
          <t>VÄRMLANDS LÄN</t>
        </is>
      </c>
      <c r="G592" t="inlineStr">
        <is>
          <t>FILIPSTAD</t>
        </is>
      </c>
      <c r="H592" t="inlineStr">
        <is>
          <t>Kommuner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46284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23399-2025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45792</v>
      </c>
      <c r="E594" s="1" t="n">
        <v>46284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23475-2025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45792</v>
      </c>
      <c r="E595" s="1" t="n">
        <v>46284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32600-2026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46284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38578-2026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46283</v>
      </c>
      <c r="E597" s="1" t="n">
        <v>46284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38325-2026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46282</v>
      </c>
      <c r="E598" s="1" t="n">
        <v>46284</v>
      </c>
      <c r="F598" t="inlineStr">
        <is>
          <t>VÄRMLANDS LÄN</t>
        </is>
      </c>
      <c r="G598" t="inlineStr">
        <is>
          <t>FILIPSTAD</t>
        </is>
      </c>
      <c r="H598" t="inlineStr">
        <is>
          <t>Kyrkan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45355</v>
      </c>
      <c r="E599" s="1" t="n">
        <v>46284</v>
      </c>
      <c r="F599" t="inlineStr">
        <is>
          <t>VÄRMLANDS LÄN</t>
        </is>
      </c>
      <c r="G599" t="inlineStr">
        <is>
          <t>FILIPSTAD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72118-2021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44543</v>
      </c>
      <c r="E600" s="1" t="n">
        <v>46284</v>
      </c>
      <c r="F600" t="inlineStr">
        <is>
          <t>VÄRMLANDS LÄN</t>
        </is>
      </c>
      <c r="G600" t="inlineStr">
        <is>
          <t>FILIPSTAD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45747</v>
      </c>
      <c r="E601" s="1" t="n">
        <v>46284</v>
      </c>
      <c r="F601" t="inlineStr">
        <is>
          <t>VÄRMLANDS LÄN</t>
        </is>
      </c>
      <c r="G601" t="inlineStr">
        <is>
          <t>FILIPSTAD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32442-2026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46239</v>
      </c>
      <c r="E602" s="1" t="n">
        <v>46284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65174-2021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46284</v>
      </c>
      <c r="F603" t="inlineStr">
        <is>
          <t>VÄRMLANDS LÄN</t>
        </is>
      </c>
      <c r="G603" t="inlineStr">
        <is>
          <t>FILIPSTAD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32572-2026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46239</v>
      </c>
      <c r="E604" s="1" t="n">
        <v>46284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46240</v>
      </c>
      <c r="E605" s="1" t="n">
        <v>46284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46284</v>
      </c>
      <c r="F606" t="inlineStr">
        <is>
          <t>VÄRMLANDS LÄN</t>
        </is>
      </c>
      <c r="G606" t="inlineStr">
        <is>
          <t>FILIPSTAD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46239</v>
      </c>
      <c r="E607" s="1" t="n">
        <v>46284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20844-2024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45439</v>
      </c>
      <c r="E608" s="1" t="n">
        <v>46284</v>
      </c>
      <c r="F608" t="inlineStr">
        <is>
          <t>VÄRMLANDS LÄN</t>
        </is>
      </c>
      <c r="G608" t="inlineStr">
        <is>
          <t>FILIPSTAD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46241</v>
      </c>
      <c r="E609" s="1" t="n">
        <v>46284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45322</v>
      </c>
      <c r="E610" s="1" t="n">
        <v>46284</v>
      </c>
      <c r="F610" t="inlineStr">
        <is>
          <t>VÄRMLANDS LÄN</t>
        </is>
      </c>
      <c r="G610" t="inlineStr">
        <is>
          <t>FILIPSTAD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15406-2025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45747</v>
      </c>
      <c r="E611" s="1" t="n">
        <v>46284</v>
      </c>
      <c r="F611" t="inlineStr">
        <is>
          <t>VÄRMLANDS LÄN</t>
        </is>
      </c>
      <c r="G611" t="inlineStr">
        <is>
          <t>FILIPSTAD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46283</v>
      </c>
      <c r="E612" s="1" t="n">
        <v>46284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35799-2022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44801</v>
      </c>
      <c r="E613" s="1" t="n">
        <v>46284</v>
      </c>
      <c r="F613" t="inlineStr">
        <is>
          <t>VÄRMLANDS LÄN</t>
        </is>
      </c>
      <c r="G613" t="inlineStr">
        <is>
          <t>FILIPSTAD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47261-2024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46284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32588-2026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46240</v>
      </c>
      <c r="E615" s="1" t="n">
        <v>46284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46240</v>
      </c>
      <c r="E616" s="1" t="n">
        <v>46284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26116-2025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45805</v>
      </c>
      <c r="E617" s="1" t="n">
        <v>46284</v>
      </c>
      <c r="F617" t="inlineStr">
        <is>
          <t>VÄRMLANDS LÄN</t>
        </is>
      </c>
      <c r="G617" t="inlineStr">
        <is>
          <t>FILIPSTAD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26123-2025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45805</v>
      </c>
      <c r="E618" s="1" t="n">
        <v>46284</v>
      </c>
      <c r="F618" t="inlineStr">
        <is>
          <t>VÄRMLANDS LÄN</t>
        </is>
      </c>
      <c r="G618" t="inlineStr">
        <is>
          <t>FILIPSTAD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45810</v>
      </c>
      <c r="E619" s="1" t="n">
        <v>46284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46284</v>
      </c>
      <c r="F620" t="inlineStr">
        <is>
          <t>VÄRMLANDS LÄN</t>
        </is>
      </c>
      <c r="G620" t="inlineStr">
        <is>
          <t>FILIPSTAD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26599-2024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45469</v>
      </c>
      <c r="E621" s="1" t="n">
        <v>46284</v>
      </c>
      <c r="F621" t="inlineStr">
        <is>
          <t>VÄRMLANDS LÄN</t>
        </is>
      </c>
      <c r="G621" t="inlineStr">
        <is>
          <t>FILIPSTAD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29568-2025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46284</v>
      </c>
      <c r="F622" t="inlineStr">
        <is>
          <t>VÄRMLANDS LÄN</t>
        </is>
      </c>
      <c r="G622" t="inlineStr">
        <is>
          <t>FILIPSTAD</t>
        </is>
      </c>
      <c r="H622" t="inlineStr">
        <is>
          <t>Kyrkan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29660-2025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46284</v>
      </c>
      <c r="F623" t="inlineStr">
        <is>
          <t>VÄRMLANDS LÄN</t>
        </is>
      </c>
      <c r="G623" t="inlineStr">
        <is>
          <t>FILIPSTAD</t>
        </is>
      </c>
      <c r="I623" t="n">
        <v>23.3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29944-2025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46284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30049-2025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45826</v>
      </c>
      <c r="E625" s="1" t="n">
        <v>46284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30169-2025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45827</v>
      </c>
      <c r="E626" s="1" t="n">
        <v>46284</v>
      </c>
      <c r="F626" t="inlineStr">
        <is>
          <t>VÄRMLANDS LÄN</t>
        </is>
      </c>
      <c r="G626" t="inlineStr">
        <is>
          <t>FILIPSTAD</t>
        </is>
      </c>
      <c r="H626" t="inlineStr">
        <is>
          <t>Kyrkan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31172-2025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45832</v>
      </c>
      <c r="E627" s="1" t="n">
        <v>46284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32032-2025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45835</v>
      </c>
      <c r="E628" s="1" t="n">
        <v>46284</v>
      </c>
      <c r="F628" t="inlineStr">
        <is>
          <t>VÄRMLANDS LÄN</t>
        </is>
      </c>
      <c r="G628" t="inlineStr">
        <is>
          <t>FILIPSTAD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46284</v>
      </c>
      <c r="F629" t="inlineStr">
        <is>
          <t>VÄRMLANDS LÄN</t>
        </is>
      </c>
      <c r="G629" t="inlineStr">
        <is>
          <t>FILIPSTAD</t>
        </is>
      </c>
      <c r="I629" t="n">
        <v>18.7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45827</v>
      </c>
      <c r="E630" s="1" t="n">
        <v>46284</v>
      </c>
      <c r="F630" t="inlineStr">
        <is>
          <t>VÄRMLANDS LÄN</t>
        </is>
      </c>
      <c r="G630" t="inlineStr">
        <is>
          <t>FILIPSTAD</t>
        </is>
      </c>
      <c r="H630" t="inlineStr">
        <is>
          <t>Kyrkan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45688</v>
      </c>
      <c r="E631" s="1" t="n">
        <v>46284</v>
      </c>
      <c r="F631" t="inlineStr">
        <is>
          <t>VÄRMLANDS LÄN</t>
        </is>
      </c>
      <c r="G631" t="inlineStr">
        <is>
          <t>FILIPSTAD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33407-2025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45841</v>
      </c>
      <c r="E632" s="1" t="n">
        <v>46284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30077-2025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46284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36582-2025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45870</v>
      </c>
      <c r="E634" s="1" t="n">
        <v>46284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38175-2025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45882</v>
      </c>
      <c r="E635" s="1" t="n">
        <v>46284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5757-2021</t>
        </is>
      </c>
      <c r="B636" t="inlineStr">
        <is>
          <t>samrådsanmälan</t>
        </is>
      </c>
      <c r="C636" t="inlineStr">
        <is>
          <t>Basväg</t>
        </is>
      </c>
      <c r="D636" s="1" t="n">
        <v>44438</v>
      </c>
      <c r="E636" s="1" t="n">
        <v>46284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1191-2021</t>
        </is>
      </c>
      <c r="B637" t="inlineStr">
        <is>
          <t>samrådsanmälan</t>
        </is>
      </c>
      <c r="C637" t="inlineStr">
        <is>
          <t>Åtgärd i nyckelbiotop</t>
        </is>
      </c>
      <c r="D637" s="1" t="n">
        <v>44328</v>
      </c>
      <c r="E637" s="1" t="n">
        <v>46284</v>
      </c>
      <c r="F637" t="inlineStr">
        <is>
          <t>VÄRMLANDS LÄN</t>
        </is>
      </c>
      <c r="G637" t="inlineStr">
        <is>
          <t>FILIPSTAD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4134-2023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46284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4115-2023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45246</v>
      </c>
      <c r="E639" s="1" t="n">
        <v>46284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4137-2023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46284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4132-2023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46284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4130-2023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46284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4127-2023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45247</v>
      </c>
      <c r="E643" s="1" t="n">
        <v>46284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56.4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837-2023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44991</v>
      </c>
      <c r="E644" s="1" t="n">
        <v>46284</v>
      </c>
      <c r="F644" t="inlineStr">
        <is>
          <t>VÄRMLANDS LÄN</t>
        </is>
      </c>
      <c r="G644" t="inlineStr">
        <is>
          <t>FILIPSTAD</t>
        </is>
      </c>
      <c r="I644" t="n">
        <v>19.3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4129-2023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46284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3919-2023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45233</v>
      </c>
      <c r="E646" s="1" t="n">
        <v>46284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4135-2023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45247</v>
      </c>
      <c r="E647" s="1" t="n">
        <v>46284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18.9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4126-2023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45247</v>
      </c>
      <c r="E648" s="1" t="n">
        <v>46284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294-2025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45687</v>
      </c>
      <c r="E649" s="1" t="n">
        <v>46284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186.4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4116-2023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45246</v>
      </c>
      <c r="E650" s="1" t="n">
        <v>46284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661-2025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45716</v>
      </c>
      <c r="E651" s="1" t="n">
        <v>46284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161.7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3429-2025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45995</v>
      </c>
      <c r="E652" s="1" t="n">
        <v>46284</v>
      </c>
      <c r="F652" t="inlineStr">
        <is>
          <t>VÄRMLANDS LÄN</t>
        </is>
      </c>
      <c r="G652" t="inlineStr">
        <is>
          <t>FILIPSTAD</t>
        </is>
      </c>
      <c r="H652" t="inlineStr">
        <is>
          <t>Bergvik skog väst AB</t>
        </is>
      </c>
      <c r="I652" t="n">
        <v>12.1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3576-2025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46010</v>
      </c>
      <c r="E653" s="1" t="n">
        <v>46284</v>
      </c>
      <c r="F653" t="inlineStr">
        <is>
          <t>VÄRMLANDS LÄN</t>
        </is>
      </c>
      <c r="G653" t="inlineStr">
        <is>
          <t>FILIPSTAD</t>
        </is>
      </c>
      <c r="H653" t="inlineStr">
        <is>
          <t>Bergvik skog väst AB</t>
        </is>
      </c>
      <c r="I653" t="n">
        <v>27.1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105-2026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46036</v>
      </c>
      <c r="E654" s="1" t="n">
        <v>46284</v>
      </c>
      <c r="F654" t="inlineStr">
        <is>
          <t>VÄRMLANDS LÄN</t>
        </is>
      </c>
      <c r="G654" t="inlineStr">
        <is>
          <t>FILIPSTAD</t>
        </is>
      </c>
      <c r="H654" t="inlineStr">
        <is>
          <t>Bergvik skog väst AB</t>
        </is>
      </c>
      <c r="I654" t="n">
        <v>238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2026-09-19T02:06:05Z</dcterms:created>
  <dcterms:modified xmlns:dcterms="http://purl.org/dc/terms/" xmlns:xsi="http://www.w3.org/2001/XMLSchema-instance" xsi:type="dcterms:W3CDTF">2026-09-19T02:06:06Z</dcterms:modified>
</cp:coreProperties>
</file>