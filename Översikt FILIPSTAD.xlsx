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46301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46301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46301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46301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46301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46301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36234-2026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46268</v>
      </c>
      <c r="E16" s="1" t="n">
        <v>46301</v>
      </c>
      <c r="F16" t="inlineStr">
        <is>
          <t>VÄRMLANDS LÄN</t>
        </is>
      </c>
      <c r="G16" t="inlineStr">
        <is>
          <t>FILIPSTAD</t>
        </is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5</v>
      </c>
      <c r="U16" t="n">
        <v>5</v>
      </c>
      <c r="V16" s="2" t="inlineStr">
        <is>
          <t>Kattfot
Fläcknycklar
Nattviol</t>
        </is>
      </c>
      <c r="W16">
        <f>HYPERLINK("https://klasma.github.io/Logging_1782/artfynd/A 36234-2026 artfynd.xlsx", "A 36234-2026")</f>
        <v/>
      </c>
      <c r="X16">
        <f>HYPERLINK("https://klasma.github.io/Logging_1782/kartor/A 36234-2026 karta.png", "A 36234-2026")</f>
        <v/>
      </c>
      <c r="Y16">
        <f>HYPERLINK("https://klasma.github.io/Logging_1782/kartor_geotiff/A 36234-2026 georefererad karta.tif", "A 36234-2026")</f>
        <v/>
      </c>
      <c r="AA16">
        <f>HYPERLINK("https://klasma.github.io/Logging_1782/klagomål/A 36234-2026 FSC-klagomål.docx", "A 36234-2026")</f>
        <v/>
      </c>
      <c r="AB16">
        <f>HYPERLINK("https://klasma.github.io/Logging_1782/klagomålsmail/A 36234-2026 FSC-klagomål mail.docx", "A 36234-2026")</f>
        <v/>
      </c>
      <c r="AC16">
        <f>HYPERLINK("https://klasma.github.io/Logging_1782/tillsyn/A 36234-2026 tillsynsbegäran.docx", "A 36234-2026")</f>
        <v/>
      </c>
      <c r="AD16">
        <f>HYPERLINK("https://klasma.github.io/Logging_1782/tillsynsmail/A 36234-2026 tillsynsbegäran mail.docx", "A 36234-2026")</f>
        <v/>
      </c>
    </row>
    <row r="17" ht="15" customHeight="1">
      <c r="A17" t="inlineStr">
        <is>
          <t>A 37620-2026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46276</v>
      </c>
      <c r="E17" s="1" t="n">
        <v>46301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4.1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Garnlav
Kandelabersvamp
Tretåig hackspett</t>
        </is>
      </c>
      <c r="W17">
        <f>HYPERLINK("https://klasma.github.io/Logging_1782/artfynd/A 37620-2026 artfynd.xlsx", "A 37620-2026")</f>
        <v/>
      </c>
      <c r="X17">
        <f>HYPERLINK("https://klasma.github.io/Logging_1782/kartor/A 37620-2026 karta.png", "A 37620-2026")</f>
        <v/>
      </c>
      <c r="Y17">
        <f>HYPERLINK("https://klasma.github.io/Logging_1782/kartor_geotiff/A 37620-2026 georefererad karta.tif", "A 37620-2026")</f>
        <v/>
      </c>
      <c r="AA17">
        <f>HYPERLINK("https://klasma.github.io/Logging_1782/klagomål/A 37620-2026 FSC-klagomål.docx", "A 37620-2026")</f>
        <v/>
      </c>
      <c r="AB17">
        <f>HYPERLINK("https://klasma.github.io/Logging_1782/klagomålsmail/A 37620-2026 FSC-klagomål mail.docx", "A 37620-2026")</f>
        <v/>
      </c>
      <c r="AC17">
        <f>HYPERLINK("https://klasma.github.io/Logging_1782/tillsyn/A 37620-2026 tillsynsbegäran.docx", "A 37620-2026")</f>
        <v/>
      </c>
      <c r="AD17">
        <f>HYPERLINK("https://klasma.github.io/Logging_1782/tillsynsmail/A 37620-2026 tillsynsbegäran mail.docx", "A 37620-2026")</f>
        <v/>
      </c>
      <c r="AE17">
        <f>HYPERLINK("https://klasma.github.io/Logging_1782/fåglar/A 37620-2026 prioriterade fågelarter.docx", "A 37620-2026")</f>
        <v/>
      </c>
    </row>
    <row r="18" ht="15" customHeight="1">
      <c r="A18" t="inlineStr">
        <is>
          <t>A 38667-2026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46283</v>
      </c>
      <c r="E18" s="1" t="n">
        <v>46301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10.7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5</v>
      </c>
      <c r="U18" t="n">
        <v>0</v>
      </c>
      <c r="V18" s="2" t="inlineStr">
        <is>
          <t>Brunklöver
Tvåblad
Fläcknycklar</t>
        </is>
      </c>
      <c r="W18">
        <f>HYPERLINK("https://klasma.github.io/Logging_1782/artfynd/A 38667-2026 artfynd.xlsx", "A 38667-2026")</f>
        <v/>
      </c>
      <c r="X18">
        <f>HYPERLINK("https://klasma.github.io/Logging_1782/kartor/A 38667-2026 karta.png", "A 38667-2026")</f>
        <v/>
      </c>
      <c r="Y18">
        <f>HYPERLINK("https://klasma.github.io/Logging_1782/kartor_geotiff/A 38667-2026 georefererad karta.tif", "A 38667-2026")</f>
        <v/>
      </c>
      <c r="AA18">
        <f>HYPERLINK("https://klasma.github.io/Logging_1782/klagomål/A 38667-2026 FSC-klagomål.docx", "A 38667-2026")</f>
        <v/>
      </c>
      <c r="AB18">
        <f>HYPERLINK("https://klasma.github.io/Logging_1782/klagomålsmail/A 38667-2026 FSC-klagomål mail.docx", "A 38667-2026")</f>
        <v/>
      </c>
      <c r="AC18">
        <f>HYPERLINK("https://klasma.github.io/Logging_1782/tillsyn/A 38667-2026 tillsynsbegäran.docx", "A 38667-2026")</f>
        <v/>
      </c>
      <c r="AD18">
        <f>HYPERLINK("https://klasma.github.io/Logging_1782/tillsynsmail/A 38667-2026 tillsynsbegäran mail.docx", "A 38667-2026")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46301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A 34684-2026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46258</v>
      </c>
      <c r="E20" s="1" t="n">
        <v>46301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7.2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Bårdlav
Stuplav
Fläcknycklar</t>
        </is>
      </c>
      <c r="W20">
        <f>HYPERLINK("https://klasma.github.io/Logging_1782/artfynd/A 34684-2026 artfynd.xlsx", "A 34684-2026")</f>
        <v/>
      </c>
      <c r="X20">
        <f>HYPERLINK("https://klasma.github.io/Logging_1782/kartor/A 34684-2026 karta.png", "A 34684-2026")</f>
        <v/>
      </c>
      <c r="Y20">
        <f>HYPERLINK("https://klasma.github.io/Logging_1782/kartor_geotiff/A 34684-2026 georefererad karta.tif", "A 34684-2026")</f>
        <v/>
      </c>
      <c r="AA20">
        <f>HYPERLINK("https://klasma.github.io/Logging_1782/klagomål/A 34684-2026 FSC-klagomål.docx", "A 34684-2026")</f>
        <v/>
      </c>
      <c r="AB20">
        <f>HYPERLINK("https://klasma.github.io/Logging_1782/klagomålsmail/A 34684-2026 FSC-klagomål mail.docx", "A 34684-2026")</f>
        <v/>
      </c>
      <c r="AC20">
        <f>HYPERLINK("https://klasma.github.io/Logging_1782/tillsyn/A 34684-2026 tillsynsbegäran.docx", "A 34684-2026")</f>
        <v/>
      </c>
      <c r="AD20">
        <f>HYPERLINK("https://klasma.github.io/Logging_1782/tillsynsmail/A 34684-2026 tillsynsbegäran mail.docx", "A 34684-2026")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46301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46301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46301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46301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46301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46301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46301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16139-2025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45750</v>
      </c>
      <c r="E28" s="1" t="n">
        <v>46301</v>
      </c>
      <c r="F28" t="inlineStr">
        <is>
          <t>VÄRMLANDS LÄN</t>
        </is>
      </c>
      <c r="G28" t="inlineStr">
        <is>
          <t>FILIPSTAD</t>
        </is>
      </c>
      <c r="I28" t="n">
        <v>18.2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Bronshjon</t>
        </is>
      </c>
      <c r="W28">
        <f>HYPERLINK("https://klasma.github.io/Logging_1782/artfynd/A 16139-2025 artfynd.xlsx", "A 16139-2025")</f>
        <v/>
      </c>
      <c r="X28">
        <f>HYPERLINK("https://klasma.github.io/Logging_1782/kartor/A 16139-2025 karta.png", "A 16139-2025")</f>
        <v/>
      </c>
      <c r="Y28">
        <f>HYPERLINK("https://klasma.github.io/Logging_1782/kartor_geotiff/A 16139-2025 georefererad karta.tif", "A 16139-2025")</f>
        <v/>
      </c>
      <c r="AA28">
        <f>HYPERLINK("https://klasma.github.io/Logging_1782/klagomål/A 16139-2025 FSC-klagomål.docx", "A 16139-2025")</f>
        <v/>
      </c>
      <c r="AB28">
        <f>HYPERLINK("https://klasma.github.io/Logging_1782/klagomålsmail/A 16139-2025 FSC-klagomål mail.docx", "A 16139-2025")</f>
        <v/>
      </c>
      <c r="AC28">
        <f>HYPERLINK("https://klasma.github.io/Logging_1782/tillsyn/A 16139-2025 tillsynsbegäran.docx", "A 16139-2025")</f>
        <v/>
      </c>
      <c r="AD28">
        <f>HYPERLINK("https://klasma.github.io/Logging_1782/tillsynsmail/A 16139-2025 tillsynsbegäran mail.docx", "A 16139-2025")</f>
        <v/>
      </c>
    </row>
    <row r="29" ht="15" customHeight="1">
      <c r="A29" t="inlineStr">
        <is>
          <t>A 33583-2026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46248</v>
      </c>
      <c r="E29" s="1" t="n">
        <v>46301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16.4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Bårdlav
Stuplav</t>
        </is>
      </c>
      <c r="W29">
        <f>HYPERLINK("https://klasma.github.io/Logging_1782/artfynd/A 33583-2026 artfynd.xlsx", "A 33583-2026")</f>
        <v/>
      </c>
      <c r="X29">
        <f>HYPERLINK("https://klasma.github.io/Logging_1782/kartor/A 33583-2026 karta.png", "A 33583-2026")</f>
        <v/>
      </c>
      <c r="Y29">
        <f>HYPERLINK("https://klasma.github.io/Logging_1782/kartor_geotiff/A 33583-2026 georefererad karta.tif", "A 33583-2026")</f>
        <v/>
      </c>
      <c r="AA29">
        <f>HYPERLINK("https://klasma.github.io/Logging_1782/klagomål/A 33583-2026 FSC-klagomål.docx", "A 33583-2026")</f>
        <v/>
      </c>
      <c r="AB29">
        <f>HYPERLINK("https://klasma.github.io/Logging_1782/klagomålsmail/A 33583-2026 FSC-klagomål mail.docx", "A 33583-2026")</f>
        <v/>
      </c>
      <c r="AC29">
        <f>HYPERLINK("https://klasma.github.io/Logging_1782/tillsyn/A 33583-2026 tillsynsbegäran.docx", "A 33583-2026")</f>
        <v/>
      </c>
      <c r="AD29">
        <f>HYPERLINK("https://klasma.github.io/Logging_1782/tillsynsmail/A 33583-2026 tillsynsbegäran mail.docx", "A 33583-2026")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46301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17274-2024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45414</v>
      </c>
      <c r="E31" s="1" t="n">
        <v>46301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5.8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Dropptaggsvamp
Talltita</t>
        </is>
      </c>
      <c r="W31">
        <f>HYPERLINK("https://klasma.github.io/Logging_1782/artfynd/A 17274-2024 artfynd.xlsx", "A 17274-2024")</f>
        <v/>
      </c>
      <c r="X31">
        <f>HYPERLINK("https://klasma.github.io/Logging_1782/kartor/A 17274-2024 karta.png", "A 17274-2024")</f>
        <v/>
      </c>
      <c r="Y31">
        <f>HYPERLINK("https://klasma.github.io/Logging_1782/kartor_geotiff/A 17274-2024 georefererad karta.tif", "A 17274-2024")</f>
        <v/>
      </c>
      <c r="AA31">
        <f>HYPERLINK("https://klasma.github.io/Logging_1782/klagomål/A 17274-2024 FSC-klagomål.docx", "A 17274-2024")</f>
        <v/>
      </c>
      <c r="AB31">
        <f>HYPERLINK("https://klasma.github.io/Logging_1782/klagomålsmail/A 17274-2024 FSC-klagomål mail.docx", "A 17274-2024")</f>
        <v/>
      </c>
      <c r="AC31">
        <f>HYPERLINK("https://klasma.github.io/Logging_1782/tillsyn/A 17274-2024 tillsynsbegäran.docx", "A 17274-2024")</f>
        <v/>
      </c>
      <c r="AD31">
        <f>HYPERLINK("https://klasma.github.io/Logging_1782/tillsynsmail/A 17274-2024 tillsynsbegäran mail.docx", "A 17274-2024")</f>
        <v/>
      </c>
      <c r="AE31">
        <f>HYPERLINK("https://klasma.github.io/Logging_1782/fåglar/A 17274-2024 prioriterade fågelarter.docx", "A 17274-2024")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46301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46301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46301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25916-2025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46301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26.4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HYPERLINK("https://klasma.github.io/Logging_1782/artfynd/A 25916-2025 artfynd.xlsx", "A 25916-2025")</f>
        <v/>
      </c>
      <c r="X37">
        <f>HYPERLINK("https://klasma.github.io/Logging_1782/kartor/A 25916-2025 karta.png", "A 25916-2025")</f>
        <v/>
      </c>
      <c r="Y37">
        <f>HYPERLINK("https://klasma.github.io/Logging_1782/kartor_geotiff/A 25916-2025 georefererad karta.tif", "A 25916-2025")</f>
        <v/>
      </c>
      <c r="AA37">
        <f>HYPERLINK("https://klasma.github.io/Logging_1782/klagomål/A 25916-2025 FSC-klagomål.docx", "A 25916-2025")</f>
        <v/>
      </c>
      <c r="AB37">
        <f>HYPERLINK("https://klasma.github.io/Logging_1782/klagomålsmail/A 25916-2025 FSC-klagomål mail.docx", "A 25916-2025")</f>
        <v/>
      </c>
      <c r="AC37">
        <f>HYPERLINK("https://klasma.github.io/Logging_1782/tillsyn/A 25916-2025 tillsynsbegäran.docx", "A 25916-2025")</f>
        <v/>
      </c>
      <c r="AD37">
        <f>HYPERLINK("https://klasma.github.io/Logging_1782/tillsynsmail/A 25916-2025 tillsynsbegäran mail.docx", "A 25916-2025")</f>
        <v/>
      </c>
    </row>
    <row r="38" ht="15" customHeight="1">
      <c r="A38" t="inlineStr">
        <is>
          <t>A 23046-2023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46301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HYPERLINK("https://klasma.github.io/Logging_1782/artfynd/A 23046-2023 artfynd.xlsx", "A 23046-2023")</f>
        <v/>
      </c>
      <c r="X38">
        <f>HYPERLINK("https://klasma.github.io/Logging_1782/kartor/A 23046-2023 karta.png", "A 23046-2023")</f>
        <v/>
      </c>
      <c r="Y38">
        <f>HYPERLINK("https://klasma.github.io/Logging_1782/kartor_geotiff/A 23046-2023 georefererad karta.tif", "A 23046-2023")</f>
        <v/>
      </c>
      <c r="Z38">
        <f>HYPERLINK("https://klasma.github.io/Logging_1782/knärot/A 23046-2023 karta knärot.png", "A 23046-2023")</f>
        <v/>
      </c>
      <c r="AA38">
        <f>HYPERLINK("https://klasma.github.io/Logging_1782/klagomål/A 23046-2023 FSC-klagomål.docx", "A 23046-2023")</f>
        <v/>
      </c>
      <c r="AB38">
        <f>HYPERLINK("https://klasma.github.io/Logging_1782/klagomålsmail/A 23046-2023 FSC-klagomål mail.docx", "A 23046-2023")</f>
        <v/>
      </c>
      <c r="AC38">
        <f>HYPERLINK("https://klasma.github.io/Logging_1782/tillsyn/A 23046-2023 tillsynsbegäran.docx", "A 23046-2023")</f>
        <v/>
      </c>
      <c r="AD38">
        <f>HYPERLINK("https://klasma.github.io/Logging_1782/tillsynsmail/A 23046-2023 tillsynsbegäran mail.docx", "A 23046-2023")</f>
        <v/>
      </c>
    </row>
    <row r="39" ht="15" customHeight="1">
      <c r="A39" t="inlineStr">
        <is>
          <t>A 30652-2025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45831</v>
      </c>
      <c r="E39" s="1" t="n">
        <v>46301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4.3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HYPERLINK("https://klasma.github.io/Logging_1782/artfynd/A 30652-2025 artfynd.xlsx", "A 30652-2025")</f>
        <v/>
      </c>
      <c r="X39">
        <f>HYPERLINK("https://klasma.github.io/Logging_1782/kartor/A 30652-2025 karta.png", "A 30652-2025")</f>
        <v/>
      </c>
      <c r="Y39">
        <f>HYPERLINK("https://klasma.github.io/Logging_1782/kartor_geotiff/A 30652-2025 georefererad karta.tif", "A 30652-2025")</f>
        <v/>
      </c>
      <c r="AA39">
        <f>HYPERLINK("https://klasma.github.io/Logging_1782/klagomål/A 30652-2025 FSC-klagomål.docx", "A 30652-2025")</f>
        <v/>
      </c>
      <c r="AB39">
        <f>HYPERLINK("https://klasma.github.io/Logging_1782/klagomålsmail/A 30652-2025 FSC-klagomål mail.docx", "A 30652-2025")</f>
        <v/>
      </c>
      <c r="AC39">
        <f>HYPERLINK("https://klasma.github.io/Logging_1782/tillsyn/A 30652-2025 tillsynsbegäran.docx", "A 30652-2025")</f>
        <v/>
      </c>
      <c r="AD39">
        <f>HYPERLINK("https://klasma.github.io/Logging_1782/tillsynsmail/A 30652-2025 tillsynsbegäran mail.docx", "A 30652-2025")</f>
        <v/>
      </c>
      <c r="AE39">
        <f>HYPERLINK("https://klasma.github.io/Logging_1782/fåglar/A 30652-2025 prioriterade fågelarter.docx", "A 30652-2025")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46301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46978-2023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45195</v>
      </c>
      <c r="E41" s="1" t="n">
        <v>46301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Nattviol</t>
        </is>
      </c>
      <c r="W41">
        <f>HYPERLINK("https://klasma.github.io/Logging_1782/artfynd/A 46978-2023 artfynd.xlsx", "A 46978-2023")</f>
        <v/>
      </c>
      <c r="X41">
        <f>HYPERLINK("https://klasma.github.io/Logging_1782/kartor/A 46978-2023 karta.png", "A 46978-2023")</f>
        <v/>
      </c>
      <c r="Y41">
        <f>HYPERLINK("https://klasma.github.io/Logging_1782/kartor_geotiff/A 46978-2023 georefererad karta.tif", "A 46978-2023")</f>
        <v/>
      </c>
      <c r="AA41">
        <f>HYPERLINK("https://klasma.github.io/Logging_1782/klagomål/A 46978-2023 FSC-klagomål.docx", "A 46978-2023")</f>
        <v/>
      </c>
      <c r="AB41">
        <f>HYPERLINK("https://klasma.github.io/Logging_1782/klagomålsmail/A 46978-2023 FSC-klagomål mail.docx", "A 46978-2023")</f>
        <v/>
      </c>
      <c r="AC41">
        <f>HYPERLINK("https://klasma.github.io/Logging_1782/tillsyn/A 46978-2023 tillsynsbegäran.docx", "A 46978-2023")</f>
        <v/>
      </c>
      <c r="AD41">
        <f>HYPERLINK("https://klasma.github.io/Logging_1782/tillsynsmail/A 46978-2023 tillsynsbegäran mail.docx", "A 46978-2023")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46301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46301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18138-2022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44684</v>
      </c>
      <c r="E44" s="1" t="n">
        <v>46301</v>
      </c>
      <c r="F44" t="inlineStr">
        <is>
          <t>VÄRMLANDS LÄN</t>
        </is>
      </c>
      <c r="G44" t="inlineStr">
        <is>
          <t>FILIPSTAD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18138-2022 artfynd.xlsx", "A 18138-2022")</f>
        <v/>
      </c>
      <c r="X44">
        <f>HYPERLINK("https://klasma.github.io/Logging_1782/kartor/A 18138-2022 karta.png", "A 18138-2022")</f>
        <v/>
      </c>
      <c r="Y44">
        <f>HYPERLINK("https://klasma.github.io/Logging_1782/kartor_geotiff/A 18138-2022 georefererad karta.tif", "A 18138-2022")</f>
        <v/>
      </c>
      <c r="AA44">
        <f>HYPERLINK("https://klasma.github.io/Logging_1782/klagomål/A 18138-2022 FSC-klagomål.docx", "A 18138-2022")</f>
        <v/>
      </c>
      <c r="AB44">
        <f>HYPERLINK("https://klasma.github.io/Logging_1782/klagomålsmail/A 18138-2022 FSC-klagomål mail.docx", "A 18138-2022")</f>
        <v/>
      </c>
      <c r="AC44">
        <f>HYPERLINK("https://klasma.github.io/Logging_1782/tillsyn/A 18138-2022 tillsynsbegäran.docx", "A 18138-2022")</f>
        <v/>
      </c>
      <c r="AD44">
        <f>HYPERLINK("https://klasma.github.io/Logging_1782/tillsynsmail/A 18138-2022 tillsynsbegäran mail.docx", "A 18138-2022")</f>
        <v/>
      </c>
    </row>
    <row r="45" ht="15" customHeight="1">
      <c r="A45" t="inlineStr">
        <is>
          <t>A 4560-2025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45687</v>
      </c>
      <c r="E45" s="1" t="n">
        <v>46301</v>
      </c>
      <c r="F45" t="inlineStr">
        <is>
          <t>VÄRMLANDS LÄN</t>
        </is>
      </c>
      <c r="G45" t="inlineStr">
        <is>
          <t>FILIPSTAD</t>
        </is>
      </c>
      <c r="I45" t="n">
        <v>13.6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HYPERLINK("https://klasma.github.io/Logging_1782/artfynd/A 4560-2025 artfynd.xlsx", "A 4560-2025")</f>
        <v/>
      </c>
      <c r="X45">
        <f>HYPERLINK("https://klasma.github.io/Logging_1782/kartor/A 4560-2025 karta.png", "A 4560-2025")</f>
        <v/>
      </c>
      <c r="Y45">
        <f>HYPERLINK("https://klasma.github.io/Logging_1782/kartor_geotiff/A 4560-2025 georefererad karta.tif", "A 4560-2025")</f>
        <v/>
      </c>
      <c r="AA45">
        <f>HYPERLINK("https://klasma.github.io/Logging_1782/klagomål/A 4560-2025 FSC-klagomål.docx", "A 4560-2025")</f>
        <v/>
      </c>
      <c r="AB45">
        <f>HYPERLINK("https://klasma.github.io/Logging_1782/klagomålsmail/A 4560-2025 FSC-klagomål mail.docx", "A 4560-2025")</f>
        <v/>
      </c>
      <c r="AC45">
        <f>HYPERLINK("https://klasma.github.io/Logging_1782/tillsyn/A 4560-2025 tillsynsbegäran.docx", "A 4560-2025")</f>
        <v/>
      </c>
      <c r="AD45">
        <f>HYPERLINK("https://klasma.github.io/Logging_1782/tillsynsmail/A 4560-2025 tillsynsbegäran mail.docx", "A 4560-2025")</f>
        <v/>
      </c>
    </row>
    <row r="46" ht="15" customHeight="1">
      <c r="A46" t="inlineStr">
        <is>
          <t>A 874-2025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45665</v>
      </c>
      <c r="E46" s="1" t="n">
        <v>46301</v>
      </c>
      <c r="F46" t="inlineStr">
        <is>
          <t>VÄRMLANDS LÄN</t>
        </is>
      </c>
      <c r="G46" t="inlineStr">
        <is>
          <t>FILIPSTAD</t>
        </is>
      </c>
      <c r="H46" t="inlineStr">
        <is>
          <t>Kyrkan</t>
        </is>
      </c>
      <c r="I46" t="n">
        <v>4.8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Kamjordstjärna</t>
        </is>
      </c>
      <c r="W46">
        <f>HYPERLINK("https://klasma.github.io/Logging_1782/artfynd/A 874-2025 artfynd.xlsx", "A 874-2025")</f>
        <v/>
      </c>
      <c r="X46">
        <f>HYPERLINK("https://klasma.github.io/Logging_1782/kartor/A 874-2025 karta.png", "A 874-2025")</f>
        <v/>
      </c>
      <c r="Y46">
        <f>HYPERLINK("https://klasma.github.io/Logging_1782/kartor_geotiff/A 874-2025 georefererad karta.tif", "A 874-2025")</f>
        <v/>
      </c>
      <c r="AA46">
        <f>HYPERLINK("https://klasma.github.io/Logging_1782/klagomål/A 874-2025 FSC-klagomål.docx", "A 874-2025")</f>
        <v/>
      </c>
      <c r="AB46">
        <f>HYPERLINK("https://klasma.github.io/Logging_1782/klagomålsmail/A 874-2025 FSC-klagomål mail.docx", "A 874-2025")</f>
        <v/>
      </c>
      <c r="AC46">
        <f>HYPERLINK("https://klasma.github.io/Logging_1782/tillsyn/A 874-2025 tillsynsbegäran.docx", "A 874-2025")</f>
        <v/>
      </c>
      <c r="AD46">
        <f>HYPERLINK("https://klasma.github.io/Logging_1782/tillsynsmail/A 874-2025 tillsynsbegäran mail.docx", "A 874-2025")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46301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46301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46301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51522-2022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46301</v>
      </c>
      <c r="F50" t="inlineStr">
        <is>
          <t>VÄRMLANDS LÄN</t>
        </is>
      </c>
      <c r="G50" t="inlineStr">
        <is>
          <t>FILIPSTAD</t>
        </is>
      </c>
      <c r="I50" t="n">
        <v>4.1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HYPERLINK("https://klasma.github.io/Logging_1782/artfynd/A 51522-2022 artfynd.xlsx", "A 51522-2022")</f>
        <v/>
      </c>
      <c r="X50">
        <f>HYPERLINK("https://klasma.github.io/Logging_1782/kartor/A 51522-2022 karta.png", "A 51522-2022")</f>
        <v/>
      </c>
      <c r="Y50">
        <f>HYPERLINK("https://klasma.github.io/Logging_1782/kartor_geotiff/A 51522-2022 georefererad karta.tif", "A 51522-2022")</f>
        <v/>
      </c>
      <c r="AA50">
        <f>HYPERLINK("https://klasma.github.io/Logging_1782/klagomål/A 51522-2022 FSC-klagomål.docx", "A 51522-2022")</f>
        <v/>
      </c>
      <c r="AB50">
        <f>HYPERLINK("https://klasma.github.io/Logging_1782/klagomålsmail/A 51522-2022 FSC-klagomål mail.docx", "A 51522-2022")</f>
        <v/>
      </c>
      <c r="AC50">
        <f>HYPERLINK("https://klasma.github.io/Logging_1782/tillsyn/A 51522-2022 tillsynsbegäran.docx", "A 51522-2022")</f>
        <v/>
      </c>
      <c r="AD50">
        <f>HYPERLINK("https://klasma.github.io/Logging_1782/tillsynsmail/A 51522-2022 tillsynsbegäran mail.docx", "A 51522-2022")</f>
        <v/>
      </c>
    </row>
    <row r="51" ht="15" customHeight="1">
      <c r="A51" t="inlineStr">
        <is>
          <t>A 50776-2024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45602</v>
      </c>
      <c r="E51" s="1" t="n">
        <v>46301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15.5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50776-2024 artfynd.xlsx", "A 50776-2024")</f>
        <v/>
      </c>
      <c r="X51">
        <f>HYPERLINK("https://klasma.github.io/Logging_1782/kartor/A 50776-2024 karta.png", "A 50776-2024")</f>
        <v/>
      </c>
      <c r="Y51">
        <f>HYPERLINK("https://klasma.github.io/Logging_1782/kartor_geotiff/A 50776-2024 georefererad karta.tif", "A 50776-2024")</f>
        <v/>
      </c>
      <c r="AA51">
        <f>HYPERLINK("https://klasma.github.io/Logging_1782/klagomål/A 50776-2024 FSC-klagomål.docx", "A 50776-2024")</f>
        <v/>
      </c>
      <c r="AB51">
        <f>HYPERLINK("https://klasma.github.io/Logging_1782/klagomålsmail/A 50776-2024 FSC-klagomål mail.docx", "A 50776-2024")</f>
        <v/>
      </c>
      <c r="AC51">
        <f>HYPERLINK("https://klasma.github.io/Logging_1782/tillsyn/A 50776-2024 tillsynsbegäran.docx", "A 50776-2024")</f>
        <v/>
      </c>
      <c r="AD51">
        <f>HYPERLINK("https://klasma.github.io/Logging_1782/tillsynsmail/A 50776-2024 tillsynsbegäran mail.docx", "A 50776-2024")</f>
        <v/>
      </c>
    </row>
    <row r="52" ht="15" customHeight="1">
      <c r="A52" t="inlineStr">
        <is>
          <t>A 5992-2023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44959</v>
      </c>
      <c r="E52" s="1" t="n">
        <v>46301</v>
      </c>
      <c r="F52" t="inlineStr">
        <is>
          <t>VÄRMLANDS LÄN</t>
        </is>
      </c>
      <c r="G52" t="inlineStr">
        <is>
          <t>FILIPSTAD</t>
        </is>
      </c>
      <c r="I52" t="n">
        <v>0.6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HYPERLINK("https://klasma.github.io/Logging_1782/artfynd/A 5992-2023 artfynd.xlsx", "A 5992-2023")</f>
        <v/>
      </c>
      <c r="X52">
        <f>HYPERLINK("https://klasma.github.io/Logging_1782/kartor/A 5992-2023 karta.png", "A 5992-2023")</f>
        <v/>
      </c>
      <c r="Y52">
        <f>HYPERLINK("https://klasma.github.io/Logging_1782/kartor_geotiff/A 5992-2023 georefererad karta.tif", "A 5992-2023")</f>
        <v/>
      </c>
      <c r="AA52">
        <f>HYPERLINK("https://klasma.github.io/Logging_1782/klagomål/A 5992-2023 FSC-klagomål.docx", "A 5992-2023")</f>
        <v/>
      </c>
      <c r="AB52">
        <f>HYPERLINK("https://klasma.github.io/Logging_1782/klagomålsmail/A 5992-2023 FSC-klagomål mail.docx", "A 5992-2023")</f>
        <v/>
      </c>
      <c r="AC52">
        <f>HYPERLINK("https://klasma.github.io/Logging_1782/tillsyn/A 5992-2023 tillsynsbegäran.docx", "A 5992-2023")</f>
        <v/>
      </c>
      <c r="AD52">
        <f>HYPERLINK("https://klasma.github.io/Logging_1782/tillsynsmail/A 5992-2023 tillsynsbegäran mail.docx", "A 5992-2023")</f>
        <v/>
      </c>
    </row>
    <row r="53" ht="15" customHeight="1">
      <c r="A53" t="inlineStr">
        <is>
          <t>A 30988-2026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46213</v>
      </c>
      <c r="E53" s="1" t="n">
        <v>46301</v>
      </c>
      <c r="F53" t="inlineStr">
        <is>
          <t>VÄRMLANDS LÄN</t>
        </is>
      </c>
      <c r="G53" t="inlineStr">
        <is>
          <t>FILIPSTAD</t>
        </is>
      </c>
      <c r="I53" t="n">
        <v>2.4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Skuggblåslav</t>
        </is>
      </c>
      <c r="W53">
        <f>HYPERLINK("https://klasma.github.io/Logging_1782/artfynd/A 30988-2026 artfynd.xlsx", "A 30988-2026")</f>
        <v/>
      </c>
      <c r="X53">
        <f>HYPERLINK("https://klasma.github.io/Logging_1782/kartor/A 30988-2026 karta.png", "A 30988-2026")</f>
        <v/>
      </c>
      <c r="Y53">
        <f>HYPERLINK("https://klasma.github.io/Logging_1782/kartor_geotiff/A 30988-2026 georefererad karta.tif", "A 30988-2026")</f>
        <v/>
      </c>
      <c r="AA53">
        <f>HYPERLINK("https://klasma.github.io/Logging_1782/klagomål/A 30988-2026 FSC-klagomål.docx", "A 30988-2026")</f>
        <v/>
      </c>
      <c r="AB53">
        <f>HYPERLINK("https://klasma.github.io/Logging_1782/klagomålsmail/A 30988-2026 FSC-klagomål mail.docx", "A 30988-2026")</f>
        <v/>
      </c>
      <c r="AC53">
        <f>HYPERLINK("https://klasma.github.io/Logging_1782/tillsyn/A 30988-2026 tillsynsbegäran.docx", "A 30988-2026")</f>
        <v/>
      </c>
      <c r="AD53">
        <f>HYPERLINK("https://klasma.github.io/Logging_1782/tillsynsmail/A 30988-2026 tillsynsbegäran mail.docx", "A 30988-2026")</f>
        <v/>
      </c>
    </row>
    <row r="54" ht="15" customHeight="1">
      <c r="A54" t="inlineStr">
        <is>
          <t>A 1346-2025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45667</v>
      </c>
      <c r="E54" s="1" t="n">
        <v>46301</v>
      </c>
      <c r="F54" t="inlineStr">
        <is>
          <t>VÄRMLANDS LÄN</t>
        </is>
      </c>
      <c r="G54" t="inlineStr">
        <is>
          <t>FILIPSTAD</t>
        </is>
      </c>
      <c r="H54" t="inlineStr">
        <is>
          <t>Kommuner</t>
        </is>
      </c>
      <c r="I54" t="n">
        <v>6.9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Fläcknycklar</t>
        </is>
      </c>
      <c r="W54">
        <f>HYPERLINK("https://klasma.github.io/Logging_1782/artfynd/A 1346-2025 artfynd.xlsx", "A 1346-2025")</f>
        <v/>
      </c>
      <c r="X54">
        <f>HYPERLINK("https://klasma.github.io/Logging_1782/kartor/A 1346-2025 karta.png", "A 1346-2025")</f>
        <v/>
      </c>
      <c r="Y54">
        <f>HYPERLINK("https://klasma.github.io/Logging_1782/kartor_geotiff/A 1346-2025 georefererad karta.tif", "A 1346-2025")</f>
        <v/>
      </c>
      <c r="AA54">
        <f>HYPERLINK("https://klasma.github.io/Logging_1782/klagomål/A 1346-2025 FSC-klagomål.docx", "A 1346-2025")</f>
        <v/>
      </c>
      <c r="AB54">
        <f>HYPERLINK("https://klasma.github.io/Logging_1782/klagomålsmail/A 1346-2025 FSC-klagomål mail.docx", "A 1346-2025")</f>
        <v/>
      </c>
      <c r="AC54">
        <f>HYPERLINK("https://klasma.github.io/Logging_1782/tillsyn/A 1346-2025 tillsynsbegäran.docx", "A 1346-2025")</f>
        <v/>
      </c>
      <c r="AD54">
        <f>HYPERLINK("https://klasma.github.io/Logging_1782/tillsynsmail/A 1346-2025 tillsynsbegäran mail.docx", "A 1346-2025")</f>
        <v/>
      </c>
    </row>
    <row r="55" ht="15" customHeight="1">
      <c r="A55" t="inlineStr">
        <is>
          <t>A 11453-2025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45726</v>
      </c>
      <c r="E55" s="1" t="n">
        <v>46301</v>
      </c>
      <c r="F55" t="inlineStr">
        <is>
          <t>VÄRMLANDS LÄN</t>
        </is>
      </c>
      <c r="G55" t="inlineStr">
        <is>
          <t>FILIPSTAD</t>
        </is>
      </c>
      <c r="I55" t="n">
        <v>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Purpurknipprot</t>
        </is>
      </c>
      <c r="W55">
        <f>HYPERLINK("https://klasma.github.io/Logging_1782/artfynd/A 11453-2025 artfynd.xlsx", "A 11453-2025")</f>
        <v/>
      </c>
      <c r="X55">
        <f>HYPERLINK("https://klasma.github.io/Logging_1782/kartor/A 11453-2025 karta.png", "A 11453-2025")</f>
        <v/>
      </c>
      <c r="Y55">
        <f>HYPERLINK("https://klasma.github.io/Logging_1782/kartor_geotiff/A 11453-2025 georefererad karta.tif", "A 11453-2025")</f>
        <v/>
      </c>
      <c r="AA55">
        <f>HYPERLINK("https://klasma.github.io/Logging_1782/klagomål/A 11453-2025 FSC-klagomål.docx", "A 11453-2025")</f>
        <v/>
      </c>
      <c r="AB55">
        <f>HYPERLINK("https://klasma.github.io/Logging_1782/klagomålsmail/A 11453-2025 FSC-klagomål mail.docx", "A 11453-2025")</f>
        <v/>
      </c>
      <c r="AC55">
        <f>HYPERLINK("https://klasma.github.io/Logging_1782/tillsyn/A 11453-2025 tillsynsbegäran.docx", "A 11453-2025")</f>
        <v/>
      </c>
      <c r="AD55">
        <f>HYPERLINK("https://klasma.github.io/Logging_1782/tillsynsmail/A 11453-2025 tillsynsbegäran mail.docx", "A 11453-2025")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46301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46301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46301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46301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46301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46301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46301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46301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46301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46301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46301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46301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46301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66376-2021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46301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9.800000000000001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46301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46301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46301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46301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46301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57588-2023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46301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46301</v>
      </c>
      <c r="F81" t="inlineStr">
        <is>
          <t>VÄRMLANDS LÄN</t>
        </is>
      </c>
      <c r="G81" t="inlineStr">
        <is>
          <t>FILIPSTAD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46301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46301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46301</v>
      </c>
      <c r="F84" t="inlineStr">
        <is>
          <t>VÄRMLANDS LÄN</t>
        </is>
      </c>
      <c r="G84" t="inlineStr">
        <is>
          <t>FILIPSTAD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46301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46301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46301</v>
      </c>
      <c r="F87" t="inlineStr">
        <is>
          <t>VÄRMLANDS LÄN</t>
        </is>
      </c>
      <c r="G87" t="inlineStr">
        <is>
          <t>FILIPSTAD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46301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46301</v>
      </c>
      <c r="F89" t="inlineStr">
        <is>
          <t>VÄRMLANDS LÄN</t>
        </is>
      </c>
      <c r="G89" t="inlineStr">
        <is>
          <t>FILIPSTAD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45223</v>
      </c>
      <c r="E90" s="1" t="n">
        <v>46301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46301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46301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45408</v>
      </c>
      <c r="E93" s="1" t="n">
        <v>46301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46301</v>
      </c>
      <c r="F94" t="inlineStr">
        <is>
          <t>VÄRMLANDS LÄN</t>
        </is>
      </c>
      <c r="G94" t="inlineStr">
        <is>
          <t>FILIPSTAD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46301</v>
      </c>
      <c r="F95" t="inlineStr">
        <is>
          <t>VÄRMLANDS LÄN</t>
        </is>
      </c>
      <c r="G95" t="inlineStr">
        <is>
          <t>FILIPSTAD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45418</v>
      </c>
      <c r="E96" s="1" t="n">
        <v>46301</v>
      </c>
      <c r="F96" t="inlineStr">
        <is>
          <t>VÄRMLANDS LÄN</t>
        </is>
      </c>
      <c r="G96" t="inlineStr">
        <is>
          <t>FILIPSTAD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46301</v>
      </c>
      <c r="F97" t="inlineStr">
        <is>
          <t>VÄRMLANDS LÄN</t>
        </is>
      </c>
      <c r="G97" t="inlineStr">
        <is>
          <t>FILIPSTAD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46301</v>
      </c>
      <c r="F98" t="inlineStr">
        <is>
          <t>VÄRMLANDS LÄN</t>
        </is>
      </c>
      <c r="G98" t="inlineStr">
        <is>
          <t>FILIPSTAD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46301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46301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45474</v>
      </c>
      <c r="E101" s="1" t="n">
        <v>46301</v>
      </c>
      <c r="F101" t="inlineStr">
        <is>
          <t>VÄRMLANDS LÄN</t>
        </is>
      </c>
      <c r="G101" t="inlineStr">
        <is>
          <t>FILIPSTAD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46301</v>
      </c>
      <c r="F102" t="inlineStr">
        <is>
          <t>VÄRMLANDS LÄN</t>
        </is>
      </c>
      <c r="G102" t="inlineStr">
        <is>
          <t>FILIPSTAD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46301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46301</v>
      </c>
      <c r="F104" t="inlineStr">
        <is>
          <t>VÄRMLANDS LÄN</t>
        </is>
      </c>
      <c r="G104" t="inlineStr">
        <is>
          <t>FILIPSTAD</t>
        </is>
      </c>
      <c r="H104" t="inlineStr">
        <is>
          <t>Kommuner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26123-2025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45805</v>
      </c>
      <c r="E105" s="1" t="n">
        <v>46301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26116-2025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45805</v>
      </c>
      <c r="E106" s="1" t="n">
        <v>46301</v>
      </c>
      <c r="F106" t="inlineStr">
        <is>
          <t>VÄRMLANDS LÄN</t>
        </is>
      </c>
      <c r="G106" t="inlineStr">
        <is>
          <t>FILIPSTAD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45674</v>
      </c>
      <c r="E107" s="1" t="n">
        <v>46301</v>
      </c>
      <c r="F107" t="inlineStr">
        <is>
          <t>VÄRMLANDS LÄN</t>
        </is>
      </c>
      <c r="G107" t="inlineStr">
        <is>
          <t>FILIPSTAD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46301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45470</v>
      </c>
      <c r="E109" s="1" t="n">
        <v>46301</v>
      </c>
      <c r="F109" t="inlineStr">
        <is>
          <t>VÄRMLANDS LÄN</t>
        </is>
      </c>
      <c r="G109" t="inlineStr">
        <is>
          <t>FILIPSTAD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46040</v>
      </c>
      <c r="E110" s="1" t="n">
        <v>46301</v>
      </c>
      <c r="F110" t="inlineStr">
        <is>
          <t>VÄRMLANDS LÄN</t>
        </is>
      </c>
      <c r="G110" t="inlineStr">
        <is>
          <t>FILIPSTAD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26599-2024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45469</v>
      </c>
      <c r="E111" s="1" t="n">
        <v>46301</v>
      </c>
      <c r="F111" t="inlineStr">
        <is>
          <t>VÄRMLANDS LÄN</t>
        </is>
      </c>
      <c r="G111" t="inlineStr">
        <is>
          <t>FILIPSTAD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46301</v>
      </c>
      <c r="F112" t="inlineStr">
        <is>
          <t>VÄRMLANDS LÄN</t>
        </is>
      </c>
      <c r="G112" t="inlineStr">
        <is>
          <t>FILIPSTAD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46301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29568-2025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46301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46301</v>
      </c>
      <c r="F115" t="inlineStr">
        <is>
          <t>VÄRMLANDS LÄN</t>
        </is>
      </c>
      <c r="G115" t="inlineStr">
        <is>
          <t>FILIPSTAD</t>
        </is>
      </c>
      <c r="I115" t="n">
        <v>23.3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46301</v>
      </c>
      <c r="F116" t="inlineStr">
        <is>
          <t>VÄRMLANDS LÄN</t>
        </is>
      </c>
      <c r="G116" t="inlineStr">
        <is>
          <t>FILIPSTAD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46301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46301</v>
      </c>
      <c r="F118" t="inlineStr">
        <is>
          <t>VÄRMLANDS LÄN</t>
        </is>
      </c>
      <c r="G118" t="inlineStr">
        <is>
          <t>FILIPSTAD</t>
        </is>
      </c>
      <c r="H118" t="inlineStr">
        <is>
          <t>Kyrkan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31172-2025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45832</v>
      </c>
      <c r="E119" s="1" t="n">
        <v>46301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44672</v>
      </c>
      <c r="E120" s="1" t="n">
        <v>46301</v>
      </c>
      <c r="F120" t="inlineStr">
        <is>
          <t>VÄRMLANDS LÄN</t>
        </is>
      </c>
      <c r="G120" t="inlineStr">
        <is>
          <t>FILIPSTAD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45578</v>
      </c>
      <c r="E121" s="1" t="n">
        <v>46301</v>
      </c>
      <c r="F121" t="inlineStr">
        <is>
          <t>VÄRMLANDS LÄN</t>
        </is>
      </c>
      <c r="G121" t="inlineStr">
        <is>
          <t>FILIPSTAD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46301</v>
      </c>
      <c r="F122" t="inlineStr">
        <is>
          <t>VÄRMLANDS LÄN</t>
        </is>
      </c>
      <c r="G122" t="inlineStr">
        <is>
          <t>FILIPSTAD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46301</v>
      </c>
      <c r="F123" t="inlineStr">
        <is>
          <t>VÄRMLANDS LÄN</t>
        </is>
      </c>
      <c r="G123" t="inlineStr">
        <is>
          <t>FILIPSTAD</t>
        </is>
      </c>
      <c r="I123" t="n">
        <v>18.7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32032-2025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45835</v>
      </c>
      <c r="E124" s="1" t="n">
        <v>46301</v>
      </c>
      <c r="F124" t="inlineStr">
        <is>
          <t>VÄRMLANDS LÄN</t>
        </is>
      </c>
      <c r="G124" t="inlineStr">
        <is>
          <t>FILIPSTAD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46301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69015-2021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44530</v>
      </c>
      <c r="E126" s="1" t="n">
        <v>46301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45688</v>
      </c>
      <c r="E127" s="1" t="n">
        <v>46301</v>
      </c>
      <c r="F127" t="inlineStr">
        <is>
          <t>VÄRMLANDS LÄN</t>
        </is>
      </c>
      <c r="G127" t="inlineStr">
        <is>
          <t>FILIPSTAD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6593-2026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46301</v>
      </c>
      <c r="F128" t="inlineStr">
        <is>
          <t>VÄRMLANDS LÄN</t>
        </is>
      </c>
      <c r="G128" t="inlineStr">
        <is>
          <t>FILIPSTAD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46301</v>
      </c>
      <c r="F129" t="inlineStr">
        <is>
          <t>VÄRMLANDS LÄN</t>
        </is>
      </c>
      <c r="G129" t="inlineStr">
        <is>
          <t>FILIPSTAD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45202</v>
      </c>
      <c r="E130" s="1" t="n">
        <v>46301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41718-2025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45902</v>
      </c>
      <c r="E131" s="1" t="n">
        <v>46301</v>
      </c>
      <c r="F131" t="inlineStr">
        <is>
          <t>VÄRMLANDS LÄN</t>
        </is>
      </c>
      <c r="G131" t="inlineStr">
        <is>
          <t>FILIPSTAD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33407-2025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45841</v>
      </c>
      <c r="E132" s="1" t="n">
        <v>46301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46301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45579</v>
      </c>
      <c r="E134" s="1" t="n">
        <v>46301</v>
      </c>
      <c r="F134" t="inlineStr">
        <is>
          <t>VÄRMLANDS LÄN</t>
        </is>
      </c>
      <c r="G134" t="inlineStr">
        <is>
          <t>FILIPSTAD</t>
        </is>
      </c>
      <c r="H134" t="inlineStr">
        <is>
          <t>Kyrkan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44935</v>
      </c>
      <c r="E135" s="1" t="n">
        <v>46301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46301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46301</v>
      </c>
      <c r="F137" t="inlineStr">
        <is>
          <t>VÄRMLANDS LÄN</t>
        </is>
      </c>
      <c r="G137" t="inlineStr">
        <is>
          <t>FILIPSTAD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46301</v>
      </c>
      <c r="F138" t="inlineStr">
        <is>
          <t>VÄRMLANDS LÄN</t>
        </is>
      </c>
      <c r="G138" t="inlineStr">
        <is>
          <t>FILIPSTAD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46301</v>
      </c>
      <c r="F139" t="inlineStr">
        <is>
          <t>VÄRMLANDS LÄN</t>
        </is>
      </c>
      <c r="G139" t="inlineStr">
        <is>
          <t>FILIPSTAD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46301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46301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46301</v>
      </c>
      <c r="F142" t="inlineStr">
        <is>
          <t>VÄRMLANDS LÄN</t>
        </is>
      </c>
      <c r="G142" t="inlineStr">
        <is>
          <t>FILIPSTAD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45925</v>
      </c>
      <c r="E143" s="1" t="n">
        <v>46301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46301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46301</v>
      </c>
      <c r="F145" t="inlineStr">
        <is>
          <t>VÄRMLANDS LÄN</t>
        </is>
      </c>
      <c r="G145" t="inlineStr">
        <is>
          <t>FILIPSTAD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46301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45929</v>
      </c>
      <c r="E147" s="1" t="n">
        <v>46301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46301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46301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48103-2025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45933</v>
      </c>
      <c r="E150" s="1" t="n">
        <v>46301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46301</v>
      </c>
      <c r="F151" t="inlineStr">
        <is>
          <t>VÄRMLANDS LÄN</t>
        </is>
      </c>
      <c r="G151" t="inlineStr">
        <is>
          <t>FILIPSTAD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44998</v>
      </c>
      <c r="E152" s="1" t="n">
        <v>46301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46301</v>
      </c>
      <c r="F153" t="inlineStr">
        <is>
          <t>VÄRMLANDS LÄN</t>
        </is>
      </c>
      <c r="G153" t="inlineStr">
        <is>
          <t>FILIPSTAD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46301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51572-2025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46301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46301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46301</v>
      </c>
      <c r="F157" t="inlineStr">
        <is>
          <t>VÄRMLANDS LÄN</t>
        </is>
      </c>
      <c r="G157" t="inlineStr">
        <is>
          <t>FILIPSTAD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46301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46301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46301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46301</v>
      </c>
      <c r="F161" t="inlineStr">
        <is>
          <t>VÄRMLANDS LÄN</t>
        </is>
      </c>
      <c r="G161" t="inlineStr">
        <is>
          <t>FILIPSTAD</t>
        </is>
      </c>
      <c r="H161" t="inlineStr">
        <is>
          <t>Kyrkan</t>
        </is>
      </c>
      <c r="I161" t="n">
        <v>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46301</v>
      </c>
      <c r="F162" t="inlineStr">
        <is>
          <t>VÄRMLANDS LÄN</t>
        </is>
      </c>
      <c r="G162" t="inlineStr">
        <is>
          <t>FILIPSTAD</t>
        </is>
      </c>
      <c r="H162" t="inlineStr">
        <is>
          <t>Kyrkan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22866-2023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45072</v>
      </c>
      <c r="E163" s="1" t="n">
        <v>46301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46092</v>
      </c>
      <c r="E164" s="1" t="n">
        <v>46301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29473-2024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45484</v>
      </c>
      <c r="E165" s="1" t="n">
        <v>46301</v>
      </c>
      <c r="F165" t="inlineStr">
        <is>
          <t>VÄRMLANDS LÄN</t>
        </is>
      </c>
      <c r="G165" t="inlineStr">
        <is>
          <t>FILIPSTAD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46301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46301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46301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46301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46301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46301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46301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46098</v>
      </c>
      <c r="E173" s="1" t="n">
        <v>46301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46098</v>
      </c>
      <c r="E174" s="1" t="n">
        <v>46301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46301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45968</v>
      </c>
      <c r="E176" s="1" t="n">
        <v>46301</v>
      </c>
      <c r="F176" t="inlineStr">
        <is>
          <t>VÄRMLANDS LÄN</t>
        </is>
      </c>
      <c r="G176" t="inlineStr">
        <is>
          <t>FILIPSTAD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45968</v>
      </c>
      <c r="E177" s="1" t="n">
        <v>46301</v>
      </c>
      <c r="F177" t="inlineStr">
        <is>
          <t>VÄRMLANDS LÄN</t>
        </is>
      </c>
      <c r="G177" t="inlineStr">
        <is>
          <t>FILIPSTAD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46301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46301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46301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46301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46301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46301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46301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46301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46301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46301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46301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46100</v>
      </c>
      <c r="E189" s="1" t="n">
        <v>46301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46301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46301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46099</v>
      </c>
      <c r="E192" s="1" t="n">
        <v>46301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46301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46301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46301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46107</v>
      </c>
      <c r="E196" s="1" t="n">
        <v>46301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46301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46301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46301</v>
      </c>
      <c r="F199" t="inlineStr">
        <is>
          <t>VÄRMLANDS LÄN</t>
        </is>
      </c>
      <c r="G199" t="inlineStr">
        <is>
          <t>FILIPSTAD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46301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46301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46301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16040-2026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46108</v>
      </c>
      <c r="E203" s="1" t="n">
        <v>46301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46108</v>
      </c>
      <c r="E204" s="1" t="n">
        <v>46301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16975-2026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46114</v>
      </c>
      <c r="E205" s="1" t="n">
        <v>46301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17292-2026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46301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46301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17326-2026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46301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44579</v>
      </c>
      <c r="E209" s="1" t="n">
        <v>46301</v>
      </c>
      <c r="F209" t="inlineStr">
        <is>
          <t>VÄRMLANDS LÄN</t>
        </is>
      </c>
      <c r="G209" t="inlineStr">
        <is>
          <t>FILIPSTAD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46301</v>
      </c>
      <c r="F210" t="inlineStr">
        <is>
          <t>VÄRMLANDS LÄN</t>
        </is>
      </c>
      <c r="G210" t="inlineStr">
        <is>
          <t>FILIPSTAD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46301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46301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46301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46301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46301</v>
      </c>
      <c r="F215" t="inlineStr">
        <is>
          <t>VÄRMLANDS LÄN</t>
        </is>
      </c>
      <c r="G215" t="inlineStr">
        <is>
          <t>FILIPSTAD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46301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46301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18533-2026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46301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46301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18443-2026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46301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46301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46301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46126</v>
      </c>
      <c r="E223" s="1" t="n">
        <v>46301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46301</v>
      </c>
      <c r="F224" t="inlineStr">
        <is>
          <t>VÄRMLANDS LÄN</t>
        </is>
      </c>
      <c r="G224" t="inlineStr">
        <is>
          <t>FILIPSTAD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45152</v>
      </c>
      <c r="E225" s="1" t="n">
        <v>46301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46301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46301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46301</v>
      </c>
      <c r="F228" t="inlineStr">
        <is>
          <t>VÄRMLANDS LÄN</t>
        </is>
      </c>
      <c r="G228" t="inlineStr">
        <is>
          <t>FILIPSTAD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46301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45750</v>
      </c>
      <c r="E230" s="1" t="n">
        <v>46301</v>
      </c>
      <c r="F230" t="inlineStr">
        <is>
          <t>VÄRMLANDS LÄN</t>
        </is>
      </c>
      <c r="G230" t="inlineStr">
        <is>
          <t>FILIPSTAD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46301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46301</v>
      </c>
      <c r="F232" t="inlineStr">
        <is>
          <t>VÄRMLANDS LÄN</t>
        </is>
      </c>
      <c r="G232" t="inlineStr">
        <is>
          <t>FILIPSTAD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46301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46301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46301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46301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45012</v>
      </c>
      <c r="E237" s="1" t="n">
        <v>46301</v>
      </c>
      <c r="F237" t="inlineStr">
        <is>
          <t>VÄRMLANDS LÄN</t>
        </is>
      </c>
      <c r="G237" t="inlineStr">
        <is>
          <t>FILIPSTAD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46301</v>
      </c>
      <c r="F238" t="inlineStr">
        <is>
          <t>VÄRMLANDS LÄN</t>
        </is>
      </c>
      <c r="G238" t="inlineStr">
        <is>
          <t>FILIPSTAD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46301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46301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46301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45996</v>
      </c>
      <c r="E242" s="1" t="n">
        <v>46301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46301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19435-2026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46301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46301</v>
      </c>
      <c r="F245" t="inlineStr">
        <is>
          <t>VÄRMLANDS LÄN</t>
        </is>
      </c>
      <c r="G245" t="inlineStr">
        <is>
          <t>FILIPSTAD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46301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46301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46301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46301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46134</v>
      </c>
      <c r="E250" s="1" t="n">
        <v>46301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46301</v>
      </c>
      <c r="F251" t="inlineStr">
        <is>
          <t>VÄRMLANDS LÄN</t>
        </is>
      </c>
      <c r="G251" t="inlineStr">
        <is>
          <t>FILIPSTAD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46301</v>
      </c>
      <c r="F252" t="inlineStr">
        <is>
          <t>VÄRMLANDS LÄN</t>
        </is>
      </c>
      <c r="G252" t="inlineStr">
        <is>
          <t>FILIPSTAD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46301</v>
      </c>
      <c r="F253" t="inlineStr">
        <is>
          <t>VÄRMLANDS LÄN</t>
        </is>
      </c>
      <c r="G253" t="inlineStr">
        <is>
          <t>FILIPSTAD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61327-2025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46001</v>
      </c>
      <c r="E254" s="1" t="n">
        <v>46301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46301</v>
      </c>
      <c r="F255" t="inlineStr">
        <is>
          <t>VÄRMLANDS LÄN</t>
        </is>
      </c>
      <c r="G255" t="inlineStr">
        <is>
          <t>FILIPSTAD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46301</v>
      </c>
      <c r="F256" t="inlineStr">
        <is>
          <t>VÄRMLANDS LÄN</t>
        </is>
      </c>
      <c r="G256" t="inlineStr">
        <is>
          <t>FILIPSTAD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46002</v>
      </c>
      <c r="E257" s="1" t="n">
        <v>46301</v>
      </c>
      <c r="F257" t="inlineStr">
        <is>
          <t>VÄRMLANDS LÄN</t>
        </is>
      </c>
      <c r="G257" t="inlineStr">
        <is>
          <t>FILIPSTAD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46001</v>
      </c>
      <c r="E258" s="1" t="n">
        <v>46301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46002</v>
      </c>
      <c r="E259" s="1" t="n">
        <v>46301</v>
      </c>
      <c r="F259" t="inlineStr">
        <is>
          <t>VÄRMLANDS LÄN</t>
        </is>
      </c>
      <c r="G259" t="inlineStr">
        <is>
          <t>FILIPSTAD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46301</v>
      </c>
      <c r="F260" t="inlineStr">
        <is>
          <t>VÄRMLANDS LÄN</t>
        </is>
      </c>
      <c r="G260" t="inlineStr">
        <is>
          <t>FILIPSTAD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46301</v>
      </c>
      <c r="F261" t="inlineStr">
        <is>
          <t>VÄRMLANDS LÄN</t>
        </is>
      </c>
      <c r="G261" t="inlineStr">
        <is>
          <t>FILIPSTAD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45014</v>
      </c>
      <c r="E262" s="1" t="n">
        <v>46301</v>
      </c>
      <c r="F262" t="inlineStr">
        <is>
          <t>VÄRMLANDS LÄN</t>
        </is>
      </c>
      <c r="G262" t="inlineStr">
        <is>
          <t>FILIPSTAD</t>
        </is>
      </c>
      <c r="H262" t="inlineStr">
        <is>
          <t>Kyrkan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61492-2025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46001</v>
      </c>
      <c r="E263" s="1" t="n">
        <v>46301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45427</v>
      </c>
      <c r="E264" s="1" t="n">
        <v>46301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46301</v>
      </c>
      <c r="F265" t="inlineStr">
        <is>
          <t>VÄRMLANDS LÄN</t>
        </is>
      </c>
      <c r="G265" t="inlineStr">
        <is>
          <t>FILIPSTAD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46004</v>
      </c>
      <c r="E266" s="1" t="n">
        <v>46301</v>
      </c>
      <c r="F266" t="inlineStr">
        <is>
          <t>VÄRMLANDS LÄN</t>
        </is>
      </c>
      <c r="G266" t="inlineStr">
        <is>
          <t>FILIPSTAD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45088</v>
      </c>
      <c r="E267" s="1" t="n">
        <v>46301</v>
      </c>
      <c r="F267" t="inlineStr">
        <is>
          <t>VÄRMLANDS LÄN</t>
        </is>
      </c>
      <c r="G267" t="inlineStr">
        <is>
          <t>FILIPSTAD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46301</v>
      </c>
      <c r="F268" t="inlineStr">
        <is>
          <t>VÄRMLANDS LÄN</t>
        </is>
      </c>
      <c r="G268" t="inlineStr">
        <is>
          <t>FILIPSTAD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46301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46301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46004</v>
      </c>
      <c r="E271" s="1" t="n">
        <v>46301</v>
      </c>
      <c r="F271" t="inlineStr">
        <is>
          <t>VÄRMLANDS LÄN</t>
        </is>
      </c>
      <c r="G271" t="inlineStr">
        <is>
          <t>FILIPSTAD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19351-2025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45769</v>
      </c>
      <c r="E272" s="1" t="n">
        <v>46301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46136</v>
      </c>
      <c r="E273" s="1" t="n">
        <v>46301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61823-2025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46003</v>
      </c>
      <c r="E274" s="1" t="n">
        <v>46301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46301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46301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45232</v>
      </c>
      <c r="E277" s="1" t="n">
        <v>46301</v>
      </c>
      <c r="F277" t="inlineStr">
        <is>
          <t>VÄRMLANDS LÄN</t>
        </is>
      </c>
      <c r="G277" t="inlineStr">
        <is>
          <t>FILIPSTAD</t>
        </is>
      </c>
      <c r="I277" t="n">
        <v>15.5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45088</v>
      </c>
      <c r="E278" s="1" t="n">
        <v>46301</v>
      </c>
      <c r="F278" t="inlineStr">
        <is>
          <t>VÄRMLANDS LÄN</t>
        </is>
      </c>
      <c r="G278" t="inlineStr">
        <is>
          <t>FILIPSTAD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46301</v>
      </c>
      <c r="F279" t="inlineStr">
        <is>
          <t>VÄRMLANDS LÄN</t>
        </is>
      </c>
      <c r="G279" t="inlineStr">
        <is>
          <t>FILIPSTAD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46301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46014</v>
      </c>
      <c r="E281" s="1" t="n">
        <v>46301</v>
      </c>
      <c r="F281" t="inlineStr">
        <is>
          <t>VÄRMLANDS LÄN</t>
        </is>
      </c>
      <c r="G281" t="inlineStr">
        <is>
          <t>FILIPSTAD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20050-2026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46301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46301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46301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45420</v>
      </c>
      <c r="E285" s="1" t="n">
        <v>46301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46301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46301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45790</v>
      </c>
      <c r="E288" s="1" t="n">
        <v>46301</v>
      </c>
      <c r="F288" t="inlineStr">
        <is>
          <t>VÄRMLANDS LÄN</t>
        </is>
      </c>
      <c r="G288" t="inlineStr">
        <is>
          <t>FILIPSTAD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46301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46140</v>
      </c>
      <c r="E290" s="1" t="n">
        <v>46301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46301</v>
      </c>
      <c r="F291" t="inlineStr">
        <is>
          <t>VÄRMLANDS LÄN</t>
        </is>
      </c>
      <c r="G291" t="inlineStr">
        <is>
          <t>FILIPSTAD</t>
        </is>
      </c>
      <c r="H291" t="inlineStr">
        <is>
          <t>Kyrkan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46301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46301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45789</v>
      </c>
      <c r="E294" s="1" t="n">
        <v>46301</v>
      </c>
      <c r="F294" t="inlineStr">
        <is>
          <t>VÄRMLANDS LÄN</t>
        </is>
      </c>
      <c r="G294" t="inlineStr">
        <is>
          <t>FILIPSTAD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58611-2025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45986</v>
      </c>
      <c r="E295" s="1" t="n">
        <v>46301</v>
      </c>
      <c r="F295" t="inlineStr">
        <is>
          <t>VÄRMLANDS LÄN</t>
        </is>
      </c>
      <c r="G295" t="inlineStr">
        <is>
          <t>FILIPSTAD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45741</v>
      </c>
      <c r="E296" s="1" t="n">
        <v>46301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45133</v>
      </c>
      <c r="E297" s="1" t="n">
        <v>46301</v>
      </c>
      <c r="F297" t="inlineStr">
        <is>
          <t>VÄRMLANDS LÄN</t>
        </is>
      </c>
      <c r="G297" t="inlineStr">
        <is>
          <t>FILIPSTAD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54080-2025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46301</v>
      </c>
      <c r="F298" t="inlineStr">
        <is>
          <t>VÄRMLANDS LÄN</t>
        </is>
      </c>
      <c r="G298" t="inlineStr">
        <is>
          <t>FILIPSTAD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45841</v>
      </c>
      <c r="E299" s="1" t="n">
        <v>46301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44960</v>
      </c>
      <c r="E300" s="1" t="n">
        <v>46301</v>
      </c>
      <c r="F300" t="inlineStr">
        <is>
          <t>VÄRMLANDS LÄN</t>
        </is>
      </c>
      <c r="G300" t="inlineStr">
        <is>
          <t>FILIPSTAD</t>
        </is>
      </c>
      <c r="H300" t="inlineStr">
        <is>
          <t>Kommuner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44957</v>
      </c>
      <c r="E301" s="1" t="n">
        <v>46301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46301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9270-2023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44980</v>
      </c>
      <c r="E303" s="1" t="n">
        <v>46301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46301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45544</v>
      </c>
      <c r="E305" s="1" t="n">
        <v>46301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33449-2025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46301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46301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46301</v>
      </c>
      <c r="F308" t="inlineStr">
        <is>
          <t>VÄRMLANDS LÄN</t>
        </is>
      </c>
      <c r="G308" t="inlineStr">
        <is>
          <t>FILIPSTAD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46301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45567</v>
      </c>
      <c r="E310" s="1" t="n">
        <v>46301</v>
      </c>
      <c r="F310" t="inlineStr">
        <is>
          <t>VÄRMLANDS LÄN</t>
        </is>
      </c>
      <c r="G310" t="inlineStr">
        <is>
          <t>FILIPSTAD</t>
        </is>
      </c>
      <c r="H310" t="inlineStr">
        <is>
          <t>Kyrkan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46301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45418</v>
      </c>
      <c r="E312" s="1" t="n">
        <v>46301</v>
      </c>
      <c r="F312" t="inlineStr">
        <is>
          <t>VÄRMLANDS LÄN</t>
        </is>
      </c>
      <c r="G312" t="inlineStr">
        <is>
          <t>FILIPSTAD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47890-2024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45588</v>
      </c>
      <c r="E313" s="1" t="n">
        <v>46301</v>
      </c>
      <c r="F313" t="inlineStr">
        <is>
          <t>VÄRMLANDS LÄN</t>
        </is>
      </c>
      <c r="G313" t="inlineStr">
        <is>
          <t>FILIPSTAD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46301</v>
      </c>
      <c r="F314" t="inlineStr">
        <is>
          <t>VÄRMLANDS LÄN</t>
        </is>
      </c>
      <c r="G314" t="inlineStr">
        <is>
          <t>FILIPSTAD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46301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46301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44637</v>
      </c>
      <c r="E317" s="1" t="n">
        <v>46301</v>
      </c>
      <c r="F317" t="inlineStr">
        <is>
          <t>VÄRMLANDS LÄN</t>
        </is>
      </c>
      <c r="G317" t="inlineStr">
        <is>
          <t>FILIPSTAD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45439</v>
      </c>
      <c r="E318" s="1" t="n">
        <v>46301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20554-2025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45775</v>
      </c>
      <c r="E319" s="1" t="n">
        <v>46301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46301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46301</v>
      </c>
      <c r="F321" t="inlineStr">
        <is>
          <t>VÄRMLANDS LÄN</t>
        </is>
      </c>
      <c r="G321" t="inlineStr">
        <is>
          <t>FILIPSTAD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46301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46301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46301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45456</v>
      </c>
      <c r="E325" s="1" t="n">
        <v>46301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46301</v>
      </c>
      <c r="F326" t="inlineStr">
        <is>
          <t>VÄRMLANDS LÄN</t>
        </is>
      </c>
      <c r="G326" t="inlineStr">
        <is>
          <t>FILIPSTAD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46108</v>
      </c>
      <c r="E327" s="1" t="n">
        <v>46301</v>
      </c>
      <c r="F327" t="inlineStr">
        <is>
          <t>VÄRMLANDS LÄN</t>
        </is>
      </c>
      <c r="G327" t="inlineStr">
        <is>
          <t>FILIPSTAD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46301</v>
      </c>
      <c r="F328" t="inlineStr">
        <is>
          <t>VÄRMLANDS LÄN</t>
        </is>
      </c>
      <c r="G328" t="inlineStr">
        <is>
          <t>FILIPSTAD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46301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45484</v>
      </c>
      <c r="E330" s="1" t="n">
        <v>46301</v>
      </c>
      <c r="F330" t="inlineStr">
        <is>
          <t>VÄRMLANDS LÄN</t>
        </is>
      </c>
      <c r="G330" t="inlineStr">
        <is>
          <t>FILIPSTAD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46301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46301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46301</v>
      </c>
      <c r="F333" t="inlineStr">
        <is>
          <t>VÄRMLANDS LÄN</t>
        </is>
      </c>
      <c r="G333" t="inlineStr">
        <is>
          <t>FILIPSTAD</t>
        </is>
      </c>
      <c r="I333" t="n">
        <v>10.8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46301</v>
      </c>
      <c r="F334" t="inlineStr">
        <is>
          <t>VÄRMLANDS LÄN</t>
        </is>
      </c>
      <c r="G334" t="inlineStr">
        <is>
          <t>FILIPSTAD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46301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46301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46301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46301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46301</v>
      </c>
      <c r="F339" t="inlineStr">
        <is>
          <t>VÄRMLANDS LÄN</t>
        </is>
      </c>
      <c r="G339" t="inlineStr">
        <is>
          <t>FILIPSTAD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46301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46301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46301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46301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46301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63482-2021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44508</v>
      </c>
      <c r="E345" s="1" t="n">
        <v>46301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46155</v>
      </c>
      <c r="E346" s="1" t="n">
        <v>46301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45665</v>
      </c>
      <c r="E347" s="1" t="n">
        <v>46301</v>
      </c>
      <c r="F347" t="inlineStr">
        <is>
          <t>VÄRMLANDS LÄN</t>
        </is>
      </c>
      <c r="G347" t="inlineStr">
        <is>
          <t>FILIPSTAD</t>
        </is>
      </c>
      <c r="I347" t="n">
        <v>11.7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70405-2021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44536</v>
      </c>
      <c r="E348" s="1" t="n">
        <v>46301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44596</v>
      </c>
      <c r="E349" s="1" t="n">
        <v>46301</v>
      </c>
      <c r="F349" t="inlineStr">
        <is>
          <t>VÄRMLANDS LÄN</t>
        </is>
      </c>
      <c r="G349" t="inlineStr">
        <is>
          <t>FILIPSTAD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45618</v>
      </c>
      <c r="E350" s="1" t="n">
        <v>46301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40244-2023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45169</v>
      </c>
      <c r="E351" s="1" t="n">
        <v>46301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45077</v>
      </c>
      <c r="E352" s="1" t="n">
        <v>46301</v>
      </c>
      <c r="F352" t="inlineStr">
        <is>
          <t>VÄRMLANDS LÄN</t>
        </is>
      </c>
      <c r="G352" t="inlineStr">
        <is>
          <t>FILIPSTAD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46301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23576-2026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46301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46301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20.3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46301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46301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23500-2026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46301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45658</v>
      </c>
      <c r="E359" s="1" t="n">
        <v>46301</v>
      </c>
      <c r="F359" t="inlineStr">
        <is>
          <t>VÄRMLANDS LÄN</t>
        </is>
      </c>
      <c r="G359" t="inlineStr">
        <is>
          <t>FILIPSTAD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46301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49935-2025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45940</v>
      </c>
      <c r="E361" s="1" t="n">
        <v>46301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46301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46301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21608-2023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45063</v>
      </c>
      <c r="E364" s="1" t="n">
        <v>46301</v>
      </c>
      <c r="F364" t="inlineStr">
        <is>
          <t>VÄRMLANDS LÄN</t>
        </is>
      </c>
      <c r="G364" t="inlineStr">
        <is>
          <t>FILIPSTAD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46301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45638</v>
      </c>
      <c r="E366" s="1" t="n">
        <v>46301</v>
      </c>
      <c r="F366" t="inlineStr">
        <is>
          <t>VÄRMLANDS LÄN</t>
        </is>
      </c>
      <c r="G366" t="inlineStr">
        <is>
          <t>FILIPSTAD</t>
        </is>
      </c>
      <c r="H366" t="inlineStr">
        <is>
          <t>Kyrkan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46301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23922-2026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46301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23931-2026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46301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46301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46301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46301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46301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46301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46301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9.300000000000001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46301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46301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46301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46301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46301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46301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46301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46301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46301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46301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46301</v>
      </c>
      <c r="F386" t="inlineStr">
        <is>
          <t>VÄRMLANDS LÄN</t>
        </is>
      </c>
      <c r="G386" t="inlineStr">
        <is>
          <t>FILIPSTAD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46301</v>
      </c>
      <c r="F387" t="inlineStr">
        <is>
          <t>VÄRMLANDS LÄN</t>
        </is>
      </c>
      <c r="G387" t="inlineStr">
        <is>
          <t>FILIPSTAD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46301</v>
      </c>
      <c r="F388" t="inlineStr">
        <is>
          <t>VÄRMLANDS LÄN</t>
        </is>
      </c>
      <c r="G388" t="inlineStr">
        <is>
          <t>FILIPSTAD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46301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25205-2026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46301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46301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46301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24941-2026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46301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29825-2023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45107</v>
      </c>
      <c r="E394" s="1" t="n">
        <v>46301</v>
      </c>
      <c r="F394" t="inlineStr">
        <is>
          <t>VÄRMLANDS LÄN</t>
        </is>
      </c>
      <c r="G394" t="inlineStr">
        <is>
          <t>FILIPSTAD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46301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45686</v>
      </c>
      <c r="E396" s="1" t="n">
        <v>46301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27789-2022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44743</v>
      </c>
      <c r="E397" s="1" t="n">
        <v>46301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45184</v>
      </c>
      <c r="E398" s="1" t="n">
        <v>46301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46301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46301</v>
      </c>
      <c r="F400" t="inlineStr">
        <is>
          <t>VÄRMLANDS LÄN</t>
        </is>
      </c>
      <c r="G400" t="inlineStr">
        <is>
          <t>FILIPSTAD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46301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28161-2023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45093</v>
      </c>
      <c r="E402" s="1" t="n">
        <v>46301</v>
      </c>
      <c r="F402" t="inlineStr">
        <is>
          <t>VÄRMLANDS LÄN</t>
        </is>
      </c>
      <c r="G402" t="inlineStr">
        <is>
          <t>FILIPSTAD</t>
        </is>
      </c>
      <c r="H402" t="inlineStr">
        <is>
          <t>Kommuner</t>
        </is>
      </c>
      <c r="I402" t="n">
        <v>15.4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46301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46301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45456</v>
      </c>
      <c r="E405" s="1" t="n">
        <v>46301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46301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46301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46301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46301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46301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46301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19030-2022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44691</v>
      </c>
      <c r="E412" s="1" t="n">
        <v>46301</v>
      </c>
      <c r="F412" t="inlineStr">
        <is>
          <t>VÄRMLANDS LÄN</t>
        </is>
      </c>
      <c r="G412" t="inlineStr">
        <is>
          <t>FILIPSTAD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46301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46301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46301</v>
      </c>
      <c r="F415" t="inlineStr">
        <is>
          <t>VÄRMLANDS LÄN</t>
        </is>
      </c>
      <c r="G415" t="inlineStr">
        <is>
          <t>FILIPSTAD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43233-2023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46301</v>
      </c>
      <c r="F416" t="inlineStr">
        <is>
          <t>VÄRMLANDS LÄN</t>
        </is>
      </c>
      <c r="G416" t="inlineStr">
        <is>
          <t>FILIPSTAD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46187</v>
      </c>
      <c r="E417" s="1" t="n">
        <v>46301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46301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46186</v>
      </c>
      <c r="E419" s="1" t="n">
        <v>46301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46301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27372-2026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46301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46301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53210-2023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45222</v>
      </c>
      <c r="E423" s="1" t="n">
        <v>46301</v>
      </c>
      <c r="F423" t="inlineStr">
        <is>
          <t>VÄRMLANDS LÄN</t>
        </is>
      </c>
      <c r="G423" t="inlineStr">
        <is>
          <t>FILIPSTAD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46301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39633-2023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45167</v>
      </c>
      <c r="E425" s="1" t="n">
        <v>46301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45186</v>
      </c>
      <c r="E426" s="1" t="n">
        <v>46301</v>
      </c>
      <c r="F426" t="inlineStr">
        <is>
          <t>VÄRMLANDS LÄN</t>
        </is>
      </c>
      <c r="G426" t="inlineStr">
        <is>
          <t>FILIPSTAD</t>
        </is>
      </c>
      <c r="I426" t="n">
        <v>15.3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46301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16103-2025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45750</v>
      </c>
      <c r="E428" s="1" t="n">
        <v>46301</v>
      </c>
      <c r="F428" t="inlineStr">
        <is>
          <t>VÄRMLANDS LÄN</t>
        </is>
      </c>
      <c r="G428" t="inlineStr">
        <is>
          <t>FILIPSTAD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27968-2026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46301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46301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45947</v>
      </c>
      <c r="E431" s="1" t="n">
        <v>46301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36251-2022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44803</v>
      </c>
      <c r="E432" s="1" t="n">
        <v>46301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28516-2026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46301</v>
      </c>
      <c r="F433" t="inlineStr">
        <is>
          <t>VÄRMLANDS LÄN</t>
        </is>
      </c>
      <c r="G433" t="inlineStr">
        <is>
          <t>FILIPSTAD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28419-2026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46301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33671-2022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44789</v>
      </c>
      <c r="E435" s="1" t="n">
        <v>46301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46257-2022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44847</v>
      </c>
      <c r="E436" s="1" t="n">
        <v>46301</v>
      </c>
      <c r="F436" t="inlineStr">
        <is>
          <t>VÄRMLANDS LÄN</t>
        </is>
      </c>
      <c r="G436" t="inlineStr">
        <is>
          <t>FILIPSTAD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46301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37611-2022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44809</v>
      </c>
      <c r="E438" s="1" t="n">
        <v>46301</v>
      </c>
      <c r="F438" t="inlineStr">
        <is>
          <t>VÄRMLANDS LÄN</t>
        </is>
      </c>
      <c r="G438" t="inlineStr">
        <is>
          <t>FILIPSTAD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46301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46301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29385-2026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46203</v>
      </c>
      <c r="E441" s="1" t="n">
        <v>46301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46203</v>
      </c>
      <c r="E442" s="1" t="n">
        <v>46301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25338-2023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45087</v>
      </c>
      <c r="E443" s="1" t="n">
        <v>46301</v>
      </c>
      <c r="F443" t="inlineStr">
        <is>
          <t>VÄRMLANDS LÄN</t>
        </is>
      </c>
      <c r="G443" t="inlineStr">
        <is>
          <t>FILIPSTAD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46202</v>
      </c>
      <c r="E444" s="1" t="n">
        <v>46301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46301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46301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29821-2026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46301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46203</v>
      </c>
      <c r="E448" s="1" t="n">
        <v>46301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46301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46301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29863-2026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46301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46301</v>
      </c>
      <c r="F452" t="inlineStr">
        <is>
          <t>VÄRMLANDS LÄN</t>
        </is>
      </c>
      <c r="G452" t="inlineStr">
        <is>
          <t>FILIPSTAD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45177</v>
      </c>
      <c r="E453" s="1" t="n">
        <v>46301</v>
      </c>
      <c r="F453" t="inlineStr">
        <is>
          <t>VÄRMLANDS LÄN</t>
        </is>
      </c>
      <c r="G453" t="inlineStr">
        <is>
          <t>FILIPSTAD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46301</v>
      </c>
      <c r="F454" t="inlineStr">
        <is>
          <t>VÄRMLANDS LÄN</t>
        </is>
      </c>
      <c r="G454" t="inlineStr">
        <is>
          <t>FILIPSTAD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46301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53034-2022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44876</v>
      </c>
      <c r="E456" s="1" t="n">
        <v>46301</v>
      </c>
      <c r="F456" t="inlineStr">
        <is>
          <t>VÄRMLANDS LÄN</t>
        </is>
      </c>
      <c r="G456" t="inlineStr">
        <is>
          <t>FILIPSTAD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46301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53348-2023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45229</v>
      </c>
      <c r="E458" s="1" t="n">
        <v>46301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46301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46301</v>
      </c>
      <c r="F460" t="inlineStr">
        <is>
          <t>VÄRMLANDS LÄN</t>
        </is>
      </c>
      <c r="G460" t="inlineStr">
        <is>
          <t>FILIPSTAD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46301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55397-2022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44887</v>
      </c>
      <c r="E462" s="1" t="n">
        <v>46301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46259</v>
      </c>
      <c r="E463" s="1" t="n">
        <v>46301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6520-2023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44960</v>
      </c>
      <c r="E464" s="1" t="n">
        <v>46301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55978-2022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44889</v>
      </c>
      <c r="E465" s="1" t="n">
        <v>46301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34916-2026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46259</v>
      </c>
      <c r="E466" s="1" t="n">
        <v>46301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50856-2022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44867</v>
      </c>
      <c r="E467" s="1" t="n">
        <v>46301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46261</v>
      </c>
      <c r="E468" s="1" t="n">
        <v>46301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46261</v>
      </c>
      <c r="E469" s="1" t="n">
        <v>46301</v>
      </c>
      <c r="F469" t="inlineStr">
        <is>
          <t>VÄRMLANDS LÄN</t>
        </is>
      </c>
      <c r="G469" t="inlineStr">
        <is>
          <t>FILIPSTAD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61628-2022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46301</v>
      </c>
      <c r="F470" t="inlineStr">
        <is>
          <t>VÄRMLANDS LÄN</t>
        </is>
      </c>
      <c r="G470" t="inlineStr">
        <is>
          <t>FILIPSTAD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43264-2024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45568</v>
      </c>
      <c r="E471" s="1" t="n">
        <v>46301</v>
      </c>
      <c r="F471" t="inlineStr">
        <is>
          <t>VÄRMLANDS LÄN</t>
        </is>
      </c>
      <c r="G471" t="inlineStr">
        <is>
          <t>FILIPSTAD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45253</v>
      </c>
      <c r="E472" s="1" t="n">
        <v>46301</v>
      </c>
      <c r="F472" t="inlineStr">
        <is>
          <t>VÄRMLANDS LÄN</t>
        </is>
      </c>
      <c r="G472" t="inlineStr">
        <is>
          <t>FILIPSTAD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46219</v>
      </c>
      <c r="E473" s="1" t="n">
        <v>46301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46261</v>
      </c>
      <c r="E474" s="1" t="n">
        <v>46301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46301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46301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35927-2026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46266</v>
      </c>
      <c r="E477" s="1" t="n">
        <v>46301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27.4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46264</v>
      </c>
      <c r="E478" s="1" t="n">
        <v>46301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44994</v>
      </c>
      <c r="E479" s="1" t="n">
        <v>46301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46189</v>
      </c>
      <c r="E480" s="1" t="n">
        <v>46301</v>
      </c>
      <c r="F480" t="inlineStr">
        <is>
          <t>VÄRMLANDS LÄN</t>
        </is>
      </c>
      <c r="G480" t="inlineStr">
        <is>
          <t>FILIPSTAD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36680-2023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45153</v>
      </c>
      <c r="E481" s="1" t="n">
        <v>46301</v>
      </c>
      <c r="F481" t="inlineStr">
        <is>
          <t>VÄRMLANDS LÄN</t>
        </is>
      </c>
      <c r="G481" t="inlineStr">
        <is>
          <t>FILIPSTAD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46223</v>
      </c>
      <c r="E482" s="1" t="n">
        <v>46301</v>
      </c>
      <c r="F482" t="inlineStr">
        <is>
          <t>VÄRMLANDS LÄN</t>
        </is>
      </c>
      <c r="G482" t="inlineStr">
        <is>
          <t>FILIPSTAD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5803-2023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44963</v>
      </c>
      <c r="E483" s="1" t="n">
        <v>46301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46301</v>
      </c>
      <c r="F484" t="inlineStr">
        <is>
          <t>VÄRMLANDS LÄN</t>
        </is>
      </c>
      <c r="G484" t="inlineStr">
        <is>
          <t>FILIPSTAD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46266</v>
      </c>
      <c r="E485" s="1" t="n">
        <v>46301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46301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46264</v>
      </c>
      <c r="E487" s="1" t="n">
        <v>46301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46266</v>
      </c>
      <c r="E488" s="1" t="n">
        <v>46301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31537-2026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46223</v>
      </c>
      <c r="E489" s="1" t="n">
        <v>46301</v>
      </c>
      <c r="F489" t="inlineStr">
        <is>
          <t>VÄRMLANDS LÄN</t>
        </is>
      </c>
      <c r="G489" t="inlineStr">
        <is>
          <t>FILIPSTAD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36195-2026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46267</v>
      </c>
      <c r="E490" s="1" t="n">
        <v>46301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46225</v>
      </c>
      <c r="E491" s="1" t="n">
        <v>46301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51618-2022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44872</v>
      </c>
      <c r="E492" s="1" t="n">
        <v>46301</v>
      </c>
      <c r="F492" t="inlineStr">
        <is>
          <t>VÄRMLANDS LÄN</t>
        </is>
      </c>
      <c r="G492" t="inlineStr">
        <is>
          <t>FILIPSTAD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46268</v>
      </c>
      <c r="E493" s="1" t="n">
        <v>46301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46226</v>
      </c>
      <c r="E494" s="1" t="n">
        <v>46301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31699-2026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46226</v>
      </c>
      <c r="E495" s="1" t="n">
        <v>46301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46226</v>
      </c>
      <c r="E496" s="1" t="n">
        <v>46301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46227</v>
      </c>
      <c r="E497" s="1" t="n">
        <v>46301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46227</v>
      </c>
      <c r="E498" s="1" t="n">
        <v>46301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71971-2021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44544</v>
      </c>
      <c r="E499" s="1" t="n">
        <v>46301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46301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46301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46272</v>
      </c>
      <c r="E502" s="1" t="n">
        <v>46301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46269</v>
      </c>
      <c r="E503" s="1" t="n">
        <v>46301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46272</v>
      </c>
      <c r="E504" s="1" t="n">
        <v>46301</v>
      </c>
      <c r="F504" t="inlineStr">
        <is>
          <t>VÄRMLANDS LÄN</t>
        </is>
      </c>
      <c r="G504" t="inlineStr">
        <is>
          <t>FILIPSTAD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46301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46301</v>
      </c>
      <c r="F506" t="inlineStr">
        <is>
          <t>VÄRMLANDS LÄN</t>
        </is>
      </c>
      <c r="G506" t="inlineStr">
        <is>
          <t>FILIPSTAD</t>
        </is>
      </c>
      <c r="I506" t="n">
        <v>11.6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46269</v>
      </c>
      <c r="E507" s="1" t="n">
        <v>46301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46269</v>
      </c>
      <c r="E508" s="1" t="n">
        <v>46301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46301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46186</v>
      </c>
      <c r="E510" s="1" t="n">
        <v>46301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46231</v>
      </c>
      <c r="E511" s="1" t="n">
        <v>46301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46274</v>
      </c>
      <c r="E512" s="1" t="n">
        <v>46301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7.4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36955-2026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46273</v>
      </c>
      <c r="E513" s="1" t="n">
        <v>46301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36490-2026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46269</v>
      </c>
      <c r="E514" s="1" t="n">
        <v>46301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46233</v>
      </c>
      <c r="E515" s="1" t="n">
        <v>46301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31950-2026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46232</v>
      </c>
      <c r="E516" s="1" t="n">
        <v>46301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46232</v>
      </c>
      <c r="E517" s="1" t="n">
        <v>46301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50786-2024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45602</v>
      </c>
      <c r="E518" s="1" t="n">
        <v>46301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46232</v>
      </c>
      <c r="E519" s="1" t="n">
        <v>46301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44963</v>
      </c>
      <c r="E520" s="1" t="n">
        <v>46301</v>
      </c>
      <c r="F520" t="inlineStr">
        <is>
          <t>VÄRMLANDS LÄN</t>
        </is>
      </c>
      <c r="G520" t="inlineStr">
        <is>
          <t>FILIPSTAD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46233</v>
      </c>
      <c r="E521" s="1" t="n">
        <v>46301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36809-2022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44805</v>
      </c>
      <c r="E522" s="1" t="n">
        <v>46301</v>
      </c>
      <c r="F522" t="inlineStr">
        <is>
          <t>VÄRMLANDS LÄN</t>
        </is>
      </c>
      <c r="G522" t="inlineStr">
        <is>
          <t>FILIPSTAD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37519-2026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46276</v>
      </c>
      <c r="E523" s="1" t="n">
        <v>46301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33967-2023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45124</v>
      </c>
      <c r="E524" s="1" t="n">
        <v>46301</v>
      </c>
      <c r="F524" t="inlineStr">
        <is>
          <t>VÄRMLANDS LÄN</t>
        </is>
      </c>
      <c r="G524" t="inlineStr">
        <is>
          <t>FILIPSTAD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45124</v>
      </c>
      <c r="E525" s="1" t="n">
        <v>46301</v>
      </c>
      <c r="F525" t="inlineStr">
        <is>
          <t>VÄRMLANDS LÄN</t>
        </is>
      </c>
      <c r="G525" t="inlineStr">
        <is>
          <t>FILIPSTAD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61741-2022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44911</v>
      </c>
      <c r="E526" s="1" t="n">
        <v>46301</v>
      </c>
      <c r="F526" t="inlineStr">
        <is>
          <t>VÄRMLANDS LÄN</t>
        </is>
      </c>
      <c r="G526" t="inlineStr">
        <is>
          <t>FILIPSTAD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46301</v>
      </c>
      <c r="F527" t="inlineStr">
        <is>
          <t>VÄRMLANDS LÄN</t>
        </is>
      </c>
      <c r="G527" t="inlineStr">
        <is>
          <t>FILIPSTAD</t>
        </is>
      </c>
      <c r="H527" t="inlineStr">
        <is>
          <t>Kommuner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46234</v>
      </c>
      <c r="E528" s="1" t="n">
        <v>46301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25737-2023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45090</v>
      </c>
      <c r="E529" s="1" t="n">
        <v>46301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46301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46237</v>
      </c>
      <c r="E531" s="1" t="n">
        <v>46301</v>
      </c>
      <c r="F531" t="inlineStr">
        <is>
          <t>VÄRMLANDS LÄN</t>
        </is>
      </c>
      <c r="G531" t="inlineStr">
        <is>
          <t>FILIPSTAD</t>
        </is>
      </c>
      <c r="I531" t="n">
        <v>13.4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46301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46301</v>
      </c>
      <c r="F533" t="inlineStr">
        <is>
          <t>VÄRMLANDS LÄN</t>
        </is>
      </c>
      <c r="G533" t="inlineStr">
        <is>
          <t>FILIPSTAD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32563-2026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46239</v>
      </c>
      <c r="E534" s="1" t="n">
        <v>46301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38325-2026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46282</v>
      </c>
      <c r="E535" s="1" t="n">
        <v>46301</v>
      </c>
      <c r="F535" t="inlineStr">
        <is>
          <t>VÄRMLANDS LÄN</t>
        </is>
      </c>
      <c r="G535" t="inlineStr">
        <is>
          <t>FILIPSTAD</t>
        </is>
      </c>
      <c r="H535" t="inlineStr">
        <is>
          <t>Kyrkan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45401</v>
      </c>
      <c r="E536" s="1" t="n">
        <v>46301</v>
      </c>
      <c r="F536" t="inlineStr">
        <is>
          <t>VÄRMLANDS LÄN</t>
        </is>
      </c>
      <c r="G536" t="inlineStr">
        <is>
          <t>FILIPSTAD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32572-2026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46239</v>
      </c>
      <c r="E537" s="1" t="n">
        <v>46301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32786-2024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45516</v>
      </c>
      <c r="E538" s="1" t="n">
        <v>46301</v>
      </c>
      <c r="F538" t="inlineStr">
        <is>
          <t>VÄRMLANDS LÄN</t>
        </is>
      </c>
      <c r="G538" t="inlineStr">
        <is>
          <t>FILIPSTAD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46281</v>
      </c>
      <c r="E539" s="1" t="n">
        <v>46301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62014-2024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45655</v>
      </c>
      <c r="E540" s="1" t="n">
        <v>46301</v>
      </c>
      <c r="F540" t="inlineStr">
        <is>
          <t>VÄRMLANDS LÄN</t>
        </is>
      </c>
      <c r="G540" t="inlineStr">
        <is>
          <t>FILIPSTAD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32442-2026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46239</v>
      </c>
      <c r="E541" s="1" t="n">
        <v>46301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17686-2023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45037</v>
      </c>
      <c r="E542" s="1" t="n">
        <v>46301</v>
      </c>
      <c r="F542" t="inlineStr">
        <is>
          <t>VÄRMLANDS LÄN</t>
        </is>
      </c>
      <c r="G542" t="inlineStr">
        <is>
          <t>FILIPSTAD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46240</v>
      </c>
      <c r="E543" s="1" t="n">
        <v>46301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46240</v>
      </c>
      <c r="E544" s="1" t="n">
        <v>46301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32601-2026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46240</v>
      </c>
      <c r="E545" s="1" t="n">
        <v>46301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46301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9.300000000000001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38820-2026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46286</v>
      </c>
      <c r="E547" s="1" t="n">
        <v>46301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46283</v>
      </c>
      <c r="E548" s="1" t="n">
        <v>46301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46241</v>
      </c>
      <c r="E549" s="1" t="n">
        <v>46301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45578</v>
      </c>
      <c r="E550" s="1" t="n">
        <v>46301</v>
      </c>
      <c r="F550" t="inlineStr">
        <is>
          <t>VÄRMLANDS LÄN</t>
        </is>
      </c>
      <c r="G550" t="inlineStr">
        <is>
          <t>FILIPSTAD</t>
        </is>
      </c>
      <c r="I550" t="n">
        <v>27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32600-2026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46240</v>
      </c>
      <c r="E551" s="1" t="n">
        <v>46301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46680-2024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45583</v>
      </c>
      <c r="E552" s="1" t="n">
        <v>46301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22830-2023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45072</v>
      </c>
      <c r="E553" s="1" t="n">
        <v>46301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38575-2026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46283</v>
      </c>
      <c r="E554" s="1" t="n">
        <v>46301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46301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46301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46288</v>
      </c>
      <c r="E557" s="1" t="n">
        <v>46301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46301</v>
      </c>
      <c r="F558" t="inlineStr">
        <is>
          <t>VÄRMLANDS LÄN</t>
        </is>
      </c>
      <c r="G558" t="inlineStr">
        <is>
          <t>FILIPSTAD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46301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46129</v>
      </c>
      <c r="E560" s="1" t="n">
        <v>46301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62013-2024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45655</v>
      </c>
      <c r="E561" s="1" t="n">
        <v>46301</v>
      </c>
      <c r="F561" t="inlineStr">
        <is>
          <t>VÄRMLANDS LÄN</t>
        </is>
      </c>
      <c r="G561" t="inlineStr">
        <is>
          <t>FILIPSTAD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46301</v>
      </c>
      <c r="F562" t="inlineStr">
        <is>
          <t>VÄRMLANDS LÄN</t>
        </is>
      </c>
      <c r="G562" t="inlineStr">
        <is>
          <t>FILIPSTAD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46301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39333-2026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46288</v>
      </c>
      <c r="E564" s="1" t="n">
        <v>46301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48040-2023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46301</v>
      </c>
      <c r="F565" t="inlineStr">
        <is>
          <t>VÄRMLANDS LÄN</t>
        </is>
      </c>
      <c r="G565" t="inlineStr">
        <is>
          <t>FILIPSTAD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45195</v>
      </c>
      <c r="E566" s="1" t="n">
        <v>46301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44935</v>
      </c>
      <c r="E567" s="1" t="n">
        <v>46301</v>
      </c>
      <c r="F567" t="inlineStr">
        <is>
          <t>VÄRMLANDS LÄN</t>
        </is>
      </c>
      <c r="G567" t="inlineStr">
        <is>
          <t>FILIPSTAD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46301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45720</v>
      </c>
      <c r="E569" s="1" t="n">
        <v>46301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39591-2026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46289</v>
      </c>
      <c r="E570" s="1" t="n">
        <v>46301</v>
      </c>
      <c r="F570" t="inlineStr">
        <is>
          <t>VÄRMLANDS LÄN</t>
        </is>
      </c>
      <c r="G570" t="inlineStr">
        <is>
          <t>FILIPSTAD</t>
        </is>
      </c>
      <c r="H570" t="inlineStr">
        <is>
          <t>Kyrkan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35945-2026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46266</v>
      </c>
      <c r="E571" s="1" t="n">
        <v>46301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41075-2023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46301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46301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14582-2025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45742</v>
      </c>
      <c r="E574" s="1" t="n">
        <v>46301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56840-2024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45628</v>
      </c>
      <c r="E575" s="1" t="n">
        <v>46301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45712</v>
      </c>
      <c r="E576" s="1" t="n">
        <v>46301</v>
      </c>
      <c r="F576" t="inlineStr">
        <is>
          <t>VÄRMLANDS LÄN</t>
        </is>
      </c>
      <c r="G576" t="inlineStr">
        <is>
          <t>FILIPSTAD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45077</v>
      </c>
      <c r="E577" s="1" t="n">
        <v>46301</v>
      </c>
      <c r="F577" t="inlineStr">
        <is>
          <t>VÄRMLANDS LÄN</t>
        </is>
      </c>
      <c r="G577" t="inlineStr">
        <is>
          <t>FILIPSTAD</t>
        </is>
      </c>
      <c r="I577" t="n">
        <v>15.8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33468-2026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46247</v>
      </c>
      <c r="E578" s="1" t="n">
        <v>46301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39893-2026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46290</v>
      </c>
      <c r="E579" s="1" t="n">
        <v>46301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46301</v>
      </c>
      <c r="F580" t="inlineStr">
        <is>
          <t>VÄRMLANDS LÄN</t>
        </is>
      </c>
      <c r="G580" t="inlineStr">
        <is>
          <t>FILIPSTAD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46301</v>
      </c>
      <c r="F581" t="inlineStr">
        <is>
          <t>VÄRMLANDS LÄN</t>
        </is>
      </c>
      <c r="G581" t="inlineStr">
        <is>
          <t>FILIPSTAD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46301</v>
      </c>
      <c r="F582" t="inlineStr">
        <is>
          <t>VÄRMLANDS LÄN</t>
        </is>
      </c>
      <c r="G582" t="inlineStr">
        <is>
          <t>FILIPSTAD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46301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40092-2026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46293</v>
      </c>
      <c r="E585" s="1" t="n">
        <v>46301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45744</v>
      </c>
      <c r="E586" s="1" t="n">
        <v>46301</v>
      </c>
      <c r="F586" t="inlineStr">
        <is>
          <t>VÄRMLANDS LÄN</t>
        </is>
      </c>
      <c r="G586" t="inlineStr">
        <is>
          <t>FILIPSTAD</t>
        </is>
      </c>
      <c r="H586" t="inlineStr">
        <is>
          <t>Kommuner</t>
        </is>
      </c>
      <c r="I586" t="n">
        <v>17.7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45436</v>
      </c>
      <c r="E587" s="1" t="n">
        <v>46301</v>
      </c>
      <c r="F587" t="inlineStr">
        <is>
          <t>VÄRMLANDS LÄN</t>
        </is>
      </c>
      <c r="G587" t="inlineStr">
        <is>
          <t>FILIPSTAD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45524</v>
      </c>
      <c r="E588" s="1" t="n">
        <v>46301</v>
      </c>
      <c r="F588" t="inlineStr">
        <is>
          <t>VÄRMLANDS LÄN</t>
        </is>
      </c>
      <c r="G588" t="inlineStr">
        <is>
          <t>FILIPSTAD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45299</v>
      </c>
      <c r="E589" s="1" t="n">
        <v>46301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46301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33855-2026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46301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33859-2026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46251</v>
      </c>
      <c r="E592" s="1" t="n">
        <v>46301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36871-2026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46272</v>
      </c>
      <c r="E593" s="1" t="n">
        <v>46301</v>
      </c>
      <c r="F593" t="inlineStr">
        <is>
          <t>VÄRMLANDS LÄN</t>
        </is>
      </c>
      <c r="G593" t="inlineStr">
        <is>
          <t>FILIPSTAD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46301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45495</v>
      </c>
      <c r="E595" s="1" t="n">
        <v>46301</v>
      </c>
      <c r="F595" t="inlineStr">
        <is>
          <t>VÄRMLANDS LÄN</t>
        </is>
      </c>
      <c r="G595" t="inlineStr">
        <is>
          <t>FILIPSTAD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27139-2024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45471</v>
      </c>
      <c r="E596" s="1" t="n">
        <v>46301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17244-2024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45414</v>
      </c>
      <c r="E597" s="1" t="n">
        <v>46301</v>
      </c>
      <c r="F597" t="inlineStr">
        <is>
          <t>VÄRMLANDS LÄN</t>
        </is>
      </c>
      <c r="G597" t="inlineStr">
        <is>
          <t>FILIPSTAD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46252</v>
      </c>
      <c r="E598" s="1" t="n">
        <v>46301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46294</v>
      </c>
      <c r="E599" s="1" t="n">
        <v>46301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40386-2026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46294</v>
      </c>
      <c r="E600" s="1" t="n">
        <v>46301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46301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20875-2024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45439</v>
      </c>
      <c r="E602" s="1" t="n">
        <v>46301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34053-2026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46252</v>
      </c>
      <c r="E603" s="1" t="n">
        <v>46301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47002-2024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45586</v>
      </c>
      <c r="E604" s="1" t="n">
        <v>46301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46213</v>
      </c>
      <c r="E605" s="1" t="n">
        <v>46301</v>
      </c>
      <c r="F605" t="inlineStr">
        <is>
          <t>VÄRMLANDS LÄN</t>
        </is>
      </c>
      <c r="G605" t="inlineStr">
        <is>
          <t>FILIPSTAD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65167-2021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44515</v>
      </c>
      <c r="E606" s="1" t="n">
        <v>46301</v>
      </c>
      <c r="F606" t="inlineStr">
        <is>
          <t>VÄRMLANDS LÄN</t>
        </is>
      </c>
      <c r="G606" t="inlineStr">
        <is>
          <t>FILIPSTAD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22880-2025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45790</v>
      </c>
      <c r="E607" s="1" t="n">
        <v>46301</v>
      </c>
      <c r="F607" t="inlineStr">
        <is>
          <t>VÄRMLANDS LÄN</t>
        </is>
      </c>
      <c r="G607" t="inlineStr">
        <is>
          <t>FILIPSTAD</t>
        </is>
      </c>
      <c r="H607" t="inlineStr">
        <is>
          <t>Kyrkan</t>
        </is>
      </c>
      <c r="I607" t="n">
        <v>5.4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46301</v>
      </c>
      <c r="F608" t="inlineStr">
        <is>
          <t>VÄRMLANDS LÄN</t>
        </is>
      </c>
      <c r="G608" t="inlineStr">
        <is>
          <t>FILIPSTAD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46254</v>
      </c>
      <c r="E609" s="1" t="n">
        <v>46301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28357-2024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45477</v>
      </c>
      <c r="E610" s="1" t="n">
        <v>46301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48702-2024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45593</v>
      </c>
      <c r="E611" s="1" t="n">
        <v>46301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45530</v>
      </c>
      <c r="E612" s="1" t="n">
        <v>46301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23399-2025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45792</v>
      </c>
      <c r="E613" s="1" t="n">
        <v>46301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45667</v>
      </c>
      <c r="E614" s="1" t="n">
        <v>46301</v>
      </c>
      <c r="F614" t="inlineStr">
        <is>
          <t>VÄRMLANDS LÄN</t>
        </is>
      </c>
      <c r="G614" t="inlineStr">
        <is>
          <t>FILIPSTAD</t>
        </is>
      </c>
      <c r="H614" t="inlineStr">
        <is>
          <t>Kommuner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20844-2024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46301</v>
      </c>
      <c r="F615" t="inlineStr">
        <is>
          <t>VÄRMLANDS LÄN</t>
        </is>
      </c>
      <c r="G615" t="inlineStr">
        <is>
          <t>FILIPSTAD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45322</v>
      </c>
      <c r="E616" s="1" t="n">
        <v>46301</v>
      </c>
      <c r="F616" t="inlineStr">
        <is>
          <t>VÄRMLANDS LÄN</t>
        </is>
      </c>
      <c r="G616" t="inlineStr">
        <is>
          <t>FILIPSTAD</t>
        </is>
      </c>
      <c r="I616" t="n">
        <v>8.199999999999999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72118-2021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44543</v>
      </c>
      <c r="E617" s="1" t="n">
        <v>46301</v>
      </c>
      <c r="F617" t="inlineStr">
        <is>
          <t>VÄRMLANDS LÄN</t>
        </is>
      </c>
      <c r="G617" t="inlineStr">
        <is>
          <t>FILIPSTAD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45796</v>
      </c>
      <c r="E618" s="1" t="n">
        <v>46301</v>
      </c>
      <c r="F618" t="inlineStr">
        <is>
          <t>VÄRMLANDS LÄN</t>
        </is>
      </c>
      <c r="G618" t="inlineStr">
        <is>
          <t>FILIPSTAD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15396-2025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45747</v>
      </c>
      <c r="E619" s="1" t="n">
        <v>46301</v>
      </c>
      <c r="F619" t="inlineStr">
        <is>
          <t>VÄRMLANDS LÄN</t>
        </is>
      </c>
      <c r="G619" t="inlineStr">
        <is>
          <t>FILIPSTAD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45793</v>
      </c>
      <c r="E620" s="1" t="n">
        <v>46301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8712-2024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45355</v>
      </c>
      <c r="E621" s="1" t="n">
        <v>46301</v>
      </c>
      <c r="F621" t="inlineStr">
        <is>
          <t>VÄRMLANDS LÄN</t>
        </is>
      </c>
      <c r="G621" t="inlineStr">
        <is>
          <t>FILIPSTAD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65174-2021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44515</v>
      </c>
      <c r="E622" s="1" t="n">
        <v>46301</v>
      </c>
      <c r="F622" t="inlineStr">
        <is>
          <t>VÄRMLANDS LÄN</t>
        </is>
      </c>
      <c r="G622" t="inlineStr">
        <is>
          <t>FILIPSTAD</t>
        </is>
      </c>
      <c r="I622" t="n">
        <v>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34539-2026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46255</v>
      </c>
      <c r="E623" s="1" t="n">
        <v>46301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15406-2025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45747</v>
      </c>
      <c r="E624" s="1" t="n">
        <v>46301</v>
      </c>
      <c r="F624" t="inlineStr">
        <is>
          <t>VÄRMLANDS LÄN</t>
        </is>
      </c>
      <c r="G624" t="inlineStr">
        <is>
          <t>FILIPSTAD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32978-2026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46244</v>
      </c>
      <c r="E625" s="1" t="n">
        <v>46301</v>
      </c>
      <c r="F625" t="inlineStr">
        <is>
          <t>VÄRMLANDS LÄN</t>
        </is>
      </c>
      <c r="G625" t="inlineStr">
        <is>
          <t>FILIPSTAD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34493-2026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46301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19.2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35799-2022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44801</v>
      </c>
      <c r="E627" s="1" t="n">
        <v>46301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47261-2024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45586</v>
      </c>
      <c r="E628" s="1" t="n">
        <v>46301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46301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46301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46301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46301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46301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46301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46301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46301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46301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46301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46301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46301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46301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46301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46301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46301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46301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46301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46301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2026-10-06T01:57:55Z</dcterms:created>
  <dcterms:modified xmlns:dcterms="http://purl.org/dc/terms/" xmlns:xsi="http://www.w3.org/2001/XMLSchema-instance" xsi:type="dcterms:W3CDTF">2026-10-06T01:57:56Z</dcterms:modified>
</cp:coreProperties>
</file>