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46319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26186-2026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46182</v>
      </c>
      <c r="E5" s="1" t="n">
        <v>46319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5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0</v>
      </c>
      <c r="V5" s="2" t="inlineStr">
        <is>
          <t>Ullticka
Grön sköldmossa
Korallblylav
Mörk husmossa
Blåsippa</t>
        </is>
      </c>
      <c r="W5">
        <f>HYPERLINK("https://klasma.github.io/Logging_1782/artfynd/A 26186-2026 artfynd.xlsx", "A 26186-2026")</f>
        <v/>
      </c>
      <c r="X5">
        <f>HYPERLINK("https://klasma.github.io/Logging_1782/kartor/A 26186-2026 karta.png", "A 26186-2026")</f>
        <v/>
      </c>
      <c r="Y5">
        <f>HYPERLINK("https://klasma.github.io/Logging_1782/kartor_geotiff/A 26186-2026 georefererad karta.tif", "A 26186-2026")</f>
        <v/>
      </c>
      <c r="AA5">
        <f>HYPERLINK("https://klasma.github.io/Logging_1782/klagomål/A 26186-2026 FSC-klagomål.docx", "A 26186-2026")</f>
        <v/>
      </c>
      <c r="AB5">
        <f>HYPERLINK("https://klasma.github.io/Logging_1782/klagomålsmail/A 26186-2026 FSC-klagomål mail.docx", "A 26186-2026")</f>
        <v/>
      </c>
      <c r="AC5">
        <f>HYPERLINK("https://klasma.github.io/Logging_1782/tillsyn/A 26186-2026 tillsynsbegäran.docx", "A 26186-2026")</f>
        <v/>
      </c>
      <c r="AD5">
        <f>HYPERLINK("https://klasma.github.io/Logging_1782/tillsynsmail/A 26186-2026 tillsynsbegäran mail.docx", "A 26186-2026")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46319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46319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46319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46319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43333-2023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19.4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Norsk näverlav
Skuggblåslav
Grön sköldmossa</t>
        </is>
      </c>
      <c r="W11">
        <f>HYPERLINK("https://klasma.github.io/Logging_1782/artfynd/A 43333-2023 artfynd.xlsx", "A 43333-2023")</f>
        <v/>
      </c>
      <c r="X11">
        <f>HYPERLINK("https://klasma.github.io/Logging_1782/kartor/A 43333-2023 karta.png", "A 43333-2023")</f>
        <v/>
      </c>
      <c r="Y11">
        <f>HYPERLINK("https://klasma.github.io/Logging_1782/kartor_geotiff/A 43333-2023 georefererad karta.tif", "A 43333-2023")</f>
        <v/>
      </c>
      <c r="AA11">
        <f>HYPERLINK("https://klasma.github.io/Logging_1782/klagomål/A 43333-2023 FSC-klagomål.docx", "A 43333-2023")</f>
        <v/>
      </c>
      <c r="AB11">
        <f>HYPERLINK("https://klasma.github.io/Logging_1782/klagomålsmail/A 43333-2023 FSC-klagomål mail.docx", "A 43333-2023")</f>
        <v/>
      </c>
      <c r="AC11">
        <f>HYPERLINK("https://klasma.github.io/Logging_1782/tillsyn/A 43333-2023 tillsynsbegäran.docx", "A 43333-2023")</f>
        <v/>
      </c>
      <c r="AD11">
        <f>HYPERLINK("https://klasma.github.io/Logging_1782/tillsynsmail/A 43333-2023 tillsynsbegäran mail.docx", "A 43333-2023")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46319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46319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46319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46319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46319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46319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46319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46319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46319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46319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46319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46319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46319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A 45523-2022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44845</v>
      </c>
      <c r="E26" s="1" t="n">
        <v>46319</v>
      </c>
      <c r="F26" t="inlineStr">
        <is>
          <t>VÄRMLANDS LÄN</t>
        </is>
      </c>
      <c r="G26" t="inlineStr">
        <is>
          <t>FILIPSTAD</t>
        </is>
      </c>
      <c r="I26" t="n">
        <v>7.7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Bronshjon
Korallblylav</t>
        </is>
      </c>
      <c r="W26">
        <f>HYPERLINK("https://klasma.github.io/Logging_1782/artfynd/A 45523-2022 artfynd.xlsx", "A 45523-2022")</f>
        <v/>
      </c>
      <c r="X26">
        <f>HYPERLINK("https://klasma.github.io/Logging_1782/kartor/A 45523-2022 karta.png", "A 45523-2022")</f>
        <v/>
      </c>
      <c r="Y26">
        <f>HYPERLINK("https://klasma.github.io/Logging_1782/kartor_geotiff/A 45523-2022 georefererad karta.tif", "A 45523-2022")</f>
        <v/>
      </c>
      <c r="AA26">
        <f>HYPERLINK("https://klasma.github.io/Logging_1782/klagomål/A 45523-2022 FSC-klagomål.docx", "A 45523-2022")</f>
        <v/>
      </c>
      <c r="AB26">
        <f>HYPERLINK("https://klasma.github.io/Logging_1782/klagomålsmail/A 45523-2022 FSC-klagomål mail.docx", "A 45523-2022")</f>
        <v/>
      </c>
      <c r="AC26">
        <f>HYPERLINK("https://klasma.github.io/Logging_1782/tillsyn/A 45523-2022 tillsynsbegäran.docx", "A 45523-2022")</f>
        <v/>
      </c>
      <c r="AD26">
        <f>HYPERLINK("https://klasma.github.io/Logging_1782/tillsynsmail/A 45523-2022 tillsynsbegäran mail.docx", "A 45523-2022")</f>
        <v/>
      </c>
    </row>
    <row r="27" ht="15" customHeight="1">
      <c r="A27" t="inlineStr">
        <is>
          <t>A 42542-2026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46308</v>
      </c>
      <c r="E27" s="1" t="n">
        <v>46319</v>
      </c>
      <c r="F27" t="inlineStr">
        <is>
          <t>VÄRMLANDS LÄN</t>
        </is>
      </c>
      <c r="G27" t="inlineStr">
        <is>
          <t>FILIPSTAD</t>
        </is>
      </c>
      <c r="I27" t="n">
        <v>3.2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Nattviol</t>
        </is>
      </c>
      <c r="W27">
        <f>HYPERLINK("https://klasma.github.io/Logging_1782/artfynd/A 42542-2026 artfynd.xlsx", "A 42542-2026")</f>
        <v/>
      </c>
      <c r="X27">
        <f>HYPERLINK("https://klasma.github.io/Logging_1782/kartor/A 42542-2026 karta.png", "A 42542-2026")</f>
        <v/>
      </c>
      <c r="Y27">
        <f>HYPERLINK("https://klasma.github.io/Logging_1782/kartor_geotiff/A 42542-2026 georefererad karta.tif", "A 42542-2026")</f>
        <v/>
      </c>
      <c r="AA27">
        <f>HYPERLINK("https://klasma.github.io/Logging_1782/klagomål/A 42542-2026 FSC-klagomål.docx", "A 42542-2026")</f>
        <v/>
      </c>
      <c r="AB27">
        <f>HYPERLINK("https://klasma.github.io/Logging_1782/klagomålsmail/A 42542-2026 FSC-klagomål mail.docx", "A 42542-2026")</f>
        <v/>
      </c>
      <c r="AC27">
        <f>HYPERLINK("https://klasma.github.io/Logging_1782/tillsyn/A 42542-2026 tillsynsbegäran.docx", "A 42542-2026")</f>
        <v/>
      </c>
      <c r="AD27">
        <f>HYPERLINK("https://klasma.github.io/Logging_1782/tillsynsmail/A 42542-2026 tillsynsbegäran mail.docx", "A 42542-2026")</f>
        <v/>
      </c>
    </row>
    <row r="28" ht="15" customHeight="1">
      <c r="A28" t="inlineStr">
        <is>
          <t>A 51922-2024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46319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Läderlappslav
Tjäder</t>
        </is>
      </c>
      <c r="W28">
        <f>HYPERLINK("https://klasma.github.io/Logging_1782/artfynd/A 51922-2024 artfynd.xlsx", "A 51922-2024")</f>
        <v/>
      </c>
      <c r="X28">
        <f>HYPERLINK("https://klasma.github.io/Logging_1782/kartor/A 51922-2024 karta.png", "A 51922-2024")</f>
        <v/>
      </c>
      <c r="Y28">
        <f>HYPERLINK("https://klasma.github.io/Logging_1782/kartor_geotiff/A 51922-2024 georefererad karta.tif", "A 51922-2024")</f>
        <v/>
      </c>
      <c r="AA28">
        <f>HYPERLINK("https://klasma.github.io/Logging_1782/klagomål/A 51922-2024 FSC-klagomål.docx", "A 51922-2024")</f>
        <v/>
      </c>
      <c r="AB28">
        <f>HYPERLINK("https://klasma.github.io/Logging_1782/klagomålsmail/A 51922-2024 FSC-klagomål mail.docx", "A 51922-2024")</f>
        <v/>
      </c>
      <c r="AC28">
        <f>HYPERLINK("https://klasma.github.io/Logging_1782/tillsyn/A 51922-2024 tillsynsbegäran.docx", "A 51922-2024")</f>
        <v/>
      </c>
      <c r="AD28">
        <f>HYPERLINK("https://klasma.github.io/Logging_1782/tillsynsmail/A 51922-2024 tillsynsbegäran mail.docx", "A 51922-2024")</f>
        <v/>
      </c>
      <c r="AE28">
        <f>HYPERLINK("https://klasma.github.io/Logging_1782/fåglar/A 51922-2024 prioriterade fågelarter.docx", "A 51922-2024")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46319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4620-2024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45328</v>
      </c>
      <c r="E30" s="1" t="n">
        <v>46319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2.9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Tvåblad
Brudsporre</t>
        </is>
      </c>
      <c r="W30">
        <f>HYPERLINK("https://klasma.github.io/Logging_1782/artfynd/A 4620-2024 artfynd.xlsx", "A 4620-2024")</f>
        <v/>
      </c>
      <c r="X30">
        <f>HYPERLINK("https://klasma.github.io/Logging_1782/kartor/A 4620-2024 karta.png", "A 4620-2024")</f>
        <v/>
      </c>
      <c r="Y30">
        <f>HYPERLINK("https://klasma.github.io/Logging_1782/kartor_geotiff/A 4620-2024 georefererad karta.tif", "A 4620-2024")</f>
        <v/>
      </c>
      <c r="AA30">
        <f>HYPERLINK("https://klasma.github.io/Logging_1782/klagomål/A 4620-2024 FSC-klagomål.docx", "A 4620-2024")</f>
        <v/>
      </c>
      <c r="AB30">
        <f>HYPERLINK("https://klasma.github.io/Logging_1782/klagomålsmail/A 4620-2024 FSC-klagomål mail.docx", "A 4620-2024")</f>
        <v/>
      </c>
      <c r="AC30">
        <f>HYPERLINK("https://klasma.github.io/Logging_1782/tillsyn/A 4620-2024 tillsynsbegäran.docx", "A 4620-2024")</f>
        <v/>
      </c>
      <c r="AD30">
        <f>HYPERLINK("https://klasma.github.io/Logging_1782/tillsynsmail/A 4620-2024 tillsynsbegäran mail.docx", "A 4620-2024")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46319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46319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46319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51522-2022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44869</v>
      </c>
      <c r="E34" s="1" t="n">
        <v>46319</v>
      </c>
      <c r="F34" t="inlineStr">
        <is>
          <t>VÄRMLANDS LÄN</t>
        </is>
      </c>
      <c r="G34" t="inlineStr">
        <is>
          <t>FILIPSTAD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HYPERLINK("https://klasma.github.io/Logging_1782/artfynd/A 51522-2022 artfynd.xlsx", "A 51522-2022")</f>
        <v/>
      </c>
      <c r="X34">
        <f>HYPERLINK("https://klasma.github.io/Logging_1782/kartor/A 51522-2022 karta.png", "A 51522-2022")</f>
        <v/>
      </c>
      <c r="Y34">
        <f>HYPERLINK("https://klasma.github.io/Logging_1782/kartor_geotiff/A 51522-2022 georefererad karta.tif", "A 51522-2022")</f>
        <v/>
      </c>
      <c r="AA34">
        <f>HYPERLINK("https://klasma.github.io/Logging_1782/klagomål/A 51522-2022 FSC-klagomål.docx", "A 51522-2022")</f>
        <v/>
      </c>
      <c r="AB34">
        <f>HYPERLINK("https://klasma.github.io/Logging_1782/klagomålsmail/A 51522-2022 FSC-klagomål mail.docx", "A 51522-2022")</f>
        <v/>
      </c>
      <c r="AC34">
        <f>HYPERLINK("https://klasma.github.io/Logging_1782/tillsyn/A 51522-2022 tillsynsbegäran.docx", "A 51522-2022")</f>
        <v/>
      </c>
      <c r="AD34">
        <f>HYPERLINK("https://klasma.github.io/Logging_1782/tillsynsmail/A 51522-2022 tillsynsbegäran mail.docx", "A 51522-2022")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46319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46319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5992-2023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44959</v>
      </c>
      <c r="E38" s="1" t="n">
        <v>46319</v>
      </c>
      <c r="F38" t="inlineStr">
        <is>
          <t>VÄRMLANDS LÄN</t>
        </is>
      </c>
      <c r="G38" t="inlineStr">
        <is>
          <t>FILIPSTAD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5992-2023 artfynd.xlsx", "A 5992-2023")</f>
        <v/>
      </c>
      <c r="X38">
        <f>HYPERLINK("https://klasma.github.io/Logging_1782/kartor/A 5992-2023 karta.png", "A 5992-2023")</f>
        <v/>
      </c>
      <c r="Y38">
        <f>HYPERLINK("https://klasma.github.io/Logging_1782/kartor_geotiff/A 5992-2023 georefererad karta.tif", "A 5992-2023")</f>
        <v/>
      </c>
      <c r="AA38">
        <f>HYPERLINK("https://klasma.github.io/Logging_1782/klagomål/A 5992-2023 FSC-klagomål.docx", "A 5992-2023")</f>
        <v/>
      </c>
      <c r="AB38">
        <f>HYPERLINK("https://klasma.github.io/Logging_1782/klagomålsmail/A 5992-2023 FSC-klagomål mail.docx", "A 5992-2023")</f>
        <v/>
      </c>
      <c r="AC38">
        <f>HYPERLINK("https://klasma.github.io/Logging_1782/tillsyn/A 5992-2023 tillsynsbegäran.docx", "A 5992-2023")</f>
        <v/>
      </c>
      <c r="AD38">
        <f>HYPERLINK("https://klasma.github.io/Logging_1782/tillsynsmail/A 5992-2023 tillsynsbegäran mail.docx", "A 5992-2023")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46319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28989-2026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46319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7.2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HYPERLINK("https://klasma.github.io/Logging_1782/artfynd/A 28989-2026 artfynd.xlsx", "A 28989-2026")</f>
        <v/>
      </c>
      <c r="X40">
        <f>HYPERLINK("https://klasma.github.io/Logging_1782/kartor/A 28989-2026 karta.png", "A 28989-2026")</f>
        <v/>
      </c>
      <c r="Y40">
        <f>HYPERLINK("https://klasma.github.io/Logging_1782/kartor_geotiff/A 28989-2026 georefererad karta.tif", "A 28989-2026")</f>
        <v/>
      </c>
      <c r="AA40">
        <f>HYPERLINK("https://klasma.github.io/Logging_1782/klagomål/A 28989-2026 FSC-klagomål.docx", "A 28989-2026")</f>
        <v/>
      </c>
      <c r="AB40">
        <f>HYPERLINK("https://klasma.github.io/Logging_1782/klagomålsmail/A 28989-2026 FSC-klagomål mail.docx", "A 28989-2026")</f>
        <v/>
      </c>
      <c r="AC40">
        <f>HYPERLINK("https://klasma.github.io/Logging_1782/tillsyn/A 28989-2026 tillsynsbegäran.docx", "A 28989-2026")</f>
        <v/>
      </c>
      <c r="AD40">
        <f>HYPERLINK("https://klasma.github.io/Logging_1782/tillsynsmail/A 28989-2026 tillsynsbegäran mail.docx", "A 28989-2026")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46319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46319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1346-2025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46319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Fläcknycklar</t>
        </is>
      </c>
      <c r="W43">
        <f>HYPERLINK("https://klasma.github.io/Logging_1782/artfynd/A 1346-2025 artfynd.xlsx", "A 1346-2025")</f>
        <v/>
      </c>
      <c r="X43">
        <f>HYPERLINK("https://klasma.github.io/Logging_1782/kartor/A 1346-2025 karta.png", "A 1346-2025")</f>
        <v/>
      </c>
      <c r="Y43">
        <f>HYPERLINK("https://klasma.github.io/Logging_1782/kartor_geotiff/A 1346-2025 georefererad karta.tif", "A 1346-2025")</f>
        <v/>
      </c>
      <c r="AA43">
        <f>HYPERLINK("https://klasma.github.io/Logging_1782/klagomål/A 1346-2025 FSC-klagomål.docx", "A 1346-2025")</f>
        <v/>
      </c>
      <c r="AB43">
        <f>HYPERLINK("https://klasma.github.io/Logging_1782/klagomålsmail/A 1346-2025 FSC-klagomål mail.docx", "A 1346-2025")</f>
        <v/>
      </c>
      <c r="AC43">
        <f>HYPERLINK("https://klasma.github.io/Logging_1782/tillsyn/A 1346-2025 tillsynsbegäran.docx", "A 1346-2025")</f>
        <v/>
      </c>
      <c r="AD43">
        <f>HYPERLINK("https://klasma.github.io/Logging_1782/tillsynsmail/A 1346-2025 tillsynsbegäran mail.docx", "A 1346-2025")</f>
        <v/>
      </c>
    </row>
    <row r="44" ht="15" customHeight="1">
      <c r="A44" t="inlineStr">
        <is>
          <t>A 4560-2025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45687</v>
      </c>
      <c r="E44" s="1" t="n">
        <v>46319</v>
      </c>
      <c r="F44" t="inlineStr">
        <is>
          <t>VÄRMLANDS LÄN</t>
        </is>
      </c>
      <c r="G44" t="inlineStr">
        <is>
          <t>FILIPSTAD</t>
        </is>
      </c>
      <c r="I44" t="n">
        <v>13.6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HYPERLINK("https://klasma.github.io/Logging_1782/artfynd/A 4560-2025 artfynd.xlsx", "A 4560-2025")</f>
        <v/>
      </c>
      <c r="X44">
        <f>HYPERLINK("https://klasma.github.io/Logging_1782/kartor/A 4560-2025 karta.png", "A 4560-2025")</f>
        <v/>
      </c>
      <c r="Y44">
        <f>HYPERLINK("https://klasma.github.io/Logging_1782/kartor_geotiff/A 4560-2025 georefererad karta.tif", "A 4560-2025")</f>
        <v/>
      </c>
      <c r="AA44">
        <f>HYPERLINK("https://klasma.github.io/Logging_1782/klagomål/A 4560-2025 FSC-klagomål.docx", "A 4560-2025")</f>
        <v/>
      </c>
      <c r="AB44">
        <f>HYPERLINK("https://klasma.github.io/Logging_1782/klagomålsmail/A 4560-2025 FSC-klagomål mail.docx", "A 4560-2025")</f>
        <v/>
      </c>
      <c r="AC44">
        <f>HYPERLINK("https://klasma.github.io/Logging_1782/tillsyn/A 4560-2025 tillsynsbegäran.docx", "A 4560-2025")</f>
        <v/>
      </c>
      <c r="AD44">
        <f>HYPERLINK("https://klasma.github.io/Logging_1782/tillsynsmail/A 4560-2025 tillsynsbegäran mail.docx", "A 4560-2025")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46319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A 25916-2025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45804</v>
      </c>
      <c r="E46" s="1" t="n">
        <v>46319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26.4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HYPERLINK("https://klasma.github.io/Logging_1782/artfynd/A 25916-2025 artfynd.xlsx", "A 25916-2025")</f>
        <v/>
      </c>
      <c r="X46">
        <f>HYPERLINK("https://klasma.github.io/Logging_1782/kartor/A 25916-2025 karta.png", "A 25916-2025")</f>
        <v/>
      </c>
      <c r="Y46">
        <f>HYPERLINK("https://klasma.github.io/Logging_1782/kartor_geotiff/A 25916-2025 georefererad karta.tif", "A 25916-2025")</f>
        <v/>
      </c>
      <c r="AA46">
        <f>HYPERLINK("https://klasma.github.io/Logging_1782/klagomål/A 25916-2025 FSC-klagomål.docx", "A 25916-2025")</f>
        <v/>
      </c>
      <c r="AB46">
        <f>HYPERLINK("https://klasma.github.io/Logging_1782/klagomålsmail/A 25916-2025 FSC-klagomål mail.docx", "A 25916-2025")</f>
        <v/>
      </c>
      <c r="AC46">
        <f>HYPERLINK("https://klasma.github.io/Logging_1782/tillsyn/A 25916-2025 tillsynsbegäran.docx", "A 25916-2025")</f>
        <v/>
      </c>
      <c r="AD46">
        <f>HYPERLINK("https://klasma.github.io/Logging_1782/tillsynsmail/A 25916-2025 tillsynsbegäran mail.docx", "A 25916-2025")</f>
        <v/>
      </c>
    </row>
    <row r="47" ht="15" customHeight="1">
      <c r="A47" t="inlineStr">
        <is>
          <t>A 38140-2024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46319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HYPERLINK("https://klasma.github.io/Logging_1782/artfynd/A 38140-2024 artfynd.xlsx", "A 38140-2024")</f>
        <v/>
      </c>
      <c r="X47">
        <f>HYPERLINK("https://klasma.github.io/Logging_1782/kartor/A 38140-2024 karta.png", "A 38140-2024")</f>
        <v/>
      </c>
      <c r="Y47">
        <f>HYPERLINK("https://klasma.github.io/Logging_1782/kartor_geotiff/A 38140-2024 georefererad karta.tif", "A 38140-2024")</f>
        <v/>
      </c>
      <c r="AA47">
        <f>HYPERLINK("https://klasma.github.io/Logging_1782/klagomål/A 38140-2024 FSC-klagomål.docx", "A 38140-2024")</f>
        <v/>
      </c>
      <c r="AB47">
        <f>HYPERLINK("https://klasma.github.io/Logging_1782/klagomålsmail/A 38140-2024 FSC-klagomål mail.docx", "A 38140-2024")</f>
        <v/>
      </c>
      <c r="AC47">
        <f>HYPERLINK("https://klasma.github.io/Logging_1782/tillsyn/A 38140-2024 tillsynsbegäran.docx", "A 38140-2024")</f>
        <v/>
      </c>
      <c r="AD47">
        <f>HYPERLINK("https://klasma.github.io/Logging_1782/tillsynsmail/A 38140-2024 tillsynsbegäran mail.docx", "A 38140-2024")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46319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30652-2025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46319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HYPERLINK("https://klasma.github.io/Logging_1782/artfynd/A 30652-2025 artfynd.xlsx", "A 30652-2025")</f>
        <v/>
      </c>
      <c r="X49">
        <f>HYPERLINK("https://klasma.github.io/Logging_1782/kartor/A 30652-2025 karta.png", "A 30652-2025")</f>
        <v/>
      </c>
      <c r="Y49">
        <f>HYPERLINK("https://klasma.github.io/Logging_1782/kartor_geotiff/A 30652-2025 georefererad karta.tif", "A 30652-2025")</f>
        <v/>
      </c>
      <c r="AA49">
        <f>HYPERLINK("https://klasma.github.io/Logging_1782/klagomål/A 30652-2025 FSC-klagomål.docx", "A 30652-2025")</f>
        <v/>
      </c>
      <c r="AB49">
        <f>HYPERLINK("https://klasma.github.io/Logging_1782/klagomålsmail/A 30652-2025 FSC-klagomål mail.docx", "A 30652-2025")</f>
        <v/>
      </c>
      <c r="AC49">
        <f>HYPERLINK("https://klasma.github.io/Logging_1782/tillsyn/A 30652-2025 tillsynsbegäran.docx", "A 30652-2025")</f>
        <v/>
      </c>
      <c r="AD49">
        <f>HYPERLINK("https://klasma.github.io/Logging_1782/tillsynsmail/A 30652-2025 tillsynsbegäran mail.docx", "A 30652-2025")</f>
        <v/>
      </c>
      <c r="AE49">
        <f>HYPERLINK("https://klasma.github.io/Logging_1782/fåglar/A 30652-2025 prioriterade fågelarter.docx", "A 30652-2025")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46319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23046-2023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46319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HYPERLINK("https://klasma.github.io/Logging_1782/artfynd/A 23046-2023 artfynd.xlsx", "A 23046-2023")</f>
        <v/>
      </c>
      <c r="X51">
        <f>HYPERLINK("https://klasma.github.io/Logging_1782/kartor/A 23046-2023 karta.png", "A 23046-2023")</f>
        <v/>
      </c>
      <c r="Y51">
        <f>HYPERLINK("https://klasma.github.io/Logging_1782/kartor_geotiff/A 23046-2023 georefererad karta.tif", "A 23046-2023")</f>
        <v/>
      </c>
      <c r="Z51">
        <f>HYPERLINK("https://klasma.github.io/Logging_1782/knärot/A 23046-2023 karta knärot.png", "A 23046-2023")</f>
        <v/>
      </c>
      <c r="AA51">
        <f>HYPERLINK("https://klasma.github.io/Logging_1782/klagomål/A 23046-2023 FSC-klagomål.docx", "A 23046-2023")</f>
        <v/>
      </c>
      <c r="AB51">
        <f>HYPERLINK("https://klasma.github.io/Logging_1782/klagomålsmail/A 23046-2023 FSC-klagomål mail.docx", "A 23046-2023")</f>
        <v/>
      </c>
      <c r="AC51">
        <f>HYPERLINK("https://klasma.github.io/Logging_1782/tillsyn/A 23046-2023 tillsynsbegäran.docx", "A 23046-2023")</f>
        <v/>
      </c>
      <c r="AD51">
        <f>HYPERLINK("https://klasma.github.io/Logging_1782/tillsynsmail/A 23046-2023 tillsynsbegäran mail.docx", "A 23046-2023")</f>
        <v/>
      </c>
    </row>
    <row r="52" ht="15" customHeight="1">
      <c r="A52" t="inlineStr">
        <is>
          <t>A 46978-2023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46319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46978-2023 artfynd.xlsx", "A 46978-2023")</f>
        <v/>
      </c>
      <c r="X52">
        <f>HYPERLINK("https://klasma.github.io/Logging_1782/kartor/A 46978-2023 karta.png", "A 46978-2023")</f>
        <v/>
      </c>
      <c r="Y52">
        <f>HYPERLINK("https://klasma.github.io/Logging_1782/kartor_geotiff/A 46978-2023 georefererad karta.tif", "A 46978-2023")</f>
        <v/>
      </c>
      <c r="AA52">
        <f>HYPERLINK("https://klasma.github.io/Logging_1782/klagomål/A 46978-2023 FSC-klagomål.docx", "A 46978-2023")</f>
        <v/>
      </c>
      <c r="AB52">
        <f>HYPERLINK("https://klasma.github.io/Logging_1782/klagomålsmail/A 46978-2023 FSC-klagomål mail.docx", "A 46978-2023")</f>
        <v/>
      </c>
      <c r="AC52">
        <f>HYPERLINK("https://klasma.github.io/Logging_1782/tillsyn/A 46978-2023 tillsynsbegäran.docx", "A 46978-2023")</f>
        <v/>
      </c>
      <c r="AD52">
        <f>HYPERLINK("https://klasma.github.io/Logging_1782/tillsynsmail/A 46978-2023 tillsynsbegäran mail.docx", "A 46978-2023")</f>
        <v/>
      </c>
    </row>
    <row r="53" ht="15" customHeight="1">
      <c r="A53" t="inlineStr">
        <is>
          <t>A 18138-2022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44684</v>
      </c>
      <c r="E53" s="1" t="n">
        <v>46319</v>
      </c>
      <c r="F53" t="inlineStr">
        <is>
          <t>VÄRMLANDS LÄN</t>
        </is>
      </c>
      <c r="G53" t="inlineStr">
        <is>
          <t>FILIPSTAD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18138-2022 artfynd.xlsx", "A 18138-2022")</f>
        <v/>
      </c>
      <c r="X53">
        <f>HYPERLINK("https://klasma.github.io/Logging_1782/kartor/A 18138-2022 karta.png", "A 18138-2022")</f>
        <v/>
      </c>
      <c r="Y53">
        <f>HYPERLINK("https://klasma.github.io/Logging_1782/kartor_geotiff/A 18138-2022 georefererad karta.tif", "A 18138-2022")</f>
        <v/>
      </c>
      <c r="AA53">
        <f>HYPERLINK("https://klasma.github.io/Logging_1782/klagomål/A 18138-2022 FSC-klagomål.docx", "A 18138-2022")</f>
        <v/>
      </c>
      <c r="AB53">
        <f>HYPERLINK("https://klasma.github.io/Logging_1782/klagomålsmail/A 18138-2022 FSC-klagomål mail.docx", "A 18138-2022")</f>
        <v/>
      </c>
      <c r="AC53">
        <f>HYPERLINK("https://klasma.github.io/Logging_1782/tillsyn/A 18138-2022 tillsynsbegäran.docx", "A 18138-2022")</f>
        <v/>
      </c>
      <c r="AD53">
        <f>HYPERLINK("https://klasma.github.io/Logging_1782/tillsynsmail/A 18138-2022 tillsynsbegäran mail.docx", "A 18138-2022")</f>
        <v/>
      </c>
    </row>
    <row r="54" ht="15" customHeight="1">
      <c r="A54" t="inlineStr">
        <is>
          <t>A 874-2025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45665</v>
      </c>
      <c r="E54" s="1" t="n">
        <v>46319</v>
      </c>
      <c r="F54" t="inlineStr">
        <is>
          <t>VÄRMLANDS LÄN</t>
        </is>
      </c>
      <c r="G54" t="inlineStr">
        <is>
          <t>FILIPSTAD</t>
        </is>
      </c>
      <c r="H54" t="inlineStr">
        <is>
          <t>Kyrkan</t>
        </is>
      </c>
      <c r="I54" t="n">
        <v>4.8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Kamjordstjärna</t>
        </is>
      </c>
      <c r="W54">
        <f>HYPERLINK("https://klasma.github.io/Logging_1782/artfynd/A 874-2025 artfynd.xlsx", "A 874-2025")</f>
        <v/>
      </c>
      <c r="X54">
        <f>HYPERLINK("https://klasma.github.io/Logging_1782/kartor/A 874-2025 karta.png", "A 874-2025")</f>
        <v/>
      </c>
      <c r="Y54">
        <f>HYPERLINK("https://klasma.github.io/Logging_1782/kartor_geotiff/A 874-2025 georefererad karta.tif", "A 874-2025")</f>
        <v/>
      </c>
      <c r="AA54">
        <f>HYPERLINK("https://klasma.github.io/Logging_1782/klagomål/A 874-2025 FSC-klagomål.docx", "A 874-2025")</f>
        <v/>
      </c>
      <c r="AB54">
        <f>HYPERLINK("https://klasma.github.io/Logging_1782/klagomålsmail/A 874-2025 FSC-klagomål mail.docx", "A 874-2025")</f>
        <v/>
      </c>
      <c r="AC54">
        <f>HYPERLINK("https://klasma.github.io/Logging_1782/tillsyn/A 874-2025 tillsynsbegäran.docx", "A 874-2025")</f>
        <v/>
      </c>
      <c r="AD54">
        <f>HYPERLINK("https://klasma.github.io/Logging_1782/tillsynsmail/A 874-2025 tillsynsbegäran mail.docx", "A 874-2025")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46319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46319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46319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46319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46319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46319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46319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46319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46319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46319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46319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46319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46319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46319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46319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46319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46319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46319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46319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46319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36680-2023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45153</v>
      </c>
      <c r="E80" s="1" t="n">
        <v>46319</v>
      </c>
      <c r="F80" t="inlineStr">
        <is>
          <t>VÄRMLANDS LÄN</t>
        </is>
      </c>
      <c r="G80" t="inlineStr">
        <is>
          <t>FILIPSTAD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44963</v>
      </c>
      <c r="E81" s="1" t="n">
        <v>46319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46319</v>
      </c>
      <c r="F82" t="inlineStr">
        <is>
          <t>VÄRMLANDS LÄN</t>
        </is>
      </c>
      <c r="G82" t="inlineStr">
        <is>
          <t>FILIPSTAD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46319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41718-2025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46319</v>
      </c>
      <c r="F84" t="inlineStr">
        <is>
          <t>VÄRMLANDS LÄN</t>
        </is>
      </c>
      <c r="G84" t="inlineStr">
        <is>
          <t>FILIPSTAD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46319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46319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46319</v>
      </c>
      <c r="F87" t="inlineStr">
        <is>
          <t>VÄRMLANDS LÄN</t>
        </is>
      </c>
      <c r="G87" t="inlineStr">
        <is>
          <t>FILIPSTAD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46319</v>
      </c>
      <c r="F88" t="inlineStr">
        <is>
          <t>VÄRMLANDS LÄN</t>
        </is>
      </c>
      <c r="G88" t="inlineStr">
        <is>
          <t>FILIPSTAD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46319</v>
      </c>
      <c r="F89" t="inlineStr">
        <is>
          <t>VÄRMLANDS LÄN</t>
        </is>
      </c>
      <c r="G89" t="inlineStr">
        <is>
          <t>FILIPSTAD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46319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46319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46319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46319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46163</v>
      </c>
      <c r="E94" s="1" t="n">
        <v>46319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46319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45114</v>
      </c>
      <c r="E96" s="1" t="n">
        <v>46319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46167</v>
      </c>
      <c r="E97" s="1" t="n">
        <v>46319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45940</v>
      </c>
      <c r="E98" s="1" t="n">
        <v>46319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46167</v>
      </c>
      <c r="E99" s="1" t="n">
        <v>46319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46319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23959-2026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46167</v>
      </c>
      <c r="E101" s="1" t="n">
        <v>46319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46319</v>
      </c>
      <c r="F102" t="inlineStr">
        <is>
          <t>VÄRMLANDS LÄN</t>
        </is>
      </c>
      <c r="G102" t="inlineStr">
        <is>
          <t>FILIPSTAD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46319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46167</v>
      </c>
      <c r="E104" s="1" t="n">
        <v>46319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46167</v>
      </c>
      <c r="E105" s="1" t="n">
        <v>46319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46319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24005-2026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46167</v>
      </c>
      <c r="E107" s="1" t="n">
        <v>46319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46167</v>
      </c>
      <c r="E108" s="1" t="n">
        <v>46319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46167</v>
      </c>
      <c r="E109" s="1" t="n">
        <v>46319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46167</v>
      </c>
      <c r="E110" s="1" t="n">
        <v>46319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46319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46167</v>
      </c>
      <c r="E112" s="1" t="n">
        <v>46319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46319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46319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46319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46319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46319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46319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46319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46319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46319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46319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46319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46319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46319</v>
      </c>
      <c r="F125" t="inlineStr">
        <is>
          <t>VÄRMLANDS LÄN</t>
        </is>
      </c>
      <c r="G125" t="inlineStr">
        <is>
          <t>FILIPSTAD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46319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46319</v>
      </c>
      <c r="F127" t="inlineStr">
        <is>
          <t>VÄRMLANDS LÄN</t>
        </is>
      </c>
      <c r="G127" t="inlineStr">
        <is>
          <t>FILIPSTAD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46319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44805</v>
      </c>
      <c r="E129" s="1" t="n">
        <v>46319</v>
      </c>
      <c r="F129" t="inlineStr">
        <is>
          <t>VÄRMLANDS LÄN</t>
        </is>
      </c>
      <c r="G129" t="inlineStr">
        <is>
          <t>FILIPSTAD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46319</v>
      </c>
      <c r="F130" t="inlineStr">
        <is>
          <t>VÄRMLANDS LÄN</t>
        </is>
      </c>
      <c r="G130" t="inlineStr">
        <is>
          <t>FILIPSTAD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46319</v>
      </c>
      <c r="F131" t="inlineStr">
        <is>
          <t>VÄRMLANDS LÄN</t>
        </is>
      </c>
      <c r="G131" t="inlineStr">
        <is>
          <t>FILIPSTAD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46319</v>
      </c>
      <c r="F132" t="inlineStr">
        <is>
          <t>VÄRMLANDS LÄN</t>
        </is>
      </c>
      <c r="G132" t="inlineStr">
        <is>
          <t>FILIPSTAD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48103-2025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45933</v>
      </c>
      <c r="E133" s="1" t="n">
        <v>46319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25737-2023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45090</v>
      </c>
      <c r="E134" s="1" t="n">
        <v>46319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46319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46319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46319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46319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46319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46319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46319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45428</v>
      </c>
      <c r="E142" s="1" t="n">
        <v>46319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44579</v>
      </c>
      <c r="E143" s="1" t="n">
        <v>46319</v>
      </c>
      <c r="F143" t="inlineStr">
        <is>
          <t>VÄRMLANDS LÄN</t>
        </is>
      </c>
      <c r="G143" t="inlineStr">
        <is>
          <t>FILIPSTAD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46319</v>
      </c>
      <c r="F144" t="inlineStr">
        <is>
          <t>VÄRMLANDS LÄN</t>
        </is>
      </c>
      <c r="G144" t="inlineStr">
        <is>
          <t>FILIPSTAD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45223</v>
      </c>
      <c r="E145" s="1" t="n">
        <v>46319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46319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46319</v>
      </c>
      <c r="F147" t="inlineStr">
        <is>
          <t>VÄRMLANDS LÄN</t>
        </is>
      </c>
      <c r="G147" t="inlineStr">
        <is>
          <t>FILIPSTAD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46319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45384</v>
      </c>
      <c r="E149" s="1" t="n">
        <v>46319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46319</v>
      </c>
      <c r="F150" t="inlineStr">
        <is>
          <t>VÄRMLANDS LÄN</t>
        </is>
      </c>
      <c r="G150" t="inlineStr">
        <is>
          <t>FILIPSTAD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46319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46319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46319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45655</v>
      </c>
      <c r="E155" s="1" t="n">
        <v>46319</v>
      </c>
      <c r="F155" t="inlineStr">
        <is>
          <t>VÄRMLANDS LÄN</t>
        </is>
      </c>
      <c r="G155" t="inlineStr">
        <is>
          <t>FILIPSTAD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46319</v>
      </c>
      <c r="F156" t="inlineStr">
        <is>
          <t>VÄRMLANDS LÄN</t>
        </is>
      </c>
      <c r="G156" t="inlineStr">
        <is>
          <t>FILIPSTAD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46319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46319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46319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26211-2026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46319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46319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46319</v>
      </c>
      <c r="F162" t="inlineStr">
        <is>
          <t>VÄRMLANDS LÄN</t>
        </is>
      </c>
      <c r="G162" t="inlineStr">
        <is>
          <t>FILIPSTAD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46319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45327</v>
      </c>
      <c r="E164" s="1" t="n">
        <v>46319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46319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46319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46319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46319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46319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46319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46319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46319</v>
      </c>
      <c r="F172" t="inlineStr">
        <is>
          <t>VÄRMLANDS LÄN</t>
        </is>
      </c>
      <c r="G172" t="inlineStr">
        <is>
          <t>FILIPSTAD</t>
        </is>
      </c>
      <c r="I172" t="n">
        <v>27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46319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46187</v>
      </c>
      <c r="E174" s="1" t="n">
        <v>46319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46319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46319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46186</v>
      </c>
      <c r="E177" s="1" t="n">
        <v>46319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22830-2023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45072</v>
      </c>
      <c r="E178" s="1" t="n">
        <v>46319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46319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46319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46319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46319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46319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46319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46319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46319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46319</v>
      </c>
      <c r="F187" t="inlineStr">
        <is>
          <t>VÄRMLANDS LÄN</t>
        </is>
      </c>
      <c r="G187" t="inlineStr">
        <is>
          <t>FILIPSTAD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46319</v>
      </c>
      <c r="F188" t="inlineStr">
        <is>
          <t>VÄRMLANDS LÄN</t>
        </is>
      </c>
      <c r="G188" t="inlineStr">
        <is>
          <t>FILIPSTAD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46319</v>
      </c>
      <c r="F189" t="inlineStr">
        <is>
          <t>VÄRMLANDS LÄN</t>
        </is>
      </c>
      <c r="G189" t="inlineStr">
        <is>
          <t>FILIPSTAD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46319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46319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46319</v>
      </c>
      <c r="F192" t="inlineStr">
        <is>
          <t>VÄRMLANDS LÄN</t>
        </is>
      </c>
      <c r="G192" t="inlineStr">
        <is>
          <t>FILIPSTAD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46319</v>
      </c>
      <c r="F193" t="inlineStr">
        <is>
          <t>VÄRMLANDS LÄN</t>
        </is>
      </c>
      <c r="G193" t="inlineStr">
        <is>
          <t>FILIPSTAD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46319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45655</v>
      </c>
      <c r="E195" s="1" t="n">
        <v>46319</v>
      </c>
      <c r="F195" t="inlineStr">
        <is>
          <t>VÄRMLANDS LÄN</t>
        </is>
      </c>
      <c r="G195" t="inlineStr">
        <is>
          <t>FILIPSTAD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46319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46319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46319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46319</v>
      </c>
      <c r="F199" t="inlineStr">
        <is>
          <t>VÄRMLANDS LÄN</t>
        </is>
      </c>
      <c r="G199" t="inlineStr">
        <is>
          <t>FILIPSTAD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46319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46319</v>
      </c>
      <c r="F201" t="inlineStr">
        <is>
          <t>VÄRMLANDS LÄN</t>
        </is>
      </c>
      <c r="G201" t="inlineStr">
        <is>
          <t>FILIPSTAD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45195</v>
      </c>
      <c r="E202" s="1" t="n">
        <v>46319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46319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46319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46319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46319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46319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46319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46319</v>
      </c>
      <c r="F209" t="inlineStr">
        <is>
          <t>VÄRMLANDS LÄN</t>
        </is>
      </c>
      <c r="G209" t="inlineStr">
        <is>
          <t>FILIPSTAD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46319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46319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46319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46319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46319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46319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46319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46319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46319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45742</v>
      </c>
      <c r="E219" s="1" t="n">
        <v>46319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45628</v>
      </c>
      <c r="E220" s="1" t="n">
        <v>46319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46319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46319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46319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46319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46319</v>
      </c>
      <c r="F226" t="inlineStr">
        <is>
          <t>VÄRMLANDS LÄN</t>
        </is>
      </c>
      <c r="G226" t="inlineStr">
        <is>
          <t>FILIPSTAD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46319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46319</v>
      </c>
      <c r="F228" t="inlineStr">
        <is>
          <t>VÄRMLANDS LÄN</t>
        </is>
      </c>
      <c r="G228" t="inlineStr">
        <is>
          <t>FILIPSTAD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46319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46319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46319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46319</v>
      </c>
      <c r="F232" t="inlineStr">
        <is>
          <t>VÄRMLANDS LÄN</t>
        </is>
      </c>
      <c r="G232" t="inlineStr">
        <is>
          <t>FILIPSTAD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29814-2026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46319</v>
      </c>
      <c r="F233" t="inlineStr">
        <is>
          <t>VÄRMLANDS LÄN</t>
        </is>
      </c>
      <c r="G233" t="inlineStr">
        <is>
          <t>FILIPSTAD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46319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46319</v>
      </c>
      <c r="F235" t="inlineStr">
        <is>
          <t>VÄRMLANDS LÄN</t>
        </is>
      </c>
      <c r="G235" t="inlineStr">
        <is>
          <t>FILIPSTAD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46319</v>
      </c>
      <c r="F236" t="inlineStr">
        <is>
          <t>VÄRMLANDS LÄN</t>
        </is>
      </c>
      <c r="G236" t="inlineStr">
        <is>
          <t>FILIPSTAD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46319</v>
      </c>
      <c r="F237" t="inlineStr">
        <is>
          <t>VÄRMLANDS LÄN</t>
        </is>
      </c>
      <c r="G237" t="inlineStr">
        <is>
          <t>FILIPSTAD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46319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46319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46319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46319</v>
      </c>
      <c r="F241" t="inlineStr">
        <is>
          <t>VÄRMLANDS LÄN</t>
        </is>
      </c>
      <c r="G241" t="inlineStr">
        <is>
          <t>FILIPSTAD</t>
        </is>
      </c>
      <c r="H241" t="inlineStr">
        <is>
          <t>Kommuner</t>
        </is>
      </c>
      <c r="I241" t="n">
        <v>17.7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46319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46319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46319</v>
      </c>
      <c r="F244" t="inlineStr">
        <is>
          <t>VÄRMLANDS LÄN</t>
        </is>
      </c>
      <c r="G244" t="inlineStr">
        <is>
          <t>FILIPSTAD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46319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46319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46319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46319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46319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46319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46319</v>
      </c>
      <c r="F251" t="inlineStr">
        <is>
          <t>VÄRMLANDS LÄN</t>
        </is>
      </c>
      <c r="G251" t="inlineStr">
        <is>
          <t>FILIPSTAD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46319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46319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46319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45524</v>
      </c>
      <c r="E255" s="1" t="n">
        <v>46319</v>
      </c>
      <c r="F255" t="inlineStr">
        <is>
          <t>VÄRMLANDS LÄN</t>
        </is>
      </c>
      <c r="G255" t="inlineStr">
        <is>
          <t>FILIPSTAD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46319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46319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46319</v>
      </c>
      <c r="F258" t="inlineStr">
        <is>
          <t>VÄRMLANDS LÄN</t>
        </is>
      </c>
      <c r="G258" t="inlineStr">
        <is>
          <t>FILIPSTAD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46218</v>
      </c>
      <c r="E259" s="1" t="n">
        <v>46319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46319</v>
      </c>
      <c r="F260" t="inlineStr">
        <is>
          <t>VÄRMLANDS LÄN</t>
        </is>
      </c>
      <c r="G260" t="inlineStr">
        <is>
          <t>FILIPSTAD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61327-2025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46319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46319</v>
      </c>
      <c r="F262" t="inlineStr">
        <is>
          <t>VÄRMLANDS LÄN</t>
        </is>
      </c>
      <c r="G262" t="inlineStr">
        <is>
          <t>FILIPSTAD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46319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46319</v>
      </c>
      <c r="F264" t="inlineStr">
        <is>
          <t>VÄRMLANDS LÄN</t>
        </is>
      </c>
      <c r="G264" t="inlineStr">
        <is>
          <t>FILIPSTAD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46319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46319</v>
      </c>
      <c r="F266" t="inlineStr">
        <is>
          <t>VÄRMLANDS LÄN</t>
        </is>
      </c>
      <c r="G266" t="inlineStr">
        <is>
          <t>FILIPSTAD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46001</v>
      </c>
      <c r="E267" s="1" t="n">
        <v>46319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46319</v>
      </c>
      <c r="F268" t="inlineStr">
        <is>
          <t>VÄRMLANDS LÄN</t>
        </is>
      </c>
      <c r="G268" t="inlineStr">
        <is>
          <t>FILIPSTAD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46319</v>
      </c>
      <c r="F269" t="inlineStr">
        <is>
          <t>VÄRMLANDS LÄN</t>
        </is>
      </c>
      <c r="G269" t="inlineStr">
        <is>
          <t>FILIPSTAD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46319</v>
      </c>
      <c r="F270" t="inlineStr">
        <is>
          <t>VÄRMLANDS LÄN</t>
        </is>
      </c>
      <c r="G270" t="inlineStr">
        <is>
          <t>FILIPSTAD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31537-2026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46223</v>
      </c>
      <c r="E271" s="1" t="n">
        <v>46319</v>
      </c>
      <c r="F271" t="inlineStr">
        <is>
          <t>VÄRMLANDS LÄN</t>
        </is>
      </c>
      <c r="G271" t="inlineStr">
        <is>
          <t>FILIPSTAD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61492-2025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46001</v>
      </c>
      <c r="E272" s="1" t="n">
        <v>46319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46225</v>
      </c>
      <c r="E273" s="1" t="n">
        <v>46319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46319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46004</v>
      </c>
      <c r="E275" s="1" t="n">
        <v>46319</v>
      </c>
      <c r="F275" t="inlineStr">
        <is>
          <t>VÄRMLANDS LÄN</t>
        </is>
      </c>
      <c r="G275" t="inlineStr">
        <is>
          <t>FILIPSTAD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46319</v>
      </c>
      <c r="F276" t="inlineStr">
        <is>
          <t>VÄRMLANDS LÄN</t>
        </is>
      </c>
      <c r="G276" t="inlineStr">
        <is>
          <t>FILIPSTAD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46226</v>
      </c>
      <c r="E277" s="1" t="n">
        <v>46319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46226</v>
      </c>
      <c r="E278" s="1" t="n">
        <v>46319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46226</v>
      </c>
      <c r="E279" s="1" t="n">
        <v>46319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46319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46227</v>
      </c>
      <c r="E281" s="1" t="n">
        <v>46319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46004</v>
      </c>
      <c r="E282" s="1" t="n">
        <v>46319</v>
      </c>
      <c r="F282" t="inlineStr">
        <is>
          <t>VÄRMLANDS LÄN</t>
        </is>
      </c>
      <c r="G282" t="inlineStr">
        <is>
          <t>FILIPSTAD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61823-2025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46003</v>
      </c>
      <c r="E283" s="1" t="n">
        <v>46319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46319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46319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46319</v>
      </c>
      <c r="F286" t="inlineStr">
        <is>
          <t>VÄRMLANDS LÄN</t>
        </is>
      </c>
      <c r="G286" t="inlineStr">
        <is>
          <t>FILIPSTAD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46186</v>
      </c>
      <c r="E287" s="1" t="n">
        <v>46319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46231</v>
      </c>
      <c r="E288" s="1" t="n">
        <v>46319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46319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46319</v>
      </c>
      <c r="F290" t="inlineStr">
        <is>
          <t>VÄRMLANDS LÄN</t>
        </is>
      </c>
      <c r="G290" t="inlineStr">
        <is>
          <t>FILIPSTAD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46319</v>
      </c>
      <c r="F291" t="inlineStr">
        <is>
          <t>VÄRMLANDS LÄN</t>
        </is>
      </c>
      <c r="G291" t="inlineStr">
        <is>
          <t>FILIPSTAD</t>
        </is>
      </c>
      <c r="I291" t="n">
        <v>15.5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46233</v>
      </c>
      <c r="E292" s="1" t="n">
        <v>46319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46319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46232</v>
      </c>
      <c r="E294" s="1" t="n">
        <v>46319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46232</v>
      </c>
      <c r="E295" s="1" t="n">
        <v>46319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46233</v>
      </c>
      <c r="E296" s="1" t="n">
        <v>46319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46319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45439</v>
      </c>
      <c r="E298" s="1" t="n">
        <v>46319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46237</v>
      </c>
      <c r="E299" s="1" t="n">
        <v>46319</v>
      </c>
      <c r="F299" t="inlineStr">
        <is>
          <t>VÄRMLANDS LÄN</t>
        </is>
      </c>
      <c r="G299" t="inlineStr">
        <is>
          <t>FILIPSTAD</t>
        </is>
      </c>
      <c r="H299" t="inlineStr">
        <is>
          <t>Kommuner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46234</v>
      </c>
      <c r="E300" s="1" t="n">
        <v>46319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46319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46014</v>
      </c>
      <c r="E302" s="1" t="n">
        <v>46319</v>
      </c>
      <c r="F302" t="inlineStr">
        <is>
          <t>VÄRMLANDS LÄN</t>
        </is>
      </c>
      <c r="G302" t="inlineStr">
        <is>
          <t>FILIPSTAD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46319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32248-2026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46237</v>
      </c>
      <c r="E304" s="1" t="n">
        <v>46319</v>
      </c>
      <c r="F304" t="inlineStr">
        <is>
          <t>VÄRMLANDS LÄN</t>
        </is>
      </c>
      <c r="G304" t="inlineStr">
        <is>
          <t>FILIPSTAD</t>
        </is>
      </c>
      <c r="I304" t="n">
        <v>13.4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46233</v>
      </c>
      <c r="E305" s="1" t="n">
        <v>46319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46319</v>
      </c>
      <c r="F306" t="inlineStr">
        <is>
          <t>VÄRMLANDS LÄN</t>
        </is>
      </c>
      <c r="G306" t="inlineStr">
        <is>
          <t>FILIPSTAD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46319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46239</v>
      </c>
      <c r="E308" s="1" t="n">
        <v>46319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46319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46239</v>
      </c>
      <c r="E310" s="1" t="n">
        <v>46319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65167-2021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44515</v>
      </c>
      <c r="E311" s="1" t="n">
        <v>46319</v>
      </c>
      <c r="F311" t="inlineStr">
        <is>
          <t>VÄRMLANDS LÄN</t>
        </is>
      </c>
      <c r="G311" t="inlineStr">
        <is>
          <t>FILIPSTAD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45790</v>
      </c>
      <c r="E312" s="1" t="n">
        <v>46319</v>
      </c>
      <c r="F312" t="inlineStr">
        <is>
          <t>VÄRMLANDS LÄN</t>
        </is>
      </c>
      <c r="G312" t="inlineStr">
        <is>
          <t>FILIPSTAD</t>
        </is>
      </c>
      <c r="H312" t="inlineStr">
        <is>
          <t>Kyrkan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46319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46239</v>
      </c>
      <c r="E314" s="1" t="n">
        <v>46319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23266-2025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46319</v>
      </c>
      <c r="F315" t="inlineStr">
        <is>
          <t>VÄRMLANDS LÄN</t>
        </is>
      </c>
      <c r="G315" t="inlineStr">
        <is>
          <t>FILIPSTAD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46240</v>
      </c>
      <c r="E316" s="1" t="n">
        <v>46319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46319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46319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46319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46240</v>
      </c>
      <c r="E320" s="1" t="n">
        <v>46319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46319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46319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45792</v>
      </c>
      <c r="E323" s="1" t="n">
        <v>46319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46319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46241</v>
      </c>
      <c r="E325" s="1" t="n">
        <v>46319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46319</v>
      </c>
      <c r="F326" t="inlineStr">
        <is>
          <t>VÄRMLANDS LÄN</t>
        </is>
      </c>
      <c r="G326" t="inlineStr">
        <is>
          <t>FILIPSTAD</t>
        </is>
      </c>
      <c r="I326" t="n">
        <v>13.2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46319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46319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45322</v>
      </c>
      <c r="E329" s="1" t="n">
        <v>46319</v>
      </c>
      <c r="F329" t="inlineStr">
        <is>
          <t>VÄRMLANDS LÄN</t>
        </is>
      </c>
      <c r="G329" t="inlineStr">
        <is>
          <t>FILIPSTAD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72118-2021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46319</v>
      </c>
      <c r="F330" t="inlineStr">
        <is>
          <t>VÄRMLANDS LÄN</t>
        </is>
      </c>
      <c r="G330" t="inlineStr">
        <is>
          <t>FILIPSTAD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46319</v>
      </c>
      <c r="F331" t="inlineStr">
        <is>
          <t>VÄRMLANDS LÄN</t>
        </is>
      </c>
      <c r="G331" t="inlineStr">
        <is>
          <t>FILIPSTAD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46319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45986</v>
      </c>
      <c r="E333" s="1" t="n">
        <v>46319</v>
      </c>
      <c r="F333" t="inlineStr">
        <is>
          <t>VÄRMLANDS LÄN</t>
        </is>
      </c>
      <c r="G333" t="inlineStr">
        <is>
          <t>FILIPSTAD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46319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46319</v>
      </c>
      <c r="F335" t="inlineStr">
        <is>
          <t>VÄRMLANDS LÄN</t>
        </is>
      </c>
      <c r="G335" t="inlineStr">
        <is>
          <t>FILIPSTAD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46319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46319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46319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46319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46040</v>
      </c>
      <c r="E340" s="1" t="n">
        <v>46319</v>
      </c>
      <c r="F340" t="inlineStr">
        <is>
          <t>VÄRMLANDS LÄN</t>
        </is>
      </c>
      <c r="G340" t="inlineStr">
        <is>
          <t>FILIPSTAD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45355</v>
      </c>
      <c r="E341" s="1" t="n">
        <v>46319</v>
      </c>
      <c r="F341" t="inlineStr">
        <is>
          <t>VÄRMLANDS LÄN</t>
        </is>
      </c>
      <c r="G341" t="inlineStr">
        <is>
          <t>FILIPSTAD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46319</v>
      </c>
      <c r="F342" t="inlineStr">
        <is>
          <t>VÄRMLANDS LÄN</t>
        </is>
      </c>
      <c r="G342" t="inlineStr">
        <is>
          <t>FILIPSTAD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46319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65174-2021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44515</v>
      </c>
      <c r="E344" s="1" t="n">
        <v>46319</v>
      </c>
      <c r="F344" t="inlineStr">
        <is>
          <t>VÄRMLANDS LÄN</t>
        </is>
      </c>
      <c r="G344" t="inlineStr">
        <is>
          <t>FILIPSTAD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46319</v>
      </c>
      <c r="F345" t="inlineStr">
        <is>
          <t>VÄRMLANDS LÄN</t>
        </is>
      </c>
      <c r="G345" t="inlineStr">
        <is>
          <t>FILIPSTAD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46319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46319</v>
      </c>
      <c r="F347" t="inlineStr">
        <is>
          <t>VÄRMLANDS LÄN</t>
        </is>
      </c>
      <c r="G347" t="inlineStr">
        <is>
          <t>FILIPSTAD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46287</v>
      </c>
      <c r="E348" s="1" t="n">
        <v>46319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44801</v>
      </c>
      <c r="E349" s="1" t="n">
        <v>46319</v>
      </c>
      <c r="F349" t="inlineStr">
        <is>
          <t>VÄRMLANDS LÄN</t>
        </is>
      </c>
      <c r="G349" t="inlineStr">
        <is>
          <t>FILIPSTAD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46288</v>
      </c>
      <c r="E350" s="1" t="n">
        <v>46319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46319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46289</v>
      </c>
      <c r="E352" s="1" t="n">
        <v>46319</v>
      </c>
      <c r="F352" t="inlineStr">
        <is>
          <t>VÄRMLANDS LÄN</t>
        </is>
      </c>
      <c r="G352" t="inlineStr">
        <is>
          <t>FILIPSTAD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45586</v>
      </c>
      <c r="E353" s="1" t="n">
        <v>46319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46246</v>
      </c>
      <c r="E354" s="1" t="n">
        <v>46319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46319</v>
      </c>
      <c r="F355" t="inlineStr">
        <is>
          <t>VÄRMLANDS LÄN</t>
        </is>
      </c>
      <c r="G355" t="inlineStr">
        <is>
          <t>FILIPSTAD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46319</v>
      </c>
      <c r="F356" t="inlineStr">
        <is>
          <t>VÄRMLANDS LÄN</t>
        </is>
      </c>
      <c r="G356" t="inlineStr">
        <is>
          <t>FILIPSTAD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26123-2025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45805</v>
      </c>
      <c r="E357" s="1" t="n">
        <v>46319</v>
      </c>
      <c r="F357" t="inlineStr">
        <is>
          <t>VÄRMLANDS LÄN</t>
        </is>
      </c>
      <c r="G357" t="inlineStr">
        <is>
          <t>FILIPSTAD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26116-2025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45805</v>
      </c>
      <c r="E358" s="1" t="n">
        <v>46319</v>
      </c>
      <c r="F358" t="inlineStr">
        <is>
          <t>VÄRMLANDS LÄN</t>
        </is>
      </c>
      <c r="G358" t="inlineStr">
        <is>
          <t>FILIPSTAD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46319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45470</v>
      </c>
      <c r="E360" s="1" t="n">
        <v>46319</v>
      </c>
      <c r="F360" t="inlineStr">
        <is>
          <t>VÄRMLANDS LÄN</t>
        </is>
      </c>
      <c r="G360" t="inlineStr">
        <is>
          <t>FILIPSTAD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46319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46319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46319</v>
      </c>
      <c r="F363" t="inlineStr">
        <is>
          <t>VÄRMLANDS LÄN</t>
        </is>
      </c>
      <c r="G363" t="inlineStr">
        <is>
          <t>FILIPSTAD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46319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46319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46293</v>
      </c>
      <c r="E366" s="1" t="n">
        <v>46319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26599-2024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45469</v>
      </c>
      <c r="E367" s="1" t="n">
        <v>46319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46319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46319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45511</v>
      </c>
      <c r="E370" s="1" t="n">
        <v>46319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46319</v>
      </c>
      <c r="F371" t="inlineStr">
        <is>
          <t>VÄRMLANDS LÄN</t>
        </is>
      </c>
      <c r="G371" t="inlineStr">
        <is>
          <t>FILIPSTAD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46319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46319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46319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46319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46319</v>
      </c>
      <c r="F376" t="inlineStr">
        <is>
          <t>VÄRMLANDS LÄN</t>
        </is>
      </c>
      <c r="G376" t="inlineStr">
        <is>
          <t>FILIPSTAD</t>
        </is>
      </c>
      <c r="H376" t="inlineStr">
        <is>
          <t>Kyrkan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46319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45825</v>
      </c>
      <c r="E378" s="1" t="n">
        <v>46319</v>
      </c>
      <c r="F378" t="inlineStr">
        <is>
          <t>VÄRMLANDS LÄN</t>
        </is>
      </c>
      <c r="G378" t="inlineStr">
        <is>
          <t>FILIPSTAD</t>
        </is>
      </c>
      <c r="I378" t="n">
        <v>23.3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46319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46319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46319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46319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46319</v>
      </c>
      <c r="F383" t="inlineStr">
        <is>
          <t>VÄRMLANDS LÄN</t>
        </is>
      </c>
      <c r="G383" t="inlineStr">
        <is>
          <t>FILIPSTAD</t>
        </is>
      </c>
      <c r="H383" t="inlineStr">
        <is>
          <t>Kyrkan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31172-2025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45832</v>
      </c>
      <c r="E384" s="1" t="n">
        <v>46319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46319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46319</v>
      </c>
      <c r="F386" t="inlineStr">
        <is>
          <t>VÄRMLANDS LÄN</t>
        </is>
      </c>
      <c r="G386" t="inlineStr">
        <is>
          <t>FILIPSTAD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46319</v>
      </c>
      <c r="F387" t="inlineStr">
        <is>
          <t>VÄRMLANDS LÄN</t>
        </is>
      </c>
      <c r="G387" t="inlineStr">
        <is>
          <t>FILIPSTAD</t>
        </is>
      </c>
      <c r="I387" t="n">
        <v>18.7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46319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32032-2025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45835</v>
      </c>
      <c r="E389" s="1" t="n">
        <v>46319</v>
      </c>
      <c r="F389" t="inlineStr">
        <is>
          <t>VÄRMLANDS LÄN</t>
        </is>
      </c>
      <c r="G389" t="inlineStr">
        <is>
          <t>FILIPSTAD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46254</v>
      </c>
      <c r="E390" s="1" t="n">
        <v>46319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46319</v>
      </c>
      <c r="F391" t="inlineStr">
        <is>
          <t>VÄRMLANDS LÄN</t>
        </is>
      </c>
      <c r="G391" t="inlineStr">
        <is>
          <t>FILIPSTAD</t>
        </is>
      </c>
      <c r="H391" t="inlineStr">
        <is>
          <t>Kyrkan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46319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45688</v>
      </c>
      <c r="E393" s="1" t="n">
        <v>46319</v>
      </c>
      <c r="F393" t="inlineStr">
        <is>
          <t>VÄRMLANDS LÄN</t>
        </is>
      </c>
      <c r="G393" t="inlineStr">
        <is>
          <t>FILIPSTAD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46319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46319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46319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46319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46319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46319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33407-2025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45841</v>
      </c>
      <c r="E400" s="1" t="n">
        <v>46319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46319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46319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46319</v>
      </c>
      <c r="F403" t="inlineStr">
        <is>
          <t>VÄRMLANDS LÄN</t>
        </is>
      </c>
      <c r="G403" t="inlineStr">
        <is>
          <t>FILIPSTAD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46255</v>
      </c>
      <c r="E404" s="1" t="n">
        <v>46319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19.2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46319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46319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46319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46319</v>
      </c>
      <c r="F408" t="inlineStr">
        <is>
          <t>VÄRMLANDS LÄN</t>
        </is>
      </c>
      <c r="G408" t="inlineStr">
        <is>
          <t>FILIPSTAD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46259</v>
      </c>
      <c r="E409" s="1" t="n">
        <v>46319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46319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45826</v>
      </c>
      <c r="E411" s="1" t="n">
        <v>46319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46319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46319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46319</v>
      </c>
      <c r="F414" t="inlineStr">
        <is>
          <t>VÄRMLANDS LÄN</t>
        </is>
      </c>
      <c r="G414" t="inlineStr">
        <is>
          <t>FILIPSTAD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46319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46319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46297</v>
      </c>
      <c r="E417" s="1" t="n">
        <v>46319</v>
      </c>
      <c r="F417" t="inlineStr">
        <is>
          <t>VÄRMLANDS LÄN</t>
        </is>
      </c>
      <c r="G417" t="inlineStr">
        <is>
          <t>FILIPSTAD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16040-2026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46108</v>
      </c>
      <c r="E418" s="1" t="n">
        <v>46319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46108</v>
      </c>
      <c r="E419" s="1" t="n">
        <v>46319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46319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46319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46319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46319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46319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46319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45870</v>
      </c>
      <c r="E426" s="1" t="n">
        <v>46319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46319</v>
      </c>
      <c r="F427" t="inlineStr">
        <is>
          <t>VÄRMLANDS LÄN</t>
        </is>
      </c>
      <c r="G427" t="inlineStr">
        <is>
          <t>FILIPSTAD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46319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46125</v>
      </c>
      <c r="E429" s="1" t="n">
        <v>46319</v>
      </c>
      <c r="F429" t="inlineStr">
        <is>
          <t>VÄRMLANDS LÄN</t>
        </is>
      </c>
      <c r="G429" t="inlineStr">
        <is>
          <t>FILIPSTAD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46319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46319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46319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46319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46319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46319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46319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46127</v>
      </c>
      <c r="E437" s="1" t="n">
        <v>46319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46319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46319</v>
      </c>
      <c r="F439" t="inlineStr">
        <is>
          <t>VÄRMLANDS LÄN</t>
        </is>
      </c>
      <c r="G439" t="inlineStr">
        <is>
          <t>FILIPSTAD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46304</v>
      </c>
      <c r="E440" s="1" t="n">
        <v>46319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46319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46319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45393</v>
      </c>
      <c r="E443" s="1" t="n">
        <v>46319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46319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46319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46319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46319</v>
      </c>
      <c r="F447" t="inlineStr">
        <is>
          <t>VÄRMLANDS LÄN</t>
        </is>
      </c>
      <c r="G447" t="inlineStr">
        <is>
          <t>FILIPSTAD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46319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46319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35614-2026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46264</v>
      </c>
      <c r="E450" s="1" t="n">
        <v>46319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46264</v>
      </c>
      <c r="E451" s="1" t="n">
        <v>46319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45882</v>
      </c>
      <c r="E452" s="1" t="n">
        <v>46319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46319</v>
      </c>
      <c r="F453" t="inlineStr">
        <is>
          <t>VÄRMLANDS LÄN</t>
        </is>
      </c>
      <c r="G453" t="inlineStr">
        <is>
          <t>FILIPSTAD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46319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46319</v>
      </c>
      <c r="F455" t="inlineStr">
        <is>
          <t>VÄRMLANDS LÄN</t>
        </is>
      </c>
      <c r="G455" t="inlineStr">
        <is>
          <t>FILIPSTAD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46319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46319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46319</v>
      </c>
      <c r="F458" t="inlineStr">
        <is>
          <t>VÄRMLANDS LÄN</t>
        </is>
      </c>
      <c r="G458" t="inlineStr">
        <is>
          <t>FILIPSTAD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44588</v>
      </c>
      <c r="E459" s="1" t="n">
        <v>46319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46319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46319</v>
      </c>
      <c r="F461" t="inlineStr">
        <is>
          <t>VÄRMLANDS LÄN</t>
        </is>
      </c>
      <c r="G461" t="inlineStr">
        <is>
          <t>FILIPSTAD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42582-2026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46319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46319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46319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46319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46319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46319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46319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46319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46319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45420</v>
      </c>
      <c r="E471" s="1" t="n">
        <v>46319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46319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45896</v>
      </c>
      <c r="E473" s="1" t="n">
        <v>46319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45901</v>
      </c>
      <c r="E474" s="1" t="n">
        <v>46319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46319</v>
      </c>
      <c r="F475" t="inlineStr">
        <is>
          <t>VÄRMLANDS LÄN</t>
        </is>
      </c>
      <c r="G475" t="inlineStr">
        <is>
          <t>FILIPSTAD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46266</v>
      </c>
      <c r="E476" s="1" t="n">
        <v>46319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46319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46311</v>
      </c>
      <c r="E478" s="1" t="n">
        <v>46319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46319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45790</v>
      </c>
      <c r="E480" s="1" t="n">
        <v>46319</v>
      </c>
      <c r="F480" t="inlineStr">
        <is>
          <t>VÄRMLANDS LÄN</t>
        </is>
      </c>
      <c r="G480" t="inlineStr">
        <is>
          <t>FILIPSTAD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46319</v>
      </c>
      <c r="F481" t="inlineStr">
        <is>
          <t>VÄRMLANDS LÄN</t>
        </is>
      </c>
      <c r="G481" t="inlineStr">
        <is>
          <t>FILIPSTAD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46269</v>
      </c>
      <c r="E482" s="1" t="n">
        <v>46319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46319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46319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44672</v>
      </c>
      <c r="E485" s="1" t="n">
        <v>46319</v>
      </c>
      <c r="F485" t="inlineStr">
        <is>
          <t>VÄRMLANDS LÄN</t>
        </is>
      </c>
      <c r="G485" t="inlineStr">
        <is>
          <t>FILIPSTAD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46269</v>
      </c>
      <c r="E486" s="1" t="n">
        <v>46319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45578</v>
      </c>
      <c r="E487" s="1" t="n">
        <v>46319</v>
      </c>
      <c r="F487" t="inlineStr">
        <is>
          <t>VÄRMLANDS LÄN</t>
        </is>
      </c>
      <c r="G487" t="inlineStr">
        <is>
          <t>FILIPSTAD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45789</v>
      </c>
      <c r="E488" s="1" t="n">
        <v>46319</v>
      </c>
      <c r="F488" t="inlineStr">
        <is>
          <t>VÄRMLANDS LÄN</t>
        </is>
      </c>
      <c r="G488" t="inlineStr">
        <is>
          <t>FILIPSTAD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46319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46319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46319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46319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54080-2025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45964</v>
      </c>
      <c r="E493" s="1" t="n">
        <v>46319</v>
      </c>
      <c r="F493" t="inlineStr">
        <is>
          <t>VÄRMLANDS LÄN</t>
        </is>
      </c>
      <c r="G493" t="inlineStr">
        <is>
          <t>FILIPSTAD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45841</v>
      </c>
      <c r="E494" s="1" t="n">
        <v>46319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46319</v>
      </c>
      <c r="F495" t="inlineStr">
        <is>
          <t>VÄRMLANDS LÄN</t>
        </is>
      </c>
      <c r="G495" t="inlineStr">
        <is>
          <t>FILIPSTAD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46319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46319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46319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46319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46319</v>
      </c>
      <c r="F500" t="inlineStr">
        <is>
          <t>VÄRMLANDS LÄN</t>
        </is>
      </c>
      <c r="G500" t="inlineStr">
        <is>
          <t>FILIPSTAD</t>
        </is>
      </c>
      <c r="I500" t="n">
        <v>11.6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69015-2021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46319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39896-2025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45891</v>
      </c>
      <c r="E502" s="1" t="n">
        <v>46319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46319</v>
      </c>
      <c r="F503" t="inlineStr">
        <is>
          <t>VÄRMLANDS LÄN</t>
        </is>
      </c>
      <c r="G503" t="inlineStr">
        <is>
          <t>FILIPSTAD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47344-2023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46319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36818-2026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46319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46319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45587</v>
      </c>
      <c r="E507" s="1" t="n">
        <v>46319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45835</v>
      </c>
      <c r="E508" s="1" t="n">
        <v>46319</v>
      </c>
      <c r="F508" t="inlineStr">
        <is>
          <t>VÄRMLANDS LÄN</t>
        </is>
      </c>
      <c r="G508" t="inlineStr">
        <is>
          <t>FILIPSTAD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46319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46319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37249-2026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46319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46319</v>
      </c>
      <c r="F512" t="inlineStr">
        <is>
          <t>VÄRMLANDS LÄN</t>
        </is>
      </c>
      <c r="G512" t="inlineStr">
        <is>
          <t>FILIPSTAD</t>
        </is>
      </c>
      <c r="H512" t="inlineStr">
        <is>
          <t>Kyrkan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20554-2025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45775</v>
      </c>
      <c r="E513" s="1" t="n">
        <v>46319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45939</v>
      </c>
      <c r="E514" s="1" t="n">
        <v>46319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46319</v>
      </c>
      <c r="F515" t="inlineStr">
        <is>
          <t>VÄRMLANDS LÄN</t>
        </is>
      </c>
      <c r="G515" t="inlineStr">
        <is>
          <t>FILIPSTAD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45867</v>
      </c>
      <c r="E516" s="1" t="n">
        <v>46319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46319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46319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45456</v>
      </c>
      <c r="E519" s="1" t="n">
        <v>46319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44935</v>
      </c>
      <c r="E520" s="1" t="n">
        <v>46319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46319</v>
      </c>
      <c r="F521" t="inlineStr">
        <is>
          <t>VÄRMLANDS LÄN</t>
        </is>
      </c>
      <c r="G521" t="inlineStr">
        <is>
          <t>FILIPSTAD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37519-2026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46276</v>
      </c>
      <c r="E522" s="1" t="n">
        <v>46319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46319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46319</v>
      </c>
      <c r="F524" t="inlineStr">
        <is>
          <t>VÄRMLANDS LÄN</t>
        </is>
      </c>
      <c r="G524" t="inlineStr">
        <is>
          <t>FILIPSTAD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46319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46319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46319</v>
      </c>
      <c r="F527" t="inlineStr">
        <is>
          <t>VÄRMLANDS LÄN</t>
        </is>
      </c>
      <c r="G527" t="inlineStr">
        <is>
          <t>FILIPSTAD</t>
        </is>
      </c>
      <c r="I527" t="n">
        <v>10.8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46319</v>
      </c>
      <c r="F528" t="inlineStr">
        <is>
          <t>VÄRMLANDS LÄN</t>
        </is>
      </c>
      <c r="G528" t="inlineStr">
        <is>
          <t>FILIPSTAD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46319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46319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46319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44788</v>
      </c>
      <c r="E532" s="1" t="n">
        <v>46319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46319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46319</v>
      </c>
      <c r="F534" t="inlineStr">
        <is>
          <t>VÄRMLANDS LÄN</t>
        </is>
      </c>
      <c r="G534" t="inlineStr">
        <is>
          <t>FILIPSTAD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46319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46319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46319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46319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46319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46319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46319</v>
      </c>
      <c r="F541" t="inlineStr">
        <is>
          <t>VÄRMLANDS LÄN</t>
        </is>
      </c>
      <c r="G541" t="inlineStr">
        <is>
          <t>FILIPSTAD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45567</v>
      </c>
      <c r="E542" s="1" t="n">
        <v>46319</v>
      </c>
      <c r="F542" t="inlineStr">
        <is>
          <t>VÄRMLANDS LÄN</t>
        </is>
      </c>
      <c r="G542" t="inlineStr">
        <is>
          <t>FILIPSTAD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46319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46319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45569</v>
      </c>
      <c r="E545" s="1" t="n">
        <v>46319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22866-2023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45072</v>
      </c>
      <c r="E546" s="1" t="n">
        <v>46319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29473-2024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45484</v>
      </c>
      <c r="E547" s="1" t="n">
        <v>46319</v>
      </c>
      <c r="F547" t="inlineStr">
        <is>
          <t>VÄRMLANDS LÄN</t>
        </is>
      </c>
      <c r="G547" t="inlineStr">
        <is>
          <t>FILIPSTAD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46319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44579</v>
      </c>
      <c r="E549" s="1" t="n">
        <v>46319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19705-2025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46319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54828-2023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45229</v>
      </c>
      <c r="E551" s="1" t="n">
        <v>46319</v>
      </c>
      <c r="F551" t="inlineStr">
        <is>
          <t>VÄRMLANDS LÄN</t>
        </is>
      </c>
      <c r="G551" t="inlineStr">
        <is>
          <t>FILIPSTAD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46319</v>
      </c>
      <c r="F552" t="inlineStr">
        <is>
          <t>VÄRMLANDS LÄN</t>
        </is>
      </c>
      <c r="G552" t="inlineStr">
        <is>
          <t>FILIPSTAD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45750</v>
      </c>
      <c r="E553" s="1" t="n">
        <v>46319</v>
      </c>
      <c r="F553" t="inlineStr">
        <is>
          <t>VÄRMLANDS LÄN</t>
        </is>
      </c>
      <c r="G553" t="inlineStr">
        <is>
          <t>FILIPSTAD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46319</v>
      </c>
      <c r="F554" t="inlineStr">
        <is>
          <t>VÄRMLANDS LÄN</t>
        </is>
      </c>
      <c r="G554" t="inlineStr">
        <is>
          <t>FILIPSTAD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45202</v>
      </c>
      <c r="E555" s="1" t="n">
        <v>46319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45014</v>
      </c>
      <c r="E556" s="1" t="n">
        <v>46319</v>
      </c>
      <c r="F556" t="inlineStr">
        <is>
          <t>VÄRMLANDS LÄN</t>
        </is>
      </c>
      <c r="G556" t="inlineStr">
        <is>
          <t>FILIPSTAD</t>
        </is>
      </c>
      <c r="H556" t="inlineStr">
        <is>
          <t>Kyrkan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45427</v>
      </c>
      <c r="E557" s="1" t="n">
        <v>46319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45088</v>
      </c>
      <c r="E558" s="1" t="n">
        <v>46319</v>
      </c>
      <c r="F558" t="inlineStr">
        <is>
          <t>VÄRMLANDS LÄN</t>
        </is>
      </c>
      <c r="G558" t="inlineStr">
        <is>
          <t>FILIPSTAD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45167</v>
      </c>
      <c r="E559" s="1" t="n">
        <v>46319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19351-2025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45769</v>
      </c>
      <c r="E560" s="1" t="n">
        <v>46319</v>
      </c>
      <c r="F560" t="inlineStr">
        <is>
          <t>VÄRMLANDS LÄN</t>
        </is>
      </c>
      <c r="G560" t="inlineStr">
        <is>
          <t>FILIPSTAD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45088</v>
      </c>
      <c r="E561" s="1" t="n">
        <v>46319</v>
      </c>
      <c r="F561" t="inlineStr">
        <is>
          <t>VÄRMLANDS LÄN</t>
        </is>
      </c>
      <c r="G561" t="inlineStr">
        <is>
          <t>FILIPSTAD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46319</v>
      </c>
      <c r="F562" t="inlineStr">
        <is>
          <t>VÄRMLANDS LÄN</t>
        </is>
      </c>
      <c r="G562" t="inlineStr">
        <is>
          <t>FILIPSTAD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46319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45106</v>
      </c>
      <c r="E564" s="1" t="n">
        <v>46319</v>
      </c>
      <c r="F564" t="inlineStr">
        <is>
          <t>VÄRMLANDS LÄN</t>
        </is>
      </c>
      <c r="G564" t="inlineStr">
        <is>
          <t>FILIPSTAD</t>
        </is>
      </c>
      <c r="H564" t="inlineStr">
        <is>
          <t>Kyrkan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62787-2023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46319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45741</v>
      </c>
      <c r="E566" s="1" t="n">
        <v>46319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45133</v>
      </c>
      <c r="E567" s="1" t="n">
        <v>46319</v>
      </c>
      <c r="F567" t="inlineStr">
        <is>
          <t>VÄRMLANDS LÄN</t>
        </is>
      </c>
      <c r="G567" t="inlineStr">
        <is>
          <t>FILIPSTAD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46319</v>
      </c>
      <c r="F568" t="inlineStr">
        <is>
          <t>VÄRMLANDS LÄN</t>
        </is>
      </c>
      <c r="G568" t="inlineStr">
        <is>
          <t>FILIPSTAD</t>
        </is>
      </c>
      <c r="H568" t="inlineStr">
        <is>
          <t>Kommuner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44957</v>
      </c>
      <c r="E569" s="1" t="n">
        <v>46319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45393</v>
      </c>
      <c r="E570" s="1" t="n">
        <v>46319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9270-2023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44980</v>
      </c>
      <c r="E571" s="1" t="n">
        <v>46319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45544</v>
      </c>
      <c r="E572" s="1" t="n">
        <v>46319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45114</v>
      </c>
      <c r="E573" s="1" t="n">
        <v>46319</v>
      </c>
      <c r="F573" t="inlineStr">
        <is>
          <t>VÄRMLANDS LÄN</t>
        </is>
      </c>
      <c r="G573" t="inlineStr">
        <is>
          <t>FILIPSTAD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45567</v>
      </c>
      <c r="E574" s="1" t="n">
        <v>46319</v>
      </c>
      <c r="F574" t="inlineStr">
        <is>
          <t>VÄRMLANDS LÄN</t>
        </is>
      </c>
      <c r="G574" t="inlineStr">
        <is>
          <t>FILIPSTAD</t>
        </is>
      </c>
      <c r="H574" t="inlineStr">
        <is>
          <t>Kyrkan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46319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45418</v>
      </c>
      <c r="E576" s="1" t="n">
        <v>46319</v>
      </c>
      <c r="F576" t="inlineStr">
        <is>
          <t>VÄRMLANDS LÄN</t>
        </is>
      </c>
      <c r="G576" t="inlineStr">
        <is>
          <t>FILIPSTAD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46319</v>
      </c>
      <c r="F577" t="inlineStr">
        <is>
          <t>VÄRMLANDS LÄN</t>
        </is>
      </c>
      <c r="G577" t="inlineStr">
        <is>
          <t>FILIPSTAD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44637</v>
      </c>
      <c r="E578" s="1" t="n">
        <v>46319</v>
      </c>
      <c r="F578" t="inlineStr">
        <is>
          <t>VÄRMLANDS LÄN</t>
        </is>
      </c>
      <c r="G578" t="inlineStr">
        <is>
          <t>FILIPSTAD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45439</v>
      </c>
      <c r="E579" s="1" t="n">
        <v>46319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45671</v>
      </c>
      <c r="E580" s="1" t="n">
        <v>46319</v>
      </c>
      <c r="F580" t="inlineStr">
        <is>
          <t>VÄRMLANDS LÄN</t>
        </is>
      </c>
      <c r="G580" t="inlineStr">
        <is>
          <t>FILIPSTAD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45274</v>
      </c>
      <c r="E581" s="1" t="n">
        <v>46319</v>
      </c>
      <c r="F581" t="inlineStr">
        <is>
          <t>VÄRMLANDS LÄN</t>
        </is>
      </c>
      <c r="G581" t="inlineStr">
        <is>
          <t>FILIPSTAD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45484</v>
      </c>
      <c r="E582" s="1" t="n">
        <v>46319</v>
      </c>
      <c r="F582" t="inlineStr">
        <is>
          <t>VÄRMLANDS LÄN</t>
        </is>
      </c>
      <c r="G582" t="inlineStr">
        <is>
          <t>FILIPSTAD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63482-2021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44508</v>
      </c>
      <c r="E583" s="1" t="n">
        <v>46319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45665</v>
      </c>
      <c r="E584" s="1" t="n">
        <v>46319</v>
      </c>
      <c r="F584" t="inlineStr">
        <is>
          <t>VÄRMLANDS LÄN</t>
        </is>
      </c>
      <c r="G584" t="inlineStr">
        <is>
          <t>FILIPSTAD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70405-2021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44536</v>
      </c>
      <c r="E585" s="1" t="n">
        <v>46319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46319</v>
      </c>
      <c r="F586" t="inlineStr">
        <is>
          <t>VÄRMLANDS LÄN</t>
        </is>
      </c>
      <c r="G586" t="inlineStr">
        <is>
          <t>FILIPSTAD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54735-2024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46319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46319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45658</v>
      </c>
      <c r="E589" s="1" t="n">
        <v>46319</v>
      </c>
      <c r="F589" t="inlineStr">
        <is>
          <t>VÄRMLANDS LÄN</t>
        </is>
      </c>
      <c r="G589" t="inlineStr">
        <is>
          <t>FILIPSTAD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21608-2023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45063</v>
      </c>
      <c r="E590" s="1" t="n">
        <v>46319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46319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54836-2023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46319</v>
      </c>
      <c r="F592" t="inlineStr">
        <is>
          <t>VÄRMLANDS LÄN</t>
        </is>
      </c>
      <c r="G592" t="inlineStr">
        <is>
          <t>FILIPSTAD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29825-2023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45107</v>
      </c>
      <c r="E593" s="1" t="n">
        <v>46319</v>
      </c>
      <c r="F593" t="inlineStr">
        <is>
          <t>VÄRMLANDS LÄN</t>
        </is>
      </c>
      <c r="G593" t="inlineStr">
        <is>
          <t>FILIPSTAD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45686</v>
      </c>
      <c r="E594" s="1" t="n">
        <v>46319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27789-2022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44743</v>
      </c>
      <c r="E595" s="1" t="n">
        <v>46319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45184</v>
      </c>
      <c r="E596" s="1" t="n">
        <v>46319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46319</v>
      </c>
      <c r="F597" t="inlineStr">
        <is>
          <t>VÄRMLANDS LÄN</t>
        </is>
      </c>
      <c r="G597" t="inlineStr">
        <is>
          <t>FILIPSTAD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28161-2023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45093</v>
      </c>
      <c r="E598" s="1" t="n">
        <v>46319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15.4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46319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19030-2022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44691</v>
      </c>
      <c r="E600" s="1" t="n">
        <v>46319</v>
      </c>
      <c r="F600" t="inlineStr">
        <is>
          <t>VÄRMLANDS LÄN</t>
        </is>
      </c>
      <c r="G600" t="inlineStr">
        <is>
          <t>FILIPSTAD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45159</v>
      </c>
      <c r="E601" s="1" t="n">
        <v>46319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46319</v>
      </c>
      <c r="F602" t="inlineStr">
        <is>
          <t>VÄRMLANDS LÄN</t>
        </is>
      </c>
      <c r="G602" t="inlineStr">
        <is>
          <t>FILIPSTAD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45222</v>
      </c>
      <c r="E603" s="1" t="n">
        <v>46319</v>
      </c>
      <c r="F603" t="inlineStr">
        <is>
          <t>VÄRMLANDS LÄN</t>
        </is>
      </c>
      <c r="G603" t="inlineStr">
        <is>
          <t>FILIPSTAD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45167</v>
      </c>
      <c r="E604" s="1" t="n">
        <v>46319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45186</v>
      </c>
      <c r="E605" s="1" t="n">
        <v>46319</v>
      </c>
      <c r="F605" t="inlineStr">
        <is>
          <t>VÄRMLANDS LÄN</t>
        </is>
      </c>
      <c r="G605" t="inlineStr">
        <is>
          <t>FILIPSTAD</t>
        </is>
      </c>
      <c r="I605" t="n">
        <v>15.3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16103-2025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45750</v>
      </c>
      <c r="E606" s="1" t="n">
        <v>46319</v>
      </c>
      <c r="F606" t="inlineStr">
        <is>
          <t>VÄRMLANDS LÄN</t>
        </is>
      </c>
      <c r="G606" t="inlineStr">
        <is>
          <t>FILIPSTAD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36251-2022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44803</v>
      </c>
      <c r="E607" s="1" t="n">
        <v>46319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33671-2022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46319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46257-2022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44847</v>
      </c>
      <c r="E609" s="1" t="n">
        <v>46319</v>
      </c>
      <c r="F609" t="inlineStr">
        <is>
          <t>VÄRMLANDS LÄN</t>
        </is>
      </c>
      <c r="G609" t="inlineStr">
        <is>
          <t>FILIPSTAD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36827-2022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44805</v>
      </c>
      <c r="E610" s="1" t="n">
        <v>46319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44809</v>
      </c>
      <c r="E611" s="1" t="n">
        <v>46319</v>
      </c>
      <c r="F611" t="inlineStr">
        <is>
          <t>VÄRMLANDS LÄN</t>
        </is>
      </c>
      <c r="G611" t="inlineStr">
        <is>
          <t>FILIPSTAD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46319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25338-2023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45087</v>
      </c>
      <c r="E613" s="1" t="n">
        <v>46319</v>
      </c>
      <c r="F613" t="inlineStr">
        <is>
          <t>VÄRMLANDS LÄN</t>
        </is>
      </c>
      <c r="G613" t="inlineStr">
        <is>
          <t>FILIPSTAD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45177</v>
      </c>
      <c r="E614" s="1" t="n">
        <v>46319</v>
      </c>
      <c r="F614" t="inlineStr">
        <is>
          <t>VÄRMLANDS LÄN</t>
        </is>
      </c>
      <c r="G614" t="inlineStr">
        <is>
          <t>FILIPSTAD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53034-2022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44876</v>
      </c>
      <c r="E615" s="1" t="n">
        <v>46319</v>
      </c>
      <c r="F615" t="inlineStr">
        <is>
          <t>VÄRMLANDS LÄN</t>
        </is>
      </c>
      <c r="G615" t="inlineStr">
        <is>
          <t>FILIPSTAD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46319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45223</v>
      </c>
      <c r="E617" s="1" t="n">
        <v>46319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50904-2023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46319</v>
      </c>
      <c r="F618" t="inlineStr">
        <is>
          <t>VÄRMLANDS LÄN</t>
        </is>
      </c>
      <c r="G618" t="inlineStr">
        <is>
          <t>FILIPSTAD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55397-2022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44887</v>
      </c>
      <c r="E619" s="1" t="n">
        <v>46319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44960</v>
      </c>
      <c r="E620" s="1" t="n">
        <v>46319</v>
      </c>
      <c r="F620" t="inlineStr">
        <is>
          <t>VÄRMLANDS LÄN</t>
        </is>
      </c>
      <c r="G620" t="inlineStr">
        <is>
          <t>FILIPSTAD</t>
        </is>
      </c>
      <c r="H620" t="inlineStr">
        <is>
          <t>Kommuner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55978-2022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44889</v>
      </c>
      <c r="E621" s="1" t="n">
        <v>46319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50856-2022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44867</v>
      </c>
      <c r="E622" s="1" t="n">
        <v>46319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44911</v>
      </c>
      <c r="E623" s="1" t="n">
        <v>46319</v>
      </c>
      <c r="F623" t="inlineStr">
        <is>
          <t>VÄRMLANDS LÄN</t>
        </is>
      </c>
      <c r="G623" t="inlineStr">
        <is>
          <t>FILIPSTAD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45568</v>
      </c>
      <c r="E624" s="1" t="n">
        <v>46319</v>
      </c>
      <c r="F624" t="inlineStr">
        <is>
          <t>VÄRMLANDS LÄN</t>
        </is>
      </c>
      <c r="G624" t="inlineStr">
        <is>
          <t>FILIPSTAD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46319</v>
      </c>
      <c r="F625" t="inlineStr">
        <is>
          <t>VÄRMLANDS LÄN</t>
        </is>
      </c>
      <c r="G625" t="inlineStr">
        <is>
          <t>FILIPSTAD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46319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46319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46319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46319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46319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46319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46319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46319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46319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46319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46319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46319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46319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46319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2026-10-24T02:00:44Z</dcterms:created>
  <dcterms:modified xmlns:dcterms="http://purl.org/dc/terms/" xmlns:xsi="http://www.w3.org/2001/XMLSchema-instance" xsi:type="dcterms:W3CDTF">2026-10-24T02:00:44Z</dcterms:modified>
</cp:coreProperties>
</file>