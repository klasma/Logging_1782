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45834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45834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45834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45834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45834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45834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45834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45834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45834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45834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45834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45834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45834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45834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45834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45834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45834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45834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45834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45834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45834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45834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45834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45834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45834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45834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45834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45834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45834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45834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62572-2021</t>
        </is>
      </c>
      <c r="B32" s="1" t="n">
        <v>44503</v>
      </c>
      <c r="C32" s="1" t="n">
        <v>45834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62572-2021 artfynd.xlsx", "A 62572-2021")</f>
        <v/>
      </c>
      <c r="T32">
        <f>HYPERLINK("https://klasma.github.io/Logging_1782/kartor/A 62572-2021 karta.png", "A 62572-2021")</f>
        <v/>
      </c>
      <c r="V32">
        <f>HYPERLINK("https://klasma.github.io/Logging_1782/klagomål/A 62572-2021 FSC-klagomål.docx", "A 62572-2021")</f>
        <v/>
      </c>
      <c r="W32">
        <f>HYPERLINK("https://klasma.github.io/Logging_1782/klagomålsmail/A 62572-2021 FSC-klagomål mail.docx", "A 62572-2021")</f>
        <v/>
      </c>
      <c r="X32">
        <f>HYPERLINK("https://klasma.github.io/Logging_1782/tillsyn/A 62572-2021 tillsynsbegäran.docx", "A 62572-2021")</f>
        <v/>
      </c>
      <c r="Y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s="1" t="n">
        <v>44701</v>
      </c>
      <c r="C33" s="1" t="n">
        <v>45834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20754-2022 artfynd.xlsx", "A 20754-2022")</f>
        <v/>
      </c>
      <c r="T33">
        <f>HYPERLINK("https://klasma.github.io/Logging_1782/kartor/A 20754-2022 karta.png", "A 20754-2022")</f>
        <v/>
      </c>
      <c r="V33">
        <f>HYPERLINK("https://klasma.github.io/Logging_1782/klagomål/A 20754-2022 FSC-klagomål.docx", "A 20754-2022")</f>
        <v/>
      </c>
      <c r="W33">
        <f>HYPERLINK("https://klasma.github.io/Logging_1782/klagomålsmail/A 20754-2022 FSC-klagomål mail.docx", "A 20754-2022")</f>
        <v/>
      </c>
      <c r="X33">
        <f>HYPERLINK("https://klasma.github.io/Logging_1782/tillsyn/A 20754-2022 tillsynsbegäran.docx", "A 20754-2022")</f>
        <v/>
      </c>
      <c r="Y33">
        <f>HYPERLINK("https://klasma.github.io/Logging_1782/tillsynsmail/A 20754-2022 tillsynsbegäran mail.docx", "A 20754-2022")</f>
        <v/>
      </c>
    </row>
    <row r="34" ht="15" customHeight="1">
      <c r="A34" t="inlineStr">
        <is>
          <t>A 27105-2022</t>
        </is>
      </c>
      <c r="B34" s="1" t="n">
        <v>44741</v>
      </c>
      <c r="C34" s="1" t="n">
        <v>45834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27105-2022 artfynd.xlsx", "A 27105-2022")</f>
        <v/>
      </c>
      <c r="T34">
        <f>HYPERLINK("https://klasma.github.io/Logging_1782/kartor/A 27105-2022 karta.png", "A 27105-2022")</f>
        <v/>
      </c>
      <c r="V34">
        <f>HYPERLINK("https://klasma.github.io/Logging_1782/klagomål/A 27105-2022 FSC-klagomål.docx", "A 27105-2022")</f>
        <v/>
      </c>
      <c r="W34">
        <f>HYPERLINK("https://klasma.github.io/Logging_1782/klagomålsmail/A 27105-2022 FSC-klagomål mail.docx", "A 27105-2022")</f>
        <v/>
      </c>
      <c r="X34">
        <f>HYPERLINK("https://klasma.github.io/Logging_1782/tillsyn/A 27105-2022 tillsynsbegäran.docx", "A 27105-2022")</f>
        <v/>
      </c>
      <c r="Y34">
        <f>HYPERLINK("https://klasma.github.io/Logging_1782/tillsynsmail/A 27105-2022 tillsynsbegäran mail.docx", "A 27105-2022")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45834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37427-2023</t>
        </is>
      </c>
      <c r="B36" s="1" t="n">
        <v>45156</v>
      </c>
      <c r="C36" s="1" t="n">
        <v>45834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HYPERLINK("https://klasma.github.io/Logging_1782/artfynd/A 37427-2023 artfynd.xlsx", "A 37427-2023")</f>
        <v/>
      </c>
      <c r="T36">
        <f>HYPERLINK("https://klasma.github.io/Logging_1782/kartor/A 37427-2023 karta.png", "A 37427-2023")</f>
        <v/>
      </c>
      <c r="V36">
        <f>HYPERLINK("https://klasma.github.io/Logging_1782/klagomål/A 37427-2023 FSC-klagomål.docx", "A 37427-2023")</f>
        <v/>
      </c>
      <c r="W36">
        <f>HYPERLINK("https://klasma.github.io/Logging_1782/klagomålsmail/A 37427-2023 FSC-klagomål mail.docx", "A 37427-2023")</f>
        <v/>
      </c>
      <c r="X36">
        <f>HYPERLINK("https://klasma.github.io/Logging_1782/tillsyn/A 37427-2023 tillsynsbegäran.docx", "A 37427-2023")</f>
        <v/>
      </c>
      <c r="Y36">
        <f>HYPERLINK("https://klasma.github.io/Logging_1782/tillsynsmail/A 37427-2023 tillsynsbegäran mail.docx", "A 37427-2023")</f>
        <v/>
      </c>
    </row>
    <row r="37" ht="15" customHeight="1">
      <c r="A37" t="inlineStr">
        <is>
          <t>A 43333-2023</t>
        </is>
      </c>
      <c r="B37" s="1" t="n">
        <v>45183</v>
      </c>
      <c r="C37" s="1" t="n">
        <v>45834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19.4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HYPERLINK("https://klasma.github.io/Logging_1782/artfynd/A 43333-2023 artfynd.xlsx", "A 43333-2023")</f>
        <v/>
      </c>
      <c r="T37">
        <f>HYPERLINK("https://klasma.github.io/Logging_1782/kartor/A 43333-2023 karta.png", "A 43333-2023")</f>
        <v/>
      </c>
      <c r="V37">
        <f>HYPERLINK("https://klasma.github.io/Logging_1782/klagomål/A 43333-2023 FSC-klagomål.docx", "A 43333-2023")</f>
        <v/>
      </c>
      <c r="W37">
        <f>HYPERLINK("https://klasma.github.io/Logging_1782/klagomålsmail/A 43333-2023 FSC-klagomål mail.docx", "A 43333-2023")</f>
        <v/>
      </c>
      <c r="X37">
        <f>HYPERLINK("https://klasma.github.io/Logging_1782/tillsyn/A 43333-2023 tillsynsbegäran.docx", "A 43333-2023")</f>
        <v/>
      </c>
      <c r="Y37">
        <f>HYPERLINK("https://klasma.github.io/Logging_1782/tillsynsmail/A 43333-2023 tillsynsbegäran mail.docx", "A 43333-2023")</f>
        <v/>
      </c>
    </row>
    <row r="38" ht="15" customHeight="1">
      <c r="A38" t="inlineStr">
        <is>
          <t>A 61939-2023</t>
        </is>
      </c>
      <c r="B38" s="1" t="n">
        <v>45266</v>
      </c>
      <c r="C38" s="1" t="n">
        <v>45834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HYPERLINK("https://klasma.github.io/Logging_1782/artfynd/A 61939-2023 artfynd.xlsx", "A 61939-2023")</f>
        <v/>
      </c>
      <c r="T38">
        <f>HYPERLINK("https://klasma.github.io/Logging_1782/kartor/A 61939-2023 karta.png", "A 61939-2023")</f>
        <v/>
      </c>
      <c r="V38">
        <f>HYPERLINK("https://klasma.github.io/Logging_1782/klagomål/A 61939-2023 FSC-klagomål.docx", "A 61939-2023")</f>
        <v/>
      </c>
      <c r="W38">
        <f>HYPERLINK("https://klasma.github.io/Logging_1782/klagomålsmail/A 61939-2023 FSC-klagomål mail.docx", "A 61939-2023")</f>
        <v/>
      </c>
      <c r="X38">
        <f>HYPERLINK("https://klasma.github.io/Logging_1782/tillsyn/A 61939-2023 tillsynsbegäran.docx", "A 61939-2023")</f>
        <v/>
      </c>
      <c r="Y38">
        <f>HYPERLINK("https://klasma.github.io/Logging_1782/tillsynsmail/A 61939-2023 tillsynsbegäran mail.docx", "A 61939-2023")</f>
        <v/>
      </c>
    </row>
    <row r="39" ht="15" customHeight="1">
      <c r="A39" t="inlineStr">
        <is>
          <t>A 10812-2024</t>
        </is>
      </c>
      <c r="B39" s="1" t="n">
        <v>45369</v>
      </c>
      <c r="C39" s="1" t="n">
        <v>45834</v>
      </c>
      <c r="D39" t="inlineStr">
        <is>
          <t>VÄRMLANDS LÄN</t>
        </is>
      </c>
      <c r="E39" t="inlineStr">
        <is>
          <t>FILIPSTAD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HYPERLINK("https://klasma.github.io/Logging_1782/artfynd/A 10812-2024 artfynd.xlsx", "A 10812-2024")</f>
        <v/>
      </c>
      <c r="T39">
        <f>HYPERLINK("https://klasma.github.io/Logging_1782/kartor/A 10812-2024 karta.png", "A 10812-2024")</f>
        <v/>
      </c>
      <c r="V39">
        <f>HYPERLINK("https://klasma.github.io/Logging_1782/klagomål/A 10812-2024 FSC-klagomål.docx", "A 10812-2024")</f>
        <v/>
      </c>
      <c r="W39">
        <f>HYPERLINK("https://klasma.github.io/Logging_1782/klagomålsmail/A 10812-2024 FSC-klagomål mail.docx", "A 10812-2024")</f>
        <v/>
      </c>
      <c r="X39">
        <f>HYPERLINK("https://klasma.github.io/Logging_1782/tillsyn/A 10812-2024 tillsynsbegäran.docx", "A 10812-2024")</f>
        <v/>
      </c>
      <c r="Y39">
        <f>HYPERLINK("https://klasma.github.io/Logging_1782/tillsynsmail/A 10812-2024 tillsynsbegäran mail.docx", "A 10812-2024")</f>
        <v/>
      </c>
    </row>
    <row r="40" ht="15" customHeight="1">
      <c r="A40" t="inlineStr">
        <is>
          <t>A 11921-2024</t>
        </is>
      </c>
      <c r="B40" s="1" t="n">
        <v>45376</v>
      </c>
      <c r="C40" s="1" t="n">
        <v>45834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HYPERLINK("https://klasma.github.io/Logging_1782/artfynd/A 11921-2024 artfynd.xlsx", "A 11921-2024")</f>
        <v/>
      </c>
      <c r="T40">
        <f>HYPERLINK("https://klasma.github.io/Logging_1782/kartor/A 11921-2024 karta.png", "A 11921-2024")</f>
        <v/>
      </c>
      <c r="V40">
        <f>HYPERLINK("https://klasma.github.io/Logging_1782/klagomål/A 11921-2024 FSC-klagomål.docx", "A 11921-2024")</f>
        <v/>
      </c>
      <c r="W40">
        <f>HYPERLINK("https://klasma.github.io/Logging_1782/klagomålsmail/A 11921-2024 FSC-klagomål mail.docx", "A 11921-2024")</f>
        <v/>
      </c>
      <c r="X40">
        <f>HYPERLINK("https://klasma.github.io/Logging_1782/tillsyn/A 11921-2024 tillsynsbegäran.docx", "A 11921-2024")</f>
        <v/>
      </c>
      <c r="Y40">
        <f>HYPERLINK("https://klasma.github.io/Logging_1782/tillsynsmail/A 11921-2024 tillsynsbegäran mail.docx", "A 11921-2024")</f>
        <v/>
      </c>
    </row>
    <row r="41" ht="15" customHeight="1">
      <c r="A41" t="inlineStr">
        <is>
          <t>A 16317-2024</t>
        </is>
      </c>
      <c r="B41" s="1" t="n">
        <v>45407</v>
      </c>
      <c r="C41" s="1" t="n">
        <v>45834</v>
      </c>
      <c r="D41" t="inlineStr">
        <is>
          <t>VÄRMLANDS LÄN</t>
        </is>
      </c>
      <c r="E41" t="inlineStr">
        <is>
          <t>FILIPSTAD</t>
        </is>
      </c>
      <c r="G41" t="n">
        <v>6.8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Skuggblåslav</t>
        </is>
      </c>
      <c r="S41">
        <f>HYPERLINK("https://klasma.github.io/Logging_1782/artfynd/A 16317-2024 artfynd.xlsx", "A 16317-2024")</f>
        <v/>
      </c>
      <c r="T41">
        <f>HYPERLINK("https://klasma.github.io/Logging_1782/kartor/A 16317-2024 karta.png", "A 16317-2024")</f>
        <v/>
      </c>
      <c r="V41">
        <f>HYPERLINK("https://klasma.github.io/Logging_1782/klagomål/A 16317-2024 FSC-klagomål.docx", "A 16317-2024")</f>
        <v/>
      </c>
      <c r="W41">
        <f>HYPERLINK("https://klasma.github.io/Logging_1782/klagomålsmail/A 16317-2024 FSC-klagomål mail.docx", "A 16317-2024")</f>
        <v/>
      </c>
      <c r="X41">
        <f>HYPERLINK("https://klasma.github.io/Logging_1782/tillsyn/A 16317-2024 tillsynsbegäran.docx", "A 16317-2024")</f>
        <v/>
      </c>
      <c r="Y41">
        <f>HYPERLINK("https://klasma.github.io/Logging_1782/tillsynsmail/A 16317-2024 tillsynsbegäran mail.docx", "A 16317-2024")</f>
        <v/>
      </c>
    </row>
    <row r="42" ht="15" customHeight="1">
      <c r="A42" t="inlineStr">
        <is>
          <t>A 23377-2024</t>
        </is>
      </c>
      <c r="B42" s="1" t="n">
        <v>45453</v>
      </c>
      <c r="C42" s="1" t="n">
        <v>45834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5.1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Tallbit</t>
        </is>
      </c>
      <c r="S42">
        <f>HYPERLINK("https://klasma.github.io/Logging_1782/artfynd/A 23377-2024 artfynd.xlsx", "A 23377-2024")</f>
        <v/>
      </c>
      <c r="T42">
        <f>HYPERLINK("https://klasma.github.io/Logging_1782/kartor/A 23377-2024 karta.png", "A 23377-2024")</f>
        <v/>
      </c>
      <c r="V42">
        <f>HYPERLINK("https://klasma.github.io/Logging_1782/klagomål/A 23377-2024 FSC-klagomål.docx", "A 23377-2024")</f>
        <v/>
      </c>
      <c r="W42">
        <f>HYPERLINK("https://klasma.github.io/Logging_1782/klagomålsmail/A 23377-2024 FSC-klagomål mail.docx", "A 23377-2024")</f>
        <v/>
      </c>
      <c r="X42">
        <f>HYPERLINK("https://klasma.github.io/Logging_1782/tillsyn/A 23377-2024 tillsynsbegäran.docx", "A 23377-2024")</f>
        <v/>
      </c>
      <c r="Y42">
        <f>HYPERLINK("https://klasma.github.io/Logging_1782/tillsynsmail/A 23377-2024 tillsynsbegäran mail.docx", "A 23377-2024")</f>
        <v/>
      </c>
      <c r="Z42">
        <f>HYPERLINK("https://klasma.github.io/Logging_1782/fåglar/A 23377-2024 prioriterade fågelarter.docx", "A 23377-2024")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45834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45834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45834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45834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45834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45834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45834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45834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45834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45834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45834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45834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45834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45834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45834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45834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45834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45834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45834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45834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45834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45834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45834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45834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45834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45834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45834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45834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45834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45834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45834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45834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45834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45834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45834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45834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45834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45834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45834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45834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45834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45834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45834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45834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45834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45834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45834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45834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45834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45834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45834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45834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45834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45834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45834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45834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45834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45834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45834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45834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45834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45834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45834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45834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45834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45834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45834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45834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45834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45834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45834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45834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45834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45834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45834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45834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45834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45834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45834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45834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45834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45834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45834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45834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45834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45834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45834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45834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45834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45834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45834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45834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45834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45834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45834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45834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45834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45834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45834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45834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45834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45834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45834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45834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45834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45834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45834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45834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45834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45834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45834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45834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45834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45834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45834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45834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45834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45834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45834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45834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45834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45834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45834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45834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45834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45834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45834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45834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45834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45834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45834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45834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45834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45834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45834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45834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45834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45834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45834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45834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45834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45834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45834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45834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45834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45834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45834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45834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45834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45834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45834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45834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45834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45834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45834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45834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45834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45834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45834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45834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45834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45834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45834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45834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45834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45834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45834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45834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45834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45834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45834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45834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45834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45834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45834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45834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45834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45834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45834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45834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45834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45834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45834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45834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45834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45834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45834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45834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45834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45834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45834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45834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45834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45834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45834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45834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45834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45834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45834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45834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45834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45834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45834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45834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45834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45834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45834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45834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45834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45834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45834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45834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45834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45834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45834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45834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45834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45834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45834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45834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45834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45834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45834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45834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45834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45834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45834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45834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45834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45834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45834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45834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45834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45834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45834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45834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45834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45834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45834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45834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45834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45834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45834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45834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45834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45834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45834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45834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45834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45834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45834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45834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45834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45834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45834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45834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45834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45834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45834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45834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45834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45834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45834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45834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45834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45834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45834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45834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45834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45834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45834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45834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45834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45834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45834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45834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45834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45834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45834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45834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45834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45834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45834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45834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45834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45834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45834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45834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45834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45834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45834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45834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45834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45834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45834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45834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45834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45834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45834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45834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45834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45834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45834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45834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45834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45834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45834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45834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45834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45834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45834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45834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45834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45834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45834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45834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45834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45834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45834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45834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45834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45834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45834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45834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45834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45834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45834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45834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45834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45834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45834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45834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45834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45834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45834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45834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45834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45834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45834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45834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45834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45834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45834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45834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45834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45834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45834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45834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45834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45834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45834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45834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45834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45834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45834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45834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45834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45834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45834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45834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45834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45834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45834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45834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45834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45834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45834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45834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45834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45834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45834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45834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45834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45834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45834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45834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45834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45834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45834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45834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45834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45834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45834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45834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45834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45834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45834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45834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45834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45834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45834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45834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45834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45834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45834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45834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45834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45834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45834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45834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45834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45834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45834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45834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45834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45834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45834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45834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45834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45834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45834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45834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45834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45834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45834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45834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45834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45834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45834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45834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45834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45834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45834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45834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45834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45834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45834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45834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45834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45834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45834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45834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45834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45834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45834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45834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45834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45834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45834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45834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45834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45834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45834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45834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45834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45834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45834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45834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45834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45834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45834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45834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45834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45834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45834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45834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45834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45834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45834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45834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45834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45834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45834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45834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45834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45834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45834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45834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45834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45834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45834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45834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45834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45834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45834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45834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45834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45834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45834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45834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45834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45834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45834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45834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45834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45834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45834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45834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45834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45834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45834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45834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45834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45834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45834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45834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45834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45834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45834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45834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45834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45834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45834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45834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45834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45834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45834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45834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45834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45834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45834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45834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45834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45834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45834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45834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45834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45834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45834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45834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45834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45834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45834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45834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45834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45834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45834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45834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45834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45834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45834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45834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45834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45834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45834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45834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45834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45834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45834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45834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45834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45834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45834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45834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45834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45834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45834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45834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45834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45834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45834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45834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45834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45834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45834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45834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45834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45834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45834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45834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45834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45834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45834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45834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45834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45834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45834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45834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45834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45834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45834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45834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45834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45834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45834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45834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45834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45834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45834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45834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45834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45834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45834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45834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45834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45834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45834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45834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45834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45834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45834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45834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45834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45834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45834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45834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45834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45834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45834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45834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45834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45834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45834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45834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45834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45834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45834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45834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45834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45834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45834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45834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45834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45834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45834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45834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45834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45834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45834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45834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45834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45834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45834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45834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45834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45834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45834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45834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45834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45834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45834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45834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45834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45834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45834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45834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45834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45834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45834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45834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45834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45834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45834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45834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45834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45834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45834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45834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45834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45834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45834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45834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45834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45834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45834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45834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45834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45834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45834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45834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45834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45834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45834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45834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45834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45834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45834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45834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45834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45834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45834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45834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45834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45834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45834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45834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45834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45834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45834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45834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45834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45834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45834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45834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45834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45834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45834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45834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45834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45834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45834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45834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45834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45834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45834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45834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45834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45834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45834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45834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45834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45834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45834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45834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45834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45834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45834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45834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45834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45834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45834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45834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45834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45834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45834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45834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45834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45834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45834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45834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45834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45834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45834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45834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45834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45834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45834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45834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45834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45834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45834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45834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45834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45834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45834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45834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45834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45834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45834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45834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45834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45834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45834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45834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45834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45834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45834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45834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45834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45834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45834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45834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45834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45834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45834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45834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45834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45834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45834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45834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45834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45834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45834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45834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45834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45834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45834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45834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45834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45834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45834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45834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45834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45834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45834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45834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45834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45834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45834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45834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45834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45834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45834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45834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45834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45834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45834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45834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45834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45834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45834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45834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45834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45834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45834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45834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45834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45834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45834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45834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45834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45834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45834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45834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45834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45834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45834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45834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45834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45834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45834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45834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45834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45834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45834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45834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45834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45834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45834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45834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45834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45834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45834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45834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45834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45834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45834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45834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45834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45834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45834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45834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45834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45834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45834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45834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45834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45834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45834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45834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45834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45834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45834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45834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45834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45834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45834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45834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45834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45834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45834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45834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45834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45834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45834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45834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45834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45834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45834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45834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45834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45834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45834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45834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45834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45834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45834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45834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45834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45834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45834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45834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45834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45834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45834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45834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45834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45834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45834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45834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45834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45834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45834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45834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45834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45834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45834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45834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45834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45834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45834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45834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45834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45834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45834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45834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45834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45834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45834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45834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45834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45834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45834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45834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45834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45834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45834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45834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45834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45834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45834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45834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45834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45834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45834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45834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45834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45834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45834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45834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45834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45834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45834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45834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45834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45834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45834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45834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45834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45834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45834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45834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45834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45834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45834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45834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45834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45834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45834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45834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45834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45834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45834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45834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45834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45834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45834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45834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45834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45834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45834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45834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45834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45834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45834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45834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45834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45834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45834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45834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45834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45834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45834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45834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45834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45834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45834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45834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45834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45834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45834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45834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45834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45834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45834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45834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45834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45834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45834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45834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45834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45834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45834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45834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45834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45834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45834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45834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45834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45834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45834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45834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45834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45834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45834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45834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45834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45834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45834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45834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45834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45834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45834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45834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45834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45834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45834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45834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45834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45834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45834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45834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45834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45834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26123-2025</t>
        </is>
      </c>
      <c r="B1057" s="1" t="n">
        <v>45805</v>
      </c>
      <c r="C1057" s="1" t="n">
        <v>45834</v>
      </c>
      <c r="D1057" t="inlineStr">
        <is>
          <t>VÄRMLANDS LÄN</t>
        </is>
      </c>
      <c r="E1057" t="inlineStr">
        <is>
          <t>FILIPSTAD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26116-2025</t>
        </is>
      </c>
      <c r="B1058" s="1" t="n">
        <v>45805</v>
      </c>
      <c r="C1058" s="1" t="n">
        <v>45834</v>
      </c>
      <c r="D1058" t="inlineStr">
        <is>
          <t>VÄRMLANDS LÄN</t>
        </is>
      </c>
      <c r="E1058" t="inlineStr">
        <is>
          <t>FILIPSTAD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45834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45834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45834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45834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45834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45834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45834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45834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45834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45834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45834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45834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45834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45834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45834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29666-2025</t>
        </is>
      </c>
      <c r="B1074" s="1" t="n">
        <v>45825</v>
      </c>
      <c r="C1074" s="1" t="n">
        <v>45834</v>
      </c>
      <c r="D1074" t="inlineStr">
        <is>
          <t>VÄRMLANDS LÄN</t>
        </is>
      </c>
      <c r="E1074" t="inlineStr">
        <is>
          <t>FILIPSTAD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29568-2025</t>
        </is>
      </c>
      <c r="B1075" s="1" t="n">
        <v>45825</v>
      </c>
      <c r="C1075" s="1" t="n">
        <v>45834</v>
      </c>
      <c r="D1075" t="inlineStr">
        <is>
          <t>VÄRMLANDS LÄN</t>
        </is>
      </c>
      <c r="E1075" t="inlineStr">
        <is>
          <t>FILIPSTAD</t>
        </is>
      </c>
      <c r="F1075" t="inlineStr">
        <is>
          <t>Kyrkan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29681-2025</t>
        </is>
      </c>
      <c r="B1076" s="1" t="n">
        <v>45825</v>
      </c>
      <c r="C1076" s="1" t="n">
        <v>45834</v>
      </c>
      <c r="D1076" t="inlineStr">
        <is>
          <t>VÄRMLANDS LÄN</t>
        </is>
      </c>
      <c r="E1076" t="inlineStr">
        <is>
          <t>FILIPSTAD</t>
        </is>
      </c>
      <c r="F1076" t="inlineStr">
        <is>
          <t>Bergvik skog väst AB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29660-2025</t>
        </is>
      </c>
      <c r="B1077" s="1" t="n">
        <v>45825</v>
      </c>
      <c r="C1077" s="1" t="n">
        <v>45834</v>
      </c>
      <c r="D1077" t="inlineStr">
        <is>
          <t>VÄRMLANDS LÄN</t>
        </is>
      </c>
      <c r="E1077" t="inlineStr">
        <is>
          <t>FILIPSTAD</t>
        </is>
      </c>
      <c r="G1077" t="n">
        <v>23.3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45834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29885-2025</t>
        </is>
      </c>
      <c r="B1079" s="1" t="n">
        <v>45826</v>
      </c>
      <c r="C1079" s="1" t="n">
        <v>45834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30049-2025</t>
        </is>
      </c>
      <c r="B1080" s="1" t="n">
        <v>45826</v>
      </c>
      <c r="C1080" s="1" t="n">
        <v>45834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29993-2025</t>
        </is>
      </c>
      <c r="B1081" s="1" t="n">
        <v>45826</v>
      </c>
      <c r="C1081" s="1" t="n">
        <v>45834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30007-2025</t>
        </is>
      </c>
      <c r="B1082" s="1" t="n">
        <v>45826</v>
      </c>
      <c r="C1082" s="1" t="n">
        <v>45834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29944-2025</t>
        </is>
      </c>
      <c r="B1083" s="1" t="n">
        <v>45826</v>
      </c>
      <c r="C1083" s="1" t="n">
        <v>45834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30077-2025</t>
        </is>
      </c>
      <c r="B1084" s="1" t="n">
        <v>45826</v>
      </c>
      <c r="C1084" s="1" t="n">
        <v>45834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45834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45834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45834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45834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31051-2025</t>
        </is>
      </c>
      <c r="B1089" s="1" t="n">
        <v>45832</v>
      </c>
      <c r="C1089" s="1" t="n">
        <v>45834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31172-2025</t>
        </is>
      </c>
      <c r="B1090" s="1" t="n">
        <v>45832</v>
      </c>
      <c r="C1090" s="1" t="n">
        <v>45834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31398-2025</t>
        </is>
      </c>
      <c r="B1091" s="1" t="n">
        <v>45833</v>
      </c>
      <c r="C1091" s="1" t="n">
        <v>45834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2025-06-26T19:26:07Z</dcterms:created>
  <dcterms:modified xmlns:dcterms="http://purl.org/dc/terms/" xmlns:xsi="http://www.w3.org/2001/XMLSchema-instance" xsi:type="dcterms:W3CDTF">2025-06-26T19:26:07Z</dcterms:modified>
</cp:coreProperties>
</file>