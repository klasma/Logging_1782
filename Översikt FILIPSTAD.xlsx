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46262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45602-2025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45922</v>
      </c>
      <c r="E7" s="1" t="n">
        <v>46262</v>
      </c>
      <c r="F7" t="inlineStr">
        <is>
          <t>VÄRMLANDS LÄN</t>
        </is>
      </c>
      <c r="G7" t="inlineStr">
        <is>
          <t>FILIPSTAD</t>
        </is>
      </c>
      <c r="I7" t="n">
        <v>6.2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9</v>
      </c>
      <c r="U7" t="n">
        <v>0</v>
      </c>
      <c r="V7" s="2" t="inlineStr">
        <is>
          <t>Veckticka
Vårärt
Blåsfliksmossa
Mörk husmossa
Tibast</t>
        </is>
      </c>
      <c r="W7">
        <f>HYPERLINK("https://klasma.github.io/Logging_1782/artfynd/A 45602-2025 artfynd.xlsx", "A 45602-2025")</f>
        <v/>
      </c>
      <c r="X7">
        <f>HYPERLINK("https://klasma.github.io/Logging_1782/kartor/A 45602-2025 karta.png", "A 45602-2025")</f>
        <v/>
      </c>
      <c r="Y7">
        <f>HYPERLINK("https://klasma.github.io/Logging_1782/kartor_geotiff/A 45602-2025 georefererad karta.tif", "A 45602-2025")</f>
        <v/>
      </c>
      <c r="AA7">
        <f>HYPERLINK("https://klasma.github.io/Logging_1782/klagomål/A 45602-2025 FSC-klagomål.docx", "A 45602-2025")</f>
        <v/>
      </c>
      <c r="AB7">
        <f>HYPERLINK("https://klasma.github.io/Logging_1782/klagomålsmail/A 45602-2025 FSC-klagomål mail.docx", "A 45602-2025")</f>
        <v/>
      </c>
      <c r="AC7">
        <f>HYPERLINK("https://klasma.github.io/Logging_1782/tillsyn/A 45602-2025 tillsynsbegäran.docx", "A 45602-2025")</f>
        <v/>
      </c>
      <c r="AD7">
        <f>HYPERLINK("https://klasma.github.io/Logging_1782/tillsynsmail/A 45602-2025 tillsynsbegäran mail.docx", "A 45602-2025")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46262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62116-2025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46262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Tjäder
Orre
Fläcknycklar</t>
        </is>
      </c>
      <c r="W13">
        <f>HYPERLINK("https://klasma.github.io/Logging_1782/artfynd/A 62116-2025 artfynd.xlsx", "A 62116-2025")</f>
        <v/>
      </c>
      <c r="X13">
        <f>HYPERLINK("https://klasma.github.io/Logging_1782/kartor/A 62116-2025 karta.png", "A 62116-2025")</f>
        <v/>
      </c>
      <c r="Y13">
        <f>HYPERLINK("https://klasma.github.io/Logging_1782/kartor_geotiff/A 62116-2025 georefererad karta.tif", "A 62116-2025")</f>
        <v/>
      </c>
      <c r="AA13">
        <f>HYPERLINK("https://klasma.github.io/Logging_1782/klagomål/A 62116-2025 FSC-klagomål.docx", "A 62116-2025")</f>
        <v/>
      </c>
      <c r="AB13">
        <f>HYPERLINK("https://klasma.github.io/Logging_1782/klagomålsmail/A 62116-2025 FSC-klagomål mail.docx", "A 62116-2025")</f>
        <v/>
      </c>
      <c r="AC13">
        <f>HYPERLINK("https://klasma.github.io/Logging_1782/tillsyn/A 62116-2025 tillsynsbegäran.docx", "A 62116-2025")</f>
        <v/>
      </c>
      <c r="AD13">
        <f>HYPERLINK("https://klasma.github.io/Logging_1782/tillsynsmail/A 62116-2025 tillsynsbegäran mail.docx", "A 62116-2025")</f>
        <v/>
      </c>
      <c r="AE13">
        <f>HYPERLINK("https://klasma.github.io/Logging_1782/fåglar/A 62116-2025 prioriterade fågelarter.docx", "A 62116-2025")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46262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63625-2023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46262</v>
      </c>
      <c r="F15" t="inlineStr">
        <is>
          <t>VÄRMLANDS LÄN</t>
        </is>
      </c>
      <c r="G15" t="inlineStr">
        <is>
          <t>FILIPSTAD</t>
        </is>
      </c>
      <c r="I15" t="n">
        <v>1.9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Smalfotad taggsvamp
Vaddporing
Utter</t>
        </is>
      </c>
      <c r="W15">
        <f>HYPERLINK("https://klasma.github.io/Logging_1782/artfynd/A 63625-2023 artfynd.xlsx", "A 63625-2023")</f>
        <v/>
      </c>
      <c r="X15">
        <f>HYPERLINK("https://klasma.github.io/Logging_1782/kartor/A 63625-2023 karta.png", "A 63625-2023")</f>
        <v/>
      </c>
      <c r="Y15">
        <f>HYPERLINK("https://klasma.github.io/Logging_1782/kartor_geotiff/A 63625-2023 georefererad karta.tif", "A 63625-2023")</f>
        <v/>
      </c>
      <c r="AA15">
        <f>HYPERLINK("https://klasma.github.io/Logging_1782/klagomål/A 63625-2023 FSC-klagomål.docx", "A 63625-2023")</f>
        <v/>
      </c>
      <c r="AB15">
        <f>HYPERLINK("https://klasma.github.io/Logging_1782/klagomålsmail/A 63625-2023 FSC-klagomål mail.docx", "A 63625-2023")</f>
        <v/>
      </c>
      <c r="AC15">
        <f>HYPERLINK("https://klasma.github.io/Logging_1782/tillsyn/A 63625-2023 tillsynsbegäran.docx", "A 63625-2023")</f>
        <v/>
      </c>
      <c r="AD15">
        <f>HYPERLINK("https://klasma.github.io/Logging_1782/tillsynsmail/A 63625-2023 tillsynsbegäran mail.docx", "A 63625-2023")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46262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46262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17274-2024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45414</v>
      </c>
      <c r="E18" s="1" t="n">
        <v>46262</v>
      </c>
      <c r="F18" t="inlineStr">
        <is>
          <t>VÄRMLANDS LÄN</t>
        </is>
      </c>
      <c r="G18" t="inlineStr">
        <is>
          <t>FILIPSTAD</t>
        </is>
      </c>
      <c r="H18" t="inlineStr">
        <is>
          <t>Kommuner</t>
        </is>
      </c>
      <c r="I18" t="n">
        <v>5.8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Dropptaggsvamp
Talltita</t>
        </is>
      </c>
      <c r="W18">
        <f>HYPERLINK("https://klasma.github.io/Logging_1782/artfynd/A 17274-2024 artfynd.xlsx", "A 17274-2024")</f>
        <v/>
      </c>
      <c r="X18">
        <f>HYPERLINK("https://klasma.github.io/Logging_1782/kartor/A 17274-2024 karta.png", "A 17274-2024")</f>
        <v/>
      </c>
      <c r="Y18">
        <f>HYPERLINK("https://klasma.github.io/Logging_1782/kartor_geotiff/A 17274-2024 georefererad karta.tif", "A 17274-2024")</f>
        <v/>
      </c>
      <c r="AA18">
        <f>HYPERLINK("https://klasma.github.io/Logging_1782/klagomål/A 17274-2024 FSC-klagomål.docx", "A 17274-2024")</f>
        <v/>
      </c>
      <c r="AB18">
        <f>HYPERLINK("https://klasma.github.io/Logging_1782/klagomålsmail/A 17274-2024 FSC-klagomål mail.docx", "A 17274-2024")</f>
        <v/>
      </c>
      <c r="AC18">
        <f>HYPERLINK("https://klasma.github.io/Logging_1782/tillsyn/A 17274-2024 tillsynsbegäran.docx", "A 17274-2024")</f>
        <v/>
      </c>
      <c r="AD18">
        <f>HYPERLINK("https://klasma.github.io/Logging_1782/tillsynsmail/A 17274-2024 tillsynsbegäran mail.docx", "A 17274-2024")</f>
        <v/>
      </c>
      <c r="AE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46262</v>
      </c>
      <c r="F19" t="inlineStr">
        <is>
          <t>VÄRMLANDS LÄN</t>
        </is>
      </c>
      <c r="G19" t="inlineStr">
        <is>
          <t>FILIPSTAD</t>
        </is>
      </c>
      <c r="I19" t="n">
        <v>3.3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Guckusko
Kransrams</t>
        </is>
      </c>
      <c r="W19">
        <f>HYPERLINK("https://klasma.github.io/Logging_1782/artfynd/A 19945-2023 artfynd.xlsx", "A 19945-2023")</f>
        <v/>
      </c>
      <c r="X19">
        <f>HYPERLINK("https://klasma.github.io/Logging_1782/kartor/A 19945-2023 karta.png", "A 19945-2023")</f>
        <v/>
      </c>
      <c r="Y19">
        <f>HYPERLINK("https://klasma.github.io/Logging_1782/kartor_geotiff/A 19945-2023 georefererad karta.tif", "A 19945-2023")</f>
        <v/>
      </c>
      <c r="AA19">
        <f>HYPERLINK("https://klasma.github.io/Logging_1782/klagomål/A 19945-2023 FSC-klagomål.docx", "A 19945-2023")</f>
        <v/>
      </c>
      <c r="AB19">
        <f>HYPERLINK("https://klasma.github.io/Logging_1782/klagomålsmail/A 19945-2023 FSC-klagomål mail.docx", "A 19945-2023")</f>
        <v/>
      </c>
      <c r="AC19">
        <f>HYPERLINK("https://klasma.github.io/Logging_1782/tillsyn/A 19945-2023 tillsynsbegäran.docx", "A 19945-2023")</f>
        <v/>
      </c>
      <c r="AD19">
        <f>HYPERLINK("https://klasma.github.io/Logging_1782/tillsynsmail/A 19945-2023 tillsynsbegäran mail.docx", "A 19945-2023")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46262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46262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46262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32438-2026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46262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Dubbelnycklar
Ängsnycklar</t>
        </is>
      </c>
      <c r="W23">
        <f>HYPERLINK("https://klasma.github.io/Logging_1782/artfynd/A 32438-2026 artfynd.xlsx", "A 32438-2026")</f>
        <v/>
      </c>
      <c r="X23">
        <f>HYPERLINK("https://klasma.github.io/Logging_1782/kartor/A 32438-2026 karta.png", "A 32438-2026")</f>
        <v/>
      </c>
      <c r="Y23">
        <f>HYPERLINK("https://klasma.github.io/Logging_1782/kartor_geotiff/A 32438-2026 georefererad karta.tif", "A 32438-2026")</f>
        <v/>
      </c>
      <c r="AA23">
        <f>HYPERLINK("https://klasma.github.io/Logging_1782/klagomål/A 32438-2026 FSC-klagomål.docx", "A 32438-2026")</f>
        <v/>
      </c>
      <c r="AB23">
        <f>HYPERLINK("https://klasma.github.io/Logging_1782/klagomålsmail/A 32438-2026 FSC-klagomål mail.docx", "A 32438-2026")</f>
        <v/>
      </c>
      <c r="AC23">
        <f>HYPERLINK("https://klasma.github.io/Logging_1782/tillsyn/A 32438-2026 tillsynsbegäran.docx", "A 32438-2026")</f>
        <v/>
      </c>
      <c r="AD23">
        <f>HYPERLINK("https://klasma.github.io/Logging_1782/tillsynsmail/A 32438-2026 tillsynsbegäran mail.docx", "A 32438-2026")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46262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46262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46262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46262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46262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11453-2025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46262</v>
      </c>
      <c r="F30" t="inlineStr">
        <is>
          <t>VÄRMLANDS LÄN</t>
        </is>
      </c>
      <c r="G30" t="inlineStr">
        <is>
          <t>FILIPSTAD</t>
        </is>
      </c>
      <c r="I30" t="n">
        <v>7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Purpurknipprot</t>
        </is>
      </c>
      <c r="W30">
        <f>HYPERLINK("https://klasma.github.io/Logging_1782/artfynd/A 11453-2025 artfynd.xlsx", "A 11453-2025")</f>
        <v/>
      </c>
      <c r="X30">
        <f>HYPERLINK("https://klasma.github.io/Logging_1782/kartor/A 11453-2025 karta.png", "A 11453-2025")</f>
        <v/>
      </c>
      <c r="Y30">
        <f>HYPERLINK("https://klasma.github.io/Logging_1782/kartor_geotiff/A 11453-2025 georefererad karta.tif", "A 11453-2025")</f>
        <v/>
      </c>
      <c r="AA30">
        <f>HYPERLINK("https://klasma.github.io/Logging_1782/klagomål/A 11453-2025 FSC-klagomål.docx", "A 11453-2025")</f>
        <v/>
      </c>
      <c r="AB30">
        <f>HYPERLINK("https://klasma.github.io/Logging_1782/klagomålsmail/A 11453-2025 FSC-klagomål mail.docx", "A 11453-2025")</f>
        <v/>
      </c>
      <c r="AC30">
        <f>HYPERLINK("https://klasma.github.io/Logging_1782/tillsyn/A 11453-2025 tillsynsbegäran.docx", "A 11453-2025")</f>
        <v/>
      </c>
      <c r="AD30">
        <f>HYPERLINK("https://klasma.github.io/Logging_1782/tillsynsmail/A 11453-2025 tillsynsbegäran mail.docx", "A 11453-2025")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46262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58734-2025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45986</v>
      </c>
      <c r="E32" s="1" t="n">
        <v>46262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18.2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HYPERLINK("https://klasma.github.io/Logging_1782/artfynd/A 58734-2025 artfynd.xlsx", "A 58734-2025")</f>
        <v/>
      </c>
      <c r="X32">
        <f>HYPERLINK("https://klasma.github.io/Logging_1782/kartor/A 58734-2025 karta.png", "A 58734-2025")</f>
        <v/>
      </c>
      <c r="Y32">
        <f>HYPERLINK("https://klasma.github.io/Logging_1782/kartor_geotiff/A 58734-2025 georefererad karta.tif", "A 58734-2025")</f>
        <v/>
      </c>
      <c r="AA32">
        <f>HYPERLINK("https://klasma.github.io/Logging_1782/klagomål/A 58734-2025 FSC-klagomål.docx", "A 58734-2025")</f>
        <v/>
      </c>
      <c r="AB32">
        <f>HYPERLINK("https://klasma.github.io/Logging_1782/klagomålsmail/A 58734-2025 FSC-klagomål mail.docx", "A 58734-2025")</f>
        <v/>
      </c>
      <c r="AC32">
        <f>HYPERLINK("https://klasma.github.io/Logging_1782/tillsyn/A 58734-2025 tillsynsbegäran.docx", "A 58734-2025")</f>
        <v/>
      </c>
      <c r="AD32">
        <f>HYPERLINK("https://klasma.github.io/Logging_1782/tillsynsmail/A 58734-2025 tillsynsbegäran mail.docx", "A 58734-2025")</f>
        <v/>
      </c>
      <c r="AE32">
        <f>HYPERLINK("https://klasma.github.io/Logging_1782/fåglar/A 58734-2025 prioriterade fågelarter.docx", "A 58734-2025")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46262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46262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874-2025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46262</v>
      </c>
      <c r="F35" t="inlineStr">
        <is>
          <t>VÄRMLANDS LÄN</t>
        </is>
      </c>
      <c r="G35" t="inlineStr">
        <is>
          <t>FILIPSTAD</t>
        </is>
      </c>
      <c r="H35" t="inlineStr">
        <is>
          <t>Kyrkan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Kamjordstjärna</t>
        </is>
      </c>
      <c r="W35">
        <f>HYPERLINK("https://klasma.github.io/Logging_1782/artfynd/A 874-2025 artfynd.xlsx", "A 874-2025")</f>
        <v/>
      </c>
      <c r="X35">
        <f>HYPERLINK("https://klasma.github.io/Logging_1782/kartor/A 874-2025 karta.png", "A 874-2025")</f>
        <v/>
      </c>
      <c r="Y35">
        <f>HYPERLINK("https://klasma.github.io/Logging_1782/kartor_geotiff/A 874-2025 georefererad karta.tif", "A 874-2025")</f>
        <v/>
      </c>
      <c r="AA35">
        <f>HYPERLINK("https://klasma.github.io/Logging_1782/klagomål/A 874-2025 FSC-klagomål.docx", "A 874-2025")</f>
        <v/>
      </c>
      <c r="AB35">
        <f>HYPERLINK("https://klasma.github.io/Logging_1782/klagomålsmail/A 874-2025 FSC-klagomål mail.docx", "A 874-2025")</f>
        <v/>
      </c>
      <c r="AC35">
        <f>HYPERLINK("https://klasma.github.io/Logging_1782/tillsyn/A 874-2025 tillsynsbegäran.docx", "A 874-2025")</f>
        <v/>
      </c>
      <c r="AD35">
        <f>HYPERLINK("https://klasma.github.io/Logging_1782/tillsynsmail/A 874-2025 tillsynsbegäran mail.docx", "A 874-2025")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46262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HYPERLINK("https://klasma.github.io/Logging_1782/artfynd/A 4560-2025 artfynd.xlsx", "A 4560-2025")</f>
        <v/>
      </c>
      <c r="X36">
        <f>HYPERLINK("https://klasma.github.io/Logging_1782/kartor/A 4560-2025 karta.png", "A 4560-2025")</f>
        <v/>
      </c>
      <c r="Y36">
        <f>HYPERLINK("https://klasma.github.io/Logging_1782/kartor_geotiff/A 4560-2025 georefererad karta.tif", "A 4560-2025")</f>
        <v/>
      </c>
      <c r="AA36">
        <f>HYPERLINK("https://klasma.github.io/Logging_1782/klagomål/A 4560-2025 FSC-klagomål.docx", "A 4560-2025")</f>
        <v/>
      </c>
      <c r="AB36">
        <f>HYPERLINK("https://klasma.github.io/Logging_1782/klagomålsmail/A 4560-2025 FSC-klagomål mail.docx", "A 4560-2025")</f>
        <v/>
      </c>
      <c r="AC36">
        <f>HYPERLINK("https://klasma.github.io/Logging_1782/tillsyn/A 4560-2025 tillsynsbegäran.docx", "A 4560-2025")</f>
        <v/>
      </c>
      <c r="AD36">
        <f>HYPERLINK("https://klasma.github.io/Logging_1782/tillsynsmail/A 4560-2025 tillsynsbegäran mail.docx", "A 4560-2025")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46262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46262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46262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46262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25862-2026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46262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Talltaggsvamp</t>
        </is>
      </c>
      <c r="W41">
        <f>HYPERLINK("https://klasma.github.io/Logging_1782/artfynd/A 25862-2026 artfynd.xlsx", "A 25862-2026")</f>
        <v/>
      </c>
      <c r="X41">
        <f>HYPERLINK("https://klasma.github.io/Logging_1782/kartor/A 25862-2026 karta.png", "A 25862-2026")</f>
        <v/>
      </c>
      <c r="Y41">
        <f>HYPERLINK("https://klasma.github.io/Logging_1782/kartor_geotiff/A 25862-2026 georefererad karta.tif", "A 25862-2026")</f>
        <v/>
      </c>
      <c r="AA41">
        <f>HYPERLINK("https://klasma.github.io/Logging_1782/klagomål/A 25862-2026 FSC-klagomål.docx", "A 25862-2026")</f>
        <v/>
      </c>
      <c r="AB41">
        <f>HYPERLINK("https://klasma.github.io/Logging_1782/klagomålsmail/A 25862-2026 FSC-klagomål mail.docx", "A 25862-2026")</f>
        <v/>
      </c>
      <c r="AC41">
        <f>HYPERLINK("https://klasma.github.io/Logging_1782/tillsyn/A 25862-2026 tillsynsbegäran.docx", "A 25862-2026")</f>
        <v/>
      </c>
      <c r="AD41">
        <f>HYPERLINK("https://klasma.github.io/Logging_1782/tillsynsmail/A 25862-2026 tillsynsbegäran mail.docx", "A 25862-2026")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46262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Stjärnstarr</t>
        </is>
      </c>
      <c r="W42">
        <f>HYPERLINK("https://klasma.github.io/Logging_1782/artfynd/A 28915-2026 artfynd.xlsx", "A 28915-2026")</f>
        <v/>
      </c>
      <c r="X42">
        <f>HYPERLINK("https://klasma.github.io/Logging_1782/kartor/A 28915-2026 karta.png", "A 28915-2026")</f>
        <v/>
      </c>
      <c r="Y42">
        <f>HYPERLINK("https://klasma.github.io/Logging_1782/kartor_geotiff/A 28915-2026 georefererad karta.tif", "A 28915-2026")</f>
        <v/>
      </c>
      <c r="AA42">
        <f>HYPERLINK("https://klasma.github.io/Logging_1782/klagomål/A 28915-2026 FSC-klagomål.docx", "A 28915-2026")</f>
        <v/>
      </c>
      <c r="AB42">
        <f>HYPERLINK("https://klasma.github.io/Logging_1782/klagomålsmail/A 28915-2026 FSC-klagomål mail.docx", "A 28915-2026")</f>
        <v/>
      </c>
      <c r="AC42">
        <f>HYPERLINK("https://klasma.github.io/Logging_1782/tillsyn/A 28915-2026 tillsynsbegäran.docx", "A 28915-2026")</f>
        <v/>
      </c>
      <c r="AD42">
        <f>HYPERLINK("https://klasma.github.io/Logging_1782/tillsynsmail/A 28915-2026 tillsynsbegäran mail.docx", "A 28915-2026")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46262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HYPERLINK("https://klasma.github.io/Logging_1782/artfynd/A 23046-2023 artfynd.xlsx", "A 23046-2023")</f>
        <v/>
      </c>
      <c r="X43">
        <f>HYPERLINK("https://klasma.github.io/Logging_1782/kartor/A 23046-2023 karta.png", "A 23046-2023")</f>
        <v/>
      </c>
      <c r="Y43">
        <f>HYPERLINK("https://klasma.github.io/Logging_1782/kartor_geotiff/A 23046-2023 georefererad karta.tif", "A 23046-2023")</f>
        <v/>
      </c>
      <c r="Z43">
        <f>HYPERLINK("https://klasma.github.io/Logging_1782/knärot/A 23046-2023 karta knärot.png", "A 23046-2023")</f>
        <v/>
      </c>
      <c r="AA43">
        <f>HYPERLINK("https://klasma.github.io/Logging_1782/klagomål/A 23046-2023 FSC-klagomål.docx", "A 23046-2023")</f>
        <v/>
      </c>
      <c r="AB43">
        <f>HYPERLINK("https://klasma.github.io/Logging_1782/klagomålsmail/A 23046-2023 FSC-klagomål mail.docx", "A 23046-2023")</f>
        <v/>
      </c>
      <c r="AC43">
        <f>HYPERLINK("https://klasma.github.io/Logging_1782/tillsyn/A 23046-2023 tillsynsbegäran.docx", "A 23046-2023")</f>
        <v/>
      </c>
      <c r="AD43">
        <f>HYPERLINK("https://klasma.github.io/Logging_1782/tillsynsmail/A 23046-2023 tillsynsbegäran mail.docx", "A 23046-2023")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46262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31257-2026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10.2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Gräsull</t>
        </is>
      </c>
      <c r="W45">
        <f>HYPERLINK("https://klasma.github.io/Logging_1782/artfynd/A 31257-2026 artfynd.xlsx", "A 31257-2026")</f>
        <v/>
      </c>
      <c r="X45">
        <f>HYPERLINK("https://klasma.github.io/Logging_1782/kartor/A 31257-2026 karta.png", "A 31257-2026")</f>
        <v/>
      </c>
      <c r="Y45">
        <f>HYPERLINK("https://klasma.github.io/Logging_1782/kartor_geotiff/A 31257-2026 georefererad karta.tif", "A 31257-2026")</f>
        <v/>
      </c>
      <c r="AA45">
        <f>HYPERLINK("https://klasma.github.io/Logging_1782/klagomål/A 31257-2026 FSC-klagomål.docx", "A 31257-2026")</f>
        <v/>
      </c>
      <c r="AB45">
        <f>HYPERLINK("https://klasma.github.io/Logging_1782/klagomålsmail/A 31257-2026 FSC-klagomål mail.docx", "A 31257-2026")</f>
        <v/>
      </c>
      <c r="AC45">
        <f>HYPERLINK("https://klasma.github.io/Logging_1782/tillsyn/A 31257-2026 tillsynsbegäran.docx", "A 31257-2026")</f>
        <v/>
      </c>
      <c r="AD45">
        <f>HYPERLINK("https://klasma.github.io/Logging_1782/tillsynsmail/A 31257-2026 tillsynsbegäran mail.docx", "A 31257-2026")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46262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46262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46262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46262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46262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46262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46262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46262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46262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46262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46262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46262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46262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46262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46262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46262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44799</v>
      </c>
      <c r="E64" s="1" t="n">
        <v>46262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46262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46262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46262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46262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46262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46262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46262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46262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46262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46262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46262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46262</v>
      </c>
      <c r="F76" t="inlineStr">
        <is>
          <t>VÄRMLANDS LÄN</t>
        </is>
      </c>
      <c r="G76" t="inlineStr">
        <is>
          <t>FILIPSTAD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46262</v>
      </c>
      <c r="F77" t="inlineStr">
        <is>
          <t>VÄRMLANDS LÄN</t>
        </is>
      </c>
      <c r="G77" t="inlineStr">
        <is>
          <t>FILIPSTAD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46262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46262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46262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46262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44963</v>
      </c>
      <c r="E82" s="1" t="n">
        <v>46262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17244-2024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45414</v>
      </c>
      <c r="E83" s="1" t="n">
        <v>46262</v>
      </c>
      <c r="F83" t="inlineStr">
        <is>
          <t>VÄRMLANDS LÄN</t>
        </is>
      </c>
      <c r="G83" t="inlineStr">
        <is>
          <t>FILIPSTAD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45586</v>
      </c>
      <c r="E84" s="1" t="n">
        <v>46262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45495</v>
      </c>
      <c r="E85" s="1" t="n">
        <v>46262</v>
      </c>
      <c r="F85" t="inlineStr">
        <is>
          <t>VÄRMLANDS LÄN</t>
        </is>
      </c>
      <c r="G85" t="inlineStr">
        <is>
          <t>FILIPSTAD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45667</v>
      </c>
      <c r="E86" s="1" t="n">
        <v>46262</v>
      </c>
      <c r="F86" t="inlineStr">
        <is>
          <t>VÄRMLANDS LÄN</t>
        </is>
      </c>
      <c r="G86" t="inlineStr">
        <is>
          <t>FILIPSTAD</t>
        </is>
      </c>
      <c r="H86" t="inlineStr">
        <is>
          <t>Kommuner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46262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46262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46262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46262</v>
      </c>
      <c r="F90" t="inlineStr">
        <is>
          <t>VÄRMLANDS LÄN</t>
        </is>
      </c>
      <c r="G90" t="inlineStr">
        <is>
          <t>FILIPSTAD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45578</v>
      </c>
      <c r="E91" s="1" t="n">
        <v>46262</v>
      </c>
      <c r="F91" t="inlineStr">
        <is>
          <t>VÄRMLANDS LÄN</t>
        </is>
      </c>
      <c r="G91" t="inlineStr">
        <is>
          <t>FILIPSTAD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46262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46262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35304-2024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46262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45951</v>
      </c>
      <c r="E95" s="1" t="n">
        <v>46262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46262</v>
      </c>
      <c r="F96" t="inlineStr">
        <is>
          <t>VÄRMLANDS LÄN</t>
        </is>
      </c>
      <c r="G96" t="inlineStr">
        <is>
          <t>FILIPSTAD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45593</v>
      </c>
      <c r="E97" s="1" t="n">
        <v>46262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22880-2025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46262</v>
      </c>
      <c r="F98" t="inlineStr">
        <is>
          <t>VÄRMLANDS LÄN</t>
        </is>
      </c>
      <c r="G98" t="inlineStr">
        <is>
          <t>FILIPSTAD</t>
        </is>
      </c>
      <c r="H98" t="inlineStr">
        <is>
          <t>Kyrkan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46262</v>
      </c>
      <c r="F99" t="inlineStr">
        <is>
          <t>VÄRMLANDS LÄN</t>
        </is>
      </c>
      <c r="G99" t="inlineStr">
        <is>
          <t>FILIPSTAD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46262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23399-2025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45792</v>
      </c>
      <c r="E101" s="1" t="n">
        <v>46262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46262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46262</v>
      </c>
      <c r="F103" t="inlineStr">
        <is>
          <t>VÄRMLANDS LÄN</t>
        </is>
      </c>
      <c r="G103" t="inlineStr">
        <is>
          <t>FILIPSTAD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14582-2025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45742</v>
      </c>
      <c r="E104" s="1" t="n">
        <v>46262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72118-2021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44543</v>
      </c>
      <c r="E105" s="1" t="n">
        <v>46262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46262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46262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46262</v>
      </c>
      <c r="F108" t="inlineStr">
        <is>
          <t>VÄRMLANDS LÄN</t>
        </is>
      </c>
      <c r="G108" t="inlineStr">
        <is>
          <t>FILIPSTAD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46262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65174-2021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44515</v>
      </c>
      <c r="E110" s="1" t="n">
        <v>46262</v>
      </c>
      <c r="F110" t="inlineStr">
        <is>
          <t>VÄRMLANDS LÄN</t>
        </is>
      </c>
      <c r="G110" t="inlineStr">
        <is>
          <t>FILIPSTAD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46262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46262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46262</v>
      </c>
      <c r="F113" t="inlineStr">
        <is>
          <t>VÄRMLANDS LÄN</t>
        </is>
      </c>
      <c r="G113" t="inlineStr">
        <is>
          <t>FILIPSTAD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46262</v>
      </c>
      <c r="F114" t="inlineStr">
        <is>
          <t>VÄRMLANDS LÄN</t>
        </is>
      </c>
      <c r="G114" t="inlineStr">
        <is>
          <t>FILIPSTAD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46262</v>
      </c>
      <c r="F115" t="inlineStr">
        <is>
          <t>VÄRMLANDS LÄN</t>
        </is>
      </c>
      <c r="G115" t="inlineStr">
        <is>
          <t>FILIPSTAD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46262</v>
      </c>
      <c r="F116" t="inlineStr">
        <is>
          <t>VÄRMLANDS LÄN</t>
        </is>
      </c>
      <c r="G116" t="inlineStr">
        <is>
          <t>FILIPSTAD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46262</v>
      </c>
      <c r="F117" t="inlineStr">
        <is>
          <t>VÄRMLANDS LÄN</t>
        </is>
      </c>
      <c r="G117" t="inlineStr">
        <is>
          <t>FILIPSTAD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44801</v>
      </c>
      <c r="E118" s="1" t="n">
        <v>46262</v>
      </c>
      <c r="F118" t="inlineStr">
        <is>
          <t>VÄRMLANDS LÄN</t>
        </is>
      </c>
      <c r="G118" t="inlineStr">
        <is>
          <t>FILIPSTAD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47261-2024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46262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26116-2025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45805</v>
      </c>
      <c r="E120" s="1" t="n">
        <v>46262</v>
      </c>
      <c r="F120" t="inlineStr">
        <is>
          <t>VÄRMLANDS LÄN</t>
        </is>
      </c>
      <c r="G120" t="inlineStr">
        <is>
          <t>FILIPSTAD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26123-2025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45805</v>
      </c>
      <c r="E121" s="1" t="n">
        <v>46262</v>
      </c>
      <c r="F121" t="inlineStr">
        <is>
          <t>VÄRMLANDS LÄN</t>
        </is>
      </c>
      <c r="G121" t="inlineStr">
        <is>
          <t>FILIPSTAD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46262</v>
      </c>
      <c r="F122" t="inlineStr">
        <is>
          <t>VÄRMLANDS LÄN</t>
        </is>
      </c>
      <c r="G122" t="inlineStr">
        <is>
          <t>FILIPSTAD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55978-2022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44889</v>
      </c>
      <c r="E123" s="1" t="n">
        <v>46262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46262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46262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18138-2022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44684</v>
      </c>
      <c r="E126" s="1" t="n">
        <v>46262</v>
      </c>
      <c r="F126" t="inlineStr">
        <is>
          <t>VÄRMLANDS LÄN</t>
        </is>
      </c>
      <c r="G126" t="inlineStr">
        <is>
          <t>FILIPSTAD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16103-2025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45750</v>
      </c>
      <c r="E127" s="1" t="n">
        <v>46262</v>
      </c>
      <c r="F127" t="inlineStr">
        <is>
          <t>VÄRMLANDS LÄN</t>
        </is>
      </c>
      <c r="G127" t="inlineStr">
        <is>
          <t>FILIPSTAD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46262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46262</v>
      </c>
      <c r="F129" t="inlineStr">
        <is>
          <t>VÄRMLANDS LÄN</t>
        </is>
      </c>
      <c r="G129" t="inlineStr">
        <is>
          <t>FILIPSTAD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45959</v>
      </c>
      <c r="E130" s="1" t="n">
        <v>46262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45959</v>
      </c>
      <c r="E131" s="1" t="n">
        <v>46262</v>
      </c>
      <c r="F131" t="inlineStr">
        <is>
          <t>VÄRMLANDS LÄN</t>
        </is>
      </c>
      <c r="G131" t="inlineStr">
        <is>
          <t>FILIPSTAD</t>
        </is>
      </c>
      <c r="H131" t="inlineStr">
        <is>
          <t>Kyrkan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44963</v>
      </c>
      <c r="E132" s="1" t="n">
        <v>46262</v>
      </c>
      <c r="F132" t="inlineStr">
        <is>
          <t>VÄRMLANDS LÄN</t>
        </is>
      </c>
      <c r="G132" t="inlineStr">
        <is>
          <t>FILIPSTAD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46262</v>
      </c>
      <c r="F133" t="inlineStr">
        <is>
          <t>VÄRMLANDS LÄN</t>
        </is>
      </c>
      <c r="G133" t="inlineStr">
        <is>
          <t>FILIPSTAD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46262</v>
      </c>
      <c r="F134" t="inlineStr">
        <is>
          <t>VÄRMLANDS LÄN</t>
        </is>
      </c>
      <c r="G134" t="inlineStr">
        <is>
          <t>FILIPSTAD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46262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26599-2024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45469</v>
      </c>
      <c r="E136" s="1" t="n">
        <v>46262</v>
      </c>
      <c r="F136" t="inlineStr">
        <is>
          <t>VÄRMLANDS LÄN</t>
        </is>
      </c>
      <c r="G136" t="inlineStr">
        <is>
          <t>FILIPSTAD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46262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45968</v>
      </c>
      <c r="E138" s="1" t="n">
        <v>46262</v>
      </c>
      <c r="F138" t="inlineStr">
        <is>
          <t>VÄRMLANDS LÄN</t>
        </is>
      </c>
      <c r="G138" t="inlineStr">
        <is>
          <t>FILIPSTAD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45968</v>
      </c>
      <c r="E139" s="1" t="n">
        <v>46262</v>
      </c>
      <c r="F139" t="inlineStr">
        <is>
          <t>VÄRMLANDS LÄN</t>
        </is>
      </c>
      <c r="G139" t="inlineStr">
        <is>
          <t>FILIPSTAD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46262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46262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46262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46262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46262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46262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46262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46262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45902</v>
      </c>
      <c r="E148" s="1" t="n">
        <v>46262</v>
      </c>
      <c r="F148" t="inlineStr">
        <is>
          <t>VÄRMLANDS LÄN</t>
        </is>
      </c>
      <c r="G148" t="inlineStr">
        <is>
          <t>FILIPSTAD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45567</v>
      </c>
      <c r="E149" s="1" t="n">
        <v>46262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46262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46262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46262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46262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46262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46262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46262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46262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18.8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44445</v>
      </c>
      <c r="E159" s="1" t="n">
        <v>46262</v>
      </c>
      <c r="F159" t="inlineStr">
        <is>
          <t>VÄRMLANDS LÄN</t>
        </is>
      </c>
      <c r="G159" t="inlineStr">
        <is>
          <t>FILIPSTAD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45981</v>
      </c>
      <c r="E160" s="1" t="n">
        <v>46262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45982</v>
      </c>
      <c r="E161" s="1" t="n">
        <v>46262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46262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46262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45223</v>
      </c>
      <c r="E164" s="1" t="n">
        <v>46262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46262</v>
      </c>
      <c r="F165" t="inlineStr">
        <is>
          <t>VÄRMLANDS LÄN</t>
        </is>
      </c>
      <c r="G165" t="inlineStr">
        <is>
          <t>FILIPSTAD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46262</v>
      </c>
      <c r="F166" t="inlineStr">
        <is>
          <t>VÄRMLANDS LÄN</t>
        </is>
      </c>
      <c r="G166" t="inlineStr">
        <is>
          <t>FILIPSTAD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46262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46262</v>
      </c>
      <c r="F168" t="inlineStr">
        <is>
          <t>VÄRMLANDS LÄN</t>
        </is>
      </c>
      <c r="G168" t="inlineStr">
        <is>
          <t>FILIPSTAD</t>
        </is>
      </c>
      <c r="H168" t="inlineStr">
        <is>
          <t>Kyrkan</t>
        </is>
      </c>
      <c r="I168" t="n">
        <v>9.199999999999999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46262</v>
      </c>
      <c r="F169" t="inlineStr">
        <is>
          <t>VÄRMLANDS LÄN</t>
        </is>
      </c>
      <c r="G169" t="inlineStr">
        <is>
          <t>FILIPSTAD</t>
        </is>
      </c>
      <c r="I169" t="n">
        <v>23.3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46262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46262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46262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46262</v>
      </c>
      <c r="F173" t="inlineStr">
        <is>
          <t>VÄRMLANDS LÄN</t>
        </is>
      </c>
      <c r="G173" t="inlineStr">
        <is>
          <t>FILIPSTAD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46262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46262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46262</v>
      </c>
      <c r="F176" t="inlineStr">
        <is>
          <t>VÄRMLANDS LÄN</t>
        </is>
      </c>
      <c r="G176" t="inlineStr">
        <is>
          <t>FILIPSTAD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46262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46262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46262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46262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31172-2025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45832</v>
      </c>
      <c r="E181" s="1" t="n">
        <v>46262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46262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32032-2025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45835</v>
      </c>
      <c r="E183" s="1" t="n">
        <v>46262</v>
      </c>
      <c r="F183" t="inlineStr">
        <is>
          <t>VÄRMLANDS LÄN</t>
        </is>
      </c>
      <c r="G183" t="inlineStr">
        <is>
          <t>FILIPSTAD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46262</v>
      </c>
      <c r="F184" t="inlineStr">
        <is>
          <t>VÄRMLANDS LÄN</t>
        </is>
      </c>
      <c r="G184" t="inlineStr">
        <is>
          <t>FILIPSTAD</t>
        </is>
      </c>
      <c r="I184" t="n">
        <v>18.7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36680-2023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45153</v>
      </c>
      <c r="E185" s="1" t="n">
        <v>46262</v>
      </c>
      <c r="F185" t="inlineStr">
        <is>
          <t>VÄRMLANDS LÄN</t>
        </is>
      </c>
      <c r="G185" t="inlineStr">
        <is>
          <t>FILIPSTAD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46262</v>
      </c>
      <c r="F186" t="inlineStr">
        <is>
          <t>VÄRMLANDS LÄN</t>
        </is>
      </c>
      <c r="G186" t="inlineStr">
        <is>
          <t>FILIPSTAD</t>
        </is>
      </c>
      <c r="H186" t="inlineStr">
        <is>
          <t>Kyrkan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45208</v>
      </c>
      <c r="E187" s="1" t="n">
        <v>46262</v>
      </c>
      <c r="F187" t="inlineStr">
        <is>
          <t>VÄRMLANDS LÄN</t>
        </is>
      </c>
      <c r="G187" t="inlineStr">
        <is>
          <t>FILIPSTAD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45688</v>
      </c>
      <c r="E188" s="1" t="n">
        <v>46262</v>
      </c>
      <c r="F188" t="inlineStr">
        <is>
          <t>VÄRMLANDS LÄN</t>
        </is>
      </c>
      <c r="G188" t="inlineStr">
        <is>
          <t>FILIPSTAD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33407-2025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45841</v>
      </c>
      <c r="E189" s="1" t="n">
        <v>46262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46262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46262</v>
      </c>
      <c r="F191" t="inlineStr">
        <is>
          <t>VÄRMLANDS LÄN</t>
        </is>
      </c>
      <c r="G191" t="inlineStr">
        <is>
          <t>FILIPSTAD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46262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45177</v>
      </c>
      <c r="E193" s="1" t="n">
        <v>46262</v>
      </c>
      <c r="F193" t="inlineStr">
        <is>
          <t>VÄRMLANDS LÄN</t>
        </is>
      </c>
      <c r="G193" t="inlineStr">
        <is>
          <t>FILIPSTAD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46262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46262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46262</v>
      </c>
      <c r="F196" t="inlineStr">
        <is>
          <t>VÄRMLANDS LÄN</t>
        </is>
      </c>
      <c r="G196" t="inlineStr">
        <is>
          <t>FILIPSTAD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46262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46262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46262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46262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45993</v>
      </c>
      <c r="E201" s="1" t="n">
        <v>46262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46262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46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48103-2025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45933</v>
      </c>
      <c r="E203" s="1" t="n">
        <v>46262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45995</v>
      </c>
      <c r="E204" s="1" t="n">
        <v>46262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50856-2022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44867</v>
      </c>
      <c r="E205" s="1" t="n">
        <v>46262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45870</v>
      </c>
      <c r="E206" s="1" t="n">
        <v>46262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45995</v>
      </c>
      <c r="E207" s="1" t="n">
        <v>46262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45995</v>
      </c>
      <c r="E208" s="1" t="n">
        <v>46262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46262</v>
      </c>
      <c r="F209" t="inlineStr">
        <is>
          <t>VÄRMLANDS LÄN</t>
        </is>
      </c>
      <c r="G209" t="inlineStr">
        <is>
          <t>FILIPSTAD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71971-2021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44544</v>
      </c>
      <c r="E210" s="1" t="n">
        <v>46262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46262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46262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46262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46262</v>
      </c>
      <c r="F214" t="inlineStr">
        <is>
          <t>VÄRMLANDS LÄN</t>
        </is>
      </c>
      <c r="G214" t="inlineStr">
        <is>
          <t>FILIPSTAD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46001</v>
      </c>
      <c r="E215" s="1" t="n">
        <v>46262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46262</v>
      </c>
      <c r="F216" t="inlineStr">
        <is>
          <t>VÄRMLANDS LÄN</t>
        </is>
      </c>
      <c r="G216" t="inlineStr">
        <is>
          <t>FILIPSTAD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46262</v>
      </c>
      <c r="F217" t="inlineStr">
        <is>
          <t>VÄRMLANDS LÄN</t>
        </is>
      </c>
      <c r="G217" t="inlineStr">
        <is>
          <t>FILIPSTAD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46262</v>
      </c>
      <c r="F218" t="inlineStr">
        <is>
          <t>VÄRMLANDS LÄN</t>
        </is>
      </c>
      <c r="G218" t="inlineStr">
        <is>
          <t>FILIPSTAD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61417-2025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46001</v>
      </c>
      <c r="E219" s="1" t="n">
        <v>46262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46262</v>
      </c>
      <c r="F220" t="inlineStr">
        <is>
          <t>VÄRMLANDS LÄN</t>
        </is>
      </c>
      <c r="G220" t="inlineStr">
        <is>
          <t>FILIPSTAD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61327-2025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46001</v>
      </c>
      <c r="E221" s="1" t="n">
        <v>46262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61823-2025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46003</v>
      </c>
      <c r="E222" s="1" t="n">
        <v>46262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46003</v>
      </c>
      <c r="E223" s="1" t="n">
        <v>46262</v>
      </c>
      <c r="F223" t="inlineStr">
        <is>
          <t>VÄRMLANDS LÄN</t>
        </is>
      </c>
      <c r="G223" t="inlineStr">
        <is>
          <t>FILIPSTAD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46262</v>
      </c>
      <c r="F224" t="inlineStr">
        <is>
          <t>VÄRMLANDS LÄN</t>
        </is>
      </c>
      <c r="G224" t="inlineStr">
        <is>
          <t>FILIPSTAD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46262</v>
      </c>
      <c r="F225" t="inlineStr">
        <is>
          <t>VÄRMLANDS LÄN</t>
        </is>
      </c>
      <c r="G225" t="inlineStr">
        <is>
          <t>FILIPSTAD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45643</v>
      </c>
      <c r="E226" s="1" t="n">
        <v>46262</v>
      </c>
      <c r="F226" t="inlineStr">
        <is>
          <t>VÄRMLANDS LÄN</t>
        </is>
      </c>
      <c r="G226" t="inlineStr">
        <is>
          <t>FILIPSTAD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46262</v>
      </c>
      <c r="F227" t="inlineStr">
        <is>
          <t>VÄRMLANDS LÄN</t>
        </is>
      </c>
      <c r="G227" t="inlineStr">
        <is>
          <t>FILIPSTAD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46262</v>
      </c>
      <c r="F228" t="inlineStr">
        <is>
          <t>VÄRMLANDS LÄN</t>
        </is>
      </c>
      <c r="G228" t="inlineStr">
        <is>
          <t>FILIPSTAD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45106</v>
      </c>
      <c r="E229" s="1" t="n">
        <v>46262</v>
      </c>
      <c r="F229" t="inlineStr">
        <is>
          <t>VÄRMLANDS LÄN</t>
        </is>
      </c>
      <c r="G229" t="inlineStr">
        <is>
          <t>FILIPSTAD</t>
        </is>
      </c>
      <c r="H229" t="inlineStr">
        <is>
          <t>Kyrkan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46262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46262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46262</v>
      </c>
      <c r="F232" t="inlineStr">
        <is>
          <t>VÄRMLANDS LÄN</t>
        </is>
      </c>
      <c r="G232" t="inlineStr">
        <is>
          <t>FILIPSTAD</t>
        </is>
      </c>
      <c r="I232" t="n">
        <v>15.5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46004</v>
      </c>
      <c r="E233" s="1" t="n">
        <v>46262</v>
      </c>
      <c r="F233" t="inlineStr">
        <is>
          <t>VÄRMLANDS LÄN</t>
        </is>
      </c>
      <c r="G233" t="inlineStr">
        <is>
          <t>FILIPSTAD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46004</v>
      </c>
      <c r="E234" s="1" t="n">
        <v>46262</v>
      </c>
      <c r="F234" t="inlineStr">
        <is>
          <t>VÄRMLANDS LÄN</t>
        </is>
      </c>
      <c r="G234" t="inlineStr">
        <is>
          <t>FILIPSTAD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46010</v>
      </c>
      <c r="E235" s="1" t="n">
        <v>46262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45720</v>
      </c>
      <c r="E236" s="1" t="n">
        <v>46262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44788</v>
      </c>
      <c r="E237" s="1" t="n">
        <v>46262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45427</v>
      </c>
      <c r="E238" s="1" t="n">
        <v>46262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46262</v>
      </c>
      <c r="F239" t="inlineStr">
        <is>
          <t>VÄRMLANDS LÄN</t>
        </is>
      </c>
      <c r="G239" t="inlineStr">
        <is>
          <t>FILIPSTAD</t>
        </is>
      </c>
      <c r="H239" t="inlineStr">
        <is>
          <t>Kyrkan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29825-2023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45107</v>
      </c>
      <c r="E240" s="1" t="n">
        <v>46262</v>
      </c>
      <c r="F240" t="inlineStr">
        <is>
          <t>VÄRMLANDS LÄN</t>
        </is>
      </c>
      <c r="G240" t="inlineStr">
        <is>
          <t>FILIPSTAD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46262</v>
      </c>
      <c r="F241" t="inlineStr">
        <is>
          <t>VÄRMLANDS LÄN</t>
        </is>
      </c>
      <c r="G241" t="inlineStr">
        <is>
          <t>FILIPSTAD</t>
        </is>
      </c>
      <c r="I241" t="n">
        <v>9.9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46262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46262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46262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46262</v>
      </c>
      <c r="F245" t="inlineStr">
        <is>
          <t>VÄRMLANDS LÄN</t>
        </is>
      </c>
      <c r="G245" t="inlineStr">
        <is>
          <t>FILIPSTAD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46262</v>
      </c>
      <c r="F246" t="inlineStr">
        <is>
          <t>VÄRMLANDS LÄN</t>
        </is>
      </c>
      <c r="G246" t="inlineStr">
        <is>
          <t>FILIPSTAD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58611-2025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45986</v>
      </c>
      <c r="E247" s="1" t="n">
        <v>46262</v>
      </c>
      <c r="F247" t="inlineStr">
        <is>
          <t>VÄRMLANDS LÄN</t>
        </is>
      </c>
      <c r="G247" t="inlineStr">
        <is>
          <t>FILIPSTAD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45245</v>
      </c>
      <c r="E248" s="1" t="n">
        <v>46262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46040</v>
      </c>
      <c r="E249" s="1" t="n">
        <v>46262</v>
      </c>
      <c r="F249" t="inlineStr">
        <is>
          <t>VÄRMLANDS LÄN</t>
        </is>
      </c>
      <c r="G249" t="inlineStr">
        <is>
          <t>FILIPSTAD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45180</v>
      </c>
      <c r="E250" s="1" t="n">
        <v>46262</v>
      </c>
      <c r="F250" t="inlineStr">
        <is>
          <t>VÄRMLANDS LÄN</t>
        </is>
      </c>
      <c r="G250" t="inlineStr">
        <is>
          <t>FILIPSTAD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22830-2023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45072</v>
      </c>
      <c r="E251" s="1" t="n">
        <v>46262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22866-2023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45072</v>
      </c>
      <c r="E252" s="1" t="n">
        <v>46262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46262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46262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46262</v>
      </c>
      <c r="F255" t="inlineStr">
        <is>
          <t>VÄRMLANDS LÄN</t>
        </is>
      </c>
      <c r="G255" t="inlineStr">
        <is>
          <t>FILIPSTAD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46262</v>
      </c>
      <c r="F256" t="inlineStr">
        <is>
          <t>VÄRMLANDS LÄN</t>
        </is>
      </c>
      <c r="G256" t="inlineStr">
        <is>
          <t>FILIPSTAD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46262</v>
      </c>
      <c r="F257" t="inlineStr">
        <is>
          <t>VÄRMLANDS LÄN</t>
        </is>
      </c>
      <c r="G257" t="inlineStr">
        <is>
          <t>FILIPSTAD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46262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19351-2025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45769</v>
      </c>
      <c r="E259" s="1" t="n">
        <v>46262</v>
      </c>
      <c r="F259" t="inlineStr">
        <is>
          <t>VÄRMLANDS LÄN</t>
        </is>
      </c>
      <c r="G259" t="inlineStr">
        <is>
          <t>FILIPSTAD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46262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46262</v>
      </c>
      <c r="F261" t="inlineStr">
        <is>
          <t>VÄRMLANDS LÄN</t>
        </is>
      </c>
      <c r="G261" t="inlineStr">
        <is>
          <t>FILIPSTAD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46262</v>
      </c>
      <c r="F262" t="inlineStr">
        <is>
          <t>VÄRMLANDS LÄN</t>
        </is>
      </c>
      <c r="G262" t="inlineStr">
        <is>
          <t>FILIPSTAD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46262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45407</v>
      </c>
      <c r="E264" s="1" t="n">
        <v>46262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46262</v>
      </c>
      <c r="F265" t="inlineStr">
        <is>
          <t>VÄRMLANDS LÄN</t>
        </is>
      </c>
      <c r="G265" t="inlineStr">
        <is>
          <t>FILIPSTAD</t>
        </is>
      </c>
      <c r="I265" t="n">
        <v>11.7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33967-2023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45124</v>
      </c>
      <c r="E266" s="1" t="n">
        <v>46262</v>
      </c>
      <c r="F266" t="inlineStr">
        <is>
          <t>VÄRMLANDS LÄN</t>
        </is>
      </c>
      <c r="G266" t="inlineStr">
        <is>
          <t>FILIPSTAD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46262</v>
      </c>
      <c r="F267" t="inlineStr">
        <is>
          <t>VÄRMLANDS LÄN</t>
        </is>
      </c>
      <c r="G267" t="inlineStr">
        <is>
          <t>FILIPSTAD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46262</v>
      </c>
      <c r="F268" t="inlineStr">
        <is>
          <t>VÄRMLANDS LÄN</t>
        </is>
      </c>
      <c r="G268" t="inlineStr">
        <is>
          <t>FILIPSTAD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63482-2021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46262</v>
      </c>
      <c r="F269" t="inlineStr">
        <is>
          <t>VÄRMLANDS LÄN</t>
        </is>
      </c>
      <c r="G269" t="inlineStr">
        <is>
          <t>FILIPSTAD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46262</v>
      </c>
      <c r="F270" t="inlineStr">
        <is>
          <t>VÄRMLANDS LÄN</t>
        </is>
      </c>
      <c r="G270" t="inlineStr">
        <is>
          <t>FILIPSTAD</t>
        </is>
      </c>
      <c r="H270" t="inlineStr">
        <is>
          <t>Kommuner</t>
        </is>
      </c>
      <c r="I270" t="n">
        <v>17.7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45253</v>
      </c>
      <c r="E271" s="1" t="n">
        <v>46262</v>
      </c>
      <c r="F271" t="inlineStr">
        <is>
          <t>VÄRMLANDS LÄN</t>
        </is>
      </c>
      <c r="G271" t="inlineStr">
        <is>
          <t>FILIPSTAD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56840-2024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45628</v>
      </c>
      <c r="E272" s="1" t="n">
        <v>46262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16584-2024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46262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45087</v>
      </c>
      <c r="E274" s="1" t="n">
        <v>46262</v>
      </c>
      <c r="F274" t="inlineStr">
        <is>
          <t>VÄRMLANDS LÄN</t>
        </is>
      </c>
      <c r="G274" t="inlineStr">
        <is>
          <t>FILIPSTAD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45088</v>
      </c>
      <c r="E275" s="1" t="n">
        <v>46262</v>
      </c>
      <c r="F275" t="inlineStr">
        <is>
          <t>VÄRMLANDS LÄN</t>
        </is>
      </c>
      <c r="G275" t="inlineStr">
        <is>
          <t>FILIPSTAD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46262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45328</v>
      </c>
      <c r="E277" s="1" t="n">
        <v>46262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46262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46262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46262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46262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46262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45750</v>
      </c>
      <c r="E283" s="1" t="n">
        <v>46262</v>
      </c>
      <c r="F283" t="inlineStr">
        <is>
          <t>VÄRMLANDS LÄN</t>
        </is>
      </c>
      <c r="G283" t="inlineStr">
        <is>
          <t>FILIPSTAD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46262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46262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46262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46262</v>
      </c>
      <c r="F287" t="inlineStr">
        <is>
          <t>VÄRMLANDS LÄN</t>
        </is>
      </c>
      <c r="G287" t="inlineStr">
        <is>
          <t>FILIPSTAD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46262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46098</v>
      </c>
      <c r="E289" s="1" t="n">
        <v>46262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46262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46262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46262</v>
      </c>
      <c r="F292" t="inlineStr">
        <is>
          <t>VÄRMLANDS LÄN</t>
        </is>
      </c>
      <c r="G292" t="inlineStr">
        <is>
          <t>FILIPSTAD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28161-2023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45093</v>
      </c>
      <c r="E293" s="1" t="n">
        <v>46262</v>
      </c>
      <c r="F293" t="inlineStr">
        <is>
          <t>VÄRMLANDS LÄN</t>
        </is>
      </c>
      <c r="G293" t="inlineStr">
        <is>
          <t>FILIPSTAD</t>
        </is>
      </c>
      <c r="H293" t="inlineStr">
        <is>
          <t>Kommuner</t>
        </is>
      </c>
      <c r="I293" t="n">
        <v>15.4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46262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46262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46262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46262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45418</v>
      </c>
      <c r="E298" s="1" t="n">
        <v>46262</v>
      </c>
      <c r="F298" t="inlineStr">
        <is>
          <t>VÄRMLANDS LÄN</t>
        </is>
      </c>
      <c r="G298" t="inlineStr">
        <is>
          <t>FILIPSTAD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46262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46262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46107</v>
      </c>
      <c r="E301" s="1" t="n">
        <v>46262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46262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46107</v>
      </c>
      <c r="E303" s="1" t="n">
        <v>46262</v>
      </c>
      <c r="F303" t="inlineStr">
        <is>
          <t>VÄRMLANDS LÄN</t>
        </is>
      </c>
      <c r="G303" t="inlineStr">
        <is>
          <t>FILIPSTAD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46262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16040-2026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46108</v>
      </c>
      <c r="E305" s="1" t="n">
        <v>46262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45229</v>
      </c>
      <c r="E306" s="1" t="n">
        <v>46262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45393</v>
      </c>
      <c r="E307" s="1" t="n">
        <v>46262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46262</v>
      </c>
      <c r="F308" t="inlineStr">
        <is>
          <t>VÄRMLANDS LÄN</t>
        </is>
      </c>
      <c r="G308" t="inlineStr">
        <is>
          <t>FILIPSTAD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16975-2026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46114</v>
      </c>
      <c r="E309" s="1" t="n">
        <v>46262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46262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46262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46119</v>
      </c>
      <c r="E312" s="1" t="n">
        <v>46262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45428</v>
      </c>
      <c r="E313" s="1" t="n">
        <v>46262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8.4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46120</v>
      </c>
      <c r="E314" s="1" t="n">
        <v>46262</v>
      </c>
      <c r="F314" t="inlineStr">
        <is>
          <t>VÄRMLANDS LÄN</t>
        </is>
      </c>
      <c r="G314" t="inlineStr">
        <is>
          <t>FILIPSTAD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46262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46262</v>
      </c>
      <c r="F316" t="inlineStr">
        <is>
          <t>VÄRMLANDS LÄN</t>
        </is>
      </c>
      <c r="G316" t="inlineStr">
        <is>
          <t>FILIPSTAD</t>
        </is>
      </c>
      <c r="H316" t="inlineStr">
        <is>
          <t>Kommuner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36251-2022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44803</v>
      </c>
      <c r="E317" s="1" t="n">
        <v>46262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46262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46122</v>
      </c>
      <c r="E319" s="1" t="n">
        <v>46262</v>
      </c>
      <c r="F319" t="inlineStr">
        <is>
          <t>VÄRMLANDS LÄN</t>
        </is>
      </c>
      <c r="G319" t="inlineStr">
        <is>
          <t>FILIPSTAD</t>
        </is>
      </c>
      <c r="H319" t="inlineStr">
        <is>
          <t>Kommuner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45364</v>
      </c>
      <c r="E320" s="1" t="n">
        <v>46262</v>
      </c>
      <c r="F320" t="inlineStr">
        <is>
          <t>VÄRMLANDS LÄN</t>
        </is>
      </c>
      <c r="G320" t="inlineStr">
        <is>
          <t>FILIPSTAD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45658</v>
      </c>
      <c r="E321" s="1" t="n">
        <v>46262</v>
      </c>
      <c r="F321" t="inlineStr">
        <is>
          <t>VÄRMLANDS LÄN</t>
        </is>
      </c>
      <c r="G321" t="inlineStr">
        <is>
          <t>FILIPSTAD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46262</v>
      </c>
      <c r="F322" t="inlineStr">
        <is>
          <t>VÄRMLANDS LÄN</t>
        </is>
      </c>
      <c r="G322" t="inlineStr">
        <is>
          <t>FILIPSTAD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46262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46262</v>
      </c>
      <c r="F324" t="inlineStr">
        <is>
          <t>VÄRMLANDS LÄN</t>
        </is>
      </c>
      <c r="G324" t="inlineStr">
        <is>
          <t>FILIPSTAD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45618</v>
      </c>
      <c r="E325" s="1" t="n">
        <v>46262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45384</v>
      </c>
      <c r="E326" s="1" t="n">
        <v>46262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46262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46127</v>
      </c>
      <c r="E328" s="1" t="n">
        <v>46262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46262</v>
      </c>
      <c r="F329" t="inlineStr">
        <is>
          <t>VÄRMLANDS LÄN</t>
        </is>
      </c>
      <c r="G329" t="inlineStr">
        <is>
          <t>FILIPSTAD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46262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46262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45484</v>
      </c>
      <c r="E332" s="1" t="n">
        <v>46262</v>
      </c>
      <c r="F332" t="inlineStr">
        <is>
          <t>VÄRMLANDS LÄN</t>
        </is>
      </c>
      <c r="G332" t="inlineStr">
        <is>
          <t>FILIPSTAD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45327</v>
      </c>
      <c r="E333" s="1" t="n">
        <v>46262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9.300000000000001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45152</v>
      </c>
      <c r="E334" s="1" t="n">
        <v>46262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46262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46127</v>
      </c>
      <c r="E336" s="1" t="n">
        <v>46262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46262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46128</v>
      </c>
      <c r="E338" s="1" t="n">
        <v>46262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46262</v>
      </c>
      <c r="F339" t="inlineStr">
        <is>
          <t>VÄRMLANDS LÄN</t>
        </is>
      </c>
      <c r="G339" t="inlineStr">
        <is>
          <t>FILIPSTAD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46262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46262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46262</v>
      </c>
      <c r="F342" t="inlineStr">
        <is>
          <t>VÄRMLANDS LÄN</t>
        </is>
      </c>
      <c r="G342" t="inlineStr">
        <is>
          <t>FILIPSTAD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46262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46262</v>
      </c>
      <c r="F344" t="inlineStr">
        <is>
          <t>VÄRMLANDS LÄN</t>
        </is>
      </c>
      <c r="G344" t="inlineStr">
        <is>
          <t>FILIPSTAD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46262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46262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46134</v>
      </c>
      <c r="E347" s="1" t="n">
        <v>46262</v>
      </c>
      <c r="F347" t="inlineStr">
        <is>
          <t>VÄRMLANDS LÄN</t>
        </is>
      </c>
      <c r="G347" t="inlineStr">
        <is>
          <t>FILIPSTAD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46262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46134</v>
      </c>
      <c r="E349" s="1" t="n">
        <v>46262</v>
      </c>
      <c r="F349" t="inlineStr">
        <is>
          <t>VÄRMLANDS LÄN</t>
        </is>
      </c>
      <c r="G349" t="inlineStr">
        <is>
          <t>FILIPSTAD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46262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46262</v>
      </c>
      <c r="F351" t="inlineStr">
        <is>
          <t>VÄRMLANDS LÄN</t>
        </is>
      </c>
      <c r="G351" t="inlineStr">
        <is>
          <t>FILIPSTAD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46262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44896</v>
      </c>
      <c r="E353" s="1" t="n">
        <v>46262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46262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45588</v>
      </c>
      <c r="E355" s="1" t="n">
        <v>46262</v>
      </c>
      <c r="F355" t="inlineStr">
        <is>
          <t>VÄRMLANDS LÄN</t>
        </is>
      </c>
      <c r="G355" t="inlineStr">
        <is>
          <t>FILIPSTAD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45391</v>
      </c>
      <c r="E356" s="1" t="n">
        <v>46262</v>
      </c>
      <c r="F356" t="inlineStr">
        <is>
          <t>VÄRMLANDS LÄN</t>
        </is>
      </c>
      <c r="G356" t="inlineStr">
        <is>
          <t>FILIPSTAD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70405-2021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44536</v>
      </c>
      <c r="E357" s="1" t="n">
        <v>46262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44579</v>
      </c>
      <c r="E358" s="1" t="n">
        <v>46262</v>
      </c>
      <c r="F358" t="inlineStr">
        <is>
          <t>VÄRMLANDS LÄN</t>
        </is>
      </c>
      <c r="G358" t="inlineStr">
        <is>
          <t>FILIPSTAD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46262</v>
      </c>
      <c r="F359" t="inlineStr">
        <is>
          <t>VÄRMLANDS LÄN</t>
        </is>
      </c>
      <c r="G359" t="inlineStr">
        <is>
          <t>FILIPSTAD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46136</v>
      </c>
      <c r="E360" s="1" t="n">
        <v>46262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45420</v>
      </c>
      <c r="E361" s="1" t="n">
        <v>46262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46262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45139-2021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44439</v>
      </c>
      <c r="E363" s="1" t="n">
        <v>46262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22843-2025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45790</v>
      </c>
      <c r="E364" s="1" t="n">
        <v>46262</v>
      </c>
      <c r="F364" t="inlineStr">
        <is>
          <t>VÄRMLANDS LÄN</t>
        </is>
      </c>
      <c r="G364" t="inlineStr">
        <is>
          <t>FILIPSTAD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45037</v>
      </c>
      <c r="E365" s="1" t="n">
        <v>46262</v>
      </c>
      <c r="F365" t="inlineStr">
        <is>
          <t>VÄRMLANDS LÄN</t>
        </is>
      </c>
      <c r="G365" t="inlineStr">
        <is>
          <t>FILIPSTAD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41521-2025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45901</v>
      </c>
      <c r="E366" s="1" t="n">
        <v>46262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44789</v>
      </c>
      <c r="E367" s="1" t="n">
        <v>46262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46262</v>
      </c>
      <c r="F368" t="inlineStr">
        <is>
          <t>VÄRMLANDS LÄN</t>
        </is>
      </c>
      <c r="G368" t="inlineStr">
        <is>
          <t>FILIPSTAD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46262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46262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46262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47455-2023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45202</v>
      </c>
      <c r="E372" s="1" t="n">
        <v>46262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45133</v>
      </c>
      <c r="E373" s="1" t="n">
        <v>46262</v>
      </c>
      <c r="F373" t="inlineStr">
        <is>
          <t>VÄRMLANDS LÄN</t>
        </is>
      </c>
      <c r="G373" t="inlineStr">
        <is>
          <t>FILIPSTAD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46262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45789</v>
      </c>
      <c r="E375" s="1" t="n">
        <v>46262</v>
      </c>
      <c r="F375" t="inlineStr">
        <is>
          <t>VÄRMLANDS LÄN</t>
        </is>
      </c>
      <c r="G375" t="inlineStr">
        <is>
          <t>FILIPSTAD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45456</v>
      </c>
      <c r="E376" s="1" t="n">
        <v>46262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46262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54008-2021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44470</v>
      </c>
      <c r="E378" s="1" t="n">
        <v>46262</v>
      </c>
      <c r="F378" t="inlineStr">
        <is>
          <t>VÄRMLANDS LÄN</t>
        </is>
      </c>
      <c r="G378" t="inlineStr">
        <is>
          <t>FILIPSTAD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39896-2025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45891</v>
      </c>
      <c r="E379" s="1" t="n">
        <v>46262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45819</v>
      </c>
      <c r="E380" s="1" t="n">
        <v>46262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46262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49602-2025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46262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46262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46257-2022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44847</v>
      </c>
      <c r="E384" s="1" t="n">
        <v>46262</v>
      </c>
      <c r="F384" t="inlineStr">
        <is>
          <t>VÄRMLANDS LÄN</t>
        </is>
      </c>
      <c r="G384" t="inlineStr">
        <is>
          <t>FILIPSTAD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46262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16067-2026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46262</v>
      </c>
      <c r="F386" t="inlineStr">
        <is>
          <t>VÄRMLANDS LÄN</t>
        </is>
      </c>
      <c r="G386" t="inlineStr">
        <is>
          <t>FILIPSTAD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46262</v>
      </c>
      <c r="F387" t="inlineStr">
        <is>
          <t>VÄRMLANDS LÄN</t>
        </is>
      </c>
      <c r="G387" t="inlineStr">
        <is>
          <t>FILIPSTAD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36272-2025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45867</v>
      </c>
      <c r="E388" s="1" t="n">
        <v>46262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46262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46262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37733-2025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46262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20554-2025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45775</v>
      </c>
      <c r="E392" s="1" t="n">
        <v>46262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23618-2023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45077</v>
      </c>
      <c r="E393" s="1" t="n">
        <v>46262</v>
      </c>
      <c r="F393" t="inlineStr">
        <is>
          <t>VÄRMLANDS LÄN</t>
        </is>
      </c>
      <c r="G393" t="inlineStr">
        <is>
          <t>FILIPSTAD</t>
        </is>
      </c>
      <c r="I393" t="n">
        <v>15.8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46262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46262</v>
      </c>
      <c r="F395" t="inlineStr">
        <is>
          <t>VÄRMLANDS LÄN</t>
        </is>
      </c>
      <c r="G395" t="inlineStr">
        <is>
          <t>FILIPSTAD</t>
        </is>
      </c>
      <c r="H395" t="inlineStr">
        <is>
          <t>Kommuner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29473-2024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45484</v>
      </c>
      <c r="E396" s="1" t="n">
        <v>46262</v>
      </c>
      <c r="F396" t="inlineStr">
        <is>
          <t>VÄRMLANDS LÄN</t>
        </is>
      </c>
      <c r="G396" t="inlineStr">
        <is>
          <t>FILIPSTAD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44588</v>
      </c>
      <c r="E397" s="1" t="n">
        <v>46262</v>
      </c>
      <c r="F397" t="inlineStr">
        <is>
          <t>VÄRMLANDS LÄN</t>
        </is>
      </c>
      <c r="G397" t="inlineStr">
        <is>
          <t>FILIPSTAD</t>
        </is>
      </c>
      <c r="H397" t="inlineStr">
        <is>
          <t>Kommuner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46262</v>
      </c>
      <c r="F398" t="inlineStr">
        <is>
          <t>VÄRMLANDS LÄN</t>
        </is>
      </c>
      <c r="G398" t="inlineStr">
        <is>
          <t>FILIPSTAD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46262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45063</v>
      </c>
      <c r="E400" s="1" t="n">
        <v>46262</v>
      </c>
      <c r="F400" t="inlineStr">
        <is>
          <t>VÄRMLANDS LÄN</t>
        </is>
      </c>
      <c r="G400" t="inlineStr">
        <is>
          <t>FILIPSTAD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44981</v>
      </c>
      <c r="E401" s="1" t="n">
        <v>46262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47536-2023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46262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45463</v>
      </c>
      <c r="E403" s="1" t="n">
        <v>46262</v>
      </c>
      <c r="F403" t="inlineStr">
        <is>
          <t>VÄRMLANDS LÄN</t>
        </is>
      </c>
      <c r="G403" t="inlineStr">
        <is>
          <t>FILIPSTAD</t>
        </is>
      </c>
      <c r="I403" t="n">
        <v>13.2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44579</v>
      </c>
      <c r="E404" s="1" t="n">
        <v>46262</v>
      </c>
      <c r="F404" t="inlineStr">
        <is>
          <t>VÄRMLANDS LÄN</t>
        </is>
      </c>
      <c r="G404" t="inlineStr">
        <is>
          <t>FILIPSTAD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46148</v>
      </c>
      <c r="E405" s="1" t="n">
        <v>46262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46262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46262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46262</v>
      </c>
      <c r="F408" t="inlineStr">
        <is>
          <t>VÄRMLANDS LÄN</t>
        </is>
      </c>
      <c r="G408" t="inlineStr">
        <is>
          <t>FILIPSTAD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46262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22201-2026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46262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22220-2026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46262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46262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46262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46262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46262</v>
      </c>
      <c r="F415" t="inlineStr">
        <is>
          <t>VÄRMLANDS LÄN</t>
        </is>
      </c>
      <c r="G415" t="inlineStr">
        <is>
          <t>FILIPSTAD</t>
        </is>
      </c>
      <c r="I415" t="n">
        <v>10.8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46262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46262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46262</v>
      </c>
      <c r="F418" t="inlineStr">
        <is>
          <t>VÄRMLANDS LÄN</t>
        </is>
      </c>
      <c r="G418" t="inlineStr">
        <is>
          <t>FILIPSTAD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45578</v>
      </c>
      <c r="E419" s="1" t="n">
        <v>46262</v>
      </c>
      <c r="F419" t="inlineStr">
        <is>
          <t>VÄRMLANDS LÄN</t>
        </is>
      </c>
      <c r="G419" t="inlineStr">
        <is>
          <t>FILIPSTAD</t>
        </is>
      </c>
      <c r="I419" t="n">
        <v>27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45120</v>
      </c>
      <c r="E420" s="1" t="n">
        <v>46262</v>
      </c>
      <c r="F420" t="inlineStr">
        <is>
          <t>VÄRMLANDS LÄN</t>
        </is>
      </c>
      <c r="G420" t="inlineStr">
        <is>
          <t>FILIPSTAD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45240</v>
      </c>
      <c r="E421" s="1" t="n">
        <v>46262</v>
      </c>
      <c r="F421" t="inlineStr">
        <is>
          <t>VÄRMLANDS LÄN</t>
        </is>
      </c>
      <c r="G421" t="inlineStr">
        <is>
          <t>FILIPSTAD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46262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46155</v>
      </c>
      <c r="E423" s="1" t="n">
        <v>46262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47344-2023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45202</v>
      </c>
      <c r="E424" s="1" t="n">
        <v>46262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17794-2024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45418</v>
      </c>
      <c r="E425" s="1" t="n">
        <v>46262</v>
      </c>
      <c r="F425" t="inlineStr">
        <is>
          <t>VÄRMLANDS LÄN</t>
        </is>
      </c>
      <c r="G425" t="inlineStr">
        <is>
          <t>FILIPSTAD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44994</v>
      </c>
      <c r="E426" s="1" t="n">
        <v>46262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45616</v>
      </c>
      <c r="E427" s="1" t="n">
        <v>46262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46262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46262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46262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46262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46262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46262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46262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8.699999999999999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45077</v>
      </c>
      <c r="E435" s="1" t="n">
        <v>46262</v>
      </c>
      <c r="F435" t="inlineStr">
        <is>
          <t>VÄRMLANDS LÄN</t>
        </is>
      </c>
      <c r="G435" t="inlineStr">
        <is>
          <t>FILIPSTAD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46262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46262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23943-2026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46262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23952-2026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46262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23931-2026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46262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46262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45014</v>
      </c>
      <c r="E442" s="1" t="n">
        <v>46262</v>
      </c>
      <c r="F442" t="inlineStr">
        <is>
          <t>VÄRMLANDS LÄN</t>
        </is>
      </c>
      <c r="G442" t="inlineStr">
        <is>
          <t>FILIPSTAD</t>
        </is>
      </c>
      <c r="H442" t="inlineStr">
        <is>
          <t>Kyrkan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46262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46262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46167</v>
      </c>
      <c r="E445" s="1" t="n">
        <v>46262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9.300000000000001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24005-2026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46262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4819-2023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44957</v>
      </c>
      <c r="E447" s="1" t="n">
        <v>46262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23922-2026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46262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46262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24027-2026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46167</v>
      </c>
      <c r="E450" s="1" t="n">
        <v>46262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46262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23959-2026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46262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46262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24291-2026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46262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46169</v>
      </c>
      <c r="E455" s="1" t="n">
        <v>46262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27400-2024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45474</v>
      </c>
      <c r="E456" s="1" t="n">
        <v>46262</v>
      </c>
      <c r="F456" t="inlineStr">
        <is>
          <t>VÄRMLANDS LÄN</t>
        </is>
      </c>
      <c r="G456" t="inlineStr">
        <is>
          <t>FILIPSTAD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49935-2025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45940</v>
      </c>
      <c r="E457" s="1" t="n">
        <v>46262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32185-2024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45511</v>
      </c>
      <c r="E458" s="1" t="n">
        <v>46262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5754-2022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46262</v>
      </c>
      <c r="F459" t="inlineStr">
        <is>
          <t>VÄRMLANDS LÄN</t>
        </is>
      </c>
      <c r="G459" t="inlineStr">
        <is>
          <t>FILIPSTAD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46170</v>
      </c>
      <c r="E460" s="1" t="n">
        <v>46262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46170</v>
      </c>
      <c r="E461" s="1" t="n">
        <v>46262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46262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43635-2023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45186</v>
      </c>
      <c r="E463" s="1" t="n">
        <v>46262</v>
      </c>
      <c r="F463" t="inlineStr">
        <is>
          <t>VÄRMLANDS LÄN</t>
        </is>
      </c>
      <c r="G463" t="inlineStr">
        <is>
          <t>FILIPSTAD</t>
        </is>
      </c>
      <c r="I463" t="n">
        <v>15.3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46262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46262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46262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46262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46262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8.5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45569</v>
      </c>
      <c r="E469" s="1" t="n">
        <v>46262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24886-2026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46174</v>
      </c>
      <c r="E470" s="1" t="n">
        <v>46262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45114</v>
      </c>
      <c r="E471" s="1" t="n">
        <v>46262</v>
      </c>
      <c r="F471" t="inlineStr">
        <is>
          <t>VÄRMLANDS LÄN</t>
        </is>
      </c>
      <c r="G471" t="inlineStr">
        <is>
          <t>FILIPSTAD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45749</v>
      </c>
      <c r="E472" s="1" t="n">
        <v>46262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46262</v>
      </c>
      <c r="F473" t="inlineStr">
        <is>
          <t>VÄRMLANDS LÄN</t>
        </is>
      </c>
      <c r="G473" t="inlineStr">
        <is>
          <t>FILIPSTAD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45583</v>
      </c>
      <c r="E474" s="1" t="n">
        <v>46262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46262</v>
      </c>
      <c r="F475" t="inlineStr">
        <is>
          <t>VÄRMLANDS LÄN</t>
        </is>
      </c>
      <c r="G475" t="inlineStr">
        <is>
          <t>FILIPSTAD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32183-2025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45835</v>
      </c>
      <c r="E476" s="1" t="n">
        <v>46262</v>
      </c>
      <c r="F476" t="inlineStr">
        <is>
          <t>VÄRMLANDS LÄN</t>
        </is>
      </c>
      <c r="G476" t="inlineStr">
        <is>
          <t>FILIPSTAD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19030-2022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44691</v>
      </c>
      <c r="E477" s="1" t="n">
        <v>46262</v>
      </c>
      <c r="F477" t="inlineStr">
        <is>
          <t>VÄRMLANDS LÄN</t>
        </is>
      </c>
      <c r="G477" t="inlineStr">
        <is>
          <t>FILIPSTAD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46175</v>
      </c>
      <c r="E478" s="1" t="n">
        <v>46262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46262</v>
      </c>
      <c r="F479" t="inlineStr">
        <is>
          <t>VÄRMLANDS LÄN</t>
        </is>
      </c>
      <c r="G479" t="inlineStr">
        <is>
          <t>FILIPSTAD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48908-2023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45195</v>
      </c>
      <c r="E480" s="1" t="n">
        <v>46262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46262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46262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25869-2026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46262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45655</v>
      </c>
      <c r="E484" s="1" t="n">
        <v>46262</v>
      </c>
      <c r="F484" t="inlineStr">
        <is>
          <t>VÄRMLANDS LÄN</t>
        </is>
      </c>
      <c r="G484" t="inlineStr">
        <is>
          <t>FILIPSTAD</t>
        </is>
      </c>
      <c r="I484" t="n">
        <v>26.5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45655</v>
      </c>
      <c r="E485" s="1" t="n">
        <v>46262</v>
      </c>
      <c r="F485" t="inlineStr">
        <is>
          <t>VÄRMLANDS LÄN</t>
        </is>
      </c>
      <c r="G485" t="inlineStr">
        <is>
          <t>FILIPSTAD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31537-2026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46223</v>
      </c>
      <c r="E486" s="1" t="n">
        <v>46262</v>
      </c>
      <c r="F486" t="inlineStr">
        <is>
          <t>VÄRMLANDS LÄN</t>
        </is>
      </c>
      <c r="G486" t="inlineStr">
        <is>
          <t>FILIPSTAD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46223</v>
      </c>
      <c r="E487" s="1" t="n">
        <v>46262</v>
      </c>
      <c r="F487" t="inlineStr">
        <is>
          <t>VÄRMLANDS LÄN</t>
        </is>
      </c>
      <c r="G487" t="inlineStr">
        <is>
          <t>FILIPSTAD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1170-2023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44935</v>
      </c>
      <c r="E488" s="1" t="n">
        <v>46262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46262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5992-2023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44959</v>
      </c>
      <c r="E490" s="1" t="n">
        <v>46262</v>
      </c>
      <c r="F490" t="inlineStr">
        <is>
          <t>VÄRMLANDS LÄN</t>
        </is>
      </c>
      <c r="G490" t="inlineStr">
        <is>
          <t>FILIPSTAD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46225</v>
      </c>
      <c r="E491" s="1" t="n">
        <v>46262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46262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46262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46262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46262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46262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46181</v>
      </c>
      <c r="E497" s="1" t="n">
        <v>46262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53562-2023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45230</v>
      </c>
      <c r="E498" s="1" t="n">
        <v>46262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9.9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46262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46226</v>
      </c>
      <c r="E500" s="1" t="n">
        <v>46262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46226</v>
      </c>
      <c r="E501" s="1" t="n">
        <v>46262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46262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46262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63411-2023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45274</v>
      </c>
      <c r="E504" s="1" t="n">
        <v>46262</v>
      </c>
      <c r="F504" t="inlineStr">
        <is>
          <t>VÄRMLANDS LÄN</t>
        </is>
      </c>
      <c r="G504" t="inlineStr">
        <is>
          <t>FILIPSTAD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46262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46262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46262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46227</v>
      </c>
      <c r="E508" s="1" t="n">
        <v>46262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43484-2023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45184</v>
      </c>
      <c r="E509" s="1" t="n">
        <v>46262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27300-2026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46262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46187</v>
      </c>
      <c r="E511" s="1" t="n">
        <v>46262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46262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45124</v>
      </c>
      <c r="E513" s="1" t="n">
        <v>46262</v>
      </c>
      <c r="F513" t="inlineStr">
        <is>
          <t>VÄRMLANDS LÄN</t>
        </is>
      </c>
      <c r="G513" t="inlineStr">
        <is>
          <t>FILIPSTAD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46231</v>
      </c>
      <c r="E514" s="1" t="n">
        <v>46262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27372-2026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46262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7.4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34262-2024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46262</v>
      </c>
      <c r="F516" t="inlineStr">
        <is>
          <t>VÄRMLANDS LÄN</t>
        </is>
      </c>
      <c r="G516" t="inlineStr">
        <is>
          <t>FILIPSTAD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46186</v>
      </c>
      <c r="E517" s="1" t="n">
        <v>46262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46186</v>
      </c>
      <c r="E518" s="1" t="n">
        <v>46262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46262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46233</v>
      </c>
      <c r="E520" s="1" t="n">
        <v>46262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46233</v>
      </c>
      <c r="E521" s="1" t="n">
        <v>46262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46232</v>
      </c>
      <c r="E522" s="1" t="n">
        <v>46262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45592-2024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45579</v>
      </c>
      <c r="E523" s="1" t="n">
        <v>46262</v>
      </c>
      <c r="F523" t="inlineStr">
        <is>
          <t>VÄRMLANDS LÄN</t>
        </is>
      </c>
      <c r="G523" t="inlineStr">
        <is>
          <t>FILIPSTAD</t>
        </is>
      </c>
      <c r="H523" t="inlineStr">
        <is>
          <t>Kyrkan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46262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46233</v>
      </c>
      <c r="E525" s="1" t="n">
        <v>46262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46262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45568</v>
      </c>
      <c r="E527" s="1" t="n">
        <v>46262</v>
      </c>
      <c r="F527" t="inlineStr">
        <is>
          <t>VÄRMLANDS LÄN</t>
        </is>
      </c>
      <c r="G527" t="inlineStr">
        <is>
          <t>FILIPSTAD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27774-2026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46262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6860-2024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46262</v>
      </c>
      <c r="F529" t="inlineStr">
        <is>
          <t>VÄRMLANDS LÄN</t>
        </is>
      </c>
      <c r="G529" t="inlineStr">
        <is>
          <t>FILIPSTAD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46237</v>
      </c>
      <c r="E530" s="1" t="n">
        <v>46262</v>
      </c>
      <c r="F530" t="inlineStr">
        <is>
          <t>VÄRMLANDS LÄN</t>
        </is>
      </c>
      <c r="G530" t="inlineStr">
        <is>
          <t>FILIPSTAD</t>
        </is>
      </c>
      <c r="H530" t="inlineStr">
        <is>
          <t>Kommuner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46262</v>
      </c>
      <c r="F531" t="inlineStr">
        <is>
          <t>VÄRMLANDS LÄN</t>
        </is>
      </c>
      <c r="G531" t="inlineStr">
        <is>
          <t>FILIPSTAD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46234</v>
      </c>
      <c r="E532" s="1" t="n">
        <v>46262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51031-2025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45947</v>
      </c>
      <c r="E533" s="1" t="n">
        <v>46262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46237</v>
      </c>
      <c r="E534" s="1" t="n">
        <v>46262</v>
      </c>
      <c r="F534" t="inlineStr">
        <is>
          <t>VÄRMLANDS LÄN</t>
        </is>
      </c>
      <c r="G534" t="inlineStr">
        <is>
          <t>FILIPSTAD</t>
        </is>
      </c>
      <c r="I534" t="n">
        <v>13.4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46262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27968-2026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46262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46239</v>
      </c>
      <c r="E537" s="1" t="n">
        <v>46262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46262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46239</v>
      </c>
      <c r="E539" s="1" t="n">
        <v>46262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32601-2026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46240</v>
      </c>
      <c r="E540" s="1" t="n">
        <v>46262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32600-2026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46262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46262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46197</v>
      </c>
      <c r="E543" s="1" t="n">
        <v>46262</v>
      </c>
      <c r="F543" t="inlineStr">
        <is>
          <t>VÄRMLANDS LÄN</t>
        </is>
      </c>
      <c r="G543" t="inlineStr">
        <is>
          <t>FILIPSTAD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46241</v>
      </c>
      <c r="E544" s="1" t="n">
        <v>46262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46197</v>
      </c>
      <c r="E545" s="1" t="n">
        <v>46262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46240</v>
      </c>
      <c r="E546" s="1" t="n">
        <v>46262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43045-2024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45567</v>
      </c>
      <c r="E547" s="1" t="n">
        <v>46262</v>
      </c>
      <c r="F547" t="inlineStr">
        <is>
          <t>VÄRMLANDS LÄN</t>
        </is>
      </c>
      <c r="G547" t="inlineStr">
        <is>
          <t>FILIPSTAD</t>
        </is>
      </c>
      <c r="H547" t="inlineStr">
        <is>
          <t>Kyrkan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45700</v>
      </c>
      <c r="E548" s="1" t="n">
        <v>46262</v>
      </c>
      <c r="F548" t="inlineStr">
        <is>
          <t>VÄRMLANDS LÄN</t>
        </is>
      </c>
      <c r="G548" t="inlineStr">
        <is>
          <t>FILIPSTAD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46262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46262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25376-2023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45088</v>
      </c>
      <c r="E551" s="1" t="n">
        <v>46262</v>
      </c>
      <c r="F551" t="inlineStr">
        <is>
          <t>VÄRMLANDS LÄN</t>
        </is>
      </c>
      <c r="G551" t="inlineStr">
        <is>
          <t>FILIPSTAD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46262</v>
      </c>
      <c r="F552" t="inlineStr">
        <is>
          <t>VÄRMLANDS LÄN</t>
        </is>
      </c>
      <c r="G552" t="inlineStr">
        <is>
          <t>FILIPSTAD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46262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69015-2021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44530</v>
      </c>
      <c r="E554" s="1" t="n">
        <v>46262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28977-2026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46262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46262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46262</v>
      </c>
      <c r="F557" t="inlineStr">
        <is>
          <t>VÄRMLANDS LÄN</t>
        </is>
      </c>
      <c r="G557" t="inlineStr">
        <is>
          <t>FILIPSTAD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45439</v>
      </c>
      <c r="E558" s="1" t="n">
        <v>46262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29328-2026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46262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46262</v>
      </c>
      <c r="F560" t="inlineStr">
        <is>
          <t>VÄRMLANDS LÄN</t>
        </is>
      </c>
      <c r="G560" t="inlineStr">
        <is>
          <t>FILIPSTAD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46262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44960</v>
      </c>
      <c r="E562" s="1" t="n">
        <v>46262</v>
      </c>
      <c r="F562" t="inlineStr">
        <is>
          <t>VÄRMLANDS LÄN</t>
        </is>
      </c>
      <c r="G562" t="inlineStr">
        <is>
          <t>FILIPSTAD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46262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46262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46262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46090</v>
      </c>
      <c r="E566" s="1" t="n">
        <v>46262</v>
      </c>
      <c r="F566" t="inlineStr">
        <is>
          <t>VÄRMLANDS LÄN</t>
        </is>
      </c>
      <c r="G566" t="inlineStr">
        <is>
          <t>FILIPSTAD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46247</v>
      </c>
      <c r="E567" s="1" t="n">
        <v>46262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45436</v>
      </c>
      <c r="E568" s="1" t="n">
        <v>46262</v>
      </c>
      <c r="F568" t="inlineStr">
        <is>
          <t>VÄRMLANDS LÄN</t>
        </is>
      </c>
      <c r="G568" t="inlineStr">
        <is>
          <t>FILIPSTAD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29389-2026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46262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29010-2026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46262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46203</v>
      </c>
      <c r="E571" s="1" t="n">
        <v>46262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46247</v>
      </c>
      <c r="E572" s="1" t="n">
        <v>46262</v>
      </c>
      <c r="F572" t="inlineStr">
        <is>
          <t>VÄRMLANDS LÄN</t>
        </is>
      </c>
      <c r="G572" t="inlineStr">
        <is>
          <t>FILIPSTAD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46262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53690-2022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44880</v>
      </c>
      <c r="E574" s="1" t="n">
        <v>46262</v>
      </c>
      <c r="F574" t="inlineStr">
        <is>
          <t>VÄRMLANDS LÄN</t>
        </is>
      </c>
      <c r="G574" t="inlineStr">
        <is>
          <t>FILIPSTAD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45700</v>
      </c>
      <c r="E575" s="1" t="n">
        <v>46262</v>
      </c>
      <c r="F575" t="inlineStr">
        <is>
          <t>VÄRMLANDS LÄN</t>
        </is>
      </c>
      <c r="G575" t="inlineStr">
        <is>
          <t>FILIPSTAD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46262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46262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46205</v>
      </c>
      <c r="E578" s="1" t="n">
        <v>46262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48040-2023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45204</v>
      </c>
      <c r="E579" s="1" t="n">
        <v>46262</v>
      </c>
      <c r="F579" t="inlineStr">
        <is>
          <t>VÄRMLANDS LÄN</t>
        </is>
      </c>
      <c r="G579" t="inlineStr">
        <is>
          <t>FILIPSTAD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52981-2021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44467</v>
      </c>
      <c r="E580" s="1" t="n">
        <v>46262</v>
      </c>
      <c r="F580" t="inlineStr">
        <is>
          <t>VÄRMLANDS LÄN</t>
        </is>
      </c>
      <c r="G580" t="inlineStr">
        <is>
          <t>FILIPSTAD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46262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46262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10306-2025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45720</v>
      </c>
      <c r="E583" s="1" t="n">
        <v>46262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30074-2026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46262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29814-2026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46262</v>
      </c>
      <c r="F585" t="inlineStr">
        <is>
          <t>VÄRMLANDS LÄN</t>
        </is>
      </c>
      <c r="G585" t="inlineStr">
        <is>
          <t>FILIPSTAD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51266-2021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44461</v>
      </c>
      <c r="E586" s="1" t="n">
        <v>46262</v>
      </c>
      <c r="F586" t="inlineStr">
        <is>
          <t>VÄRMLANDS LÄN</t>
        </is>
      </c>
      <c r="G586" t="inlineStr">
        <is>
          <t>FILIPSTAD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51618-2022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44872</v>
      </c>
      <c r="E587" s="1" t="n">
        <v>46262</v>
      </c>
      <c r="F587" t="inlineStr">
        <is>
          <t>VÄRMLANDS LÄN</t>
        </is>
      </c>
      <c r="G587" t="inlineStr">
        <is>
          <t>FILIPSTAD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46262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46262</v>
      </c>
      <c r="F589" t="inlineStr">
        <is>
          <t>VÄRMLANDS LÄN</t>
        </is>
      </c>
      <c r="G589" t="inlineStr">
        <is>
          <t>FILIPSTAD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46262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45516</v>
      </c>
      <c r="E591" s="1" t="n">
        <v>46262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37611-2022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44809</v>
      </c>
      <c r="E592" s="1" t="n">
        <v>46262</v>
      </c>
      <c r="F592" t="inlineStr">
        <is>
          <t>VÄRMLANDS LÄN</t>
        </is>
      </c>
      <c r="G592" t="inlineStr">
        <is>
          <t>FILIPSTAD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46252</v>
      </c>
      <c r="E593" s="1" t="n">
        <v>46262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46210</v>
      </c>
      <c r="E594" s="1" t="n">
        <v>46262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16591-2022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44672</v>
      </c>
      <c r="E595" s="1" t="n">
        <v>46262</v>
      </c>
      <c r="F595" t="inlineStr">
        <is>
          <t>VÄRMLANDS LÄN</t>
        </is>
      </c>
      <c r="G595" t="inlineStr">
        <is>
          <t>FILIPSTAD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12160-2023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44998</v>
      </c>
      <c r="E596" s="1" t="n">
        <v>46262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46978-2023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45195</v>
      </c>
      <c r="E597" s="1" t="n">
        <v>46262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14432-2025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46262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46252</v>
      </c>
      <c r="E599" s="1" t="n">
        <v>46262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46213</v>
      </c>
      <c r="E600" s="1" t="n">
        <v>46262</v>
      </c>
      <c r="F600" t="inlineStr">
        <is>
          <t>VÄRMLANDS LÄN</t>
        </is>
      </c>
      <c r="G600" t="inlineStr">
        <is>
          <t>FILIPSTAD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34493-2026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46262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19.2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34539-2026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46255</v>
      </c>
      <c r="E602" s="1" t="n">
        <v>46262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46254</v>
      </c>
      <c r="E603" s="1" t="n">
        <v>46262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30799-2026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46212</v>
      </c>
      <c r="E604" s="1" t="n">
        <v>46262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46262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46262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45471</v>
      </c>
      <c r="E607" s="1" t="n">
        <v>46262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46218</v>
      </c>
      <c r="E608" s="1" t="n">
        <v>46262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46262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46262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46261</v>
      </c>
      <c r="E611" s="1" t="n">
        <v>46262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46261</v>
      </c>
      <c r="E612" s="1" t="n">
        <v>46262</v>
      </c>
      <c r="F612" t="inlineStr">
        <is>
          <t>VÄRMLANDS LÄN</t>
        </is>
      </c>
      <c r="G612" t="inlineStr">
        <is>
          <t>FILIPSTAD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31316-2026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46219</v>
      </c>
      <c r="E613" s="1" t="n">
        <v>46262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5757-2021</t>
        </is>
      </c>
      <c r="B614" t="inlineStr">
        <is>
          <t>samrådsanmälan</t>
        </is>
      </c>
      <c r="C614" t="inlineStr">
        <is>
          <t>Basväg</t>
        </is>
      </c>
      <c r="D614" s="1" t="n">
        <v>44438</v>
      </c>
      <c r="E614" s="1" t="n">
        <v>46262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1191-2021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44328</v>
      </c>
      <c r="E615" s="1" t="n">
        <v>46262</v>
      </c>
      <c r="F615" t="inlineStr">
        <is>
          <t>VÄRMLANDS LÄN</t>
        </is>
      </c>
      <c r="G615" t="inlineStr">
        <is>
          <t>FILIPSTAD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4134-2023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46262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4115-2023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45246</v>
      </c>
      <c r="E617" s="1" t="n">
        <v>46262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4137-2023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46262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4132-2023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46262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4130-2023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46262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4127-2023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46262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56.4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837-2023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44991</v>
      </c>
      <c r="E622" s="1" t="n">
        <v>46262</v>
      </c>
      <c r="F622" t="inlineStr">
        <is>
          <t>VÄRMLANDS LÄN</t>
        </is>
      </c>
      <c r="G622" t="inlineStr">
        <is>
          <t>FILIPSTAD</t>
        </is>
      </c>
      <c r="I622" t="n">
        <v>19.3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46262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3919-2023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45233</v>
      </c>
      <c r="E624" s="1" t="n">
        <v>46262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4135-2023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46262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18.9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6078-2021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44442</v>
      </c>
      <c r="E626" s="1" t="n">
        <v>46262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46262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294-2025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45687</v>
      </c>
      <c r="E628" s="1" t="n">
        <v>46262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186.4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4116-2023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46262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661-2025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45716</v>
      </c>
      <c r="E630" s="1" t="n">
        <v>46262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3429-2025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45995</v>
      </c>
      <c r="E631" s="1" t="n">
        <v>46262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3576-2025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46010</v>
      </c>
      <c r="E632" s="1" t="n">
        <v>46262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105-2026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46036</v>
      </c>
      <c r="E633" s="1" t="n">
        <v>46262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238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2026-08-28T01:52:44Z</dcterms:created>
  <dcterms:modified xmlns:dcterms="http://purl.org/dc/terms/" xmlns:xsi="http://www.w3.org/2001/XMLSchema-instance" xsi:type="dcterms:W3CDTF">2026-08-28T01:52:45Z</dcterms:modified>
</cp:coreProperties>
</file>