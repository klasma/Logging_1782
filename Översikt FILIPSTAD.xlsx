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46226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46226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46226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46226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46226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46226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46226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46226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46226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46226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46226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Smålom</t>
        </is>
      </c>
      <c r="W20">
        <f>HYPERLINK("https://klasma.github.io/Logging_1782/artfynd/A 51103-2025 artfynd.xlsx", "A 51103-2025")</f>
        <v/>
      </c>
      <c r="X20">
        <f>HYPERLINK("https://klasma.github.io/Logging_1782/kartor/A 51103-2025 karta.png", "A 51103-2025")</f>
        <v/>
      </c>
      <c r="Y20">
        <f>HYPERLINK("https://klasma.github.io/Logging_1782/kartor_geotiff/A 51103-2025 georefererad karta.tif", "A 51103-2025")</f>
        <v/>
      </c>
      <c r="AA20">
        <f>HYPERLINK("https://klasma.github.io/Logging_1782/klagomål/A 51103-2025 FSC-klagomål.docx", "A 51103-2025")</f>
        <v/>
      </c>
      <c r="AB20">
        <f>HYPERLINK("https://klasma.github.io/Logging_1782/klagomålsmail/A 51103-2025 FSC-klagomål mail.docx", "A 51103-2025")</f>
        <v/>
      </c>
      <c r="AC20">
        <f>HYPERLINK("https://klasma.github.io/Logging_1782/tillsyn/A 51103-2025 tillsynsbegäran.docx", "A 51103-2025")</f>
        <v/>
      </c>
      <c r="AD20">
        <f>HYPERLINK("https://klasma.github.io/Logging_1782/tillsynsmail/A 51103-2025 tillsynsbegäran mail.docx", "A 51103-2025")</f>
        <v/>
      </c>
      <c r="AE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46226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46226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46226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46226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46226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3</v>
      </c>
      <c r="V25" s="2" t="inlineStr">
        <is>
          <t>Guckusko
Kransrams</t>
        </is>
      </c>
      <c r="W25">
        <f>HYPERLINK("https://klasma.github.io/Logging_1782/artfynd/A 19945-2023 artfynd.xlsx", "A 19945-2023")</f>
        <v/>
      </c>
      <c r="X25">
        <f>HYPERLINK("https://klasma.github.io/Logging_1782/kartor/A 19945-2023 karta.png", "A 19945-2023")</f>
        <v/>
      </c>
      <c r="Y25">
        <f>HYPERLINK("https://klasma.github.io/Logging_1782/kartor_geotiff/A 19945-2023 georefererad karta.tif", "A 19945-2023")</f>
        <v/>
      </c>
      <c r="AA25">
        <f>HYPERLINK("https://klasma.github.io/Logging_1782/klagomål/A 19945-2023 FSC-klagomål.docx", "A 19945-2023")</f>
        <v/>
      </c>
      <c r="AB25">
        <f>HYPERLINK("https://klasma.github.io/Logging_1782/klagomålsmail/A 19945-2023 FSC-klagomål mail.docx", "A 19945-2023")</f>
        <v/>
      </c>
      <c r="AC25">
        <f>HYPERLINK("https://klasma.github.io/Logging_1782/tillsyn/A 19945-2023 tillsynsbegäran.docx", "A 19945-2023")</f>
        <v/>
      </c>
      <c r="AD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46226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46226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46226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45781-2025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45923</v>
      </c>
      <c r="E29" s="1" t="n">
        <v>46226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Brunklöver</t>
        </is>
      </c>
      <c r="W29">
        <f>HYPERLINK("https://klasma.github.io/Logging_1782/artfynd/A 45781-2025 artfynd.xlsx", "A 45781-2025")</f>
        <v/>
      </c>
      <c r="X29">
        <f>HYPERLINK("https://klasma.github.io/Logging_1782/kartor/A 45781-2025 karta.png", "A 45781-2025")</f>
        <v/>
      </c>
      <c r="Y29">
        <f>HYPERLINK("https://klasma.github.io/Logging_1782/kartor_geotiff/A 45781-2025 georefererad karta.tif", "A 45781-2025")</f>
        <v/>
      </c>
      <c r="AA29">
        <f>HYPERLINK("https://klasma.github.io/Logging_1782/klagomål/A 45781-2025 FSC-klagomål.docx", "A 45781-2025")</f>
        <v/>
      </c>
      <c r="AB29">
        <f>HYPERLINK("https://klasma.github.io/Logging_1782/klagomålsmail/A 45781-2025 FSC-klagomål mail.docx", "A 45781-2025")</f>
        <v/>
      </c>
      <c r="AC29">
        <f>HYPERLINK("https://klasma.github.io/Logging_1782/tillsyn/A 45781-2025 tillsynsbegäran.docx", "A 45781-2025")</f>
        <v/>
      </c>
      <c r="AD29">
        <f>HYPERLINK("https://klasma.github.io/Logging_1782/tillsynsmail/A 45781-2025 tillsynsbegäran mail.docx", "A 45781-2025")</f>
        <v/>
      </c>
    </row>
    <row r="30" ht="15" customHeight="1">
      <c r="A30" t="inlineStr">
        <is>
          <t>A 874-2025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45665</v>
      </c>
      <c r="E30" s="1" t="n">
        <v>46226</v>
      </c>
      <c r="F30" t="inlineStr">
        <is>
          <t>VÄRMLANDS LÄN</t>
        </is>
      </c>
      <c r="G30" t="inlineStr">
        <is>
          <t>FILIPSTAD</t>
        </is>
      </c>
      <c r="H30" t="inlineStr">
        <is>
          <t>Kyrkan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Kamjordstjärna</t>
        </is>
      </c>
      <c r="W30">
        <f>HYPERLINK("https://klasma.github.io/Logging_1782/artfynd/A 874-2025 artfynd.xlsx", "A 874-2025")</f>
        <v/>
      </c>
      <c r="X30">
        <f>HYPERLINK("https://klasma.github.io/Logging_1782/kartor/A 874-2025 karta.png", "A 874-2025")</f>
        <v/>
      </c>
      <c r="Y30">
        <f>HYPERLINK("https://klasma.github.io/Logging_1782/kartor_geotiff/A 874-2025 georefererad karta.tif", "A 874-2025")</f>
        <v/>
      </c>
      <c r="AA30">
        <f>HYPERLINK("https://klasma.github.io/Logging_1782/klagomål/A 874-2025 FSC-klagomål.docx", "A 874-2025")</f>
        <v/>
      </c>
      <c r="AB30">
        <f>HYPERLINK("https://klasma.github.io/Logging_1782/klagomålsmail/A 874-2025 FSC-klagomål mail.docx", "A 874-2025")</f>
        <v/>
      </c>
      <c r="AC30">
        <f>HYPERLINK("https://klasma.github.io/Logging_1782/tillsyn/A 874-2025 tillsynsbegäran.docx", "A 874-2025")</f>
        <v/>
      </c>
      <c r="AD30">
        <f>HYPERLINK("https://klasma.github.io/Logging_1782/tillsynsmail/A 874-2025 tillsynsbegäran mail.docx", "A 874-2025")</f>
        <v/>
      </c>
    </row>
    <row r="31" ht="15" customHeight="1">
      <c r="A31" t="inlineStr">
        <is>
          <t>A 30652-2025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45831</v>
      </c>
      <c r="E31" s="1" t="n">
        <v>46226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HYPERLINK("https://klasma.github.io/Logging_1782/artfynd/A 30652-2025 artfynd.xlsx", "A 30652-2025")</f>
        <v/>
      </c>
      <c r="X31">
        <f>HYPERLINK("https://klasma.github.io/Logging_1782/kartor/A 30652-2025 karta.png", "A 30652-2025")</f>
        <v/>
      </c>
      <c r="Y31">
        <f>HYPERLINK("https://klasma.github.io/Logging_1782/kartor_geotiff/A 30652-2025 georefererad karta.tif", "A 30652-2025")</f>
        <v/>
      </c>
      <c r="AA31">
        <f>HYPERLINK("https://klasma.github.io/Logging_1782/klagomål/A 30652-2025 FSC-klagomål.docx", "A 30652-2025")</f>
        <v/>
      </c>
      <c r="AB31">
        <f>HYPERLINK("https://klasma.github.io/Logging_1782/klagomålsmail/A 30652-2025 FSC-klagomål mail.docx", "A 30652-2025")</f>
        <v/>
      </c>
      <c r="AC31">
        <f>HYPERLINK("https://klasma.github.io/Logging_1782/tillsyn/A 30652-2025 tillsynsbegäran.docx", "A 30652-2025")</f>
        <v/>
      </c>
      <c r="AD31">
        <f>HYPERLINK("https://klasma.github.io/Logging_1782/tillsynsmail/A 30652-2025 tillsynsbegäran mail.docx", "A 30652-2025")</f>
        <v/>
      </c>
      <c r="AE31">
        <f>HYPERLINK("https://klasma.github.io/Logging_1782/fåglar/A 30652-2025 prioriterade fågelarter.docx", "A 30652-2025")</f>
        <v/>
      </c>
    </row>
    <row r="32" ht="15" customHeight="1">
      <c r="A32" t="inlineStr">
        <is>
          <t>A 17529-2026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46226</v>
      </c>
      <c r="F32" t="inlineStr">
        <is>
          <t>VÄRMLANDS LÄN</t>
        </is>
      </c>
      <c r="G32" t="inlineStr">
        <is>
          <t>FILIPSTAD</t>
        </is>
      </c>
      <c r="I32" t="n">
        <v>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Ädellav</t>
        </is>
      </c>
      <c r="W32">
        <f>HYPERLINK("https://klasma.github.io/Logging_1782/artfynd/A 17529-2026 artfynd.xlsx", "A 17529-2026")</f>
        <v/>
      </c>
      <c r="X32">
        <f>HYPERLINK("https://klasma.github.io/Logging_1782/kartor/A 17529-2026 karta.png", "A 17529-2026")</f>
        <v/>
      </c>
      <c r="Y32">
        <f>HYPERLINK("https://klasma.github.io/Logging_1782/kartor_geotiff/A 17529-2026 georefererad karta.tif", "A 17529-2026")</f>
        <v/>
      </c>
      <c r="AA32">
        <f>HYPERLINK("https://klasma.github.io/Logging_1782/klagomål/A 17529-2026 FSC-klagomål.docx", "A 17529-2026")</f>
        <v/>
      </c>
      <c r="AB32">
        <f>HYPERLINK("https://klasma.github.io/Logging_1782/klagomålsmail/A 17529-2026 FSC-klagomål mail.docx", "A 17529-2026")</f>
        <v/>
      </c>
      <c r="AC32">
        <f>HYPERLINK("https://klasma.github.io/Logging_1782/tillsyn/A 17529-2026 tillsynsbegäran.docx", "A 17529-2026")</f>
        <v/>
      </c>
      <c r="AD32">
        <f>HYPERLINK("https://klasma.github.io/Logging_1782/tillsynsmail/A 17529-2026 tillsynsbegäran mail.docx", "A 17529-2026")</f>
        <v/>
      </c>
    </row>
    <row r="33" ht="15" customHeight="1">
      <c r="A33" t="inlineStr">
        <is>
          <t>A 38140-2024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46226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HYPERLINK("https://klasma.github.io/Logging_1782/artfynd/A 38140-2024 artfynd.xlsx", "A 38140-2024")</f>
        <v/>
      </c>
      <c r="X33">
        <f>HYPERLINK("https://klasma.github.io/Logging_1782/kartor/A 38140-2024 karta.png", "A 38140-2024")</f>
        <v/>
      </c>
      <c r="Y33">
        <f>HYPERLINK("https://klasma.github.io/Logging_1782/kartor_geotiff/A 38140-2024 georefererad karta.tif", "A 38140-2024")</f>
        <v/>
      </c>
      <c r="AA33">
        <f>HYPERLINK("https://klasma.github.io/Logging_1782/klagomål/A 38140-2024 FSC-klagomål.docx", "A 38140-2024")</f>
        <v/>
      </c>
      <c r="AB33">
        <f>HYPERLINK("https://klasma.github.io/Logging_1782/klagomålsmail/A 38140-2024 FSC-klagomål mail.docx", "A 38140-2024")</f>
        <v/>
      </c>
      <c r="AC33">
        <f>HYPERLINK("https://klasma.github.io/Logging_1782/tillsyn/A 38140-2024 tillsynsbegäran.docx", "A 38140-2024")</f>
        <v/>
      </c>
      <c r="AD33">
        <f>HYPERLINK("https://klasma.github.io/Logging_1782/tillsynsmail/A 38140-2024 tillsynsbegäran mail.docx", "A 38140-2024")</f>
        <v/>
      </c>
    </row>
    <row r="34" ht="15" customHeight="1">
      <c r="A34" t="inlineStr">
        <is>
          <t>A 58734-2025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46226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18.2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Tretåig hackspett</t>
        </is>
      </c>
      <c r="W34">
        <f>HYPERLINK("https://klasma.github.io/Logging_1782/artfynd/A 58734-2025 artfynd.xlsx", "A 58734-2025")</f>
        <v/>
      </c>
      <c r="X34">
        <f>HYPERLINK("https://klasma.github.io/Logging_1782/kartor/A 58734-2025 karta.png", "A 58734-2025")</f>
        <v/>
      </c>
      <c r="Y34">
        <f>HYPERLINK("https://klasma.github.io/Logging_1782/kartor_geotiff/A 58734-2025 georefererad karta.tif", "A 58734-2025")</f>
        <v/>
      </c>
      <c r="AA34">
        <f>HYPERLINK("https://klasma.github.io/Logging_1782/klagomål/A 58734-2025 FSC-klagomål.docx", "A 58734-2025")</f>
        <v/>
      </c>
      <c r="AB34">
        <f>HYPERLINK("https://klasma.github.io/Logging_1782/klagomålsmail/A 58734-2025 FSC-klagomål mail.docx", "A 58734-2025")</f>
        <v/>
      </c>
      <c r="AC34">
        <f>HYPERLINK("https://klasma.github.io/Logging_1782/tillsyn/A 58734-2025 tillsynsbegäran.docx", "A 58734-2025")</f>
        <v/>
      </c>
      <c r="AD34">
        <f>HYPERLINK("https://klasma.github.io/Logging_1782/tillsynsmail/A 58734-2025 tillsynsbegäran mail.docx", "A 58734-2025")</f>
        <v/>
      </c>
      <c r="AE34">
        <f>HYPERLINK("https://klasma.github.io/Logging_1782/fåglar/A 58734-2025 prioriterade fågelarter.docx", "A 58734-2025")</f>
        <v/>
      </c>
    </row>
    <row r="35" ht="15" customHeight="1">
      <c r="A35" t="inlineStr">
        <is>
          <t>A 4560-2025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46226</v>
      </c>
      <c r="F35" t="inlineStr">
        <is>
          <t>VÄRMLANDS LÄN</t>
        </is>
      </c>
      <c r="G35" t="inlineStr">
        <is>
          <t>FILIPSTAD</t>
        </is>
      </c>
      <c r="I35" t="n">
        <v>13.6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HYPERLINK("https://klasma.github.io/Logging_1782/artfynd/A 4560-2025 artfynd.xlsx", "A 4560-2025")</f>
        <v/>
      </c>
      <c r="X35">
        <f>HYPERLINK("https://klasma.github.io/Logging_1782/kartor/A 4560-2025 karta.png", "A 4560-2025")</f>
        <v/>
      </c>
      <c r="Y35">
        <f>HYPERLINK("https://klasma.github.io/Logging_1782/kartor_geotiff/A 4560-2025 georefererad karta.tif", "A 4560-2025")</f>
        <v/>
      </c>
      <c r="AA35">
        <f>HYPERLINK("https://klasma.github.io/Logging_1782/klagomål/A 4560-2025 FSC-klagomål.docx", "A 4560-2025")</f>
        <v/>
      </c>
      <c r="AB35">
        <f>HYPERLINK("https://klasma.github.io/Logging_1782/klagomålsmail/A 4560-2025 FSC-klagomål mail.docx", "A 4560-2025")</f>
        <v/>
      </c>
      <c r="AC35">
        <f>HYPERLINK("https://klasma.github.io/Logging_1782/tillsyn/A 4560-2025 tillsynsbegäran.docx", "A 4560-2025")</f>
        <v/>
      </c>
      <c r="AD35">
        <f>HYPERLINK("https://klasma.github.io/Logging_1782/tillsynsmail/A 4560-2025 tillsynsbegäran mail.docx", "A 4560-2025")</f>
        <v/>
      </c>
    </row>
    <row r="36" ht="15" customHeight="1">
      <c r="A36" t="inlineStr">
        <is>
          <t>A 28915-2026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46226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HYPERLINK("https://klasma.github.io/Logging_1782/artfynd/A 28915-2026 artfynd.xlsx", "A 28915-2026")</f>
        <v/>
      </c>
      <c r="X36">
        <f>HYPERLINK("https://klasma.github.io/Logging_1782/kartor/A 28915-2026 karta.png", "A 28915-2026")</f>
        <v/>
      </c>
      <c r="Y36">
        <f>HYPERLINK("https://klasma.github.io/Logging_1782/kartor_geotiff/A 28915-2026 georefererad karta.tif", "A 28915-2026")</f>
        <v/>
      </c>
      <c r="AA36">
        <f>HYPERLINK("https://klasma.github.io/Logging_1782/klagomål/A 28915-2026 FSC-klagomål.docx", "A 28915-2026")</f>
        <v/>
      </c>
      <c r="AB36">
        <f>HYPERLINK("https://klasma.github.io/Logging_1782/klagomålsmail/A 28915-2026 FSC-klagomål mail.docx", "A 28915-2026")</f>
        <v/>
      </c>
      <c r="AC36">
        <f>HYPERLINK("https://klasma.github.io/Logging_1782/tillsyn/A 28915-2026 tillsynsbegäran.docx", "A 28915-2026")</f>
        <v/>
      </c>
      <c r="AD36">
        <f>HYPERLINK("https://klasma.github.io/Logging_1782/tillsynsmail/A 28915-2026 tillsynsbegäran mail.docx", "A 28915-2026")</f>
        <v/>
      </c>
    </row>
    <row r="37" ht="15" customHeight="1">
      <c r="A37" t="inlineStr">
        <is>
          <t>A 31257-2026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46218</v>
      </c>
      <c r="E37" s="1" t="n">
        <v>46226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10.2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Gräsull</t>
        </is>
      </c>
      <c r="W37">
        <f>HYPERLINK("https://klasma.github.io/Logging_1782/artfynd/A 31257-2026 artfynd.xlsx", "A 31257-2026")</f>
        <v/>
      </c>
      <c r="X37">
        <f>HYPERLINK("https://klasma.github.io/Logging_1782/kartor/A 31257-2026 karta.png", "A 31257-2026")</f>
        <v/>
      </c>
      <c r="Y37">
        <f>HYPERLINK("https://klasma.github.io/Logging_1782/kartor_geotiff/A 31257-2026 georefererad karta.tif", "A 31257-2026")</f>
        <v/>
      </c>
      <c r="AA37">
        <f>HYPERLINK("https://klasma.github.io/Logging_1782/klagomål/A 31257-2026 FSC-klagomål.docx", "A 31257-2026")</f>
        <v/>
      </c>
      <c r="AB37">
        <f>HYPERLINK("https://klasma.github.io/Logging_1782/klagomålsmail/A 31257-2026 FSC-klagomål mail.docx", "A 31257-2026")</f>
        <v/>
      </c>
      <c r="AC37">
        <f>HYPERLINK("https://klasma.github.io/Logging_1782/tillsyn/A 31257-2026 tillsynsbegäran.docx", "A 31257-2026")</f>
        <v/>
      </c>
      <c r="AD37">
        <f>HYPERLINK("https://klasma.github.io/Logging_1782/tillsynsmail/A 31257-2026 tillsynsbegäran mail.docx", "A 31257-2026")</f>
        <v/>
      </c>
    </row>
    <row r="38" ht="15" customHeight="1">
      <c r="A38" t="inlineStr">
        <is>
          <t>A 25862-2026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46226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Talltaggsvamp</t>
        </is>
      </c>
      <c r="W38">
        <f>HYPERLINK("https://klasma.github.io/Logging_1782/artfynd/A 25862-2026 artfynd.xlsx", "A 25862-2026")</f>
        <v/>
      </c>
      <c r="X38">
        <f>HYPERLINK("https://klasma.github.io/Logging_1782/kartor/A 25862-2026 karta.png", "A 25862-2026")</f>
        <v/>
      </c>
      <c r="Y38">
        <f>HYPERLINK("https://klasma.github.io/Logging_1782/kartor_geotiff/A 25862-2026 georefererad karta.tif", "A 25862-2026")</f>
        <v/>
      </c>
      <c r="AA38">
        <f>HYPERLINK("https://klasma.github.io/Logging_1782/klagomål/A 25862-2026 FSC-klagomål.docx", "A 25862-2026")</f>
        <v/>
      </c>
      <c r="AB38">
        <f>HYPERLINK("https://klasma.github.io/Logging_1782/klagomålsmail/A 25862-2026 FSC-klagomål mail.docx", "A 25862-2026")</f>
        <v/>
      </c>
      <c r="AC38">
        <f>HYPERLINK("https://klasma.github.io/Logging_1782/tillsyn/A 25862-2026 tillsynsbegäran.docx", "A 25862-2026")</f>
        <v/>
      </c>
      <c r="AD38">
        <f>HYPERLINK("https://klasma.github.io/Logging_1782/tillsynsmail/A 25862-2026 tillsynsbegäran mail.docx", "A 25862-2026")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46226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34145-2024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45524</v>
      </c>
      <c r="E40" s="1" t="n">
        <v>46226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Brunklöver</t>
        </is>
      </c>
      <c r="W40">
        <f>HYPERLINK("https://klasma.github.io/Logging_1782/artfynd/A 34145-2024 artfynd.xlsx", "A 34145-2024")</f>
        <v/>
      </c>
      <c r="X40">
        <f>HYPERLINK("https://klasma.github.io/Logging_1782/kartor/A 34145-2024 karta.png", "A 34145-2024")</f>
        <v/>
      </c>
      <c r="Y40">
        <f>HYPERLINK("https://klasma.github.io/Logging_1782/kartor_geotiff/A 34145-2024 georefererad karta.tif", "A 34145-2024")</f>
        <v/>
      </c>
      <c r="AA40">
        <f>HYPERLINK("https://klasma.github.io/Logging_1782/klagomål/A 34145-2024 FSC-klagomål.docx", "A 34145-2024")</f>
        <v/>
      </c>
      <c r="AB40">
        <f>HYPERLINK("https://klasma.github.io/Logging_1782/klagomålsmail/A 34145-2024 FSC-klagomål mail.docx", "A 34145-2024")</f>
        <v/>
      </c>
      <c r="AC40">
        <f>HYPERLINK("https://klasma.github.io/Logging_1782/tillsyn/A 34145-2024 tillsynsbegäran.docx", "A 34145-2024")</f>
        <v/>
      </c>
      <c r="AD40">
        <f>HYPERLINK("https://klasma.github.io/Logging_1782/tillsynsmail/A 34145-2024 tillsynsbegäran mail.docx", "A 34145-2024")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46226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46226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46226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25916-2025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45804</v>
      </c>
      <c r="E44" s="1" t="n">
        <v>46226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26.4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HYPERLINK("https://klasma.github.io/Logging_1782/artfynd/A 25916-2025 artfynd.xlsx", "A 25916-2025")</f>
        <v/>
      </c>
      <c r="X44">
        <f>HYPERLINK("https://klasma.github.io/Logging_1782/kartor/A 25916-2025 karta.png", "A 25916-2025")</f>
        <v/>
      </c>
      <c r="Y44">
        <f>HYPERLINK("https://klasma.github.io/Logging_1782/kartor_geotiff/A 25916-2025 georefererad karta.tif", "A 25916-2025")</f>
        <v/>
      </c>
      <c r="AA44">
        <f>HYPERLINK("https://klasma.github.io/Logging_1782/klagomål/A 25916-2025 FSC-klagomål.docx", "A 25916-2025")</f>
        <v/>
      </c>
      <c r="AB44">
        <f>HYPERLINK("https://klasma.github.io/Logging_1782/klagomålsmail/A 25916-2025 FSC-klagomål mail.docx", "A 25916-2025")</f>
        <v/>
      </c>
      <c r="AC44">
        <f>HYPERLINK("https://klasma.github.io/Logging_1782/tillsyn/A 25916-2025 tillsynsbegäran.docx", "A 25916-2025")</f>
        <v/>
      </c>
      <c r="AD44">
        <f>HYPERLINK("https://klasma.github.io/Logging_1782/tillsynsmail/A 25916-2025 tillsynsbegäran mail.docx", "A 25916-2025")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46226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46226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46226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46226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46226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46226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46226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46226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46226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46226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46226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46226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46226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46226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46226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46226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46226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46226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46226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46226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46226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46226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46226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46226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46226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46226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46226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46226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46226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9270-2023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44980</v>
      </c>
      <c r="E78" s="1" t="n">
        <v>46226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46226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46226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46226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46226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12247-2022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44637</v>
      </c>
      <c r="E83" s="1" t="n">
        <v>46226</v>
      </c>
      <c r="F83" t="inlineStr">
        <is>
          <t>VÄRMLANDS LÄN</t>
        </is>
      </c>
      <c r="G83" t="inlineStr">
        <is>
          <t>FILIPSTAD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25737-2023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45090</v>
      </c>
      <c r="E84" s="1" t="n">
        <v>46226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46226</v>
      </c>
      <c r="F85" t="inlineStr">
        <is>
          <t>VÄRMLANDS LÄN</t>
        </is>
      </c>
      <c r="G85" t="inlineStr">
        <is>
          <t>FILIPSTAD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44963</v>
      </c>
      <c r="E86" s="1" t="n">
        <v>46226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17788-2024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45418</v>
      </c>
      <c r="E87" s="1" t="n">
        <v>46226</v>
      </c>
      <c r="F87" t="inlineStr">
        <is>
          <t>VÄRMLANDS LÄN</t>
        </is>
      </c>
      <c r="G87" t="inlineStr">
        <is>
          <t>FILIPSTAD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45159</v>
      </c>
      <c r="E88" s="1" t="n">
        <v>46226</v>
      </c>
      <c r="F88" t="inlineStr">
        <is>
          <t>VÄRMLANDS LÄN</t>
        </is>
      </c>
      <c r="G88" t="inlineStr">
        <is>
          <t>FILIPSTAD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45578</v>
      </c>
      <c r="E89" s="1" t="n">
        <v>46226</v>
      </c>
      <c r="F89" t="inlineStr">
        <is>
          <t>VÄRMLANDS LÄN</t>
        </is>
      </c>
      <c r="G89" t="inlineStr">
        <is>
          <t>FILIPSTAD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27789-2022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44743</v>
      </c>
      <c r="E90" s="1" t="n">
        <v>46226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46226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14582-2025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45742</v>
      </c>
      <c r="E92" s="1" t="n">
        <v>46226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45771</v>
      </c>
      <c r="E93" s="1" t="n">
        <v>46226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27107-2024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46226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46226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44876</v>
      </c>
      <c r="E96" s="1" t="n">
        <v>46226</v>
      </c>
      <c r="F96" t="inlineStr">
        <is>
          <t>VÄRMLANDS LÄN</t>
        </is>
      </c>
      <c r="G96" t="inlineStr">
        <is>
          <t>FILIPSTAD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55978-2022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44889</v>
      </c>
      <c r="E97" s="1" t="n">
        <v>46226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46226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45567</v>
      </c>
      <c r="E99" s="1" t="n">
        <v>46226</v>
      </c>
      <c r="F99" t="inlineStr">
        <is>
          <t>VÄRMLANDS LÄN</t>
        </is>
      </c>
      <c r="G99" t="inlineStr">
        <is>
          <t>FILIPSTAD</t>
        </is>
      </c>
      <c r="H99" t="inlineStr">
        <is>
          <t>Kyrkan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46226</v>
      </c>
      <c r="F100" t="inlineStr">
        <is>
          <t>VÄRMLANDS LÄN</t>
        </is>
      </c>
      <c r="G100" t="inlineStr">
        <is>
          <t>FILIPSTAD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44445</v>
      </c>
      <c r="E101" s="1" t="n">
        <v>46226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46226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46226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46226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46226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37945-2024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45544</v>
      </c>
      <c r="E106" s="1" t="n">
        <v>46226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46226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51985-2023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45223</v>
      </c>
      <c r="E108" s="1" t="n">
        <v>46226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45153</v>
      </c>
      <c r="E109" s="1" t="n">
        <v>46226</v>
      </c>
      <c r="F109" t="inlineStr">
        <is>
          <t>VÄRMLANDS LÄN</t>
        </is>
      </c>
      <c r="G109" t="inlineStr">
        <is>
          <t>FILIPSTAD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44684</v>
      </c>
      <c r="E110" s="1" t="n">
        <v>46226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41983-2023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46226</v>
      </c>
      <c r="F111" t="inlineStr">
        <is>
          <t>VÄRMLANDS LÄN</t>
        </is>
      </c>
      <c r="G111" t="inlineStr">
        <is>
          <t>FILIPSTAD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46226</v>
      </c>
      <c r="F112" t="inlineStr">
        <is>
          <t>VÄRMLANDS LÄN</t>
        </is>
      </c>
      <c r="G112" t="inlineStr">
        <is>
          <t>FILIPSTAD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46226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26599-2024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45469</v>
      </c>
      <c r="E114" s="1" t="n">
        <v>46226</v>
      </c>
      <c r="F114" t="inlineStr">
        <is>
          <t>VÄRMLANDS LÄN</t>
        </is>
      </c>
      <c r="G114" t="inlineStr">
        <is>
          <t>FILIPSTAD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46226</v>
      </c>
      <c r="F115" t="inlineStr">
        <is>
          <t>VÄRMLANDS LÄN</t>
        </is>
      </c>
      <c r="G115" t="inlineStr">
        <is>
          <t>FILIPSTAD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46226</v>
      </c>
      <c r="F116" t="inlineStr">
        <is>
          <t>VÄRMLANDS LÄN</t>
        </is>
      </c>
      <c r="G116" t="inlineStr">
        <is>
          <t>FILIPSTAD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46226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50856-2022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44867</v>
      </c>
      <c r="E118" s="1" t="n">
        <v>46226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8139-2026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46064</v>
      </c>
      <c r="E119" s="1" t="n">
        <v>46226</v>
      </c>
      <c r="F119" t="inlineStr">
        <is>
          <t>VÄRMLANDS LÄN</t>
        </is>
      </c>
      <c r="G119" t="inlineStr">
        <is>
          <t>FILIPSTAD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21608-2023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45063</v>
      </c>
      <c r="E120" s="1" t="n">
        <v>46226</v>
      </c>
      <c r="F120" t="inlineStr">
        <is>
          <t>VÄRMLANDS LÄN</t>
        </is>
      </c>
      <c r="G120" t="inlineStr">
        <is>
          <t>FILIPSTAD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46226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46076</v>
      </c>
      <c r="E122" s="1" t="n">
        <v>46226</v>
      </c>
      <c r="F122" t="inlineStr">
        <is>
          <t>VÄRMLANDS LÄN</t>
        </is>
      </c>
      <c r="G122" t="inlineStr">
        <is>
          <t>FILIPSTAD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45245</v>
      </c>
      <c r="E123" s="1" t="n">
        <v>46226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46226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8.1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46226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45825</v>
      </c>
      <c r="E126" s="1" t="n">
        <v>46226</v>
      </c>
      <c r="F126" t="inlineStr">
        <is>
          <t>VÄRMLANDS LÄN</t>
        </is>
      </c>
      <c r="G126" t="inlineStr">
        <is>
          <t>FILIPSTAD</t>
        </is>
      </c>
      <c r="I126" t="n">
        <v>23.3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41718-2025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45902</v>
      </c>
      <c r="E127" s="1" t="n">
        <v>46226</v>
      </c>
      <c r="F127" t="inlineStr">
        <is>
          <t>VÄRMLANDS LÄN</t>
        </is>
      </c>
      <c r="G127" t="inlineStr">
        <is>
          <t>FILIPSTAD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46226</v>
      </c>
      <c r="F128" t="inlineStr">
        <is>
          <t>VÄRMLANDS LÄN</t>
        </is>
      </c>
      <c r="G128" t="inlineStr">
        <is>
          <t>FILIPSTAD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12491-2026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46226</v>
      </c>
      <c r="F129" t="inlineStr">
        <is>
          <t>VÄRMLANDS LÄN</t>
        </is>
      </c>
      <c r="G129" t="inlineStr">
        <is>
          <t>FILIPSTAD</t>
        </is>
      </c>
      <c r="I129" t="n">
        <v>8.6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46226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12216-2026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46087</v>
      </c>
      <c r="E131" s="1" t="n">
        <v>46226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46226</v>
      </c>
      <c r="F132" t="inlineStr">
        <is>
          <t>VÄRMLANDS LÄN</t>
        </is>
      </c>
      <c r="G132" t="inlineStr">
        <is>
          <t>FILIPSTAD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12498-2026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46090</v>
      </c>
      <c r="E133" s="1" t="n">
        <v>46226</v>
      </c>
      <c r="F133" t="inlineStr">
        <is>
          <t>VÄRMLANDS LÄN</t>
        </is>
      </c>
      <c r="G133" t="inlineStr">
        <is>
          <t>FILIPSTAD</t>
        </is>
      </c>
      <c r="I133" t="n">
        <v>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45643</v>
      </c>
      <c r="E134" s="1" t="n">
        <v>46226</v>
      </c>
      <c r="F134" t="inlineStr">
        <is>
          <t>VÄRMLANDS LÄN</t>
        </is>
      </c>
      <c r="G134" t="inlineStr">
        <is>
          <t>FILIPSTAD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46092</v>
      </c>
      <c r="E135" s="1" t="n">
        <v>46226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45106</v>
      </c>
      <c r="E136" s="1" t="n">
        <v>46226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46092</v>
      </c>
      <c r="E137" s="1" t="n">
        <v>46226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45826</v>
      </c>
      <c r="E138" s="1" t="n">
        <v>46226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46226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13553-2026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46226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46226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46226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46226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45827</v>
      </c>
      <c r="E144" s="1" t="n">
        <v>46226</v>
      </c>
      <c r="F144" t="inlineStr">
        <is>
          <t>VÄRMLANDS LÄN</t>
        </is>
      </c>
      <c r="G144" t="inlineStr">
        <is>
          <t>FILIPSTAD</t>
        </is>
      </c>
      <c r="H144" t="inlineStr">
        <is>
          <t>Kyrkan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13387-2026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46226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46226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13955-2026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46098</v>
      </c>
      <c r="E147" s="1" t="n">
        <v>46226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46226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14315-2026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46226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46226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46226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15644-2026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46226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33368-2022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44788</v>
      </c>
      <c r="E153" s="1" t="n">
        <v>46226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46226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18999-2024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45427</v>
      </c>
      <c r="E155" s="1" t="n">
        <v>46226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46226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46226</v>
      </c>
      <c r="F157" t="inlineStr">
        <is>
          <t>VÄRMLANDS LÄN</t>
        </is>
      </c>
      <c r="G157" t="inlineStr">
        <is>
          <t>FILIPSTAD</t>
        </is>
      </c>
      <c r="H157" t="inlineStr">
        <is>
          <t>Kyrkan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46282-2025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45925</v>
      </c>
      <c r="E158" s="1" t="n">
        <v>46226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29825-2023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45107</v>
      </c>
      <c r="E159" s="1" t="n">
        <v>46226</v>
      </c>
      <c r="F159" t="inlineStr">
        <is>
          <t>VÄRMLANDS LÄN</t>
        </is>
      </c>
      <c r="G159" t="inlineStr">
        <is>
          <t>FILIPSTAD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46226</v>
      </c>
      <c r="F160" t="inlineStr">
        <is>
          <t>VÄRMLANDS LÄN</t>
        </is>
      </c>
      <c r="G160" t="inlineStr">
        <is>
          <t>FILIPSTAD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46226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46906-2025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45929</v>
      </c>
      <c r="E162" s="1" t="n">
        <v>46226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16009-2026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46226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46226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46226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46226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47633-2025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46226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46226</v>
      </c>
      <c r="F168" t="inlineStr">
        <is>
          <t>VÄRMLANDS LÄN</t>
        </is>
      </c>
      <c r="G168" t="inlineStr">
        <is>
          <t>FILIPSTAD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16050-2026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46108</v>
      </c>
      <c r="E169" s="1" t="n">
        <v>46226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16040-2026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46108</v>
      </c>
      <c r="E170" s="1" t="n">
        <v>46226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31172-2025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45832</v>
      </c>
      <c r="E171" s="1" t="n">
        <v>46226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45932</v>
      </c>
      <c r="E172" s="1" t="n">
        <v>46226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45114</v>
      </c>
      <c r="E173" s="1" t="n">
        <v>46226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48103-2025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45933</v>
      </c>
      <c r="E174" s="1" t="n">
        <v>46226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46114</v>
      </c>
      <c r="E175" s="1" t="n">
        <v>46226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46226</v>
      </c>
      <c r="F176" t="inlineStr">
        <is>
          <t>VÄRMLANDS LÄN</t>
        </is>
      </c>
      <c r="G176" t="inlineStr">
        <is>
          <t>FILIPSTAD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17278-2026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46226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46119</v>
      </c>
      <c r="E178" s="1" t="n">
        <v>46226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32032-2025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45835</v>
      </c>
      <c r="E179" s="1" t="n">
        <v>46226</v>
      </c>
      <c r="F179" t="inlineStr">
        <is>
          <t>VÄRMLANDS LÄN</t>
        </is>
      </c>
      <c r="G179" t="inlineStr">
        <is>
          <t>FILIPSTAD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17292-2026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46119</v>
      </c>
      <c r="E180" s="1" t="n">
        <v>46226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17531-2026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46120</v>
      </c>
      <c r="E181" s="1" t="n">
        <v>46226</v>
      </c>
      <c r="F181" t="inlineStr">
        <is>
          <t>VÄRMLANDS LÄN</t>
        </is>
      </c>
      <c r="G181" t="inlineStr">
        <is>
          <t>FILIPSTAD</t>
        </is>
      </c>
      <c r="I181" t="n">
        <v>9.699999999999999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46226</v>
      </c>
      <c r="F182" t="inlineStr">
        <is>
          <t>VÄRMLANDS LÄN</t>
        </is>
      </c>
      <c r="G182" t="inlineStr">
        <is>
          <t>FILIPSTAD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17949-2026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46226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46226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17900-2026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46122</v>
      </c>
      <c r="E185" s="1" t="n">
        <v>46226</v>
      </c>
      <c r="F185" t="inlineStr">
        <is>
          <t>VÄRMLANDS LÄN</t>
        </is>
      </c>
      <c r="G185" t="inlineStr">
        <is>
          <t>FILIPSTAD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17931-2026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46122</v>
      </c>
      <c r="E186" s="1" t="n">
        <v>46226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46226</v>
      </c>
      <c r="F187" t="inlineStr">
        <is>
          <t>VÄRMLANDS LÄN</t>
        </is>
      </c>
      <c r="G187" t="inlineStr">
        <is>
          <t>FILIPSTAD</t>
        </is>
      </c>
      <c r="I187" t="n">
        <v>18.7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46226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46226</v>
      </c>
      <c r="F189" t="inlineStr">
        <is>
          <t>VÄRMLANDS LÄN</t>
        </is>
      </c>
      <c r="G189" t="inlineStr">
        <is>
          <t>FILIPSTAD</t>
        </is>
      </c>
      <c r="H189" t="inlineStr">
        <is>
          <t>Kommuner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45943</v>
      </c>
      <c r="E190" s="1" t="n">
        <v>46226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46226</v>
      </c>
      <c r="F191" t="inlineStr">
        <is>
          <t>VÄRMLANDS LÄN</t>
        </is>
      </c>
      <c r="G191" t="inlineStr">
        <is>
          <t>FILIPSTAD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50195-2025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46226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46226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46226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46226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46226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18969-2026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46129</v>
      </c>
      <c r="E197" s="1" t="n">
        <v>46226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18443-2026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46226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46226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46226</v>
      </c>
      <c r="F200" t="inlineStr">
        <is>
          <t>VÄRMLANDS LÄN</t>
        </is>
      </c>
      <c r="G200" t="inlineStr">
        <is>
          <t>FILIPSTAD</t>
        </is>
      </c>
      <c r="H200" t="inlineStr">
        <is>
          <t>Kyrkan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46226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51031-2025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45947</v>
      </c>
      <c r="E202" s="1" t="n">
        <v>46226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46129</v>
      </c>
      <c r="E203" s="1" t="n">
        <v>46226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46226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46226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46226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44951</v>
      </c>
      <c r="E207" s="1" t="n">
        <v>46226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45180</v>
      </c>
      <c r="E208" s="1" t="n">
        <v>46226</v>
      </c>
      <c r="F208" t="inlineStr">
        <is>
          <t>VÄRMLANDS LÄN</t>
        </is>
      </c>
      <c r="G208" t="inlineStr">
        <is>
          <t>FILIPSTAD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18445-2026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46226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22830-2023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45072</v>
      </c>
      <c r="E210" s="1" t="n">
        <v>46226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22866-2023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45072</v>
      </c>
      <c r="E211" s="1" t="n">
        <v>46226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51790-2025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46226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46127</v>
      </c>
      <c r="E213" s="1" t="n">
        <v>46226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6.1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46128</v>
      </c>
      <c r="E214" s="1" t="n">
        <v>46226</v>
      </c>
      <c r="F214" t="inlineStr">
        <is>
          <t>VÄRMLANDS LÄN</t>
        </is>
      </c>
      <c r="G214" t="inlineStr">
        <is>
          <t>FILIPSTAD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46226</v>
      </c>
      <c r="F215" t="inlineStr">
        <is>
          <t>VÄRMLANDS LÄN</t>
        </is>
      </c>
      <c r="G215" t="inlineStr">
        <is>
          <t>FILIPSTAD</t>
        </is>
      </c>
      <c r="H215" t="inlineStr">
        <is>
          <t>Kommuner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46226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45688</v>
      </c>
      <c r="E217" s="1" t="n">
        <v>46226</v>
      </c>
      <c r="F217" t="inlineStr">
        <is>
          <t>VÄRMLANDS LÄN</t>
        </is>
      </c>
      <c r="G217" t="inlineStr">
        <is>
          <t>FILIPSTAD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19361-2026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46226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46226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33407-2025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45841</v>
      </c>
      <c r="E220" s="1" t="n">
        <v>46226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19435-2026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46226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46226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46226</v>
      </c>
      <c r="F223" t="inlineStr">
        <is>
          <t>VÄRMLANDS LÄN</t>
        </is>
      </c>
      <c r="G223" t="inlineStr">
        <is>
          <t>FILIPSTAD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46135</v>
      </c>
      <c r="E224" s="1" t="n">
        <v>46226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46226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40244-2023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46226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46226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46226</v>
      </c>
      <c r="F228" t="inlineStr">
        <is>
          <t>VÄRMLANDS LÄN</t>
        </is>
      </c>
      <c r="G228" t="inlineStr">
        <is>
          <t>FILIPSTAD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46135</v>
      </c>
      <c r="E229" s="1" t="n">
        <v>46226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19669-2026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46134</v>
      </c>
      <c r="E230" s="1" t="n">
        <v>46226</v>
      </c>
      <c r="F230" t="inlineStr">
        <is>
          <t>VÄRMLANDS LÄN</t>
        </is>
      </c>
      <c r="G230" t="inlineStr">
        <is>
          <t>FILIPSTAD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19833-2026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46135</v>
      </c>
      <c r="E231" s="1" t="n">
        <v>46226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46226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45959</v>
      </c>
      <c r="E233" s="1" t="n">
        <v>46226</v>
      </c>
      <c r="F233" t="inlineStr">
        <is>
          <t>VÄRMLANDS LÄN</t>
        </is>
      </c>
      <c r="G233" t="inlineStr">
        <is>
          <t>FILIPSTAD</t>
        </is>
      </c>
      <c r="H233" t="inlineStr">
        <is>
          <t>Kyrkan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45960</v>
      </c>
      <c r="E234" s="1" t="n">
        <v>46226</v>
      </c>
      <c r="F234" t="inlineStr">
        <is>
          <t>VÄRMLANDS LÄN</t>
        </is>
      </c>
      <c r="G234" t="inlineStr">
        <is>
          <t>FILIPSTAD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53575-2025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46226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54080-2025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45964</v>
      </c>
      <c r="E236" s="1" t="n">
        <v>46226</v>
      </c>
      <c r="F236" t="inlineStr">
        <is>
          <t>VÄRMLANDS LÄN</t>
        </is>
      </c>
      <c r="G236" t="inlineStr">
        <is>
          <t>FILIPSTAD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45960</v>
      </c>
      <c r="E237" s="1" t="n">
        <v>46226</v>
      </c>
      <c r="F237" t="inlineStr">
        <is>
          <t>VÄRMLANDS LÄN</t>
        </is>
      </c>
      <c r="G237" t="inlineStr">
        <is>
          <t>FILIPSTAD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54328-2025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46226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38075-2025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45882</v>
      </c>
      <c r="E239" s="1" t="n">
        <v>46226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44896</v>
      </c>
      <c r="E240" s="1" t="n">
        <v>46226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45664</v>
      </c>
      <c r="E241" s="1" t="n">
        <v>46226</v>
      </c>
      <c r="F241" t="inlineStr">
        <is>
          <t>VÄRMLANDS LÄN</t>
        </is>
      </c>
      <c r="G241" t="inlineStr">
        <is>
          <t>FILIPSTAD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45896</v>
      </c>
      <c r="E242" s="1" t="n">
        <v>46226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46226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55173-2025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45968</v>
      </c>
      <c r="E244" s="1" t="n">
        <v>46226</v>
      </c>
      <c r="F244" t="inlineStr">
        <is>
          <t>VÄRMLANDS LÄN</t>
        </is>
      </c>
      <c r="G244" t="inlineStr">
        <is>
          <t>FILIPSTAD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55175-2025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45968</v>
      </c>
      <c r="E245" s="1" t="n">
        <v>46226</v>
      </c>
      <c r="F245" t="inlineStr">
        <is>
          <t>VÄRMLANDS LÄN</t>
        </is>
      </c>
      <c r="G245" t="inlineStr">
        <is>
          <t>FILIPSTAD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46226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46226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8.699999999999999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55514-2025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46226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46226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56008-2025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46226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46226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46226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45973</v>
      </c>
      <c r="E253" s="1" t="n">
        <v>46226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56045-2025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46226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20045-2026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46226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43634-2021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44433</v>
      </c>
      <c r="E256" s="1" t="n">
        <v>46226</v>
      </c>
      <c r="F256" t="inlineStr">
        <is>
          <t>VÄRMLANDS LÄN</t>
        </is>
      </c>
      <c r="G256" t="inlineStr">
        <is>
          <t>FILIPSTAD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56037-2025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45973</v>
      </c>
      <c r="E257" s="1" t="n">
        <v>46226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45973</v>
      </c>
      <c r="E258" s="1" t="n">
        <v>46226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46226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19351-2025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45769</v>
      </c>
      <c r="E260" s="1" t="n">
        <v>46226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46226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8.300000000000001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18210-2024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45420</v>
      </c>
      <c r="E262" s="1" t="n">
        <v>46226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56201-2025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46226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46226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56182-2025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45974</v>
      </c>
      <c r="E265" s="1" t="n">
        <v>46226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46226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56158-2025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45974</v>
      </c>
      <c r="E267" s="1" t="n">
        <v>46226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46226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45841</v>
      </c>
      <c r="E269" s="1" t="n">
        <v>46226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46226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18.8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46226</v>
      </c>
      <c r="F271" t="inlineStr">
        <is>
          <t>VÄRMLANDS LÄN</t>
        </is>
      </c>
      <c r="G271" t="inlineStr">
        <is>
          <t>FILIPSTAD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45671</v>
      </c>
      <c r="E272" s="1" t="n">
        <v>46226</v>
      </c>
      <c r="F272" t="inlineStr">
        <is>
          <t>VÄRMLANDS LÄN</t>
        </is>
      </c>
      <c r="G272" t="inlineStr">
        <is>
          <t>FILIPSTAD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45901</v>
      </c>
      <c r="E273" s="1" t="n">
        <v>46226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32059-2025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45835</v>
      </c>
      <c r="E274" s="1" t="n">
        <v>46226</v>
      </c>
      <c r="F274" t="inlineStr">
        <is>
          <t>VÄRMLANDS LÄN</t>
        </is>
      </c>
      <c r="G274" t="inlineStr">
        <is>
          <t>FILIPSTAD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46226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20040-2026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46226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16371-2024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45407</v>
      </c>
      <c r="E278" s="1" t="n">
        <v>46226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46226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58019-2025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46226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45985</v>
      </c>
      <c r="E281" s="1" t="n">
        <v>46226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46226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46226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22558-2025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45789</v>
      </c>
      <c r="E284" s="1" t="n">
        <v>46226</v>
      </c>
      <c r="F284" t="inlineStr">
        <is>
          <t>VÄRMLANDS LÄN</t>
        </is>
      </c>
      <c r="G284" t="inlineStr">
        <is>
          <t>FILIPSTAD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45665</v>
      </c>
      <c r="E285" s="1" t="n">
        <v>46226</v>
      </c>
      <c r="F285" t="inlineStr">
        <is>
          <t>VÄRMLANDS LÄN</t>
        </is>
      </c>
      <c r="G285" t="inlineStr">
        <is>
          <t>FILIPSTAD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33967-2023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45124</v>
      </c>
      <c r="E286" s="1" t="n">
        <v>46226</v>
      </c>
      <c r="F286" t="inlineStr">
        <is>
          <t>VÄRMLANDS LÄN</t>
        </is>
      </c>
      <c r="G286" t="inlineStr">
        <is>
          <t>FILIPSTAD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33379-2025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45841</v>
      </c>
      <c r="E287" s="1" t="n">
        <v>46226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39896-2025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45891</v>
      </c>
      <c r="E288" s="1" t="n">
        <v>46226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28687-2025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46226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45988</v>
      </c>
      <c r="E290" s="1" t="n">
        <v>46226</v>
      </c>
      <c r="F290" t="inlineStr">
        <is>
          <t>VÄRMLANDS LÄN</t>
        </is>
      </c>
      <c r="G290" t="inlineStr">
        <is>
          <t>FILIPSTAD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46226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59406-2025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46226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8.9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46226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46226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49602-2025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45939</v>
      </c>
      <c r="E295" s="1" t="n">
        <v>46226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46226</v>
      </c>
      <c r="F296" t="inlineStr">
        <is>
          <t>VÄRMLANDS LÄN</t>
        </is>
      </c>
      <c r="G296" t="inlineStr">
        <is>
          <t>FILIPSTAD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45870</v>
      </c>
      <c r="E297" s="1" t="n">
        <v>46226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45834</v>
      </c>
      <c r="E298" s="1" t="n">
        <v>46226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46226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45992</v>
      </c>
      <c r="E300" s="1" t="n">
        <v>46226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59709-2025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45992</v>
      </c>
      <c r="E301" s="1" t="n">
        <v>46226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46226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46108</v>
      </c>
      <c r="E304" s="1" t="n">
        <v>46226</v>
      </c>
      <c r="F304" t="inlineStr">
        <is>
          <t>VÄRMLANDS LÄN</t>
        </is>
      </c>
      <c r="G304" t="inlineStr">
        <is>
          <t>FILIPSTAD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45993</v>
      </c>
      <c r="E305" s="1" t="n">
        <v>46226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46226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46226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46226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62540-2023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46226</v>
      </c>
      <c r="F309" t="inlineStr">
        <is>
          <t>VÄRMLANDS LÄN</t>
        </is>
      </c>
      <c r="G309" t="inlineStr">
        <is>
          <t>FILIPSTAD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36272-2025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45867</v>
      </c>
      <c r="E310" s="1" t="n">
        <v>46226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46226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63482-2021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44508</v>
      </c>
      <c r="E312" s="1" t="n">
        <v>46226</v>
      </c>
      <c r="F312" t="inlineStr">
        <is>
          <t>VÄRMLANDS LÄN</t>
        </is>
      </c>
      <c r="G312" t="inlineStr">
        <is>
          <t>FILIPSTAD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45456</v>
      </c>
      <c r="E313" s="1" t="n">
        <v>46226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46226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15228-2025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46226</v>
      </c>
      <c r="F315" t="inlineStr">
        <is>
          <t>VÄRMLANDS LÄN</t>
        </is>
      </c>
      <c r="G315" t="inlineStr">
        <is>
          <t>FILIPSTAD</t>
        </is>
      </c>
      <c r="H315" t="inlineStr">
        <is>
          <t>Kommuner</t>
        </is>
      </c>
      <c r="I315" t="n">
        <v>17.7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46226</v>
      </c>
      <c r="F316" t="inlineStr">
        <is>
          <t>VÄRMLANDS LÄN</t>
        </is>
      </c>
      <c r="G316" t="inlineStr">
        <is>
          <t>FILIPSTAD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45996</v>
      </c>
      <c r="E317" s="1" t="n">
        <v>46226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7.5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56840-2024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45628</v>
      </c>
      <c r="E318" s="1" t="n">
        <v>46226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46226</v>
      </c>
      <c r="F319" t="inlineStr">
        <is>
          <t>VÄRMLANDS LÄN</t>
        </is>
      </c>
      <c r="G319" t="inlineStr">
        <is>
          <t>FILIPSTAD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20554-2025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45775</v>
      </c>
      <c r="E320" s="1" t="n">
        <v>46226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61492-2025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46001</v>
      </c>
      <c r="E321" s="1" t="n">
        <v>46226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46226</v>
      </c>
      <c r="F322" t="inlineStr">
        <is>
          <t>VÄRMLANDS LÄN</t>
        </is>
      </c>
      <c r="G322" t="inlineStr">
        <is>
          <t>FILIPSTAD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16584-2024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45408</v>
      </c>
      <c r="E323" s="1" t="n">
        <v>46226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6.6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46141</v>
      </c>
      <c r="E324" s="1" t="n">
        <v>46226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61391-2025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46226</v>
      </c>
      <c r="F325" t="inlineStr">
        <is>
          <t>VÄRMLANDS LÄN</t>
        </is>
      </c>
      <c r="G325" t="inlineStr">
        <is>
          <t>FILIPSTAD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46226</v>
      </c>
      <c r="F326" t="inlineStr">
        <is>
          <t>VÄRMLANDS LÄN</t>
        </is>
      </c>
      <c r="G326" t="inlineStr">
        <is>
          <t>FILIPSTAD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61417-2025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46001</v>
      </c>
      <c r="E327" s="1" t="n">
        <v>46226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46226</v>
      </c>
      <c r="F328" t="inlineStr">
        <is>
          <t>VÄRMLANDS LÄN</t>
        </is>
      </c>
      <c r="G328" t="inlineStr">
        <is>
          <t>FILIPSTAD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61327-2025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46001</v>
      </c>
      <c r="E329" s="1" t="n">
        <v>46226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61823-2025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46003</v>
      </c>
      <c r="E330" s="1" t="n">
        <v>46226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46226</v>
      </c>
      <c r="F331" t="inlineStr">
        <is>
          <t>VÄRMLANDS LÄN</t>
        </is>
      </c>
      <c r="G331" t="inlineStr">
        <is>
          <t>FILIPSTAD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46226</v>
      </c>
      <c r="F332" t="inlineStr">
        <is>
          <t>VÄRMLANDS LÄN</t>
        </is>
      </c>
      <c r="G332" t="inlineStr">
        <is>
          <t>FILIPSTAD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46002</v>
      </c>
      <c r="E333" s="1" t="n">
        <v>46226</v>
      </c>
      <c r="F333" t="inlineStr">
        <is>
          <t>VÄRMLANDS LÄN</t>
        </is>
      </c>
      <c r="G333" t="inlineStr">
        <is>
          <t>FILIPSTAD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61719-2025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46002</v>
      </c>
      <c r="E334" s="1" t="n">
        <v>46226</v>
      </c>
      <c r="F334" t="inlineStr">
        <is>
          <t>VÄRMLANDS LÄN</t>
        </is>
      </c>
      <c r="G334" t="inlineStr">
        <is>
          <t>FILIPSTAD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45087</v>
      </c>
      <c r="E335" s="1" t="n">
        <v>46226</v>
      </c>
      <c r="F335" t="inlineStr">
        <is>
          <t>VÄRMLANDS LÄN</t>
        </is>
      </c>
      <c r="G335" t="inlineStr">
        <is>
          <t>FILIPSTAD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61717-2025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46002</v>
      </c>
      <c r="E336" s="1" t="n">
        <v>46226</v>
      </c>
      <c r="F336" t="inlineStr">
        <is>
          <t>VÄRMLANDS LÄN</t>
        </is>
      </c>
      <c r="G336" t="inlineStr">
        <is>
          <t>FILIPSTAD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45088</v>
      </c>
      <c r="E337" s="1" t="n">
        <v>46226</v>
      </c>
      <c r="F337" t="inlineStr">
        <is>
          <t>VÄRMLANDS LÄN</t>
        </is>
      </c>
      <c r="G337" t="inlineStr">
        <is>
          <t>FILIPSTAD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46226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46006</v>
      </c>
      <c r="E339" s="1" t="n">
        <v>46226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46226</v>
      </c>
      <c r="F340" t="inlineStr">
        <is>
          <t>VÄRMLANDS LÄN</t>
        </is>
      </c>
      <c r="G340" t="inlineStr">
        <is>
          <t>FILIPSTAD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46226</v>
      </c>
      <c r="F341" t="inlineStr">
        <is>
          <t>VÄRMLANDS LÄN</t>
        </is>
      </c>
      <c r="G341" t="inlineStr">
        <is>
          <t>FILIPSTAD</t>
        </is>
      </c>
      <c r="I341" t="n">
        <v>15.5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62034-2025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46004</v>
      </c>
      <c r="E342" s="1" t="n">
        <v>46226</v>
      </c>
      <c r="F342" t="inlineStr">
        <is>
          <t>VÄRMLANDS LÄN</t>
        </is>
      </c>
      <c r="G342" t="inlineStr">
        <is>
          <t>FILIPSTAD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46226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62033-2025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46004</v>
      </c>
      <c r="E344" s="1" t="n">
        <v>46226</v>
      </c>
      <c r="F344" t="inlineStr">
        <is>
          <t>VÄRMLANDS LÄN</t>
        </is>
      </c>
      <c r="G344" t="inlineStr">
        <is>
          <t>FILIPSTAD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20874-2026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46142</v>
      </c>
      <c r="E345" s="1" t="n">
        <v>46226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7.9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46187</v>
      </c>
      <c r="E346" s="1" t="n">
        <v>46226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46189</v>
      </c>
      <c r="E347" s="1" t="n">
        <v>46226</v>
      </c>
      <c r="F347" t="inlineStr">
        <is>
          <t>VÄRMLANDS LÄN</t>
        </is>
      </c>
      <c r="G347" t="inlineStr">
        <is>
          <t>FILIPSTAD</t>
        </is>
      </c>
      <c r="I347" t="n">
        <v>5.6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46226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45750</v>
      </c>
      <c r="E349" s="1" t="n">
        <v>46226</v>
      </c>
      <c r="F349" t="inlineStr">
        <is>
          <t>VÄRMLANDS LÄN</t>
        </is>
      </c>
      <c r="G349" t="inlineStr">
        <is>
          <t>FILIPSTAD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46226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46226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61741-2022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44911</v>
      </c>
      <c r="E353" s="1" t="n">
        <v>46226</v>
      </c>
      <c r="F353" t="inlineStr">
        <is>
          <t>VÄRMLANDS LÄN</t>
        </is>
      </c>
      <c r="G353" t="inlineStr">
        <is>
          <t>FILIPSTAD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63629-2025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46014</v>
      </c>
      <c r="E354" s="1" t="n">
        <v>46226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63678-2025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46014</v>
      </c>
      <c r="E355" s="1" t="n">
        <v>46226</v>
      </c>
      <c r="F355" t="inlineStr">
        <is>
          <t>VÄRMLANDS LÄN</t>
        </is>
      </c>
      <c r="G355" t="inlineStr">
        <is>
          <t>FILIPSTAD</t>
        </is>
      </c>
      <c r="I355" t="n">
        <v>9.9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46186</v>
      </c>
      <c r="E356" s="1" t="n">
        <v>46226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17763-2025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45758</v>
      </c>
      <c r="E357" s="1" t="n">
        <v>46226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51639-2025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45951</v>
      </c>
      <c r="E358" s="1" t="n">
        <v>46226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60296-2023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45257</v>
      </c>
      <c r="E359" s="1" t="n">
        <v>46226</v>
      </c>
      <c r="F359" t="inlineStr">
        <is>
          <t>VÄRMLANDS LÄN</t>
        </is>
      </c>
      <c r="G359" t="inlineStr">
        <is>
          <t>FILIPSTAD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38175-2025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45882</v>
      </c>
      <c r="E360" s="1" t="n">
        <v>46226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28161-2023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45093</v>
      </c>
      <c r="E361" s="1" t="n">
        <v>46226</v>
      </c>
      <c r="F361" t="inlineStr">
        <is>
          <t>VÄRMLANDS LÄN</t>
        </is>
      </c>
      <c r="G361" t="inlineStr">
        <is>
          <t>FILIPSTAD</t>
        </is>
      </c>
      <c r="H361" t="inlineStr">
        <is>
          <t>Kommuner</t>
        </is>
      </c>
      <c r="I361" t="n">
        <v>15.4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46148</v>
      </c>
      <c r="E362" s="1" t="n">
        <v>46226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46190</v>
      </c>
      <c r="E363" s="1" t="n">
        <v>46226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46186</v>
      </c>
      <c r="E364" s="1" t="n">
        <v>46226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27774-2026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46226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46226</v>
      </c>
      <c r="F366" t="inlineStr">
        <is>
          <t>VÄRMLANDS LÄN</t>
        </is>
      </c>
      <c r="G366" t="inlineStr">
        <is>
          <t>FILIPSTAD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20663-2024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45436</v>
      </c>
      <c r="E367" s="1" t="n">
        <v>46226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17795-2024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45418</v>
      </c>
      <c r="E368" s="1" t="n">
        <v>46226</v>
      </c>
      <c r="F368" t="inlineStr">
        <is>
          <t>VÄRMLANDS LÄN</t>
        </is>
      </c>
      <c r="G368" t="inlineStr">
        <is>
          <t>FILIPSTAD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46226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46226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58611-2025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45986</v>
      </c>
      <c r="E371" s="1" t="n">
        <v>46226</v>
      </c>
      <c r="F371" t="inlineStr">
        <is>
          <t>VÄRMLANDS LÄN</t>
        </is>
      </c>
      <c r="G371" t="inlineStr">
        <is>
          <t>FILIPSTAD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22144-2026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46226</v>
      </c>
      <c r="F372" t="inlineStr">
        <is>
          <t>VÄRMLANDS LÄN</t>
        </is>
      </c>
      <c r="G372" t="inlineStr">
        <is>
          <t>FILIPSTAD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46226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46226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44384-2021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44435</v>
      </c>
      <c r="E375" s="1" t="n">
        <v>46226</v>
      </c>
      <c r="F375" t="inlineStr">
        <is>
          <t>VÄRMLANDS LÄN</t>
        </is>
      </c>
      <c r="G375" t="inlineStr">
        <is>
          <t>FILIPSTAD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22201-2026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46226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46226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46226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46040</v>
      </c>
      <c r="E379" s="1" t="n">
        <v>46226</v>
      </c>
      <c r="F379" t="inlineStr">
        <is>
          <t>VÄRMLANDS LÄN</t>
        </is>
      </c>
      <c r="G379" t="inlineStr">
        <is>
          <t>FILIPSTAD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46226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46226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46226</v>
      </c>
      <c r="F382" t="inlineStr">
        <is>
          <t>VÄRMLANDS LÄN</t>
        </is>
      </c>
      <c r="G382" t="inlineStr">
        <is>
          <t>FILIPSTAD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46226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22115-2026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46226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46226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46226</v>
      </c>
      <c r="F386" t="inlineStr">
        <is>
          <t>VÄRMLANDS LÄN</t>
        </is>
      </c>
      <c r="G386" t="inlineStr">
        <is>
          <t>FILIPSTAD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46226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53348-2023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45229</v>
      </c>
      <c r="E388" s="1" t="n">
        <v>46226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14275-2024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45393</v>
      </c>
      <c r="E389" s="1" t="n">
        <v>46226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46226</v>
      </c>
      <c r="F390" t="inlineStr">
        <is>
          <t>VÄRMLANDS LÄN</t>
        </is>
      </c>
      <c r="G390" t="inlineStr">
        <is>
          <t>FILIPSTAD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22229-2026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46226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28516-2026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46226</v>
      </c>
      <c r="F392" t="inlineStr">
        <is>
          <t>VÄRMLANDS LÄN</t>
        </is>
      </c>
      <c r="G392" t="inlineStr">
        <is>
          <t>FILIPSTAD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22533-2026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46155</v>
      </c>
      <c r="E393" s="1" t="n">
        <v>46226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19159-2024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45428</v>
      </c>
      <c r="E394" s="1" t="n">
        <v>46226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8.4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36251-2022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44803</v>
      </c>
      <c r="E395" s="1" t="n">
        <v>46226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46226</v>
      </c>
      <c r="F396" t="inlineStr">
        <is>
          <t>VÄRMLANDS LÄN</t>
        </is>
      </c>
      <c r="G396" t="inlineStr">
        <is>
          <t>FILIPSTAD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45658</v>
      </c>
      <c r="E397" s="1" t="n">
        <v>46226</v>
      </c>
      <c r="F397" t="inlineStr">
        <is>
          <t>VÄRMLANDS LÄN</t>
        </is>
      </c>
      <c r="G397" t="inlineStr">
        <is>
          <t>FILIPSTAD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46199</v>
      </c>
      <c r="E398" s="1" t="n">
        <v>46226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15471-2024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45401</v>
      </c>
      <c r="E399" s="1" t="n">
        <v>46226</v>
      </c>
      <c r="F399" t="inlineStr">
        <is>
          <t>VÄRMLANDS LÄN</t>
        </is>
      </c>
      <c r="G399" t="inlineStr">
        <is>
          <t>FILIPSTAD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29328-2026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46202</v>
      </c>
      <c r="E400" s="1" t="n">
        <v>46226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54735-2024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45618</v>
      </c>
      <c r="E401" s="1" t="n">
        <v>46226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12837-2024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45384</v>
      </c>
      <c r="E402" s="1" t="n">
        <v>46226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54828-2023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46226</v>
      </c>
      <c r="F403" t="inlineStr">
        <is>
          <t>VÄRMLANDS LÄN</t>
        </is>
      </c>
      <c r="G403" t="inlineStr">
        <is>
          <t>FILIPSTAD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45484</v>
      </c>
      <c r="E404" s="1" t="n">
        <v>46226</v>
      </c>
      <c r="F404" t="inlineStr">
        <is>
          <t>VÄRMLANDS LÄN</t>
        </is>
      </c>
      <c r="G404" t="inlineStr">
        <is>
          <t>FILIPSTAD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45327</v>
      </c>
      <c r="E405" s="1" t="n">
        <v>46226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46203</v>
      </c>
      <c r="E406" s="1" t="n">
        <v>46226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46226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46226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45740</v>
      </c>
      <c r="E409" s="1" t="n">
        <v>46226</v>
      </c>
      <c r="F409" t="inlineStr">
        <is>
          <t>VÄRMLANDS LÄN</t>
        </is>
      </c>
      <c r="G409" t="inlineStr">
        <is>
          <t>FILIPSTAD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46226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46226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53210-2023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46226</v>
      </c>
      <c r="F412" t="inlineStr">
        <is>
          <t>VÄRMLANDS LÄN</t>
        </is>
      </c>
      <c r="G412" t="inlineStr">
        <is>
          <t>FILIPSTAD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29591-2026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46226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46226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46226</v>
      </c>
      <c r="F415" t="inlineStr">
        <is>
          <t>VÄRMLANDS LÄN</t>
        </is>
      </c>
      <c r="G415" t="inlineStr">
        <is>
          <t>FILIPSTAD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28989-2026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46199</v>
      </c>
      <c r="E416" s="1" t="n">
        <v>46226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29010-2026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46226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23555-2026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46226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46226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8.699999999999999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46226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29821-2026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46205</v>
      </c>
      <c r="E421" s="1" t="n">
        <v>46226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46203</v>
      </c>
      <c r="E422" s="1" t="n">
        <v>46226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23620-2023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45077</v>
      </c>
      <c r="E423" s="1" t="n">
        <v>46226</v>
      </c>
      <c r="F423" t="inlineStr">
        <is>
          <t>VÄRMLANDS LÄN</t>
        </is>
      </c>
      <c r="G423" t="inlineStr">
        <is>
          <t>FILIPSTAD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46205</v>
      </c>
      <c r="E424" s="1" t="n">
        <v>46226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26.6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46226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46226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20.3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23943-2026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46226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23952-2026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46167</v>
      </c>
      <c r="E428" s="1" t="n">
        <v>46226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23931-2026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46226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9.1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50786-2024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45602</v>
      </c>
      <c r="E430" s="1" t="n">
        <v>46226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30074-2026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46226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46226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24026-2026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46226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24022-2026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46226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23970-2026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46167</v>
      </c>
      <c r="E435" s="1" t="n">
        <v>46226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24005-2026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46226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47890-2024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45588</v>
      </c>
      <c r="E437" s="1" t="n">
        <v>46226</v>
      </c>
      <c r="F437" t="inlineStr">
        <is>
          <t>VÄRMLANDS LÄN</t>
        </is>
      </c>
      <c r="G437" t="inlineStr">
        <is>
          <t>FILIPSTAD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23922-2026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46167</v>
      </c>
      <c r="E438" s="1" t="n">
        <v>46226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24008-2026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46167</v>
      </c>
      <c r="E439" s="1" t="n">
        <v>46226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13918-2024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45391</v>
      </c>
      <c r="E440" s="1" t="n">
        <v>46226</v>
      </c>
      <c r="F440" t="inlineStr">
        <is>
          <t>VÄRMLANDS LÄN</t>
        </is>
      </c>
      <c r="G440" t="inlineStr">
        <is>
          <t>FILIPSTAD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70405-2021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44536</v>
      </c>
      <c r="E441" s="1" t="n">
        <v>46226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44579</v>
      </c>
      <c r="E442" s="1" t="n">
        <v>46226</v>
      </c>
      <c r="F442" t="inlineStr">
        <is>
          <t>VÄRMLANDS LÄN</t>
        </is>
      </c>
      <c r="G442" t="inlineStr">
        <is>
          <t>FILIPSTAD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46226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46226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46167</v>
      </c>
      <c r="E445" s="1" t="n">
        <v>46226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46226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46226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46226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61628-2022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44911</v>
      </c>
      <c r="E449" s="1" t="n">
        <v>46226</v>
      </c>
      <c r="F449" t="inlineStr">
        <is>
          <t>VÄRMLANDS LÄN</t>
        </is>
      </c>
      <c r="G449" t="inlineStr">
        <is>
          <t>FILIPSTAD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24291-2026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46169</v>
      </c>
      <c r="E450" s="1" t="n">
        <v>46226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46226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49935-2025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45940</v>
      </c>
      <c r="E452" s="1" t="n">
        <v>46226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46170</v>
      </c>
      <c r="E453" s="1" t="n">
        <v>46226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24519-2026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46170</v>
      </c>
      <c r="E454" s="1" t="n">
        <v>46226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46170</v>
      </c>
      <c r="E455" s="1" t="n">
        <v>46226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46226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46226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24537-2026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46170</v>
      </c>
      <c r="E458" s="1" t="n">
        <v>46226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24452-2026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46226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46226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46226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45139-2021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44439</v>
      </c>
      <c r="E462" s="1" t="n">
        <v>46226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17686-2023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45037</v>
      </c>
      <c r="E463" s="1" t="n">
        <v>46226</v>
      </c>
      <c r="F463" t="inlineStr">
        <is>
          <t>VÄRMLANDS LÄN</t>
        </is>
      </c>
      <c r="G463" t="inlineStr">
        <is>
          <t>FILIPSTAD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46226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36827-2022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44805</v>
      </c>
      <c r="E465" s="1" t="n">
        <v>46226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47455-2023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46226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45133</v>
      </c>
      <c r="E467" s="1" t="n">
        <v>46226</v>
      </c>
      <c r="F467" t="inlineStr">
        <is>
          <t>VÄRMLANDS LÄN</t>
        </is>
      </c>
      <c r="G467" t="inlineStr">
        <is>
          <t>FILIPSTAD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24886-2026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46174</v>
      </c>
      <c r="E468" s="1" t="n">
        <v>46226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16063-2025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45749</v>
      </c>
      <c r="E469" s="1" t="n">
        <v>46226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46171</v>
      </c>
      <c r="E470" s="1" t="n">
        <v>46226</v>
      </c>
      <c r="F470" t="inlineStr">
        <is>
          <t>VÄRMLANDS LÄN</t>
        </is>
      </c>
      <c r="G470" t="inlineStr">
        <is>
          <t>FILIPSTAD</t>
        </is>
      </c>
      <c r="I470" t="n">
        <v>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45456</v>
      </c>
      <c r="E471" s="1" t="n">
        <v>46226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32183-2025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45835</v>
      </c>
      <c r="E472" s="1" t="n">
        <v>46226</v>
      </c>
      <c r="F472" t="inlineStr">
        <is>
          <t>VÄRMLANDS LÄN</t>
        </is>
      </c>
      <c r="G472" t="inlineStr">
        <is>
          <t>FILIPSTAD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54008-2021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44470</v>
      </c>
      <c r="E473" s="1" t="n">
        <v>46226</v>
      </c>
      <c r="F473" t="inlineStr">
        <is>
          <t>VÄRMLANDS LÄN</t>
        </is>
      </c>
      <c r="G473" t="inlineStr">
        <is>
          <t>FILIPSTAD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46226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46219</v>
      </c>
      <c r="E475" s="1" t="n">
        <v>46226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25205-2026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46226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31283-2026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46218</v>
      </c>
      <c r="E477" s="1" t="n">
        <v>46226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46257-2022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44847</v>
      </c>
      <c r="E478" s="1" t="n">
        <v>46226</v>
      </c>
      <c r="F478" t="inlineStr">
        <is>
          <t>VÄRMLANDS LÄN</t>
        </is>
      </c>
      <c r="G478" t="inlineStr">
        <is>
          <t>FILIPSTAD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46226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46226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25869-2026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46226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54836-2023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45229</v>
      </c>
      <c r="E482" s="1" t="n">
        <v>46226</v>
      </c>
      <c r="F482" t="inlineStr">
        <is>
          <t>VÄRMLANDS LÄN</t>
        </is>
      </c>
      <c r="G482" t="inlineStr">
        <is>
          <t>FILIPSTAD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31537-2026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46223</v>
      </c>
      <c r="E483" s="1" t="n">
        <v>46226</v>
      </c>
      <c r="F483" t="inlineStr">
        <is>
          <t>VÄRMLANDS LÄN</t>
        </is>
      </c>
      <c r="G483" t="inlineStr">
        <is>
          <t>FILIPSTAD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46223</v>
      </c>
      <c r="E484" s="1" t="n">
        <v>46226</v>
      </c>
      <c r="F484" t="inlineStr">
        <is>
          <t>VÄRMLANDS LÄN</t>
        </is>
      </c>
      <c r="G484" t="inlineStr">
        <is>
          <t>FILIPSTAD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46226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25786-2026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46178</v>
      </c>
      <c r="E486" s="1" t="n">
        <v>46226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23618-2023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46226</v>
      </c>
      <c r="F487" t="inlineStr">
        <is>
          <t>VÄRMLANDS LÄN</t>
        </is>
      </c>
      <c r="G487" t="inlineStr">
        <is>
          <t>FILIPSTAD</t>
        </is>
      </c>
      <c r="I487" t="n">
        <v>15.8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44960</v>
      </c>
      <c r="E488" s="1" t="n">
        <v>46226</v>
      </c>
      <c r="F488" t="inlineStr">
        <is>
          <t>VÄRMLANDS LÄN</t>
        </is>
      </c>
      <c r="G488" t="inlineStr">
        <is>
          <t>FILIPSTAD</t>
        </is>
      </c>
      <c r="H488" t="inlineStr">
        <is>
          <t>Kommuner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46182</v>
      </c>
      <c r="E489" s="1" t="n">
        <v>46226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29473-2024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45484</v>
      </c>
      <c r="E490" s="1" t="n">
        <v>46226</v>
      </c>
      <c r="F490" t="inlineStr">
        <is>
          <t>VÄRMLANDS LÄN</t>
        </is>
      </c>
      <c r="G490" t="inlineStr">
        <is>
          <t>FILIPSTAD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46226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31648-2026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46225</v>
      </c>
      <c r="E492" s="1" t="n">
        <v>46226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26549-2026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46183</v>
      </c>
      <c r="E493" s="1" t="n">
        <v>46226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46226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4191-2022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44588</v>
      </c>
      <c r="E495" s="1" t="n">
        <v>46226</v>
      </c>
      <c r="F495" t="inlineStr">
        <is>
          <t>VÄRMLANDS LÄN</t>
        </is>
      </c>
      <c r="G495" t="inlineStr">
        <is>
          <t>FILIPSTAD</t>
        </is>
      </c>
      <c r="H495" t="inlineStr">
        <is>
          <t>Kommuner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26211-2026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46226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46226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46226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26343-2026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46182</v>
      </c>
      <c r="E499" s="1" t="n">
        <v>46226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46181</v>
      </c>
      <c r="E500" s="1" t="n">
        <v>46226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20.9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21593-2023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45063</v>
      </c>
      <c r="E501" s="1" t="n">
        <v>46226</v>
      </c>
      <c r="F501" t="inlineStr">
        <is>
          <t>VÄRMLANDS LÄN</t>
        </is>
      </c>
      <c r="G501" t="inlineStr">
        <is>
          <t>FILIPSTAD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44981</v>
      </c>
      <c r="E502" s="1" t="n">
        <v>46226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8.1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47536-2023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45203</v>
      </c>
      <c r="E503" s="1" t="n">
        <v>46226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45463</v>
      </c>
      <c r="E504" s="1" t="n">
        <v>46226</v>
      </c>
      <c r="F504" t="inlineStr">
        <is>
          <t>VÄRMLANDS LÄN</t>
        </is>
      </c>
      <c r="G504" t="inlineStr">
        <is>
          <t>FILIPSTAD</t>
        </is>
      </c>
      <c r="I504" t="n">
        <v>13.2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44579</v>
      </c>
      <c r="E505" s="1" t="n">
        <v>46226</v>
      </c>
      <c r="F505" t="inlineStr">
        <is>
          <t>VÄRMLANDS LÄN</t>
        </is>
      </c>
      <c r="G505" t="inlineStr">
        <is>
          <t>FILIPSTAD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45516-2024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45578</v>
      </c>
      <c r="E506" s="1" t="n">
        <v>46226</v>
      </c>
      <c r="F506" t="inlineStr">
        <is>
          <t>VÄRMLANDS LÄN</t>
        </is>
      </c>
      <c r="G506" t="inlineStr">
        <is>
          <t>FILIPSTAD</t>
        </is>
      </c>
      <c r="I506" t="n">
        <v>27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32262-2023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45120</v>
      </c>
      <c r="E507" s="1" t="n">
        <v>46226</v>
      </c>
      <c r="F507" t="inlineStr">
        <is>
          <t>VÄRMLANDS LÄN</t>
        </is>
      </c>
      <c r="G507" t="inlineStr">
        <is>
          <t>FILIPSTAD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56151-2023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45240</v>
      </c>
      <c r="E508" s="1" t="n">
        <v>46226</v>
      </c>
      <c r="F508" t="inlineStr">
        <is>
          <t>VÄRMLANDS LÄN</t>
        </is>
      </c>
      <c r="G508" t="inlineStr">
        <is>
          <t>FILIPSTAD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45202</v>
      </c>
      <c r="E509" s="1" t="n">
        <v>46226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38866-2024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46226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17794-2024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45418</v>
      </c>
      <c r="E511" s="1" t="n">
        <v>46226</v>
      </c>
      <c r="F511" t="inlineStr">
        <is>
          <t>VÄRMLANDS LÄN</t>
        </is>
      </c>
      <c r="G511" t="inlineStr">
        <is>
          <t>FILIPSTAD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11680-2023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44994</v>
      </c>
      <c r="E512" s="1" t="n">
        <v>46226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45616</v>
      </c>
      <c r="E513" s="1" t="n">
        <v>46226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55397-2022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44887</v>
      </c>
      <c r="E514" s="1" t="n">
        <v>46226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41075-2023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45173</v>
      </c>
      <c r="E515" s="1" t="n">
        <v>46226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14840-2023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45014</v>
      </c>
      <c r="E516" s="1" t="n">
        <v>46226</v>
      </c>
      <c r="F516" t="inlineStr">
        <is>
          <t>VÄRMLANDS LÄN</t>
        </is>
      </c>
      <c r="G516" t="inlineStr">
        <is>
          <t>FILIPSTAD</t>
        </is>
      </c>
      <c r="H516" t="inlineStr">
        <is>
          <t>Kyrkan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4819-2023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44957</v>
      </c>
      <c r="E517" s="1" t="n">
        <v>46226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27400-2024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46226</v>
      </c>
      <c r="F518" t="inlineStr">
        <is>
          <t>VÄRMLANDS LÄN</t>
        </is>
      </c>
      <c r="G518" t="inlineStr">
        <is>
          <t>FILIPSTAD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45511</v>
      </c>
      <c r="E519" s="1" t="n">
        <v>46226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44596</v>
      </c>
      <c r="E520" s="1" t="n">
        <v>46226</v>
      </c>
      <c r="F520" t="inlineStr">
        <is>
          <t>VÄRMLANDS LÄN</t>
        </is>
      </c>
      <c r="G520" t="inlineStr">
        <is>
          <t>FILIPSTAD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43635-2023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45186</v>
      </c>
      <c r="E521" s="1" t="n">
        <v>46226</v>
      </c>
      <c r="F521" t="inlineStr">
        <is>
          <t>VÄRMLANDS LÄN</t>
        </is>
      </c>
      <c r="G521" t="inlineStr">
        <is>
          <t>FILIPSTAD</t>
        </is>
      </c>
      <c r="I521" t="n">
        <v>15.3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43633-2024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45569</v>
      </c>
      <c r="E522" s="1" t="n">
        <v>46226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45114</v>
      </c>
      <c r="E523" s="1" t="n">
        <v>46226</v>
      </c>
      <c r="F523" t="inlineStr">
        <is>
          <t>VÄRMLANDS LÄN</t>
        </is>
      </c>
      <c r="G523" t="inlineStr">
        <is>
          <t>FILIPSTAD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57026-2023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45244</v>
      </c>
      <c r="E524" s="1" t="n">
        <v>46226</v>
      </c>
      <c r="F524" t="inlineStr">
        <is>
          <t>VÄRMLANDS LÄN</t>
        </is>
      </c>
      <c r="G524" t="inlineStr">
        <is>
          <t>FILIPSTAD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20528-2025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45775</v>
      </c>
      <c r="E525" s="1" t="n">
        <v>46226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45583</v>
      </c>
      <c r="E526" s="1" t="n">
        <v>46226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19030-2022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44691</v>
      </c>
      <c r="E527" s="1" t="n">
        <v>46226</v>
      </c>
      <c r="F527" t="inlineStr">
        <is>
          <t>VÄRMLANDS LÄN</t>
        </is>
      </c>
      <c r="G527" t="inlineStr">
        <is>
          <t>FILIPSTAD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45096</v>
      </c>
      <c r="E528" s="1" t="n">
        <v>46226</v>
      </c>
      <c r="F528" t="inlineStr">
        <is>
          <t>VÄRMLANDS LÄN</t>
        </is>
      </c>
      <c r="G528" t="inlineStr">
        <is>
          <t>FILIPSTAD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48908-2023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45195</v>
      </c>
      <c r="E529" s="1" t="n">
        <v>46226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62013-2024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45655</v>
      </c>
      <c r="E530" s="1" t="n">
        <v>46226</v>
      </c>
      <c r="F530" t="inlineStr">
        <is>
          <t>VÄRMLANDS LÄN</t>
        </is>
      </c>
      <c r="G530" t="inlineStr">
        <is>
          <t>FILIPSTAD</t>
        </is>
      </c>
      <c r="I530" t="n">
        <v>26.5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62014-2024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45655</v>
      </c>
      <c r="E531" s="1" t="n">
        <v>46226</v>
      </c>
      <c r="F531" t="inlineStr">
        <is>
          <t>VÄRMLANDS LÄN</t>
        </is>
      </c>
      <c r="G531" t="inlineStr">
        <is>
          <t>FILIPSTAD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44935</v>
      </c>
      <c r="E532" s="1" t="n">
        <v>46226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44959</v>
      </c>
      <c r="E533" s="1" t="n">
        <v>46226</v>
      </c>
      <c r="F533" t="inlineStr">
        <is>
          <t>VÄRMLANDS LÄN</t>
        </is>
      </c>
      <c r="G533" t="inlineStr">
        <is>
          <t>FILIPSTAD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45230</v>
      </c>
      <c r="E534" s="1" t="n">
        <v>46226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9.9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63411-2023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45274</v>
      </c>
      <c r="E535" s="1" t="n">
        <v>46226</v>
      </c>
      <c r="F535" t="inlineStr">
        <is>
          <t>VÄRMLANDS LÄN</t>
        </is>
      </c>
      <c r="G535" t="inlineStr">
        <is>
          <t>FILIPSTAD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43484-2023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45184</v>
      </c>
      <c r="E536" s="1" t="n">
        <v>46226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46226</v>
      </c>
      <c r="F537" t="inlineStr">
        <is>
          <t>VÄRMLANDS LÄN</t>
        </is>
      </c>
      <c r="G537" t="inlineStr">
        <is>
          <t>FILIPSTAD</t>
        </is>
      </c>
      <c r="I537" t="n">
        <v>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34262-2024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45524</v>
      </c>
      <c r="E538" s="1" t="n">
        <v>46226</v>
      </c>
      <c r="F538" t="inlineStr">
        <is>
          <t>VÄRMLANDS LÄN</t>
        </is>
      </c>
      <c r="G538" t="inlineStr">
        <is>
          <t>FILIPSTAD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45592-2024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46226</v>
      </c>
      <c r="F539" t="inlineStr">
        <is>
          <t>VÄRMLANDS LÄN</t>
        </is>
      </c>
      <c r="G539" t="inlineStr">
        <is>
          <t>FILIPSTAD</t>
        </is>
      </c>
      <c r="H539" t="inlineStr">
        <is>
          <t>Kyrkan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45568</v>
      </c>
      <c r="E540" s="1" t="n">
        <v>46226</v>
      </c>
      <c r="F540" t="inlineStr">
        <is>
          <t>VÄRMLANDS LÄN</t>
        </is>
      </c>
      <c r="G540" t="inlineStr">
        <is>
          <t>FILIPSTAD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45342</v>
      </c>
      <c r="E541" s="1" t="n">
        <v>46226</v>
      </c>
      <c r="F541" t="inlineStr">
        <is>
          <t>VÄRMLANDS LÄN</t>
        </is>
      </c>
      <c r="G541" t="inlineStr">
        <is>
          <t>FILIPSTAD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45567</v>
      </c>
      <c r="E542" s="1" t="n">
        <v>46226</v>
      </c>
      <c r="F542" t="inlineStr">
        <is>
          <t>VÄRMLANDS LÄN</t>
        </is>
      </c>
      <c r="G542" t="inlineStr">
        <is>
          <t>FILIPSTAD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45700</v>
      </c>
      <c r="E543" s="1" t="n">
        <v>46226</v>
      </c>
      <c r="F543" t="inlineStr">
        <is>
          <t>VÄRMLANDS LÄN</t>
        </is>
      </c>
      <c r="G543" t="inlineStr">
        <is>
          <t>FILIPSTAD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25376-2023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45088</v>
      </c>
      <c r="E544" s="1" t="n">
        <v>46226</v>
      </c>
      <c r="F544" t="inlineStr">
        <is>
          <t>VÄRMLANDS LÄN</t>
        </is>
      </c>
      <c r="G544" t="inlineStr">
        <is>
          <t>FILIPSTAD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20606-2025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45775</v>
      </c>
      <c r="E545" s="1" t="n">
        <v>46226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69015-2021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44530</v>
      </c>
      <c r="E546" s="1" t="n">
        <v>46226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45439</v>
      </c>
      <c r="E547" s="1" t="n">
        <v>46226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44960</v>
      </c>
      <c r="E548" s="1" t="n">
        <v>46226</v>
      </c>
      <c r="F548" t="inlineStr">
        <is>
          <t>VÄRMLANDS LÄN</t>
        </is>
      </c>
      <c r="G548" t="inlineStr">
        <is>
          <t>FILIPSTAD</t>
        </is>
      </c>
      <c r="H548" t="inlineStr">
        <is>
          <t>Kommuner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45436</v>
      </c>
      <c r="E549" s="1" t="n">
        <v>46226</v>
      </c>
      <c r="F549" t="inlineStr">
        <is>
          <t>VÄRMLANDS LÄN</t>
        </is>
      </c>
      <c r="G549" t="inlineStr">
        <is>
          <t>FILIPSTAD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53690-2022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44880</v>
      </c>
      <c r="E550" s="1" t="n">
        <v>46226</v>
      </c>
      <c r="F550" t="inlineStr">
        <is>
          <t>VÄRMLANDS LÄN</t>
        </is>
      </c>
      <c r="G550" t="inlineStr">
        <is>
          <t>FILIPSTAD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6728-2025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45700</v>
      </c>
      <c r="E551" s="1" t="n">
        <v>46226</v>
      </c>
      <c r="F551" t="inlineStr">
        <is>
          <t>VÄRMLANDS LÄN</t>
        </is>
      </c>
      <c r="G551" t="inlineStr">
        <is>
          <t>FILIPSTAD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48040-2023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45204</v>
      </c>
      <c r="E552" s="1" t="n">
        <v>46226</v>
      </c>
      <c r="F552" t="inlineStr">
        <is>
          <t>VÄRMLANDS LÄN</t>
        </is>
      </c>
      <c r="G552" t="inlineStr">
        <is>
          <t>FILIPSTAD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52981-2021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44467</v>
      </c>
      <c r="E553" s="1" t="n">
        <v>46226</v>
      </c>
      <c r="F553" t="inlineStr">
        <is>
          <t>VÄRMLANDS LÄN</t>
        </is>
      </c>
      <c r="G553" t="inlineStr">
        <is>
          <t>FILIPSTAD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10306-2025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45720</v>
      </c>
      <c r="E554" s="1" t="n">
        <v>46226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51266-2021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44461</v>
      </c>
      <c r="E555" s="1" t="n">
        <v>46226</v>
      </c>
      <c r="F555" t="inlineStr">
        <is>
          <t>VÄRMLANDS LÄN</t>
        </is>
      </c>
      <c r="G555" t="inlineStr">
        <is>
          <t>FILIPSTAD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51618-2022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44872</v>
      </c>
      <c r="E556" s="1" t="n">
        <v>46226</v>
      </c>
      <c r="F556" t="inlineStr">
        <is>
          <t>VÄRMLANDS LÄN</t>
        </is>
      </c>
      <c r="G556" t="inlineStr">
        <is>
          <t>FILIPSTAD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45516</v>
      </c>
      <c r="E557" s="1" t="n">
        <v>46226</v>
      </c>
      <c r="F557" t="inlineStr">
        <is>
          <t>VÄRMLANDS LÄN</t>
        </is>
      </c>
      <c r="G557" t="inlineStr">
        <is>
          <t>FILIPSTAD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37611-2022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44809</v>
      </c>
      <c r="E558" s="1" t="n">
        <v>46226</v>
      </c>
      <c r="F558" t="inlineStr">
        <is>
          <t>VÄRMLANDS LÄN</t>
        </is>
      </c>
      <c r="G558" t="inlineStr">
        <is>
          <t>FILIPSTAD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16591-2022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44672</v>
      </c>
      <c r="E559" s="1" t="n">
        <v>46226</v>
      </c>
      <c r="F559" t="inlineStr">
        <is>
          <t>VÄRMLANDS LÄN</t>
        </is>
      </c>
      <c r="G559" t="inlineStr">
        <is>
          <t>FILIPSTAD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12160-2023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44998</v>
      </c>
      <c r="E560" s="1" t="n">
        <v>46226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46978-2023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45195</v>
      </c>
      <c r="E561" s="1" t="n">
        <v>46226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14432-2025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45741</v>
      </c>
      <c r="E562" s="1" t="n">
        <v>46226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45471</v>
      </c>
      <c r="E563" s="1" t="n">
        <v>46226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45414</v>
      </c>
      <c r="E564" s="1" t="n">
        <v>46226</v>
      </c>
      <c r="F564" t="inlineStr">
        <is>
          <t>VÄRMLANDS LÄN</t>
        </is>
      </c>
      <c r="G564" t="inlineStr">
        <is>
          <t>FILIPSTAD</t>
        </is>
      </c>
      <c r="I564" t="n">
        <v>5.2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47002-2024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45586</v>
      </c>
      <c r="E565" s="1" t="n">
        <v>46226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45495</v>
      </c>
      <c r="E566" s="1" t="n">
        <v>46226</v>
      </c>
      <c r="F566" t="inlineStr">
        <is>
          <t>VÄRMLANDS LÄN</t>
        </is>
      </c>
      <c r="G566" t="inlineStr">
        <is>
          <t>FILIPSTAD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46226</v>
      </c>
      <c r="F567" t="inlineStr">
        <is>
          <t>VÄRMLANDS LÄN</t>
        </is>
      </c>
      <c r="G567" t="inlineStr">
        <is>
          <t>FILIPSTAD</t>
        </is>
      </c>
      <c r="H567" t="inlineStr">
        <is>
          <t>Kommuner</t>
        </is>
      </c>
      <c r="I567" t="n">
        <v>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46226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65167-2021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44515</v>
      </c>
      <c r="E569" s="1" t="n">
        <v>46226</v>
      </c>
      <c r="F569" t="inlineStr">
        <is>
          <t>VÄRMLANDS LÄN</t>
        </is>
      </c>
      <c r="G569" t="inlineStr">
        <is>
          <t>FILIPSTAD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28357-2024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46226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35304-2024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45530</v>
      </c>
      <c r="E571" s="1" t="n">
        <v>46226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45791</v>
      </c>
      <c r="E572" s="1" t="n">
        <v>46226</v>
      </c>
      <c r="F572" t="inlineStr">
        <is>
          <t>VÄRMLANDS LÄN</t>
        </is>
      </c>
      <c r="G572" t="inlineStr">
        <is>
          <t>FILIPSTAD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45593</v>
      </c>
      <c r="E573" s="1" t="n">
        <v>46226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45790</v>
      </c>
      <c r="E574" s="1" t="n">
        <v>46226</v>
      </c>
      <c r="F574" t="inlineStr">
        <is>
          <t>VÄRMLANDS LÄN</t>
        </is>
      </c>
      <c r="G574" t="inlineStr">
        <is>
          <t>FILIPSTAD</t>
        </is>
      </c>
      <c r="H574" t="inlineStr">
        <is>
          <t>Kyrkan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46226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45793</v>
      </c>
      <c r="E576" s="1" t="n">
        <v>46226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23399-2025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45792</v>
      </c>
      <c r="E577" s="1" t="n">
        <v>46226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23475-2025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45792</v>
      </c>
      <c r="E578" s="1" t="n">
        <v>46226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8712-2024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45355</v>
      </c>
      <c r="E579" s="1" t="n">
        <v>46226</v>
      </c>
      <c r="F579" t="inlineStr">
        <is>
          <t>VÄRMLANDS LÄN</t>
        </is>
      </c>
      <c r="G579" t="inlineStr">
        <is>
          <t>FILIPSTAD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72118-2021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44543</v>
      </c>
      <c r="E580" s="1" t="n">
        <v>46226</v>
      </c>
      <c r="F580" t="inlineStr">
        <is>
          <t>VÄRMLANDS LÄN</t>
        </is>
      </c>
      <c r="G580" t="inlineStr">
        <is>
          <t>FILIPSTAD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15396-2025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45747</v>
      </c>
      <c r="E581" s="1" t="n">
        <v>46226</v>
      </c>
      <c r="F581" t="inlineStr">
        <is>
          <t>VÄRMLANDS LÄN</t>
        </is>
      </c>
      <c r="G581" t="inlineStr">
        <is>
          <t>FILIPSTAD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65174-2021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46226</v>
      </c>
      <c r="F582" t="inlineStr">
        <is>
          <t>VÄRMLANDS LÄN</t>
        </is>
      </c>
      <c r="G582" t="inlineStr">
        <is>
          <t>FILIPSTAD</t>
        </is>
      </c>
      <c r="I582" t="n">
        <v>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45796</v>
      </c>
      <c r="E583" s="1" t="n">
        <v>46226</v>
      </c>
      <c r="F583" t="inlineStr">
        <is>
          <t>VÄRMLANDS LÄN</t>
        </is>
      </c>
      <c r="G583" t="inlineStr">
        <is>
          <t>FILIPSTAD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45439</v>
      </c>
      <c r="E584" s="1" t="n">
        <v>46226</v>
      </c>
      <c r="F584" t="inlineStr">
        <is>
          <t>VÄRMLANDS LÄN</t>
        </is>
      </c>
      <c r="G584" t="inlineStr">
        <is>
          <t>FILIPSTAD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45322</v>
      </c>
      <c r="E585" s="1" t="n">
        <v>46226</v>
      </c>
      <c r="F585" t="inlineStr">
        <is>
          <t>VÄRMLANDS LÄN</t>
        </is>
      </c>
      <c r="G585" t="inlineStr">
        <is>
          <t>FILIPSTAD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15406-2025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45747</v>
      </c>
      <c r="E586" s="1" t="n">
        <v>46226</v>
      </c>
      <c r="F586" t="inlineStr">
        <is>
          <t>VÄRMLANDS LÄN</t>
        </is>
      </c>
      <c r="G586" t="inlineStr">
        <is>
          <t>FILIPSTAD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35799-2022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44801</v>
      </c>
      <c r="E587" s="1" t="n">
        <v>46226</v>
      </c>
      <c r="F587" t="inlineStr">
        <is>
          <t>VÄRMLANDS LÄN</t>
        </is>
      </c>
      <c r="G587" t="inlineStr">
        <is>
          <t>FILIPSTAD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47261-2024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45586</v>
      </c>
      <c r="E588" s="1" t="n">
        <v>46226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26116-2025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45805</v>
      </c>
      <c r="E589" s="1" t="n">
        <v>46226</v>
      </c>
      <c r="F589" t="inlineStr">
        <is>
          <t>VÄRMLANDS LÄN</t>
        </is>
      </c>
      <c r="G589" t="inlineStr">
        <is>
          <t>FILIPSTAD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26123-2025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45805</v>
      </c>
      <c r="E590" s="1" t="n">
        <v>46226</v>
      </c>
      <c r="F590" t="inlineStr">
        <is>
          <t>VÄRMLANDS LÄN</t>
        </is>
      </c>
      <c r="G590" t="inlineStr">
        <is>
          <t>FILIPSTAD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26812-2025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45810</v>
      </c>
      <c r="E591" s="1" t="n">
        <v>46226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26843-2024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45470</v>
      </c>
      <c r="E592" s="1" t="n">
        <v>46226</v>
      </c>
      <c r="F592" t="inlineStr">
        <is>
          <t>VÄRMLANDS LÄN</t>
        </is>
      </c>
      <c r="G592" t="inlineStr">
        <is>
          <t>FILIPSTAD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5757-2021</t>
        </is>
      </c>
      <c r="B593" t="inlineStr">
        <is>
          <t>samrådsanmälan</t>
        </is>
      </c>
      <c r="C593" t="inlineStr">
        <is>
          <t>Basväg</t>
        </is>
      </c>
      <c r="D593" s="1" t="n">
        <v>44438</v>
      </c>
      <c r="E593" s="1" t="n">
        <v>46226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1191-2021</t>
        </is>
      </c>
      <c r="B594" t="inlineStr">
        <is>
          <t>samrådsanmälan</t>
        </is>
      </c>
      <c r="C594" t="inlineStr">
        <is>
          <t>Åtgärd i nyckelbiotop</t>
        </is>
      </c>
      <c r="D594" s="1" t="n">
        <v>44328</v>
      </c>
      <c r="E594" s="1" t="n">
        <v>46226</v>
      </c>
      <c r="F594" t="inlineStr">
        <is>
          <t>VÄRMLANDS LÄN</t>
        </is>
      </c>
      <c r="G594" t="inlineStr">
        <is>
          <t>FILIPSTAD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4134-2023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46226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5.7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4115-2023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45246</v>
      </c>
      <c r="E596" s="1" t="n">
        <v>46226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4137-2023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4132-2023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46226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4130-2023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46226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4127-2023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46226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56.4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837-2023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44991</v>
      </c>
      <c r="E601" s="1" t="n">
        <v>46226</v>
      </c>
      <c r="F601" t="inlineStr">
        <is>
          <t>VÄRMLANDS LÄN</t>
        </is>
      </c>
      <c r="G601" t="inlineStr">
        <is>
          <t>FILIPSTAD</t>
        </is>
      </c>
      <c r="I601" t="n">
        <v>19.3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4129-2023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3919-2023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45233</v>
      </c>
      <c r="E603" s="1" t="n">
        <v>46226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4135-2023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46226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6078-2021</t>
        </is>
      </c>
      <c r="B605" t="inlineStr">
        <is>
          <t>samrådsanmälan</t>
        </is>
      </c>
      <c r="C605" t="inlineStr">
        <is>
          <t>Åtgärd i nyckelbiotop</t>
        </is>
      </c>
      <c r="D605" s="1" t="n">
        <v>44442</v>
      </c>
      <c r="E605" s="1" t="n">
        <v>46226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4126-2023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45247</v>
      </c>
      <c r="E606" s="1" t="n">
        <v>46226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294-2025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45687</v>
      </c>
      <c r="E607" s="1" t="n">
        <v>46226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186.4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4116-2023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45246</v>
      </c>
      <c r="E608" s="1" t="n">
        <v>46226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6.4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661-2025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45716</v>
      </c>
      <c r="E609" s="1" t="n">
        <v>46226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161.7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3429-2025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45995</v>
      </c>
      <c r="E610" s="1" t="n">
        <v>46226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12.1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3576-2025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46010</v>
      </c>
      <c r="E611" s="1" t="n">
        <v>46226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105-2026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46036</v>
      </c>
      <c r="E612" s="1" t="n">
        <v>46226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238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2026-07-23T01:48:15Z</dcterms:created>
  <dcterms:modified xmlns:dcterms="http://purl.org/dc/terms/" xmlns:xsi="http://www.w3.org/2001/XMLSchema-instance" xsi:type="dcterms:W3CDTF">2026-07-23T01:48:15Z</dcterms:modified>
</cp:coreProperties>
</file>