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39323-2024</t>
        </is>
      </c>
      <c r="B2" s="1" t="n">
        <v>45551</v>
      </c>
      <c r="C2" s="1" t="n">
        <v>46164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20.2</v>
      </c>
      <c r="H2" t="n">
        <v>3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Knärot
Gränsticka
Spillkråka
Tallticka
Ullticka
Vedtrappmossa
Dropptaggsvamp
Grön sköldmossa
Rostfläck
Vedticka</t>
        </is>
      </c>
      <c r="S2">
        <f>HYPERLINK("https://klasma.github.io/Logging_1782/artfynd/A 39323-2024 artfynd.xlsx", "A 39323-2024")</f>
        <v/>
      </c>
      <c r="T2">
        <f>HYPERLINK("https://klasma.github.io/Logging_1782/kartor/A 39323-2024 karta.png", "A 39323-2024")</f>
        <v/>
      </c>
      <c r="U2">
        <f>HYPERLINK("https://klasma.github.io/Logging_1782/knärot/A 39323-2024 karta knärot.png", "A 39323-2024")</f>
        <v/>
      </c>
      <c r="V2">
        <f>HYPERLINK("https://klasma.github.io/Logging_1782/klagomål/A 39323-2024 FSC-klagomål.docx", "A 39323-2024")</f>
        <v/>
      </c>
      <c r="W2">
        <f>HYPERLINK("https://klasma.github.io/Logging_1782/klagomålsmail/A 39323-2024 FSC-klagomål mail.docx", "A 39323-2024")</f>
        <v/>
      </c>
      <c r="X2">
        <f>HYPERLINK("https://klasma.github.io/Logging_1782/tillsyn/A 39323-2024 tillsynsbegäran.docx", "A 39323-2024")</f>
        <v/>
      </c>
      <c r="Y2">
        <f>HYPERLINK("https://klasma.github.io/Logging_1782/tillsynsmail/A 39323-2024 tillsynsbegäran mail.docx", "A 39323-2024")</f>
        <v/>
      </c>
      <c r="Z2">
        <f>HYPERLINK("https://klasma.github.io/Logging_1782/fåglar/A 39323-2024 prioriterade fågelarter.docx", "A 39323-2024")</f>
        <v/>
      </c>
    </row>
    <row r="3" ht="15" customHeight="1">
      <c r="A3" t="inlineStr">
        <is>
          <t>A 58718-2021</t>
        </is>
      </c>
      <c r="B3" s="1" t="n">
        <v>44489</v>
      </c>
      <c r="C3" s="1" t="n">
        <v>46164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12.2</v>
      </c>
      <c r="H3" t="n">
        <v>0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Garnlav
Ullticka
Vedtrappmossa
Bollvitmossa
Bronshjon
Dropptaggsvamp
Skuggblåslav</t>
        </is>
      </c>
      <c r="S3">
        <f>HYPERLINK("https://klasma.github.io/Logging_1782/artfynd/A 58718-2021 artfynd.xlsx", "A 58718-2021")</f>
        <v/>
      </c>
      <c r="T3">
        <f>HYPERLINK("https://klasma.github.io/Logging_1782/kartor/A 58718-2021 karta.png", "A 58718-2021")</f>
        <v/>
      </c>
      <c r="V3">
        <f>HYPERLINK("https://klasma.github.io/Logging_1782/klagomål/A 58718-2021 FSC-klagomål.docx", "A 58718-2021")</f>
        <v/>
      </c>
      <c r="W3">
        <f>HYPERLINK("https://klasma.github.io/Logging_1782/klagomålsmail/A 58718-2021 FSC-klagomål mail.docx", "A 58718-2021")</f>
        <v/>
      </c>
      <c r="X3">
        <f>HYPERLINK("https://klasma.github.io/Logging_1782/tillsyn/A 58718-2021 tillsynsbegäran.docx", "A 58718-2021")</f>
        <v/>
      </c>
      <c r="Y3">
        <f>HYPERLINK("https://klasma.github.io/Logging_1782/tillsynsmail/A 58718-2021 tillsynsbegäran mail.docx", "A 58718-2021")</f>
        <v/>
      </c>
    </row>
    <row r="4" ht="15" customHeight="1">
      <c r="A4" t="inlineStr">
        <is>
          <t>A 47888-2021</t>
        </is>
      </c>
      <c r="B4" s="1" t="n">
        <v>44448</v>
      </c>
      <c r="C4" s="1" t="n">
        <v>46164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9</v>
      </c>
      <c r="H4" t="n">
        <v>3</v>
      </c>
      <c r="I4" t="n">
        <v>7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s="2" t="inlineStr">
        <is>
          <t>Grönkulla
Skogsknipprot
Svart trolldruva
Tibast
Tvåblad
Underviol
Vårärt</t>
        </is>
      </c>
      <c r="S4">
        <f>HYPERLINK("https://klasma.github.io/Logging_1782/artfynd/A 47888-2021 artfynd.xlsx", "A 47888-2021")</f>
        <v/>
      </c>
      <c r="T4">
        <f>HYPERLINK("https://klasma.github.io/Logging_1782/kartor/A 47888-2021 karta.png", "A 47888-2021")</f>
        <v/>
      </c>
      <c r="V4">
        <f>HYPERLINK("https://klasma.github.io/Logging_1782/klagomål/A 47888-2021 FSC-klagomål.docx", "A 47888-2021")</f>
        <v/>
      </c>
      <c r="W4">
        <f>HYPERLINK("https://klasma.github.io/Logging_1782/klagomålsmail/A 47888-2021 FSC-klagomål mail.docx", "A 47888-2021")</f>
        <v/>
      </c>
      <c r="X4">
        <f>HYPERLINK("https://klasma.github.io/Logging_1782/tillsyn/A 47888-2021 tillsynsbegäran.docx", "A 47888-2021")</f>
        <v/>
      </c>
      <c r="Y4">
        <f>HYPERLINK("https://klasma.github.io/Logging_1782/tillsynsmail/A 47888-2021 tillsynsbegäran mail.docx", "A 47888-2021")</f>
        <v/>
      </c>
    </row>
    <row r="5" ht="15" customHeight="1">
      <c r="A5" t="inlineStr">
        <is>
          <t>A 37729-2025</t>
        </is>
      </c>
      <c r="B5" s="1" t="n">
        <v>45880</v>
      </c>
      <c r="C5" s="1" t="n">
        <v>46164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1.3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Garnlav
Ullticka
Vedtrappmossa
Bollvitmossa
Bronshjon
Skuggblåslav</t>
        </is>
      </c>
      <c r="S5">
        <f>HYPERLINK("https://klasma.github.io/Logging_1782/artfynd/A 37729-2025 artfynd.xlsx", "A 37729-2025")</f>
        <v/>
      </c>
      <c r="T5">
        <f>HYPERLINK("https://klasma.github.io/Logging_1782/kartor/A 37729-2025 karta.png", "A 37729-2025")</f>
        <v/>
      </c>
      <c r="V5">
        <f>HYPERLINK("https://klasma.github.io/Logging_1782/klagomål/A 37729-2025 FSC-klagomål.docx", "A 37729-2025")</f>
        <v/>
      </c>
      <c r="W5">
        <f>HYPERLINK("https://klasma.github.io/Logging_1782/klagomålsmail/A 37729-2025 FSC-klagomål mail.docx", "A 37729-2025")</f>
        <v/>
      </c>
      <c r="X5">
        <f>HYPERLINK("https://klasma.github.io/Logging_1782/tillsyn/A 37729-2025 tillsynsbegäran.docx", "A 37729-2025")</f>
        <v/>
      </c>
      <c r="Y5">
        <f>HYPERLINK("https://klasma.github.io/Logging_1782/tillsynsmail/A 37729-2025 tillsynsbegäran mail.docx", "A 37729-2025")</f>
        <v/>
      </c>
    </row>
    <row r="6" ht="15" customHeight="1">
      <c r="A6" t="inlineStr">
        <is>
          <t>A 57471-2025</t>
        </is>
      </c>
      <c r="B6" s="1" t="n">
        <v>45980</v>
      </c>
      <c r="C6" s="1" t="n">
        <v>46164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14.4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Garnlav
Bollvitmossa
Kattfotslav
Vågbandad barkbock
Fläcknycklar</t>
        </is>
      </c>
      <c r="S6">
        <f>HYPERLINK("https://klasma.github.io/Logging_1782/artfynd/A 57471-2025 artfynd.xlsx", "A 57471-2025")</f>
        <v/>
      </c>
      <c r="T6">
        <f>HYPERLINK("https://klasma.github.io/Logging_1782/kartor/A 57471-2025 karta.png", "A 57471-2025")</f>
        <v/>
      </c>
      <c r="V6">
        <f>HYPERLINK("https://klasma.github.io/Logging_1782/klagomål/A 57471-2025 FSC-klagomål.docx", "A 57471-2025")</f>
        <v/>
      </c>
      <c r="W6">
        <f>HYPERLINK("https://klasma.github.io/Logging_1782/klagomålsmail/A 57471-2025 FSC-klagomål mail.docx", "A 57471-2025")</f>
        <v/>
      </c>
      <c r="X6">
        <f>HYPERLINK("https://klasma.github.io/Logging_1782/tillsyn/A 57471-2025 tillsynsbegäran.docx", "A 57471-2025")</f>
        <v/>
      </c>
      <c r="Y6">
        <f>HYPERLINK("https://klasma.github.io/Logging_1782/tillsynsmail/A 57471-2025 tillsynsbegäran mail.docx", "A 57471-2025")</f>
        <v/>
      </c>
    </row>
    <row r="7" ht="15" customHeight="1">
      <c r="A7" t="inlineStr">
        <is>
          <t>A 65201-2023</t>
        </is>
      </c>
      <c r="B7" s="1" t="n">
        <v>45289.42722222222</v>
      </c>
      <c r="C7" s="1" t="n">
        <v>46164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7.5</v>
      </c>
      <c r="H7" t="n">
        <v>2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Brunpudrad nållav
Vedtrappmossa
Blåsippa</t>
        </is>
      </c>
      <c r="S7">
        <f>HYPERLINK("https://klasma.github.io/Logging_1782/artfynd/A 65201-2023 artfynd.xlsx", "A 65201-2023")</f>
        <v/>
      </c>
      <c r="T7">
        <f>HYPERLINK("https://klasma.github.io/Logging_1782/kartor/A 65201-2023 karta.png", "A 65201-2023")</f>
        <v/>
      </c>
      <c r="U7">
        <f>HYPERLINK("https://klasma.github.io/Logging_1782/knärot/A 65201-2023 karta knärot.png", "A 65201-2023")</f>
        <v/>
      </c>
      <c r="V7">
        <f>HYPERLINK("https://klasma.github.io/Logging_1782/klagomål/A 65201-2023 FSC-klagomål.docx", "A 65201-2023")</f>
        <v/>
      </c>
      <c r="W7">
        <f>HYPERLINK("https://klasma.github.io/Logging_1782/klagomålsmail/A 65201-2023 FSC-klagomål mail.docx", "A 65201-2023")</f>
        <v/>
      </c>
      <c r="X7">
        <f>HYPERLINK("https://klasma.github.io/Logging_1782/tillsyn/A 65201-2023 tillsynsbegäran.docx", "A 65201-2023")</f>
        <v/>
      </c>
      <c r="Y7">
        <f>HYPERLINK("https://klasma.github.io/Logging_1782/tillsynsmail/A 65201-2023 tillsynsbegäran mail.docx", "A 65201-2023")</f>
        <v/>
      </c>
    </row>
    <row r="8" ht="15" customHeight="1">
      <c r="A8" t="inlineStr">
        <is>
          <t>A 45714-2025</t>
        </is>
      </c>
      <c r="B8" s="1" t="n">
        <v>45923</v>
      </c>
      <c r="C8" s="1" t="n">
        <v>46164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2.5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Brunklöver
Bårdlav
Skuggblåslav</t>
        </is>
      </c>
      <c r="S8">
        <f>HYPERLINK("https://klasma.github.io/Logging_1782/artfynd/A 45714-2025 artfynd.xlsx", "A 45714-2025")</f>
        <v/>
      </c>
      <c r="T8">
        <f>HYPERLINK("https://klasma.github.io/Logging_1782/kartor/A 45714-2025 karta.png", "A 45714-2025")</f>
        <v/>
      </c>
      <c r="V8">
        <f>HYPERLINK("https://klasma.github.io/Logging_1782/klagomål/A 45714-2025 FSC-klagomål.docx", "A 45714-2025")</f>
        <v/>
      </c>
      <c r="W8">
        <f>HYPERLINK("https://klasma.github.io/Logging_1782/klagomålsmail/A 45714-2025 FSC-klagomål mail.docx", "A 45714-2025")</f>
        <v/>
      </c>
      <c r="X8">
        <f>HYPERLINK("https://klasma.github.io/Logging_1782/tillsyn/A 45714-2025 tillsynsbegäran.docx", "A 45714-2025")</f>
        <v/>
      </c>
      <c r="Y8">
        <f>HYPERLINK("https://klasma.github.io/Logging_1782/tillsynsmail/A 45714-2025 tillsynsbegäran mail.docx", "A 45714-2025")</f>
        <v/>
      </c>
    </row>
    <row r="9" ht="15" customHeight="1">
      <c r="A9" t="inlineStr">
        <is>
          <t>A 38134-2024</t>
        </is>
      </c>
      <c r="B9" s="1" t="n">
        <v>45545</v>
      </c>
      <c r="C9" s="1" t="n">
        <v>46164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2.4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Garnlav
Dropptaggsvamp
Skuggblåslav</t>
        </is>
      </c>
      <c r="S9">
        <f>HYPERLINK("https://klasma.github.io/Logging_1782/artfynd/A 38134-2024 artfynd.xlsx", "A 38134-2024")</f>
        <v/>
      </c>
      <c r="T9">
        <f>HYPERLINK("https://klasma.github.io/Logging_1782/kartor/A 38134-2024 karta.png", "A 38134-2024")</f>
        <v/>
      </c>
      <c r="V9">
        <f>HYPERLINK("https://klasma.github.io/Logging_1782/klagomål/A 38134-2024 FSC-klagomål.docx", "A 38134-2024")</f>
        <v/>
      </c>
      <c r="W9">
        <f>HYPERLINK("https://klasma.github.io/Logging_1782/klagomålsmail/A 38134-2024 FSC-klagomål mail.docx", "A 38134-2024")</f>
        <v/>
      </c>
      <c r="X9">
        <f>HYPERLINK("https://klasma.github.io/Logging_1782/tillsyn/A 38134-2024 tillsynsbegäran.docx", "A 38134-2024")</f>
        <v/>
      </c>
      <c r="Y9">
        <f>HYPERLINK("https://klasma.github.io/Logging_1782/tillsynsmail/A 38134-2024 tillsynsbegäran mail.docx", "A 38134-2024")</f>
        <v/>
      </c>
    </row>
    <row r="10" ht="15" customHeight="1">
      <c r="A10" t="inlineStr">
        <is>
          <t>A 60512-2024</t>
        </is>
      </c>
      <c r="B10" s="1" t="n">
        <v>45643</v>
      </c>
      <c r="C10" s="1" t="n">
        <v>46164</v>
      </c>
      <c r="D10" t="inlineStr">
        <is>
          <t>VÄRMLANDS LÄN</t>
        </is>
      </c>
      <c r="E10" t="inlineStr">
        <is>
          <t>FILIPSTAD</t>
        </is>
      </c>
      <c r="G10" t="n">
        <v>5.6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Brunpudrad nållav
Jättesvampmal
Vedticka</t>
        </is>
      </c>
      <c r="S10">
        <f>HYPERLINK("https://klasma.github.io/Logging_1782/artfynd/A 60512-2024 artfynd.xlsx", "A 60512-2024")</f>
        <v/>
      </c>
      <c r="T10">
        <f>HYPERLINK("https://klasma.github.io/Logging_1782/kartor/A 60512-2024 karta.png", "A 60512-2024")</f>
        <v/>
      </c>
      <c r="V10">
        <f>HYPERLINK("https://klasma.github.io/Logging_1782/klagomål/A 60512-2024 FSC-klagomål.docx", "A 60512-2024")</f>
        <v/>
      </c>
      <c r="W10">
        <f>HYPERLINK("https://klasma.github.io/Logging_1782/klagomålsmail/A 60512-2024 FSC-klagomål mail.docx", "A 60512-2024")</f>
        <v/>
      </c>
      <c r="X10">
        <f>HYPERLINK("https://klasma.github.io/Logging_1782/tillsyn/A 60512-2024 tillsynsbegäran.docx", "A 60512-2024")</f>
        <v/>
      </c>
      <c r="Y10">
        <f>HYPERLINK("https://klasma.github.io/Logging_1782/tillsynsmail/A 60512-2024 tillsynsbegäran mail.docx", "A 60512-2024")</f>
        <v/>
      </c>
    </row>
    <row r="11" ht="15" customHeight="1">
      <c r="A11" t="inlineStr">
        <is>
          <t>A 38132-2024</t>
        </is>
      </c>
      <c r="B11" s="1" t="n">
        <v>45545</v>
      </c>
      <c r="C11" s="1" t="n">
        <v>46164</v>
      </c>
      <c r="D11" t="inlineStr">
        <is>
          <t>VÄRMLANDS LÄN</t>
        </is>
      </c>
      <c r="E11" t="inlineStr">
        <is>
          <t>FILIPSTAD</t>
        </is>
      </c>
      <c r="F11" t="inlineStr">
        <is>
          <t>Bergvik skog väst AB</t>
        </is>
      </c>
      <c r="G11" t="n">
        <v>2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Bronshjon
Fläcknycklar</t>
        </is>
      </c>
      <c r="S11">
        <f>HYPERLINK("https://klasma.github.io/Logging_1782/artfynd/A 38132-2024 artfynd.xlsx", "A 38132-2024")</f>
        <v/>
      </c>
      <c r="T11">
        <f>HYPERLINK("https://klasma.github.io/Logging_1782/kartor/A 38132-2024 karta.png", "A 38132-2024")</f>
        <v/>
      </c>
      <c r="V11">
        <f>HYPERLINK("https://klasma.github.io/Logging_1782/klagomål/A 38132-2024 FSC-klagomål.docx", "A 38132-2024")</f>
        <v/>
      </c>
      <c r="W11">
        <f>HYPERLINK("https://klasma.github.io/Logging_1782/klagomålsmail/A 38132-2024 FSC-klagomål mail.docx", "A 38132-2024")</f>
        <v/>
      </c>
      <c r="X11">
        <f>HYPERLINK("https://klasma.github.io/Logging_1782/tillsyn/A 38132-2024 tillsynsbegäran.docx", "A 38132-2024")</f>
        <v/>
      </c>
      <c r="Y11">
        <f>HYPERLINK("https://klasma.github.io/Logging_1782/tillsynsmail/A 38132-2024 tillsynsbegäran mail.docx", "A 38132-2024")</f>
        <v/>
      </c>
    </row>
    <row r="12" ht="15" customHeight="1">
      <c r="A12" t="inlineStr">
        <is>
          <t>A 45523-2022</t>
        </is>
      </c>
      <c r="B12" s="1" t="n">
        <v>44845</v>
      </c>
      <c r="C12" s="1" t="n">
        <v>46164</v>
      </c>
      <c r="D12" t="inlineStr">
        <is>
          <t>VÄRMLANDS LÄN</t>
        </is>
      </c>
      <c r="E12" t="inlineStr">
        <is>
          <t>FILIPSTAD</t>
        </is>
      </c>
      <c r="G12" t="n">
        <v>7.7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Bronshjon
Korallblylav</t>
        </is>
      </c>
      <c r="S12">
        <f>HYPERLINK("https://klasma.github.io/Logging_1782/artfynd/A 45523-2022 artfynd.xlsx", "A 45523-2022")</f>
        <v/>
      </c>
      <c r="T12">
        <f>HYPERLINK("https://klasma.github.io/Logging_1782/kartor/A 45523-2022 karta.png", "A 45523-2022")</f>
        <v/>
      </c>
      <c r="V12">
        <f>HYPERLINK("https://klasma.github.io/Logging_1782/klagomål/A 45523-2022 FSC-klagomål.docx", "A 45523-2022")</f>
        <v/>
      </c>
      <c r="W12">
        <f>HYPERLINK("https://klasma.github.io/Logging_1782/klagomålsmail/A 45523-2022 FSC-klagomål mail.docx", "A 45523-2022")</f>
        <v/>
      </c>
      <c r="X12">
        <f>HYPERLINK("https://klasma.github.io/Logging_1782/tillsyn/A 45523-2022 tillsynsbegäran.docx", "A 45523-2022")</f>
        <v/>
      </c>
      <c r="Y12">
        <f>HYPERLINK("https://klasma.github.io/Logging_1782/tillsynsmail/A 45523-2022 tillsynsbegäran mail.docx", "A 45523-2022")</f>
        <v/>
      </c>
    </row>
    <row r="13" ht="15" customHeight="1">
      <c r="A13" t="inlineStr">
        <is>
          <t>A 45602-2025</t>
        </is>
      </c>
      <c r="B13" s="1" t="n">
        <v>45922.68905092592</v>
      </c>
      <c r="C13" s="1" t="n">
        <v>46164</v>
      </c>
      <c r="D13" t="inlineStr">
        <is>
          <t>VÄRMLANDS LÄN</t>
        </is>
      </c>
      <c r="E13" t="inlineStr">
        <is>
          <t>FILIPSTAD</t>
        </is>
      </c>
      <c r="G13" t="n">
        <v>6.2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Blåsfliksmossa
Tibast</t>
        </is>
      </c>
      <c r="S13">
        <f>HYPERLINK("https://klasma.github.io/Logging_1782/artfynd/A 45602-2025 artfynd.xlsx", "A 45602-2025")</f>
        <v/>
      </c>
      <c r="T13">
        <f>HYPERLINK("https://klasma.github.io/Logging_1782/kartor/A 45602-2025 karta.png", "A 45602-2025")</f>
        <v/>
      </c>
      <c r="V13">
        <f>HYPERLINK("https://klasma.github.io/Logging_1782/klagomål/A 45602-2025 FSC-klagomål.docx", "A 45602-2025")</f>
        <v/>
      </c>
      <c r="W13">
        <f>HYPERLINK("https://klasma.github.io/Logging_1782/klagomålsmail/A 45602-2025 FSC-klagomål mail.docx", "A 45602-2025")</f>
        <v/>
      </c>
      <c r="X13">
        <f>HYPERLINK("https://klasma.github.io/Logging_1782/tillsyn/A 45602-2025 tillsynsbegäran.docx", "A 45602-2025")</f>
        <v/>
      </c>
      <c r="Y13">
        <f>HYPERLINK("https://klasma.github.io/Logging_1782/tillsynsmail/A 45602-2025 tillsynsbegäran mail.docx", "A 45602-2025")</f>
        <v/>
      </c>
    </row>
    <row r="14" ht="15" customHeight="1">
      <c r="A14" t="inlineStr">
        <is>
          <t>A 38138-2024</t>
        </is>
      </c>
      <c r="B14" s="1" t="n">
        <v>45545</v>
      </c>
      <c r="C14" s="1" t="n">
        <v>46164</v>
      </c>
      <c r="D14" t="inlineStr">
        <is>
          <t>VÄRMLANDS LÄN</t>
        </is>
      </c>
      <c r="E14" t="inlineStr">
        <is>
          <t>FILIPSTAD</t>
        </is>
      </c>
      <c r="F14" t="inlineStr">
        <is>
          <t>Bergvik skog väst AB</t>
        </is>
      </c>
      <c r="G14" t="n">
        <v>1.6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Garnlav
Fläcknycklar</t>
        </is>
      </c>
      <c r="S14">
        <f>HYPERLINK("https://klasma.github.io/Logging_1782/artfynd/A 38138-2024 artfynd.xlsx", "A 38138-2024")</f>
        <v/>
      </c>
      <c r="T14">
        <f>HYPERLINK("https://klasma.github.io/Logging_1782/kartor/A 38138-2024 karta.png", "A 38138-2024")</f>
        <v/>
      </c>
      <c r="V14">
        <f>HYPERLINK("https://klasma.github.io/Logging_1782/klagomål/A 38138-2024 FSC-klagomål.docx", "A 38138-2024")</f>
        <v/>
      </c>
      <c r="W14">
        <f>HYPERLINK("https://klasma.github.io/Logging_1782/klagomålsmail/A 38138-2024 FSC-klagomål mail.docx", "A 38138-2024")</f>
        <v/>
      </c>
      <c r="X14">
        <f>HYPERLINK("https://klasma.github.io/Logging_1782/tillsyn/A 38138-2024 tillsynsbegäran.docx", "A 38138-2024")</f>
        <v/>
      </c>
      <c r="Y14">
        <f>HYPERLINK("https://klasma.github.io/Logging_1782/tillsynsmail/A 38138-2024 tillsynsbegäran mail.docx", "A 38138-2024")</f>
        <v/>
      </c>
    </row>
    <row r="15" ht="15" customHeight="1">
      <c r="A15" t="inlineStr">
        <is>
          <t>A 19719-2025</t>
        </is>
      </c>
      <c r="B15" s="1" t="n">
        <v>45771</v>
      </c>
      <c r="C15" s="1" t="n">
        <v>46164</v>
      </c>
      <c r="D15" t="inlineStr">
        <is>
          <t>VÄRMLANDS LÄN</t>
        </is>
      </c>
      <c r="E15" t="inlineStr">
        <is>
          <t>FILIPSTAD</t>
        </is>
      </c>
      <c r="F15" t="inlineStr">
        <is>
          <t>Bergvik skog väst AB</t>
        </is>
      </c>
      <c r="G15" t="n">
        <v>9.9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Garnlav
Dropptaggsvamp</t>
        </is>
      </c>
      <c r="S15">
        <f>HYPERLINK("https://klasma.github.io/Logging_1782/artfynd/A 19719-2025 artfynd.xlsx", "A 19719-2025")</f>
        <v/>
      </c>
      <c r="T15">
        <f>HYPERLINK("https://klasma.github.io/Logging_1782/kartor/A 19719-2025 karta.png", "A 19719-2025")</f>
        <v/>
      </c>
      <c r="V15">
        <f>HYPERLINK("https://klasma.github.io/Logging_1782/klagomål/A 19719-2025 FSC-klagomål.docx", "A 19719-2025")</f>
        <v/>
      </c>
      <c r="W15">
        <f>HYPERLINK("https://klasma.github.io/Logging_1782/klagomålsmail/A 19719-2025 FSC-klagomål mail.docx", "A 19719-2025")</f>
        <v/>
      </c>
      <c r="X15">
        <f>HYPERLINK("https://klasma.github.io/Logging_1782/tillsyn/A 19719-2025 tillsynsbegäran.docx", "A 19719-2025")</f>
        <v/>
      </c>
      <c r="Y15">
        <f>HYPERLINK("https://klasma.github.io/Logging_1782/tillsynsmail/A 19719-2025 tillsynsbegäran mail.docx", "A 19719-2025")</f>
        <v/>
      </c>
    </row>
    <row r="16" ht="15" customHeight="1">
      <c r="A16" t="inlineStr">
        <is>
          <t>A 16139-2025</t>
        </is>
      </c>
      <c r="B16" s="1" t="n">
        <v>45750</v>
      </c>
      <c r="C16" s="1" t="n">
        <v>46164</v>
      </c>
      <c r="D16" t="inlineStr">
        <is>
          <t>VÄRMLANDS LÄN</t>
        </is>
      </c>
      <c r="E16" t="inlineStr">
        <is>
          <t>FILIPSTAD</t>
        </is>
      </c>
      <c r="G16" t="n">
        <v>18.2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Garnlav
Bronshjon</t>
        </is>
      </c>
      <c r="S16">
        <f>HYPERLINK("https://klasma.github.io/Logging_1782/artfynd/A 16139-2025 artfynd.xlsx", "A 16139-2025")</f>
        <v/>
      </c>
      <c r="T16">
        <f>HYPERLINK("https://klasma.github.io/Logging_1782/kartor/A 16139-2025 karta.png", "A 16139-2025")</f>
        <v/>
      </c>
      <c r="V16">
        <f>HYPERLINK("https://klasma.github.io/Logging_1782/klagomål/A 16139-2025 FSC-klagomål.docx", "A 16139-2025")</f>
        <v/>
      </c>
      <c r="W16">
        <f>HYPERLINK("https://klasma.github.io/Logging_1782/klagomålsmail/A 16139-2025 FSC-klagomål mail.docx", "A 16139-2025")</f>
        <v/>
      </c>
      <c r="X16">
        <f>HYPERLINK("https://klasma.github.io/Logging_1782/tillsyn/A 16139-2025 tillsynsbegäran.docx", "A 16139-2025")</f>
        <v/>
      </c>
      <c r="Y16">
        <f>HYPERLINK("https://klasma.github.io/Logging_1782/tillsynsmail/A 16139-2025 tillsynsbegäran mail.docx", "A 16139-2025")</f>
        <v/>
      </c>
    </row>
    <row r="17" ht="15" customHeight="1">
      <c r="A17" t="inlineStr">
        <is>
          <t>A 63625-2023</t>
        </is>
      </c>
      <c r="B17" s="1" t="n">
        <v>45275</v>
      </c>
      <c r="C17" s="1" t="n">
        <v>46164</v>
      </c>
      <c r="D17" t="inlineStr">
        <is>
          <t>VÄRMLANDS LÄN</t>
        </is>
      </c>
      <c r="E17" t="inlineStr">
        <is>
          <t>FILIPSTAD</t>
        </is>
      </c>
      <c r="G17" t="n">
        <v>1.9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Smalfotad taggsvamp
Vaddporing</t>
        </is>
      </c>
      <c r="S17">
        <f>HYPERLINK("https://klasma.github.io/Logging_1782/artfynd/A 63625-2023 artfynd.xlsx", "A 63625-2023")</f>
        <v/>
      </c>
      <c r="T17">
        <f>HYPERLINK("https://klasma.github.io/Logging_1782/kartor/A 63625-2023 karta.png", "A 63625-2023")</f>
        <v/>
      </c>
      <c r="V17">
        <f>HYPERLINK("https://klasma.github.io/Logging_1782/klagomål/A 63625-2023 FSC-klagomål.docx", "A 63625-2023")</f>
        <v/>
      </c>
      <c r="W17">
        <f>HYPERLINK("https://klasma.github.io/Logging_1782/klagomålsmail/A 63625-2023 FSC-klagomål mail.docx", "A 63625-2023")</f>
        <v/>
      </c>
      <c r="X17">
        <f>HYPERLINK("https://klasma.github.io/Logging_1782/tillsyn/A 63625-2023 tillsynsbegäran.docx", "A 63625-2023")</f>
        <v/>
      </c>
      <c r="Y17">
        <f>HYPERLINK("https://klasma.github.io/Logging_1782/tillsynsmail/A 63625-2023 tillsynsbegäran mail.docx", "A 63625-2023")</f>
        <v/>
      </c>
    </row>
    <row r="18" ht="15" customHeight="1">
      <c r="A18" t="inlineStr">
        <is>
          <t>A 19945-2023</t>
        </is>
      </c>
      <c r="B18" s="1" t="n">
        <v>45054</v>
      </c>
      <c r="C18" s="1" t="n">
        <v>46164</v>
      </c>
      <c r="D18" t="inlineStr">
        <is>
          <t>VÄRMLANDS LÄN</t>
        </is>
      </c>
      <c r="E18" t="inlineStr">
        <is>
          <t>FILIPSTAD</t>
        </is>
      </c>
      <c r="G18" t="n">
        <v>3.3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Guckusko
Kransrams</t>
        </is>
      </c>
      <c r="S18">
        <f>HYPERLINK("https://klasma.github.io/Logging_1782/artfynd/A 19945-2023 artfynd.xlsx", "A 19945-2023")</f>
        <v/>
      </c>
      <c r="T18">
        <f>HYPERLINK("https://klasma.github.io/Logging_1782/kartor/A 19945-2023 karta.png", "A 19945-2023")</f>
        <v/>
      </c>
      <c r="V18">
        <f>HYPERLINK("https://klasma.github.io/Logging_1782/klagomål/A 19945-2023 FSC-klagomål.docx", "A 19945-2023")</f>
        <v/>
      </c>
      <c r="W18">
        <f>HYPERLINK("https://klasma.github.io/Logging_1782/klagomålsmail/A 19945-2023 FSC-klagomål mail.docx", "A 19945-2023")</f>
        <v/>
      </c>
      <c r="X18">
        <f>HYPERLINK("https://klasma.github.io/Logging_1782/tillsyn/A 19945-2023 tillsynsbegäran.docx", "A 19945-2023")</f>
        <v/>
      </c>
      <c r="Y18">
        <f>HYPERLINK("https://klasma.github.io/Logging_1782/tillsynsmail/A 19945-2023 tillsynsbegäran mail.docx", "A 19945-2023")</f>
        <v/>
      </c>
    </row>
    <row r="19" ht="15" customHeight="1">
      <c r="A19" t="inlineStr">
        <is>
          <t>A 17274-2024</t>
        </is>
      </c>
      <c r="B19" s="1" t="n">
        <v>45414</v>
      </c>
      <c r="C19" s="1" t="n">
        <v>46164</v>
      </c>
      <c r="D19" t="inlineStr">
        <is>
          <t>VÄRMLANDS LÄN</t>
        </is>
      </c>
      <c r="E19" t="inlineStr">
        <is>
          <t>FILIPSTAD</t>
        </is>
      </c>
      <c r="F19" t="inlineStr">
        <is>
          <t>Kommuner</t>
        </is>
      </c>
      <c r="G19" t="n">
        <v>5.8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Talltita
Dropptaggsvamp</t>
        </is>
      </c>
      <c r="S19">
        <f>HYPERLINK("https://klasma.github.io/Logging_1782/artfynd/A 17274-2024 artfynd.xlsx", "A 17274-2024")</f>
        <v/>
      </c>
      <c r="T19">
        <f>HYPERLINK("https://klasma.github.io/Logging_1782/kartor/A 17274-2024 karta.png", "A 17274-2024")</f>
        <v/>
      </c>
      <c r="V19">
        <f>HYPERLINK("https://klasma.github.io/Logging_1782/klagomål/A 17274-2024 FSC-klagomål.docx", "A 17274-2024")</f>
        <v/>
      </c>
      <c r="W19">
        <f>HYPERLINK("https://klasma.github.io/Logging_1782/klagomålsmail/A 17274-2024 FSC-klagomål mail.docx", "A 17274-2024")</f>
        <v/>
      </c>
      <c r="X19">
        <f>HYPERLINK("https://klasma.github.io/Logging_1782/tillsyn/A 17274-2024 tillsynsbegäran.docx", "A 17274-2024")</f>
        <v/>
      </c>
      <c r="Y19">
        <f>HYPERLINK("https://klasma.github.io/Logging_1782/tillsynsmail/A 17274-2024 tillsynsbegäran mail.docx", "A 17274-2024")</f>
        <v/>
      </c>
      <c r="Z19">
        <f>HYPERLINK("https://klasma.github.io/Logging_1782/fåglar/A 17274-2024 prioriterade fågelarter.docx", "A 17274-2024")</f>
        <v/>
      </c>
    </row>
    <row r="20" ht="15" customHeight="1">
      <c r="A20" t="inlineStr">
        <is>
          <t>A 62572-2021</t>
        </is>
      </c>
      <c r="B20" s="1" t="n">
        <v>44503</v>
      </c>
      <c r="C20" s="1" t="n">
        <v>46164</v>
      </c>
      <c r="D20" t="inlineStr">
        <is>
          <t>VÄRMLANDS LÄN</t>
        </is>
      </c>
      <c r="E20" t="inlineStr">
        <is>
          <t>FILIPSTAD</t>
        </is>
      </c>
      <c r="F20" t="inlineStr">
        <is>
          <t>Bergvik skog väst AB</t>
        </is>
      </c>
      <c r="G20" t="n">
        <v>46.9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Garnlav</t>
        </is>
      </c>
      <c r="S20">
        <f>HYPERLINK("https://klasma.github.io/Logging_1782/artfynd/A 62572-2021 artfynd.xlsx", "A 62572-2021")</f>
        <v/>
      </c>
      <c r="T20">
        <f>HYPERLINK("https://klasma.github.io/Logging_1782/kartor/A 62572-2021 karta.png", "A 62572-2021")</f>
        <v/>
      </c>
      <c r="V20">
        <f>HYPERLINK("https://klasma.github.io/Logging_1782/klagomål/A 62572-2021 FSC-klagomål.docx", "A 62572-2021")</f>
        <v/>
      </c>
      <c r="W20">
        <f>HYPERLINK("https://klasma.github.io/Logging_1782/klagomålsmail/A 62572-2021 FSC-klagomål mail.docx", "A 62572-2021")</f>
        <v/>
      </c>
      <c r="X20">
        <f>HYPERLINK("https://klasma.github.io/Logging_1782/tillsyn/A 62572-2021 tillsynsbegäran.docx", "A 62572-2021")</f>
        <v/>
      </c>
      <c r="Y20">
        <f>HYPERLINK("https://klasma.github.io/Logging_1782/tillsynsmail/A 62572-2021 tillsynsbegäran mail.docx", "A 62572-2021")</f>
        <v/>
      </c>
    </row>
    <row r="21" ht="15" customHeight="1">
      <c r="A21" t="inlineStr">
        <is>
          <t>A 20754-2022</t>
        </is>
      </c>
      <c r="B21" s="1" t="n">
        <v>44701</v>
      </c>
      <c r="C21" s="1" t="n">
        <v>46164</v>
      </c>
      <c r="D21" t="inlineStr">
        <is>
          <t>VÄRMLANDS LÄN</t>
        </is>
      </c>
      <c r="E21" t="inlineStr">
        <is>
          <t>FILIPSTAD</t>
        </is>
      </c>
      <c r="F21" t="inlineStr">
        <is>
          <t>Bergvik skog väst AB</t>
        </is>
      </c>
      <c r="G21" t="n">
        <v>13.6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HYPERLINK("https://klasma.github.io/Logging_1782/artfynd/A 20754-2022 artfynd.xlsx", "A 20754-2022")</f>
        <v/>
      </c>
      <c r="T21">
        <f>HYPERLINK("https://klasma.github.io/Logging_1782/kartor/A 20754-2022 karta.png", "A 20754-2022")</f>
        <v/>
      </c>
      <c r="V21">
        <f>HYPERLINK("https://klasma.github.io/Logging_1782/klagomål/A 20754-2022 FSC-klagomål.docx", "A 20754-2022")</f>
        <v/>
      </c>
      <c r="W21">
        <f>HYPERLINK("https://klasma.github.io/Logging_1782/klagomålsmail/A 20754-2022 FSC-klagomål mail.docx", "A 20754-2022")</f>
        <v/>
      </c>
      <c r="X21">
        <f>HYPERLINK("https://klasma.github.io/Logging_1782/tillsyn/A 20754-2022 tillsynsbegäran.docx", "A 20754-2022")</f>
        <v/>
      </c>
      <c r="Y21">
        <f>HYPERLINK("https://klasma.github.io/Logging_1782/tillsynsmail/A 20754-2022 tillsynsbegäran mail.docx", "A 20754-2022")</f>
        <v/>
      </c>
    </row>
    <row r="22" ht="15" customHeight="1">
      <c r="A22" t="inlineStr">
        <is>
          <t>A 43333-2023</t>
        </is>
      </c>
      <c r="B22" s="1" t="n">
        <v>45183</v>
      </c>
      <c r="C22" s="1" t="n">
        <v>46164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19.4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 sköldmossa</t>
        </is>
      </c>
      <c r="S22">
        <f>HYPERLINK("https://klasma.github.io/Logging_1782/artfynd/A 43333-2023 artfynd.xlsx", "A 43333-2023")</f>
        <v/>
      </c>
      <c r="T22">
        <f>HYPERLINK("https://klasma.github.io/Logging_1782/kartor/A 43333-2023 karta.png", "A 43333-2023")</f>
        <v/>
      </c>
      <c r="V22">
        <f>HYPERLINK("https://klasma.github.io/Logging_1782/klagomål/A 43333-2023 FSC-klagomål.docx", "A 43333-2023")</f>
        <v/>
      </c>
      <c r="W22">
        <f>HYPERLINK("https://klasma.github.io/Logging_1782/klagomålsmail/A 43333-2023 FSC-klagomål mail.docx", "A 43333-2023")</f>
        <v/>
      </c>
      <c r="X22">
        <f>HYPERLINK("https://klasma.github.io/Logging_1782/tillsyn/A 43333-2023 tillsynsbegäran.docx", "A 43333-2023")</f>
        <v/>
      </c>
      <c r="Y22">
        <f>HYPERLINK("https://klasma.github.io/Logging_1782/tillsynsmail/A 43333-2023 tillsynsbegäran mail.docx", "A 43333-2023")</f>
        <v/>
      </c>
    </row>
    <row r="23" ht="15" customHeight="1">
      <c r="A23" t="inlineStr">
        <is>
          <t>A 25916-2025</t>
        </is>
      </c>
      <c r="B23" s="1" t="n">
        <v>45804.566875</v>
      </c>
      <c r="C23" s="1" t="n">
        <v>46164</v>
      </c>
      <c r="D23" t="inlineStr">
        <is>
          <t>VÄRMLANDS LÄN</t>
        </is>
      </c>
      <c r="E23" t="inlineStr">
        <is>
          <t>FILIPSTAD</t>
        </is>
      </c>
      <c r="F23" t="inlineStr">
        <is>
          <t>Bergvik skog väst AB</t>
        </is>
      </c>
      <c r="G23" t="n">
        <v>26.4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HYPERLINK("https://klasma.github.io/Logging_1782/artfynd/A 25916-2025 artfynd.xlsx", "A 25916-2025")</f>
        <v/>
      </c>
      <c r="T23">
        <f>HYPERLINK("https://klasma.github.io/Logging_1782/kartor/A 25916-2025 karta.png", "A 25916-2025")</f>
        <v/>
      </c>
      <c r="V23">
        <f>HYPERLINK("https://klasma.github.io/Logging_1782/klagomål/A 25916-2025 FSC-klagomål.docx", "A 25916-2025")</f>
        <v/>
      </c>
      <c r="W23">
        <f>HYPERLINK("https://klasma.github.io/Logging_1782/klagomålsmail/A 25916-2025 FSC-klagomål mail.docx", "A 25916-2025")</f>
        <v/>
      </c>
      <c r="X23">
        <f>HYPERLINK("https://klasma.github.io/Logging_1782/tillsyn/A 25916-2025 tillsynsbegäran.docx", "A 25916-2025")</f>
        <v/>
      </c>
      <c r="Y23">
        <f>HYPERLINK("https://klasma.github.io/Logging_1782/tillsynsmail/A 25916-2025 tillsynsbegäran mail.docx", "A 25916-2025")</f>
        <v/>
      </c>
    </row>
    <row r="24" ht="15" customHeight="1">
      <c r="A24" t="inlineStr">
        <is>
          <t>A 27421-2025</t>
        </is>
      </c>
      <c r="B24" s="1" t="n">
        <v>45812</v>
      </c>
      <c r="C24" s="1" t="n">
        <v>46164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5.1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Skinnlav</t>
        </is>
      </c>
      <c r="S24">
        <f>HYPERLINK("https://klasma.github.io/Logging_1782/artfynd/A 27421-2025 artfynd.xlsx", "A 27421-2025")</f>
        <v/>
      </c>
      <c r="T24">
        <f>HYPERLINK("https://klasma.github.io/Logging_1782/kartor/A 27421-2025 karta.png", "A 27421-2025")</f>
        <v/>
      </c>
      <c r="V24">
        <f>HYPERLINK("https://klasma.github.io/Logging_1782/klagomål/A 27421-2025 FSC-klagomål.docx", "A 27421-2025")</f>
        <v/>
      </c>
      <c r="W24">
        <f>HYPERLINK("https://klasma.github.io/Logging_1782/klagomålsmail/A 27421-2025 FSC-klagomål mail.docx", "A 27421-2025")</f>
        <v/>
      </c>
      <c r="X24">
        <f>HYPERLINK("https://klasma.github.io/Logging_1782/tillsyn/A 27421-2025 tillsynsbegäran.docx", "A 27421-2025")</f>
        <v/>
      </c>
      <c r="Y24">
        <f>HYPERLINK("https://klasma.github.io/Logging_1782/tillsynsmail/A 27421-2025 tillsynsbegäran mail.docx", "A 27421-2025")</f>
        <v/>
      </c>
    </row>
    <row r="25" ht="15" customHeight="1">
      <c r="A25" t="inlineStr">
        <is>
          <t>A 30652-2025</t>
        </is>
      </c>
      <c r="B25" s="1" t="n">
        <v>45831.50282407407</v>
      </c>
      <c r="C25" s="1" t="n">
        <v>46164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4.3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HYPERLINK("https://klasma.github.io/Logging_1782/artfynd/A 30652-2025 artfynd.xlsx", "A 30652-2025")</f>
        <v/>
      </c>
      <c r="T25">
        <f>HYPERLINK("https://klasma.github.io/Logging_1782/kartor/A 30652-2025 karta.png", "A 30652-2025")</f>
        <v/>
      </c>
      <c r="V25">
        <f>HYPERLINK("https://klasma.github.io/Logging_1782/klagomål/A 30652-2025 FSC-klagomål.docx", "A 30652-2025")</f>
        <v/>
      </c>
      <c r="W25">
        <f>HYPERLINK("https://klasma.github.io/Logging_1782/klagomålsmail/A 30652-2025 FSC-klagomål mail.docx", "A 30652-2025")</f>
        <v/>
      </c>
      <c r="X25">
        <f>HYPERLINK("https://klasma.github.io/Logging_1782/tillsyn/A 30652-2025 tillsynsbegäran.docx", "A 30652-2025")</f>
        <v/>
      </c>
      <c r="Y25">
        <f>HYPERLINK("https://klasma.github.io/Logging_1782/tillsynsmail/A 30652-2025 tillsynsbegäran mail.docx", "A 30652-2025")</f>
        <v/>
      </c>
      <c r="Z25">
        <f>HYPERLINK("https://klasma.github.io/Logging_1782/fåglar/A 30652-2025 prioriterade fågelarter.docx", "A 30652-2025")</f>
        <v/>
      </c>
    </row>
    <row r="26" ht="15" customHeight="1">
      <c r="A26" t="inlineStr">
        <is>
          <t>A 45781-2025</t>
        </is>
      </c>
      <c r="B26" s="1" t="n">
        <v>45923.55023148148</v>
      </c>
      <c r="C26" s="1" t="n">
        <v>46164</v>
      </c>
      <c r="D26" t="inlineStr">
        <is>
          <t>VÄRMLANDS LÄN</t>
        </is>
      </c>
      <c r="E26" t="inlineStr">
        <is>
          <t>FILIPSTAD</t>
        </is>
      </c>
      <c r="F26" t="inlineStr">
        <is>
          <t>Bergvik skog väst AB</t>
        </is>
      </c>
      <c r="G26" t="n">
        <v>2.6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Brunklöver</t>
        </is>
      </c>
      <c r="S26">
        <f>HYPERLINK("https://klasma.github.io/Logging_1782/artfynd/A 45781-2025 artfynd.xlsx", "A 45781-2025")</f>
        <v/>
      </c>
      <c r="T26">
        <f>HYPERLINK("https://klasma.github.io/Logging_1782/kartor/A 45781-2025 karta.png", "A 45781-2025")</f>
        <v/>
      </c>
      <c r="V26">
        <f>HYPERLINK("https://klasma.github.io/Logging_1782/klagomål/A 45781-2025 FSC-klagomål.docx", "A 45781-2025")</f>
        <v/>
      </c>
      <c r="W26">
        <f>HYPERLINK("https://klasma.github.io/Logging_1782/klagomålsmail/A 45781-2025 FSC-klagomål mail.docx", "A 45781-2025")</f>
        <v/>
      </c>
      <c r="X26">
        <f>HYPERLINK("https://klasma.github.io/Logging_1782/tillsyn/A 45781-2025 tillsynsbegäran.docx", "A 45781-2025")</f>
        <v/>
      </c>
      <c r="Y26">
        <f>HYPERLINK("https://klasma.github.io/Logging_1782/tillsynsmail/A 45781-2025 tillsynsbegäran mail.docx", "A 45781-2025")</f>
        <v/>
      </c>
    </row>
    <row r="27" ht="15" customHeight="1">
      <c r="A27" t="inlineStr">
        <is>
          <t>A 37210-2025</t>
        </is>
      </c>
      <c r="B27" s="1" t="n">
        <v>45875</v>
      </c>
      <c r="C27" s="1" t="n">
        <v>46164</v>
      </c>
      <c r="D27" t="inlineStr">
        <is>
          <t>VÄRMLANDS LÄN</t>
        </is>
      </c>
      <c r="E27" t="inlineStr">
        <is>
          <t>FILIPSTAD</t>
        </is>
      </c>
      <c r="F27" t="inlineStr">
        <is>
          <t>Bergvik skog väst AB</t>
        </is>
      </c>
      <c r="G27" t="n">
        <v>9.9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HYPERLINK("https://klasma.github.io/Logging_1782/artfynd/A 37210-2025 artfynd.xlsx", "A 37210-2025")</f>
        <v/>
      </c>
      <c r="T27">
        <f>HYPERLINK("https://klasma.github.io/Logging_1782/kartor/A 37210-2025 karta.png", "A 37210-2025")</f>
        <v/>
      </c>
      <c r="V27">
        <f>HYPERLINK("https://klasma.github.io/Logging_1782/klagomål/A 37210-2025 FSC-klagomål.docx", "A 37210-2025")</f>
        <v/>
      </c>
      <c r="W27">
        <f>HYPERLINK("https://klasma.github.io/Logging_1782/klagomålsmail/A 37210-2025 FSC-klagomål mail.docx", "A 37210-2025")</f>
        <v/>
      </c>
      <c r="X27">
        <f>HYPERLINK("https://klasma.github.io/Logging_1782/tillsyn/A 37210-2025 tillsynsbegäran.docx", "A 37210-2025")</f>
        <v/>
      </c>
      <c r="Y27">
        <f>HYPERLINK("https://klasma.github.io/Logging_1782/tillsynsmail/A 37210-2025 tillsynsbegäran mail.docx", "A 37210-2025")</f>
        <v/>
      </c>
    </row>
    <row r="28" ht="15" customHeight="1">
      <c r="A28" t="inlineStr">
        <is>
          <t>A 50823-2025</t>
        </is>
      </c>
      <c r="B28" s="1" t="n">
        <v>45946.53731481481</v>
      </c>
      <c r="C28" s="1" t="n">
        <v>46164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3.2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Purpurknipprot</t>
        </is>
      </c>
      <c r="S28">
        <f>HYPERLINK("https://klasma.github.io/Logging_1782/artfynd/A 50823-2025 artfynd.xlsx", "A 50823-2025")</f>
        <v/>
      </c>
      <c r="T28">
        <f>HYPERLINK("https://klasma.github.io/Logging_1782/kartor/A 50823-2025 karta.png", "A 50823-2025")</f>
        <v/>
      </c>
      <c r="V28">
        <f>HYPERLINK("https://klasma.github.io/Logging_1782/klagomål/A 50823-2025 FSC-klagomål.docx", "A 50823-2025")</f>
        <v/>
      </c>
      <c r="W28">
        <f>HYPERLINK("https://klasma.github.io/Logging_1782/klagomålsmail/A 50823-2025 FSC-klagomål mail.docx", "A 50823-2025")</f>
        <v/>
      </c>
      <c r="X28">
        <f>HYPERLINK("https://klasma.github.io/Logging_1782/tillsyn/A 50823-2025 tillsynsbegäran.docx", "A 50823-2025")</f>
        <v/>
      </c>
      <c r="Y28">
        <f>HYPERLINK("https://klasma.github.io/Logging_1782/tillsynsmail/A 50823-2025 tillsynsbegäran mail.docx", "A 50823-2025")</f>
        <v/>
      </c>
    </row>
    <row r="29" ht="15" customHeight="1">
      <c r="A29" t="inlineStr">
        <is>
          <t>A 51103-2025</t>
        </is>
      </c>
      <c r="B29" s="1" t="n">
        <v>45947.49185185185</v>
      </c>
      <c r="C29" s="1" t="n">
        <v>46164</v>
      </c>
      <c r="D29" t="inlineStr">
        <is>
          <t>VÄRMLANDS LÄN</t>
        </is>
      </c>
      <c r="E29" t="inlineStr">
        <is>
          <t>FILIPSTAD</t>
        </is>
      </c>
      <c r="F29" t="inlineStr">
        <is>
          <t>Bergvik skog väst AB</t>
        </is>
      </c>
      <c r="G29" t="n">
        <v>8.300000000000001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Smålom</t>
        </is>
      </c>
      <c r="S29">
        <f>HYPERLINK("https://klasma.github.io/Logging_1782/artfynd/A 51103-2025 artfynd.xlsx", "A 51103-2025")</f>
        <v/>
      </c>
      <c r="T29">
        <f>HYPERLINK("https://klasma.github.io/Logging_1782/kartor/A 51103-2025 karta.png", "A 51103-2025")</f>
        <v/>
      </c>
      <c r="V29">
        <f>HYPERLINK("https://klasma.github.io/Logging_1782/klagomål/A 51103-2025 FSC-klagomål.docx", "A 51103-2025")</f>
        <v/>
      </c>
      <c r="W29">
        <f>HYPERLINK("https://klasma.github.io/Logging_1782/klagomålsmail/A 51103-2025 FSC-klagomål mail.docx", "A 51103-2025")</f>
        <v/>
      </c>
      <c r="X29">
        <f>HYPERLINK("https://klasma.github.io/Logging_1782/tillsyn/A 51103-2025 tillsynsbegäran.docx", "A 51103-2025")</f>
        <v/>
      </c>
      <c r="Y29">
        <f>HYPERLINK("https://klasma.github.io/Logging_1782/tillsynsmail/A 51103-2025 tillsynsbegäran mail.docx", "A 51103-2025")</f>
        <v/>
      </c>
      <c r="Z29">
        <f>HYPERLINK("https://klasma.github.io/Logging_1782/fåglar/A 51103-2025 prioriterade fågelarter.docx", "A 51103-2025")</f>
        <v/>
      </c>
    </row>
    <row r="30" ht="15" customHeight="1">
      <c r="A30" t="inlineStr">
        <is>
          <t>A 58734-2025</t>
        </is>
      </c>
      <c r="B30" s="1" t="n">
        <v>45986.62693287037</v>
      </c>
      <c r="C30" s="1" t="n">
        <v>46164</v>
      </c>
      <c r="D30" t="inlineStr">
        <is>
          <t>VÄRMLANDS LÄN</t>
        </is>
      </c>
      <c r="E30" t="inlineStr">
        <is>
          <t>FILIPSTAD</t>
        </is>
      </c>
      <c r="F30" t="inlineStr">
        <is>
          <t>Bergvik skog väst AB</t>
        </is>
      </c>
      <c r="G30" t="n">
        <v>18.2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Tretåig hackspett</t>
        </is>
      </c>
      <c r="S30">
        <f>HYPERLINK("https://klasma.github.io/Logging_1782/artfynd/A 58734-2025 artfynd.xlsx", "A 58734-2025")</f>
        <v/>
      </c>
      <c r="T30">
        <f>HYPERLINK("https://klasma.github.io/Logging_1782/kartor/A 58734-2025 karta.png", "A 58734-2025")</f>
        <v/>
      </c>
      <c r="V30">
        <f>HYPERLINK("https://klasma.github.io/Logging_1782/klagomål/A 58734-2025 FSC-klagomål.docx", "A 58734-2025")</f>
        <v/>
      </c>
      <c r="W30">
        <f>HYPERLINK("https://klasma.github.io/Logging_1782/klagomålsmail/A 58734-2025 FSC-klagomål mail.docx", "A 58734-2025")</f>
        <v/>
      </c>
      <c r="X30">
        <f>HYPERLINK("https://klasma.github.io/Logging_1782/tillsyn/A 58734-2025 tillsynsbegäran.docx", "A 58734-2025")</f>
        <v/>
      </c>
      <c r="Y30">
        <f>HYPERLINK("https://klasma.github.io/Logging_1782/tillsynsmail/A 58734-2025 tillsynsbegäran mail.docx", "A 58734-2025")</f>
        <v/>
      </c>
      <c r="Z30">
        <f>HYPERLINK("https://klasma.github.io/Logging_1782/fåglar/A 58734-2025 prioriterade fågelarter.docx", "A 58734-2025")</f>
        <v/>
      </c>
    </row>
    <row r="31" ht="15" customHeight="1">
      <c r="A31" t="inlineStr">
        <is>
          <t>A 62116-2025</t>
        </is>
      </c>
      <c r="B31" s="1" t="n">
        <v>46006.43835648148</v>
      </c>
      <c r="C31" s="1" t="n">
        <v>46164</v>
      </c>
      <c r="D31" t="inlineStr">
        <is>
          <t>VÄRMLANDS LÄN</t>
        </is>
      </c>
      <c r="E31" t="inlineStr">
        <is>
          <t>FILIPSTAD</t>
        </is>
      </c>
      <c r="F31" t="inlineStr">
        <is>
          <t>Bergvik skog väst AB</t>
        </is>
      </c>
      <c r="G31" t="n">
        <v>13.6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HYPERLINK("https://klasma.github.io/Logging_1782/artfynd/A 62116-2025 artfynd.xlsx", "A 62116-2025")</f>
        <v/>
      </c>
      <c r="T31">
        <f>HYPERLINK("https://klasma.github.io/Logging_1782/kartor/A 62116-2025 karta.png", "A 62116-2025")</f>
        <v/>
      </c>
      <c r="V31">
        <f>HYPERLINK("https://klasma.github.io/Logging_1782/klagomål/A 62116-2025 FSC-klagomål.docx", "A 62116-2025")</f>
        <v/>
      </c>
      <c r="W31">
        <f>HYPERLINK("https://klasma.github.io/Logging_1782/klagomålsmail/A 62116-2025 FSC-klagomål mail.docx", "A 62116-2025")</f>
        <v/>
      </c>
      <c r="X31">
        <f>HYPERLINK("https://klasma.github.io/Logging_1782/tillsyn/A 62116-2025 tillsynsbegäran.docx", "A 62116-2025")</f>
        <v/>
      </c>
      <c r="Y31">
        <f>HYPERLINK("https://klasma.github.io/Logging_1782/tillsynsmail/A 62116-2025 tillsynsbegäran mail.docx", "A 62116-2025")</f>
        <v/>
      </c>
      <c r="Z31">
        <f>HYPERLINK("https://klasma.github.io/Logging_1782/fåglar/A 62116-2025 prioriterade fågelarter.docx", "A 62116-2025")</f>
        <v/>
      </c>
    </row>
    <row r="32" ht="15" customHeight="1">
      <c r="A32" t="inlineStr">
        <is>
          <t>A 22115-2026</t>
        </is>
      </c>
      <c r="B32" s="1" t="n">
        <v>46153.56752314815</v>
      </c>
      <c r="C32" s="1" t="n">
        <v>46164</v>
      </c>
      <c r="D32" t="inlineStr">
        <is>
          <t>VÄRMLANDS LÄN</t>
        </is>
      </c>
      <c r="E32" t="inlineStr">
        <is>
          <t>FILIPSTAD</t>
        </is>
      </c>
      <c r="F32" t="inlineStr">
        <is>
          <t>Bergvik skog väst AB</t>
        </is>
      </c>
      <c r="G32" t="n">
        <v>3.8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Granticka</t>
        </is>
      </c>
      <c r="S32">
        <f>HYPERLINK("https://klasma.github.io/Logging_1782/artfynd/A 22115-2026 artfynd.xlsx", "A 22115-2026")</f>
        <v/>
      </c>
      <c r="T32">
        <f>HYPERLINK("https://klasma.github.io/Logging_1782/kartor/A 22115-2026 karta.png", "A 22115-2026")</f>
        <v/>
      </c>
      <c r="V32">
        <f>HYPERLINK("https://klasma.github.io/Logging_1782/klagomål/A 22115-2026 FSC-klagomål.docx", "A 22115-2026")</f>
        <v/>
      </c>
      <c r="W32">
        <f>HYPERLINK("https://klasma.github.io/Logging_1782/klagomålsmail/A 22115-2026 FSC-klagomål mail.docx", "A 22115-2026")</f>
        <v/>
      </c>
      <c r="X32">
        <f>HYPERLINK("https://klasma.github.io/Logging_1782/tillsyn/A 22115-2026 tillsynsbegäran.docx", "A 22115-2026")</f>
        <v/>
      </c>
      <c r="Y32">
        <f>HYPERLINK("https://klasma.github.io/Logging_1782/tillsynsmail/A 22115-2026 tillsynsbegäran mail.docx", "A 22115-2026")</f>
        <v/>
      </c>
    </row>
    <row r="33" ht="15" customHeight="1">
      <c r="A33" t="inlineStr">
        <is>
          <t>A 874-2025</t>
        </is>
      </c>
      <c r="B33" s="1" t="n">
        <v>45665</v>
      </c>
      <c r="C33" s="1" t="n">
        <v>46164</v>
      </c>
      <c r="D33" t="inlineStr">
        <is>
          <t>VÄRMLANDS LÄN</t>
        </is>
      </c>
      <c r="E33" t="inlineStr">
        <is>
          <t>FILIPSTAD</t>
        </is>
      </c>
      <c r="F33" t="inlineStr">
        <is>
          <t>Kyrkan</t>
        </is>
      </c>
      <c r="G33" t="n">
        <v>4.8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Kamjordstjärna</t>
        </is>
      </c>
      <c r="S33">
        <f>HYPERLINK("https://klasma.github.io/Logging_1782/artfynd/A 874-2025 artfynd.xlsx", "A 874-2025")</f>
        <v/>
      </c>
      <c r="T33">
        <f>HYPERLINK("https://klasma.github.io/Logging_1782/kartor/A 874-2025 karta.png", "A 874-2025")</f>
        <v/>
      </c>
      <c r="V33">
        <f>HYPERLINK("https://klasma.github.io/Logging_1782/klagomål/A 874-2025 FSC-klagomål.docx", "A 874-2025")</f>
        <v/>
      </c>
      <c r="W33">
        <f>HYPERLINK("https://klasma.github.io/Logging_1782/klagomålsmail/A 874-2025 FSC-klagomål mail.docx", "A 874-2025")</f>
        <v/>
      </c>
      <c r="X33">
        <f>HYPERLINK("https://klasma.github.io/Logging_1782/tillsyn/A 874-2025 tillsynsbegäran.docx", "A 874-2025")</f>
        <v/>
      </c>
      <c r="Y33">
        <f>HYPERLINK("https://klasma.github.io/Logging_1782/tillsynsmail/A 874-2025 tillsynsbegäran mail.docx", "A 874-2025")</f>
        <v/>
      </c>
    </row>
    <row r="34" ht="15" customHeight="1">
      <c r="A34" t="inlineStr">
        <is>
          <t>A 17529-2026</t>
        </is>
      </c>
      <c r="B34" s="1" t="n">
        <v>46120.66</v>
      </c>
      <c r="C34" s="1" t="n">
        <v>46164</v>
      </c>
      <c r="D34" t="inlineStr">
        <is>
          <t>VÄRMLANDS LÄN</t>
        </is>
      </c>
      <c r="E34" t="inlineStr">
        <is>
          <t>FILIPSTAD</t>
        </is>
      </c>
      <c r="G34" t="n">
        <v>7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Ädellav</t>
        </is>
      </c>
      <c r="S34">
        <f>HYPERLINK("https://klasma.github.io/Logging_1782/artfynd/A 17529-2026 artfynd.xlsx", "A 17529-2026")</f>
        <v/>
      </c>
      <c r="T34">
        <f>HYPERLINK("https://klasma.github.io/Logging_1782/kartor/A 17529-2026 karta.png", "A 17529-2026")</f>
        <v/>
      </c>
      <c r="V34">
        <f>HYPERLINK("https://klasma.github.io/Logging_1782/klagomål/A 17529-2026 FSC-klagomål.docx", "A 17529-2026")</f>
        <v/>
      </c>
      <c r="W34">
        <f>HYPERLINK("https://klasma.github.io/Logging_1782/klagomålsmail/A 17529-2026 FSC-klagomål mail.docx", "A 17529-2026")</f>
        <v/>
      </c>
      <c r="X34">
        <f>HYPERLINK("https://klasma.github.io/Logging_1782/tillsyn/A 17529-2026 tillsynsbegäran.docx", "A 17529-2026")</f>
        <v/>
      </c>
      <c r="Y34">
        <f>HYPERLINK("https://klasma.github.io/Logging_1782/tillsynsmail/A 17529-2026 tillsynsbegäran mail.docx", "A 17529-2026")</f>
        <v/>
      </c>
    </row>
    <row r="35" ht="15" customHeight="1">
      <c r="A35" t="inlineStr">
        <is>
          <t>A 51522-2022</t>
        </is>
      </c>
      <c r="B35" s="1" t="n">
        <v>44869</v>
      </c>
      <c r="C35" s="1" t="n">
        <v>46164</v>
      </c>
      <c r="D35" t="inlineStr">
        <is>
          <t>VÄRMLANDS LÄN</t>
        </is>
      </c>
      <c r="E35" t="inlineStr">
        <is>
          <t>FILIPSTAD</t>
        </is>
      </c>
      <c r="G35" t="n">
        <v>4.1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Tibast</t>
        </is>
      </c>
      <c r="S35">
        <f>HYPERLINK("https://klasma.github.io/Logging_1782/artfynd/A 51522-2022 artfynd.xlsx", "A 51522-2022")</f>
        <v/>
      </c>
      <c r="T35">
        <f>HYPERLINK("https://klasma.github.io/Logging_1782/kartor/A 51522-2022 karta.png", "A 51522-2022")</f>
        <v/>
      </c>
      <c r="V35">
        <f>HYPERLINK("https://klasma.github.io/Logging_1782/klagomål/A 51522-2022 FSC-klagomål.docx", "A 51522-2022")</f>
        <v/>
      </c>
      <c r="W35">
        <f>HYPERLINK("https://klasma.github.io/Logging_1782/klagomålsmail/A 51522-2022 FSC-klagomål mail.docx", "A 51522-2022")</f>
        <v/>
      </c>
      <c r="X35">
        <f>HYPERLINK("https://klasma.github.io/Logging_1782/tillsyn/A 51522-2022 tillsynsbegäran.docx", "A 51522-2022")</f>
        <v/>
      </c>
      <c r="Y35">
        <f>HYPERLINK("https://klasma.github.io/Logging_1782/tillsynsmail/A 51522-2022 tillsynsbegäran mail.docx", "A 51522-2022")</f>
        <v/>
      </c>
    </row>
    <row r="36" ht="15" customHeight="1">
      <c r="A36" t="inlineStr">
        <is>
          <t>A 8482-2022</t>
        </is>
      </c>
      <c r="B36" s="1" t="n">
        <v>44613</v>
      </c>
      <c r="C36" s="1" t="n">
        <v>46164</v>
      </c>
      <c r="D36" t="inlineStr">
        <is>
          <t>VÄRMLANDS LÄN</t>
        </is>
      </c>
      <c r="E36" t="inlineStr">
        <is>
          <t>FILIPSTAD</t>
        </is>
      </c>
      <c r="F36" t="inlineStr">
        <is>
          <t>Bergvik skog väst AB</t>
        </is>
      </c>
      <c r="G36" t="n">
        <v>5.2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44683-2022</t>
        </is>
      </c>
      <c r="B37" s="1" t="n">
        <v>44840</v>
      </c>
      <c r="C37" s="1" t="n">
        <v>46164</v>
      </c>
      <c r="D37" t="inlineStr">
        <is>
          <t>VÄRMLANDS LÄN</t>
        </is>
      </c>
      <c r="E37" t="inlineStr">
        <is>
          <t>FILIPSTAD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28351-2021</t>
        </is>
      </c>
      <c r="B38" s="1" t="n">
        <v>44356.3978587963</v>
      </c>
      <c r="C38" s="1" t="n">
        <v>46164</v>
      </c>
      <c r="D38" t="inlineStr">
        <is>
          <t>VÄRMLANDS LÄN</t>
        </is>
      </c>
      <c r="E38" t="inlineStr">
        <is>
          <t>FILIPSTAD</t>
        </is>
      </c>
      <c r="F38" t="inlineStr">
        <is>
          <t>Bergvik skog väst AB</t>
        </is>
      </c>
      <c r="G38" t="n">
        <v>13.4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26377-2021</t>
        </is>
      </c>
      <c r="B39" s="1" t="n">
        <v>44347</v>
      </c>
      <c r="C39" s="1" t="n">
        <v>46164</v>
      </c>
      <c r="D39" t="inlineStr">
        <is>
          <t>VÄRMLANDS LÄN</t>
        </is>
      </c>
      <c r="E39" t="inlineStr">
        <is>
          <t>FILIPSTAD</t>
        </is>
      </c>
      <c r="F39" t="inlineStr">
        <is>
          <t>Bergvik skog väst AB</t>
        </is>
      </c>
      <c r="G39" t="n">
        <v>25.9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52992-2021</t>
        </is>
      </c>
      <c r="B40" s="1" t="n">
        <v>44467.63736111111</v>
      </c>
      <c r="C40" s="1" t="n">
        <v>46164</v>
      </c>
      <c r="D40" t="inlineStr">
        <is>
          <t>VÄRMLANDS LÄN</t>
        </is>
      </c>
      <c r="E40" t="inlineStr">
        <is>
          <t>FILIPSTAD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15932-2022</t>
        </is>
      </c>
      <c r="B41" s="1" t="n">
        <v>44664</v>
      </c>
      <c r="C41" s="1" t="n">
        <v>46164</v>
      </c>
      <c r="D41" t="inlineStr">
        <is>
          <t>VÄRMLANDS LÄN</t>
        </is>
      </c>
      <c r="E41" t="inlineStr">
        <is>
          <t>FILIPSTAD</t>
        </is>
      </c>
      <c r="F41" t="inlineStr">
        <is>
          <t>Bergvik skog väst AB</t>
        </is>
      </c>
      <c r="G41" t="n">
        <v>11.5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63144-2021</t>
        </is>
      </c>
      <c r="B42" s="1" t="n">
        <v>44505</v>
      </c>
      <c r="C42" s="1" t="n">
        <v>46164</v>
      </c>
      <c r="D42" t="inlineStr">
        <is>
          <t>VÄRMLANDS LÄN</t>
        </is>
      </c>
      <c r="E42" t="inlineStr">
        <is>
          <t>FILIPSTAD</t>
        </is>
      </c>
      <c r="G42" t="n">
        <v>24.3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44401-2021</t>
        </is>
      </c>
      <c r="B43" s="1" t="n">
        <v>44435.48424768518</v>
      </c>
      <c r="C43" s="1" t="n">
        <v>46164</v>
      </c>
      <c r="D43" t="inlineStr">
        <is>
          <t>VÄRMLANDS LÄN</t>
        </is>
      </c>
      <c r="E43" t="inlineStr">
        <is>
          <t>FILIPSTAD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50914-2021</t>
        </is>
      </c>
      <c r="B44" s="1" t="n">
        <v>44460.60693287037</v>
      </c>
      <c r="C44" s="1" t="n">
        <v>46164</v>
      </c>
      <c r="D44" t="inlineStr">
        <is>
          <t>VÄRMLANDS LÄN</t>
        </is>
      </c>
      <c r="E44" t="inlineStr">
        <is>
          <t>FILIPSTAD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7415-2022</t>
        </is>
      </c>
      <c r="B45" s="1" t="n">
        <v>44606.69184027778</v>
      </c>
      <c r="C45" s="1" t="n">
        <v>46164</v>
      </c>
      <c r="D45" t="inlineStr">
        <is>
          <t>VÄRMLANDS LÄN</t>
        </is>
      </c>
      <c r="E45" t="inlineStr">
        <is>
          <t>FILIPSTAD</t>
        </is>
      </c>
      <c r="F45" t="inlineStr">
        <is>
          <t>Bergvik skog väst AB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28198-2022</t>
        </is>
      </c>
      <c r="B46" s="1" t="n">
        <v>44746</v>
      </c>
      <c r="C46" s="1" t="n">
        <v>46164</v>
      </c>
      <c r="D46" t="inlineStr">
        <is>
          <t>VÄRMLANDS LÄN</t>
        </is>
      </c>
      <c r="E46" t="inlineStr">
        <is>
          <t>FILIPSTAD</t>
        </is>
      </c>
      <c r="F46" t="inlineStr">
        <is>
          <t>Bergvik skog väst AB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60374-2021</t>
        </is>
      </c>
      <c r="B47" s="1" t="n">
        <v>44496</v>
      </c>
      <c r="C47" s="1" t="n">
        <v>46164</v>
      </c>
      <c r="D47" t="inlineStr">
        <is>
          <t>VÄRMLANDS LÄN</t>
        </is>
      </c>
      <c r="E47" t="inlineStr">
        <is>
          <t>FILIPSTAD</t>
        </is>
      </c>
      <c r="G47" t="n">
        <v>6.2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49736-2021</t>
        </is>
      </c>
      <c r="B48" s="1" t="n">
        <v>44453</v>
      </c>
      <c r="C48" s="1" t="n">
        <v>46164</v>
      </c>
      <c r="D48" t="inlineStr">
        <is>
          <t>VÄRMLANDS LÄN</t>
        </is>
      </c>
      <c r="E48" t="inlineStr">
        <is>
          <t>FILIPSTAD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37783-2021</t>
        </is>
      </c>
      <c r="B49" s="1" t="n">
        <v>44401.44586805555</v>
      </c>
      <c r="C49" s="1" t="n">
        <v>46164</v>
      </c>
      <c r="D49" t="inlineStr">
        <is>
          <t>VÄRMLANDS LÄN</t>
        </is>
      </c>
      <c r="E49" t="inlineStr">
        <is>
          <t>FILIPSTAD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37784-2021</t>
        </is>
      </c>
      <c r="B50" s="1" t="n">
        <v>44401</v>
      </c>
      <c r="C50" s="1" t="n">
        <v>46164</v>
      </c>
      <c r="D50" t="inlineStr">
        <is>
          <t>VÄRMLANDS LÄN</t>
        </is>
      </c>
      <c r="E50" t="inlineStr">
        <is>
          <t>FILIPSTAD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52384-2021</t>
        </is>
      </c>
      <c r="B51" s="1" t="n">
        <v>44465.83997685185</v>
      </c>
      <c r="C51" s="1" t="n">
        <v>46164</v>
      </c>
      <c r="D51" t="inlineStr">
        <is>
          <t>VÄRMLANDS LÄN</t>
        </is>
      </c>
      <c r="E51" t="inlineStr">
        <is>
          <t>FILIPSTAD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49999-2021</t>
        </is>
      </c>
      <c r="B52" s="1" t="n">
        <v>44454</v>
      </c>
      <c r="C52" s="1" t="n">
        <v>46164</v>
      </c>
      <c r="D52" t="inlineStr">
        <is>
          <t>VÄRMLANDS LÄN</t>
        </is>
      </c>
      <c r="E52" t="inlineStr">
        <is>
          <t>FILIPSTAD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24442-2022</t>
        </is>
      </c>
      <c r="B53" s="1" t="n">
        <v>44726</v>
      </c>
      <c r="C53" s="1" t="n">
        <v>46164</v>
      </c>
      <c r="D53" t="inlineStr">
        <is>
          <t>VÄRMLANDS LÄN</t>
        </is>
      </c>
      <c r="E53" t="inlineStr">
        <is>
          <t>FILIPSTAD</t>
        </is>
      </c>
      <c r="F53" t="inlineStr">
        <is>
          <t>Bergvik skog väst AB</t>
        </is>
      </c>
      <c r="G53" t="n">
        <v>30.7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63714-2021</t>
        </is>
      </c>
      <c r="B54" s="1" t="n">
        <v>44505</v>
      </c>
      <c r="C54" s="1" t="n">
        <v>46164</v>
      </c>
      <c r="D54" t="inlineStr">
        <is>
          <t>VÄRMLANDS LÄN</t>
        </is>
      </c>
      <c r="E54" t="inlineStr">
        <is>
          <t>FILIPSTAD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60377-2021</t>
        </is>
      </c>
      <c r="B55" s="1" t="n">
        <v>44496.35686342593</v>
      </c>
      <c r="C55" s="1" t="n">
        <v>46164</v>
      </c>
      <c r="D55" t="inlineStr">
        <is>
          <t>VÄRMLANDS LÄN</t>
        </is>
      </c>
      <c r="E55" t="inlineStr">
        <is>
          <t>FILIPSTAD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63140-2021</t>
        </is>
      </c>
      <c r="B56" s="1" t="n">
        <v>44505</v>
      </c>
      <c r="C56" s="1" t="n">
        <v>46164</v>
      </c>
      <c r="D56" t="inlineStr">
        <is>
          <t>VÄRMLANDS LÄN</t>
        </is>
      </c>
      <c r="E56" t="inlineStr">
        <is>
          <t>FILIPSTAD</t>
        </is>
      </c>
      <c r="G56" t="n">
        <v>11.5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14077-2022</t>
        </is>
      </c>
      <c r="B57" s="1" t="n">
        <v>44651</v>
      </c>
      <c r="C57" s="1" t="n">
        <v>46164</v>
      </c>
      <c r="D57" t="inlineStr">
        <is>
          <t>VÄRMLANDS LÄN</t>
        </is>
      </c>
      <c r="E57" t="inlineStr">
        <is>
          <t>FILIPSTAD</t>
        </is>
      </c>
      <c r="F57" t="inlineStr">
        <is>
          <t>Bergvik skog väst AB</t>
        </is>
      </c>
      <c r="G57" t="n">
        <v>18.7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50063-2021</t>
        </is>
      </c>
      <c r="B58" s="1" t="n">
        <v>44456.55350694444</v>
      </c>
      <c r="C58" s="1" t="n">
        <v>46164</v>
      </c>
      <c r="D58" t="inlineStr">
        <is>
          <t>VÄRMLANDS LÄN</t>
        </is>
      </c>
      <c r="E58" t="inlineStr">
        <is>
          <t>FILIPSTAD</t>
        </is>
      </c>
      <c r="F58" t="inlineStr">
        <is>
          <t>Bergvik skog väst AB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23063-2022</t>
        </is>
      </c>
      <c r="B59" s="1" t="n">
        <v>44719</v>
      </c>
      <c r="C59" s="1" t="n">
        <v>46164</v>
      </c>
      <c r="D59" t="inlineStr">
        <is>
          <t>VÄRMLANDS LÄN</t>
        </is>
      </c>
      <c r="E59" t="inlineStr">
        <is>
          <t>FILIPSTAD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7292-2022</t>
        </is>
      </c>
      <c r="B60" s="1" t="n">
        <v>44606</v>
      </c>
      <c r="C60" s="1" t="n">
        <v>46164</v>
      </c>
      <c r="D60" t="inlineStr">
        <is>
          <t>VÄRMLANDS LÄN</t>
        </is>
      </c>
      <c r="E60" t="inlineStr">
        <is>
          <t>FILIPSTAD</t>
        </is>
      </c>
      <c r="F60" t="inlineStr">
        <is>
          <t>Bergvik skog väst AB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22356-2022</t>
        </is>
      </c>
      <c r="B61" s="1" t="n">
        <v>44713</v>
      </c>
      <c r="C61" s="1" t="n">
        <v>46164</v>
      </c>
      <c r="D61" t="inlineStr">
        <is>
          <t>VÄRMLANDS LÄN</t>
        </is>
      </c>
      <c r="E61" t="inlineStr">
        <is>
          <t>FILIPSTAD</t>
        </is>
      </c>
      <c r="F61" t="inlineStr">
        <is>
          <t>Bergvik skog väst AB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57090-2021</t>
        </is>
      </c>
      <c r="B62" s="1" t="n">
        <v>44482</v>
      </c>
      <c r="C62" s="1" t="n">
        <v>46164</v>
      </c>
      <c r="D62" t="inlineStr">
        <is>
          <t>VÄRMLANDS LÄN</t>
        </is>
      </c>
      <c r="E62" t="inlineStr">
        <is>
          <t>FILIPSTAD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32680-2022</t>
        </is>
      </c>
      <c r="B63" s="1" t="n">
        <v>44783</v>
      </c>
      <c r="C63" s="1" t="n">
        <v>46164</v>
      </c>
      <c r="D63" t="inlineStr">
        <is>
          <t>VÄRMLANDS LÄN</t>
        </is>
      </c>
      <c r="E63" t="inlineStr">
        <is>
          <t>FILIPSTAD</t>
        </is>
      </c>
      <c r="F63" t="inlineStr">
        <is>
          <t>Bergvik skog väst AB</t>
        </is>
      </c>
      <c r="G63" t="n">
        <v>30.5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47693-2022</t>
        </is>
      </c>
      <c r="B64" s="1" t="n">
        <v>44854</v>
      </c>
      <c r="C64" s="1" t="n">
        <v>46164</v>
      </c>
      <c r="D64" t="inlineStr">
        <is>
          <t>VÄRMLANDS LÄN</t>
        </is>
      </c>
      <c r="E64" t="inlineStr">
        <is>
          <t>FILIPSTAD</t>
        </is>
      </c>
      <c r="F64" t="inlineStr">
        <is>
          <t>Bergvik skog väst AB</t>
        </is>
      </c>
      <c r="G64" t="n">
        <v>5.9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35712-2022</t>
        </is>
      </c>
      <c r="B65" s="1" t="n">
        <v>44799.66078703704</v>
      </c>
      <c r="C65" s="1" t="n">
        <v>46164</v>
      </c>
      <c r="D65" t="inlineStr">
        <is>
          <t>VÄRMLANDS LÄN</t>
        </is>
      </c>
      <c r="E65" t="inlineStr">
        <is>
          <t>FILIPSTAD</t>
        </is>
      </c>
      <c r="F65" t="inlineStr">
        <is>
          <t>Bergvik skog väst AB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19626-2022</t>
        </is>
      </c>
      <c r="B66" s="1" t="n">
        <v>44694</v>
      </c>
      <c r="C66" s="1" t="n">
        <v>46164</v>
      </c>
      <c r="D66" t="inlineStr">
        <is>
          <t>VÄRMLANDS LÄN</t>
        </is>
      </c>
      <c r="E66" t="inlineStr">
        <is>
          <t>FILIPSTAD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59954-2021</t>
        </is>
      </c>
      <c r="B67" s="1" t="n">
        <v>44494.86805555555</v>
      </c>
      <c r="C67" s="1" t="n">
        <v>46164</v>
      </c>
      <c r="D67" t="inlineStr">
        <is>
          <t>VÄRMLANDS LÄN</t>
        </is>
      </c>
      <c r="E67" t="inlineStr">
        <is>
          <t>FILIPSTAD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14074-2022</t>
        </is>
      </c>
      <c r="B68" s="1" t="n">
        <v>44651</v>
      </c>
      <c r="C68" s="1" t="n">
        <v>46164</v>
      </c>
      <c r="D68" t="inlineStr">
        <is>
          <t>VÄRMLANDS LÄN</t>
        </is>
      </c>
      <c r="E68" t="inlineStr">
        <is>
          <t>FILIPSTAD</t>
        </is>
      </c>
      <c r="F68" t="inlineStr">
        <is>
          <t>Bergvik skog väst AB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66376-2021</t>
        </is>
      </c>
      <c r="B69" s="1" t="n">
        <v>44518.60405092593</v>
      </c>
      <c r="C69" s="1" t="n">
        <v>46164</v>
      </c>
      <c r="D69" t="inlineStr">
        <is>
          <t>VÄRMLANDS LÄN</t>
        </is>
      </c>
      <c r="E69" t="inlineStr">
        <is>
          <t>FILIPSTAD</t>
        </is>
      </c>
      <c r="F69" t="inlineStr">
        <is>
          <t>Bergvik skog väst AB</t>
        </is>
      </c>
      <c r="G69" t="n">
        <v>9.800000000000001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64526-2021</t>
        </is>
      </c>
      <c r="B70" s="1" t="n">
        <v>44511.62271990741</v>
      </c>
      <c r="C70" s="1" t="n">
        <v>46164</v>
      </c>
      <c r="D70" t="inlineStr">
        <is>
          <t>VÄRMLANDS LÄN</t>
        </is>
      </c>
      <c r="E70" t="inlineStr">
        <is>
          <t>FILIPSTAD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31189-2021</t>
        </is>
      </c>
      <c r="B71" s="1" t="n">
        <v>44368.60549768519</v>
      </c>
      <c r="C71" s="1" t="n">
        <v>46164</v>
      </c>
      <c r="D71" t="inlineStr">
        <is>
          <t>VÄRMLANDS LÄN</t>
        </is>
      </c>
      <c r="E71" t="inlineStr">
        <is>
          <t>FILIPSTAD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50009-2021</t>
        </is>
      </c>
      <c r="B72" s="1" t="n">
        <v>44454</v>
      </c>
      <c r="C72" s="1" t="n">
        <v>46164</v>
      </c>
      <c r="D72" t="inlineStr">
        <is>
          <t>VÄRMLANDS LÄN</t>
        </is>
      </c>
      <c r="E72" t="inlineStr">
        <is>
          <t>FILIPSTAD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43634-2021</t>
        </is>
      </c>
      <c r="B73" s="1" t="n">
        <v>44433</v>
      </c>
      <c r="C73" s="1" t="n">
        <v>46164</v>
      </c>
      <c r="D73" t="inlineStr">
        <is>
          <t>VÄRMLANDS LÄN</t>
        </is>
      </c>
      <c r="E73" t="inlineStr">
        <is>
          <t>FILIPSTAD</t>
        </is>
      </c>
      <c r="G73" t="n">
        <v>4.6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14582-2022</t>
        </is>
      </c>
      <c r="B74" s="1" t="n">
        <v>44655</v>
      </c>
      <c r="C74" s="1" t="n">
        <v>46164</v>
      </c>
      <c r="D74" t="inlineStr">
        <is>
          <t>VÄRMLANDS LÄN</t>
        </is>
      </c>
      <c r="E74" t="inlineStr">
        <is>
          <t>FILIPSTAD</t>
        </is>
      </c>
      <c r="F74" t="inlineStr">
        <is>
          <t>Bergvik skog väst AB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57087-2021</t>
        </is>
      </c>
      <c r="B75" s="1" t="n">
        <v>44482</v>
      </c>
      <c r="C75" s="1" t="n">
        <v>46164</v>
      </c>
      <c r="D75" t="inlineStr">
        <is>
          <t>VÄRMLANDS LÄN</t>
        </is>
      </c>
      <c r="E75" t="inlineStr">
        <is>
          <t>FILIPSTAD</t>
        </is>
      </c>
      <c r="G75" t="n">
        <v>4.4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5928-2022</t>
        </is>
      </c>
      <c r="B76" s="1" t="n">
        <v>44598</v>
      </c>
      <c r="C76" s="1" t="n">
        <v>46164</v>
      </c>
      <c r="D76" t="inlineStr">
        <is>
          <t>VÄRMLANDS LÄN</t>
        </is>
      </c>
      <c r="E76" t="inlineStr">
        <is>
          <t>FILIPSTAD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30524-2021</t>
        </is>
      </c>
      <c r="B77" s="1" t="n">
        <v>44364</v>
      </c>
      <c r="C77" s="1" t="n">
        <v>46164</v>
      </c>
      <c r="D77" t="inlineStr">
        <is>
          <t>VÄRMLANDS LÄN</t>
        </is>
      </c>
      <c r="E77" t="inlineStr">
        <is>
          <t>FILIPSTAD</t>
        </is>
      </c>
      <c r="F77" t="inlineStr">
        <is>
          <t>Bergvik skog väst AB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53562-2023</t>
        </is>
      </c>
      <c r="B78" s="1" t="n">
        <v>45230</v>
      </c>
      <c r="C78" s="1" t="n">
        <v>46164</v>
      </c>
      <c r="D78" t="inlineStr">
        <is>
          <t>VÄRMLANDS LÄN</t>
        </is>
      </c>
      <c r="E78" t="inlineStr">
        <is>
          <t>FILIPSTAD</t>
        </is>
      </c>
      <c r="F78" t="inlineStr">
        <is>
          <t>Bergvik skog väst AB</t>
        </is>
      </c>
      <c r="G78" t="n">
        <v>9.9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10138-2024</t>
        </is>
      </c>
      <c r="B79" s="1" t="n">
        <v>45364</v>
      </c>
      <c r="C79" s="1" t="n">
        <v>46164</v>
      </c>
      <c r="D79" t="inlineStr">
        <is>
          <t>VÄRMLANDS LÄN</t>
        </is>
      </c>
      <c r="E79" t="inlineStr">
        <is>
          <t>FILIPSTAD</t>
        </is>
      </c>
      <c r="F79" t="inlineStr">
        <is>
          <t>Kommuner</t>
        </is>
      </c>
      <c r="G79" t="n">
        <v>6.8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9839-2025</t>
        </is>
      </c>
      <c r="B80" s="1" t="n">
        <v>45716.60288194445</v>
      </c>
      <c r="C80" s="1" t="n">
        <v>46164</v>
      </c>
      <c r="D80" t="inlineStr">
        <is>
          <t>VÄRMLANDS LÄN</t>
        </is>
      </c>
      <c r="E80" t="inlineStr">
        <is>
          <t>FILIPSTAD</t>
        </is>
      </c>
      <c r="F80" t="inlineStr">
        <is>
          <t>Kommuner</t>
        </is>
      </c>
      <c r="G80" t="n">
        <v>29.5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19907-2025</t>
        </is>
      </c>
      <c r="B81" s="1" t="n">
        <v>45771</v>
      </c>
      <c r="C81" s="1" t="n">
        <v>46164</v>
      </c>
      <c r="D81" t="inlineStr">
        <is>
          <t>VÄRMLANDS LÄN</t>
        </is>
      </c>
      <c r="E81" t="inlineStr">
        <is>
          <t>FILIPSTAD</t>
        </is>
      </c>
      <c r="F81" t="inlineStr">
        <is>
          <t>Bergvik skog väst AB</t>
        </is>
      </c>
      <c r="G81" t="n">
        <v>21.4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6683-2025</t>
        </is>
      </c>
      <c r="B82" s="1" t="n">
        <v>45700</v>
      </c>
      <c r="C82" s="1" t="n">
        <v>46164</v>
      </c>
      <c r="D82" t="inlineStr">
        <is>
          <t>VÄRMLANDS LÄN</t>
        </is>
      </c>
      <c r="E82" t="inlineStr">
        <is>
          <t>FILIPSTAD</t>
        </is>
      </c>
      <c r="G82" t="n">
        <v>5.9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47536-2023</t>
        </is>
      </c>
      <c r="B83" s="1" t="n">
        <v>45203.36576388889</v>
      </c>
      <c r="C83" s="1" t="n">
        <v>46164</v>
      </c>
      <c r="D83" t="inlineStr">
        <is>
          <t>VÄRMLANDS LÄN</t>
        </is>
      </c>
      <c r="E83" t="inlineStr">
        <is>
          <t>FILIPSTAD</t>
        </is>
      </c>
      <c r="F83" t="inlineStr">
        <is>
          <t>Bergvik skog väst AB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52981-2021</t>
        </is>
      </c>
      <c r="B84" s="1" t="n">
        <v>44467.63005787037</v>
      </c>
      <c r="C84" s="1" t="n">
        <v>46164</v>
      </c>
      <c r="D84" t="inlineStr">
        <is>
          <t>VÄRMLANDS LÄN</t>
        </is>
      </c>
      <c r="E84" t="inlineStr">
        <is>
          <t>FILIPSTAD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6860-2024</t>
        </is>
      </c>
      <c r="B85" s="1" t="n">
        <v>45342</v>
      </c>
      <c r="C85" s="1" t="n">
        <v>46164</v>
      </c>
      <c r="D85" t="inlineStr">
        <is>
          <t>VÄRMLANDS LÄN</t>
        </is>
      </c>
      <c r="E85" t="inlineStr">
        <is>
          <t>FILIPSTAD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57588-2023</t>
        </is>
      </c>
      <c r="B86" s="1" t="n">
        <v>45246.54696759259</v>
      </c>
      <c r="C86" s="1" t="n">
        <v>46164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13918-2024</t>
        </is>
      </c>
      <c r="B87" s="1" t="n">
        <v>45391.88422453704</v>
      </c>
      <c r="C87" s="1" t="n">
        <v>46164</v>
      </c>
      <c r="D87" t="inlineStr">
        <is>
          <t>VÄRMLANDS LÄN</t>
        </is>
      </c>
      <c r="E87" t="inlineStr">
        <is>
          <t>FILIPSTAD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48524-2023</t>
        </is>
      </c>
      <c r="B88" s="1" t="n">
        <v>45208</v>
      </c>
      <c r="C88" s="1" t="n">
        <v>46164</v>
      </c>
      <c r="D88" t="inlineStr">
        <is>
          <t>VÄRMLANDS LÄN</t>
        </is>
      </c>
      <c r="E88" t="inlineStr">
        <is>
          <t>FILIPSTAD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23382-2024</t>
        </is>
      </c>
      <c r="B89" s="1" t="n">
        <v>45453.55965277777</v>
      </c>
      <c r="C89" s="1" t="n">
        <v>46164</v>
      </c>
      <c r="D89" t="inlineStr">
        <is>
          <t>VÄRMLANDS LÄN</t>
        </is>
      </c>
      <c r="E89" t="inlineStr">
        <is>
          <t>FILIPSTAD</t>
        </is>
      </c>
      <c r="F89" t="inlineStr">
        <is>
          <t>Bergvik skog väst AB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27080-2023</t>
        </is>
      </c>
      <c r="B90" s="1" t="n">
        <v>45096.36200231482</v>
      </c>
      <c r="C90" s="1" t="n">
        <v>46164</v>
      </c>
      <c r="D90" t="inlineStr">
        <is>
          <t>VÄRMLANDS LÄN</t>
        </is>
      </c>
      <c r="E90" t="inlineStr">
        <is>
          <t>FILIPSTAD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51945-2023</t>
        </is>
      </c>
      <c r="B91" s="1" t="n">
        <v>45223</v>
      </c>
      <c r="C91" s="1" t="n">
        <v>46164</v>
      </c>
      <c r="D91" t="inlineStr">
        <is>
          <t>VÄRMLANDS LÄN</t>
        </is>
      </c>
      <c r="E91" t="inlineStr">
        <is>
          <t>FILIPSTAD</t>
        </is>
      </c>
      <c r="F91" t="inlineStr">
        <is>
          <t>Bergvik skog väst AB</t>
        </is>
      </c>
      <c r="G91" t="n">
        <v>4.6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27107-2024</t>
        </is>
      </c>
      <c r="B92" s="1" t="n">
        <v>45471</v>
      </c>
      <c r="C92" s="1" t="n">
        <v>46164</v>
      </c>
      <c r="D92" t="inlineStr">
        <is>
          <t>VÄRMLANDS LÄN</t>
        </is>
      </c>
      <c r="E92" t="inlineStr">
        <is>
          <t>FILIPSTAD</t>
        </is>
      </c>
      <c r="F92" t="inlineStr">
        <is>
          <t>Bergvik skog väst AB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12837-2024</t>
        </is>
      </c>
      <c r="B93" s="1" t="n">
        <v>45384</v>
      </c>
      <c r="C93" s="1" t="n">
        <v>46164</v>
      </c>
      <c r="D93" t="inlineStr">
        <is>
          <t>VÄRMLANDS LÄN</t>
        </is>
      </c>
      <c r="E93" t="inlineStr">
        <is>
          <t>FILIPSTAD</t>
        </is>
      </c>
      <c r="F93" t="inlineStr">
        <is>
          <t>Bergvik skog väst AB</t>
        </is>
      </c>
      <c r="G93" t="n">
        <v>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53690-2022</t>
        </is>
      </c>
      <c r="B94" s="1" t="n">
        <v>44880</v>
      </c>
      <c r="C94" s="1" t="n">
        <v>46164</v>
      </c>
      <c r="D94" t="inlineStr">
        <is>
          <t>VÄRMLANDS LÄN</t>
        </is>
      </c>
      <c r="E94" t="inlineStr">
        <is>
          <t>FILIPSTAD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16584-2024</t>
        </is>
      </c>
      <c r="B95" s="1" t="n">
        <v>45408.4859375</v>
      </c>
      <c r="C95" s="1" t="n">
        <v>46164</v>
      </c>
      <c r="D95" t="inlineStr">
        <is>
          <t>VÄRMLANDS LÄN</t>
        </is>
      </c>
      <c r="E95" t="inlineStr">
        <is>
          <t>FILIPSTAD</t>
        </is>
      </c>
      <c r="F95" t="inlineStr">
        <is>
          <t>Bergvik skog väst AB</t>
        </is>
      </c>
      <c r="G95" t="n">
        <v>6.6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60296-2023</t>
        </is>
      </c>
      <c r="B96" s="1" t="n">
        <v>45257</v>
      </c>
      <c r="C96" s="1" t="n">
        <v>46164</v>
      </c>
      <c r="D96" t="inlineStr">
        <is>
          <t>VÄRMLANDS LÄN</t>
        </is>
      </c>
      <c r="E96" t="inlineStr">
        <is>
          <t>FILIPSTAD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17788-2024</t>
        </is>
      </c>
      <c r="B97" s="1" t="n">
        <v>45418</v>
      </c>
      <c r="C97" s="1" t="n">
        <v>46164</v>
      </c>
      <c r="D97" t="inlineStr">
        <is>
          <t>VÄRMLANDS LÄN</t>
        </is>
      </c>
      <c r="E97" t="inlineStr">
        <is>
          <t>FILIPSTAD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51266-2021</t>
        </is>
      </c>
      <c r="B98" s="1" t="n">
        <v>44461.56226851852</v>
      </c>
      <c r="C98" s="1" t="n">
        <v>46164</v>
      </c>
      <c r="D98" t="inlineStr">
        <is>
          <t>VÄRMLANDS LÄN</t>
        </is>
      </c>
      <c r="E98" t="inlineStr">
        <is>
          <t>FILIPSTAD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62540-2023</t>
        </is>
      </c>
      <c r="B99" s="1" t="n">
        <v>45267</v>
      </c>
      <c r="C99" s="1" t="n">
        <v>46164</v>
      </c>
      <c r="D99" t="inlineStr">
        <is>
          <t>VÄRMLANDS LÄN</t>
        </is>
      </c>
      <c r="E99" t="inlineStr">
        <is>
          <t>FILIPSTAD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19034-2024</t>
        </is>
      </c>
      <c r="B100" s="1" t="n">
        <v>45427</v>
      </c>
      <c r="C100" s="1" t="n">
        <v>46164</v>
      </c>
      <c r="D100" t="inlineStr">
        <is>
          <t>VÄRMLANDS LÄN</t>
        </is>
      </c>
      <c r="E100" t="inlineStr">
        <is>
          <t>FILIPSTAD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19035-2024</t>
        </is>
      </c>
      <c r="B101" s="1" t="n">
        <v>45427</v>
      </c>
      <c r="C101" s="1" t="n">
        <v>46164</v>
      </c>
      <c r="D101" t="inlineStr">
        <is>
          <t>VÄRMLANDS LÄN</t>
        </is>
      </c>
      <c r="E101" t="inlineStr">
        <is>
          <t>FILIPSTAD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19159-2024</t>
        </is>
      </c>
      <c r="B102" s="1" t="n">
        <v>45428.45182870371</v>
      </c>
      <c r="C102" s="1" t="n">
        <v>46164</v>
      </c>
      <c r="D102" t="inlineStr">
        <is>
          <t>VÄRMLANDS LÄN</t>
        </is>
      </c>
      <c r="E102" t="inlineStr">
        <is>
          <t>FILIPSTAD</t>
        </is>
      </c>
      <c r="F102" t="inlineStr">
        <is>
          <t>Bergvik skog väst AB</t>
        </is>
      </c>
      <c r="G102" t="n">
        <v>8.4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19445-2025</t>
        </is>
      </c>
      <c r="B103" s="1" t="n">
        <v>45770.32002314815</v>
      </c>
      <c r="C103" s="1" t="n">
        <v>46164</v>
      </c>
      <c r="D103" t="inlineStr">
        <is>
          <t>VÄRMLANDS LÄN</t>
        </is>
      </c>
      <c r="E103" t="inlineStr">
        <is>
          <t>FILIPSTAD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25468-2024</t>
        </is>
      </c>
      <c r="B104" s="1" t="n">
        <v>45463</v>
      </c>
      <c r="C104" s="1" t="n">
        <v>46164</v>
      </c>
      <c r="D104" t="inlineStr">
        <is>
          <t>VÄRMLANDS LÄN</t>
        </is>
      </c>
      <c r="E104" t="inlineStr">
        <is>
          <t>FILIPSTAD</t>
        </is>
      </c>
      <c r="G104" t="n">
        <v>13.2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36042-2021</t>
        </is>
      </c>
      <c r="B105" s="1" t="n">
        <v>44386</v>
      </c>
      <c r="C105" s="1" t="n">
        <v>46164</v>
      </c>
      <c r="D105" t="inlineStr">
        <is>
          <t>VÄRMLANDS LÄN</t>
        </is>
      </c>
      <c r="E105" t="inlineStr">
        <is>
          <t>FILIPSTAD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57026-2023</t>
        </is>
      </c>
      <c r="B106" s="1" t="n">
        <v>45244.82778935185</v>
      </c>
      <c r="C106" s="1" t="n">
        <v>46164</v>
      </c>
      <c r="D106" t="inlineStr">
        <is>
          <t>VÄRMLANDS LÄN</t>
        </is>
      </c>
      <c r="E106" t="inlineStr">
        <is>
          <t>FILIPSTAD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38140-2024</t>
        </is>
      </c>
      <c r="B107" s="1" t="n">
        <v>45545</v>
      </c>
      <c r="C107" s="1" t="n">
        <v>46164</v>
      </c>
      <c r="D107" t="inlineStr">
        <is>
          <t>VÄRMLANDS LÄN</t>
        </is>
      </c>
      <c r="E107" t="inlineStr">
        <is>
          <t>FILIPSTAD</t>
        </is>
      </c>
      <c r="F107" t="inlineStr">
        <is>
          <t>Bergvik skog väst AB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32262-2023</t>
        </is>
      </c>
      <c r="B108" s="1" t="n">
        <v>45120.30858796297</v>
      </c>
      <c r="C108" s="1" t="n">
        <v>46164</v>
      </c>
      <c r="D108" t="inlineStr">
        <is>
          <t>VÄRMLANDS LÄN</t>
        </is>
      </c>
      <c r="E108" t="inlineStr">
        <is>
          <t>FILIPSTAD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27400-2024</t>
        </is>
      </c>
      <c r="B109" s="1" t="n">
        <v>45474.34940972222</v>
      </c>
      <c r="C109" s="1" t="n">
        <v>46164</v>
      </c>
      <c r="D109" t="inlineStr">
        <is>
          <t>VÄRMLANDS LÄN</t>
        </is>
      </c>
      <c r="E109" t="inlineStr">
        <is>
          <t>FILIPSTAD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14268-2024</t>
        </is>
      </c>
      <c r="B110" s="1" t="n">
        <v>45393.57497685185</v>
      </c>
      <c r="C110" s="1" t="n">
        <v>46164</v>
      </c>
      <c r="D110" t="inlineStr">
        <is>
          <t>VÄRMLANDS LÄN</t>
        </is>
      </c>
      <c r="E110" t="inlineStr">
        <is>
          <t>FILIPSTAD</t>
        </is>
      </c>
      <c r="F110" t="inlineStr">
        <is>
          <t>Bergvik skog väst AB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23046-2023</t>
        </is>
      </c>
      <c r="B111" s="1" t="n">
        <v>45075</v>
      </c>
      <c r="C111" s="1" t="n">
        <v>46164</v>
      </c>
      <c r="D111" t="inlineStr">
        <is>
          <t>VÄRMLANDS LÄN</t>
        </is>
      </c>
      <c r="E111" t="inlineStr">
        <is>
          <t>FILIPSTAD</t>
        </is>
      </c>
      <c r="F111" t="inlineStr">
        <is>
          <t>Bergvik skog väst AB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  <c r="U111">
        <f>HYPERLINK("https://klasma.github.io/Logging_1782/knärot/A 23046-2023 karta knärot.png", "A 23046-2023")</f>
        <v/>
      </c>
      <c r="V111">
        <f>HYPERLINK("https://klasma.github.io/Logging_1782/klagomål/A 23046-2023 FSC-klagomål.docx", "A 23046-2023")</f>
        <v/>
      </c>
      <c r="W111">
        <f>HYPERLINK("https://klasma.github.io/Logging_1782/klagomålsmail/A 23046-2023 FSC-klagomål mail.docx", "A 23046-2023")</f>
        <v/>
      </c>
      <c r="X111">
        <f>HYPERLINK("https://klasma.github.io/Logging_1782/tillsyn/A 23046-2023 tillsynsbegäran.docx", "A 23046-2023")</f>
        <v/>
      </c>
      <c r="Y111">
        <f>HYPERLINK("https://klasma.github.io/Logging_1782/tillsynsmail/A 23046-2023 tillsynsbegäran mail.docx", "A 23046-2023")</f>
        <v/>
      </c>
    </row>
    <row r="112" ht="15" customHeight="1">
      <c r="A112" t="inlineStr">
        <is>
          <t>A 32185-2024</t>
        </is>
      </c>
      <c r="B112" s="1" t="n">
        <v>45511.64414351852</v>
      </c>
      <c r="C112" s="1" t="n">
        <v>46164</v>
      </c>
      <c r="D112" t="inlineStr">
        <is>
          <t>VÄRMLANDS LÄN</t>
        </is>
      </c>
      <c r="E112" t="inlineStr">
        <is>
          <t>FILIPSTAD</t>
        </is>
      </c>
      <c r="F112" t="inlineStr">
        <is>
          <t>Bergvik skog väst AB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34145-2024</t>
        </is>
      </c>
      <c r="B113" s="1" t="n">
        <v>45524</v>
      </c>
      <c r="C113" s="1" t="n">
        <v>46164</v>
      </c>
      <c r="D113" t="inlineStr">
        <is>
          <t>VÄRMLANDS LÄN</t>
        </is>
      </c>
      <c r="E113" t="inlineStr">
        <is>
          <t>FILIPSTAD</t>
        </is>
      </c>
      <c r="F113" t="inlineStr">
        <is>
          <t>Bergvik skog väst AB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4191-2022</t>
        </is>
      </c>
      <c r="B114" s="1" t="n">
        <v>44588</v>
      </c>
      <c r="C114" s="1" t="n">
        <v>46164</v>
      </c>
      <c r="D114" t="inlineStr">
        <is>
          <t>VÄRMLANDS LÄN</t>
        </is>
      </c>
      <c r="E114" t="inlineStr">
        <is>
          <t>FILIPSTAD</t>
        </is>
      </c>
      <c r="F114" t="inlineStr">
        <is>
          <t>Kommuner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38626-2025</t>
        </is>
      </c>
      <c r="B115" s="1" t="n">
        <v>45884.55540509259</v>
      </c>
      <c r="C115" s="1" t="n">
        <v>46164</v>
      </c>
      <c r="D115" t="inlineStr">
        <is>
          <t>VÄRMLANDS LÄN</t>
        </is>
      </c>
      <c r="E115" t="inlineStr">
        <is>
          <t>FILIPSTAD</t>
        </is>
      </c>
      <c r="F115" t="inlineStr">
        <is>
          <t>Bergvik skog väst AB</t>
        </is>
      </c>
      <c r="G115" t="n">
        <v>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2437-2025</t>
        </is>
      </c>
      <c r="B116" s="1" t="n">
        <v>45674</v>
      </c>
      <c r="C116" s="1" t="n">
        <v>46164</v>
      </c>
      <c r="D116" t="inlineStr">
        <is>
          <t>VÄRMLANDS LÄN</t>
        </is>
      </c>
      <c r="E116" t="inlineStr">
        <is>
          <t>FILIPSTAD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38257-2025</t>
        </is>
      </c>
      <c r="B117" s="1" t="n">
        <v>45883</v>
      </c>
      <c r="C117" s="1" t="n">
        <v>46164</v>
      </c>
      <c r="D117" t="inlineStr">
        <is>
          <t>VÄRMLANDS LÄN</t>
        </is>
      </c>
      <c r="E117" t="inlineStr">
        <is>
          <t>FILIPSTAD</t>
        </is>
      </c>
      <c r="G117" t="n">
        <v>6.9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26123-2025</t>
        </is>
      </c>
      <c r="B118" s="1" t="n">
        <v>45805.38965277778</v>
      </c>
      <c r="C118" s="1" t="n">
        <v>46164</v>
      </c>
      <c r="D118" t="inlineStr">
        <is>
          <t>VÄRMLANDS LÄN</t>
        </is>
      </c>
      <c r="E118" t="inlineStr">
        <is>
          <t>FILIPSTAD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61643-2024</t>
        </is>
      </c>
      <c r="B119" s="1" t="n">
        <v>45646</v>
      </c>
      <c r="C119" s="1" t="n">
        <v>46164</v>
      </c>
      <c r="D119" t="inlineStr">
        <is>
          <t>VÄRMLANDS LÄN</t>
        </is>
      </c>
      <c r="E119" t="inlineStr">
        <is>
          <t>FILIPSTAD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26116-2025</t>
        </is>
      </c>
      <c r="B120" s="1" t="n">
        <v>45805.37556712963</v>
      </c>
      <c r="C120" s="1" t="n">
        <v>46164</v>
      </c>
      <c r="D120" t="inlineStr">
        <is>
          <t>VÄRMLANDS LÄN</t>
        </is>
      </c>
      <c r="E120" t="inlineStr">
        <is>
          <t>FILIPSTAD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23617-2023</t>
        </is>
      </c>
      <c r="B121" s="1" t="n">
        <v>45077.47910879629</v>
      </c>
      <c r="C121" s="1" t="n">
        <v>46164</v>
      </c>
      <c r="D121" t="inlineStr">
        <is>
          <t>VÄRMLANDS LÄN</t>
        </is>
      </c>
      <c r="E121" t="inlineStr">
        <is>
          <t>FILIPSTAD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26812-2025</t>
        </is>
      </c>
      <c r="B122" s="1" t="n">
        <v>45810.6196875</v>
      </c>
      <c r="C122" s="1" t="n">
        <v>46164</v>
      </c>
      <c r="D122" t="inlineStr">
        <is>
          <t>VÄRMLANDS LÄN</t>
        </is>
      </c>
      <c r="E122" t="inlineStr">
        <is>
          <t>FILIPSTAD</t>
        </is>
      </c>
      <c r="F122" t="inlineStr">
        <is>
          <t>Bergvik skog väst AB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26843-2024</t>
        </is>
      </c>
      <c r="B123" s="1" t="n">
        <v>45470.57790509259</v>
      </c>
      <c r="C123" s="1" t="n">
        <v>46164</v>
      </c>
      <c r="D123" t="inlineStr">
        <is>
          <t>VÄRMLANDS LÄN</t>
        </is>
      </c>
      <c r="E123" t="inlineStr">
        <is>
          <t>FILIPSTAD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3071-2026</t>
        </is>
      </c>
      <c r="B124" s="1" t="n">
        <v>46040.74627314815</v>
      </c>
      <c r="C124" s="1" t="n">
        <v>46164</v>
      </c>
      <c r="D124" t="inlineStr">
        <is>
          <t>VÄRMLANDS LÄN</t>
        </is>
      </c>
      <c r="E124" t="inlineStr">
        <is>
          <t>FILIPSTAD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14696-2025</t>
        </is>
      </c>
      <c r="B125" s="1" t="n">
        <v>45742.59262731481</v>
      </c>
      <c r="C125" s="1" t="n">
        <v>46164</v>
      </c>
      <c r="D125" t="inlineStr">
        <is>
          <t>VÄRMLANDS LÄN</t>
        </is>
      </c>
      <c r="E125" t="inlineStr">
        <is>
          <t>FILIPSTAD</t>
        </is>
      </c>
      <c r="F125" t="inlineStr">
        <is>
          <t>Bergvik skog väst AB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27420-2025</t>
        </is>
      </c>
      <c r="B126" s="1" t="n">
        <v>45812</v>
      </c>
      <c r="C126" s="1" t="n">
        <v>46164</v>
      </c>
      <c r="D126" t="inlineStr">
        <is>
          <t>VÄRMLANDS LÄN</t>
        </is>
      </c>
      <c r="E126" t="inlineStr">
        <is>
          <t>FILIPSTAD</t>
        </is>
      </c>
      <c r="F126" t="inlineStr">
        <is>
          <t>Bergvik skog väst AB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27242-2025</t>
        </is>
      </c>
      <c r="B127" s="1" t="n">
        <v>45812.46127314815</v>
      </c>
      <c r="C127" s="1" t="n">
        <v>46164</v>
      </c>
      <c r="D127" t="inlineStr">
        <is>
          <t>VÄRMLANDS LÄN</t>
        </is>
      </c>
      <c r="E127" t="inlineStr">
        <is>
          <t>FILIPSTAD</t>
        </is>
      </c>
      <c r="F127" t="inlineStr">
        <is>
          <t>Bergvik skog väst AB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27419-2025</t>
        </is>
      </c>
      <c r="B128" s="1" t="n">
        <v>45812</v>
      </c>
      <c r="C128" s="1" t="n">
        <v>46164</v>
      </c>
      <c r="D128" t="inlineStr">
        <is>
          <t>VÄRMLANDS LÄN</t>
        </is>
      </c>
      <c r="E128" t="inlineStr">
        <is>
          <t>FILIPSTAD</t>
        </is>
      </c>
      <c r="F128" t="inlineStr">
        <is>
          <t>Bergvik skog väst AB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422-2025</t>
        </is>
      </c>
      <c r="B129" s="1" t="n">
        <v>45664</v>
      </c>
      <c r="C129" s="1" t="n">
        <v>46164</v>
      </c>
      <c r="D129" t="inlineStr">
        <is>
          <t>VÄRMLANDS LÄN</t>
        </is>
      </c>
      <c r="E129" t="inlineStr">
        <is>
          <t>FILIPSTAD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38955-2025</t>
        </is>
      </c>
      <c r="B130" s="1" t="n">
        <v>45887.67186342592</v>
      </c>
      <c r="C130" s="1" t="n">
        <v>46164</v>
      </c>
      <c r="D130" t="inlineStr">
        <is>
          <t>VÄRMLANDS LÄN</t>
        </is>
      </c>
      <c r="E130" t="inlineStr">
        <is>
          <t>FILIPSTAD</t>
        </is>
      </c>
      <c r="F130" t="inlineStr">
        <is>
          <t>Bergvik skog väst AB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27126-2025</t>
        </is>
      </c>
      <c r="B131" s="1" t="n">
        <v>45811</v>
      </c>
      <c r="C131" s="1" t="n">
        <v>46164</v>
      </c>
      <c r="D131" t="inlineStr">
        <is>
          <t>VÄRMLANDS LÄN</t>
        </is>
      </c>
      <c r="E131" t="inlineStr">
        <is>
          <t>FILIPSTAD</t>
        </is>
      </c>
      <c r="F131" t="inlineStr">
        <is>
          <t>Bergvik skog väst AB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17794-2024</t>
        </is>
      </c>
      <c r="B132" s="1" t="n">
        <v>45418</v>
      </c>
      <c r="C132" s="1" t="n">
        <v>46164</v>
      </c>
      <c r="D132" t="inlineStr">
        <is>
          <t>VÄRMLANDS LÄN</t>
        </is>
      </c>
      <c r="E132" t="inlineStr">
        <is>
          <t>FILIPSTAD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26599-2024</t>
        </is>
      </c>
      <c r="B133" s="1" t="n">
        <v>45469</v>
      </c>
      <c r="C133" s="1" t="n">
        <v>46164</v>
      </c>
      <c r="D133" t="inlineStr">
        <is>
          <t>VÄRMLANDS LÄN</t>
        </is>
      </c>
      <c r="E133" t="inlineStr">
        <is>
          <t>FILIPSTAD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38917-2025</t>
        </is>
      </c>
      <c r="B134" s="1" t="n">
        <v>45887.62321759259</v>
      </c>
      <c r="C134" s="1" t="n">
        <v>46164</v>
      </c>
      <c r="D134" t="inlineStr">
        <is>
          <t>VÄRMLANDS LÄN</t>
        </is>
      </c>
      <c r="E134" t="inlineStr">
        <is>
          <t>FILIPSTAD</t>
        </is>
      </c>
      <c r="F134" t="inlineStr">
        <is>
          <t>Bergvik skog väst AB</t>
        </is>
      </c>
      <c r="G134" t="n">
        <v>5.2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27422-2025</t>
        </is>
      </c>
      <c r="B135" s="1" t="n">
        <v>45812</v>
      </c>
      <c r="C135" s="1" t="n">
        <v>46164</v>
      </c>
      <c r="D135" t="inlineStr">
        <is>
          <t>VÄRMLANDS LÄN</t>
        </is>
      </c>
      <c r="E135" t="inlineStr">
        <is>
          <t>FILIPSTAD</t>
        </is>
      </c>
      <c r="F135" t="inlineStr">
        <is>
          <t>Bergvik skog väst AB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27218-2025</t>
        </is>
      </c>
      <c r="B136" s="1" t="n">
        <v>45812.42153935185</v>
      </c>
      <c r="C136" s="1" t="n">
        <v>46164</v>
      </c>
      <c r="D136" t="inlineStr">
        <is>
          <t>VÄRMLANDS LÄN</t>
        </is>
      </c>
      <c r="E136" t="inlineStr">
        <is>
          <t>FILIPSTAD</t>
        </is>
      </c>
      <c r="F136" t="inlineStr">
        <is>
          <t>Bergvik skog väst AB</t>
        </is>
      </c>
      <c r="G136" t="n">
        <v>10.6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16591-2022</t>
        </is>
      </c>
      <c r="B137" s="1" t="n">
        <v>44672</v>
      </c>
      <c r="C137" s="1" t="n">
        <v>46164</v>
      </c>
      <c r="D137" t="inlineStr">
        <is>
          <t>VÄRMLANDS LÄN</t>
        </is>
      </c>
      <c r="E137" t="inlineStr">
        <is>
          <t>FILIPSTAD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44178-2021</t>
        </is>
      </c>
      <c r="B138" s="1" t="n">
        <v>44434.67637731481</v>
      </c>
      <c r="C138" s="1" t="n">
        <v>46164</v>
      </c>
      <c r="D138" t="inlineStr">
        <is>
          <t>VÄRMLANDS LÄN</t>
        </is>
      </c>
      <c r="E138" t="inlineStr">
        <is>
          <t>FILIPSTAD</t>
        </is>
      </c>
      <c r="F138" t="inlineStr">
        <is>
          <t>Bergvik skog väst AB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45511-2024</t>
        </is>
      </c>
      <c r="B139" s="1" t="n">
        <v>45578</v>
      </c>
      <c r="C139" s="1" t="n">
        <v>46164</v>
      </c>
      <c r="D139" t="inlineStr">
        <is>
          <t>VÄRMLANDS LÄN</t>
        </is>
      </c>
      <c r="E139" t="inlineStr">
        <is>
          <t>FILIPSTAD</t>
        </is>
      </c>
      <c r="G139" t="n">
        <v>5.1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56151-2023</t>
        </is>
      </c>
      <c r="B140" s="1" t="n">
        <v>45240.6055787037</v>
      </c>
      <c r="C140" s="1" t="n">
        <v>46164</v>
      </c>
      <c r="D140" t="inlineStr">
        <is>
          <t>VÄRMLANDS LÄN</t>
        </is>
      </c>
      <c r="E140" t="inlineStr">
        <is>
          <t>FILIPSTAD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46241-2024</t>
        </is>
      </c>
      <c r="B141" s="1" t="n">
        <v>45581</v>
      </c>
      <c r="C141" s="1" t="n">
        <v>46164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59196-2022</t>
        </is>
      </c>
      <c r="B142" s="1" t="n">
        <v>44904.49831018518</v>
      </c>
      <c r="C142" s="1" t="n">
        <v>46164</v>
      </c>
      <c r="D142" t="inlineStr">
        <is>
          <t>VÄRMLANDS LÄN</t>
        </is>
      </c>
      <c r="E142" t="inlineStr">
        <is>
          <t>FILIPSTAD</t>
        </is>
      </c>
      <c r="F142" t="inlineStr">
        <is>
          <t>Bergvik skog väst AB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27946-2025</t>
        </is>
      </c>
      <c r="B143" s="1" t="n">
        <v>45817</v>
      </c>
      <c r="C143" s="1" t="n">
        <v>46164</v>
      </c>
      <c r="D143" t="inlineStr">
        <is>
          <t>VÄRMLANDS LÄN</t>
        </is>
      </c>
      <c r="E143" t="inlineStr">
        <is>
          <t>FILIPSTAD</t>
        </is>
      </c>
      <c r="F143" t="inlineStr">
        <is>
          <t>Bergvik skog väst AB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28149-2025</t>
        </is>
      </c>
      <c r="B144" s="1" t="n">
        <v>45818</v>
      </c>
      <c r="C144" s="1" t="n">
        <v>46164</v>
      </c>
      <c r="D144" t="inlineStr">
        <is>
          <t>VÄRMLANDS LÄN</t>
        </is>
      </c>
      <c r="E144" t="inlineStr">
        <is>
          <t>FILIPSTAD</t>
        </is>
      </c>
      <c r="F144" t="inlineStr">
        <is>
          <t>Bergvik skog väst AB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69015-2021</t>
        </is>
      </c>
      <c r="B145" s="1" t="n">
        <v>44530.60211805555</v>
      </c>
      <c r="C145" s="1" t="n">
        <v>46164</v>
      </c>
      <c r="D145" t="inlineStr">
        <is>
          <t>VÄRMLANDS LÄN</t>
        </is>
      </c>
      <c r="E145" t="inlineStr">
        <is>
          <t>FILIPSTAD</t>
        </is>
      </c>
      <c r="F145" t="inlineStr">
        <is>
          <t>Bergvik skog väst AB</t>
        </is>
      </c>
      <c r="G145" t="n">
        <v>12.7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28687-2025</t>
        </is>
      </c>
      <c r="B146" s="1" t="n">
        <v>45819</v>
      </c>
      <c r="C146" s="1" t="n">
        <v>46164</v>
      </c>
      <c r="D146" t="inlineStr">
        <is>
          <t>VÄRMLANDS LÄN</t>
        </is>
      </c>
      <c r="E146" t="inlineStr">
        <is>
          <t>FILIPSTAD</t>
        </is>
      </c>
      <c r="F146" t="inlineStr">
        <is>
          <t>Bergvik skog väst AB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28689-2025</t>
        </is>
      </c>
      <c r="B147" s="1" t="n">
        <v>45819</v>
      </c>
      <c r="C147" s="1" t="n">
        <v>46164</v>
      </c>
      <c r="D147" t="inlineStr">
        <is>
          <t>VÄRMLANDS LÄN</t>
        </is>
      </c>
      <c r="E147" t="inlineStr">
        <is>
          <t>FILIPSTAD</t>
        </is>
      </c>
      <c r="F147" t="inlineStr">
        <is>
          <t>Bergvik skog väst AB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39823-2025</t>
        </is>
      </c>
      <c r="B148" s="1" t="n">
        <v>45891</v>
      </c>
      <c r="C148" s="1" t="n">
        <v>46164</v>
      </c>
      <c r="D148" t="inlineStr">
        <is>
          <t>VÄRMLANDS LÄN</t>
        </is>
      </c>
      <c r="E148" t="inlineStr">
        <is>
          <t>FILIPSTAD</t>
        </is>
      </c>
      <c r="F148" t="inlineStr">
        <is>
          <t>Bergvik skog väst AB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47344-2023</t>
        </is>
      </c>
      <c r="B149" s="1" t="n">
        <v>45202.56717592593</v>
      </c>
      <c r="C149" s="1" t="n">
        <v>46164</v>
      </c>
      <c r="D149" t="inlineStr">
        <is>
          <t>VÄRMLANDS LÄN</t>
        </is>
      </c>
      <c r="E149" t="inlineStr">
        <is>
          <t>FILIPSTAD</t>
        </is>
      </c>
      <c r="F149" t="inlineStr">
        <is>
          <t>Bergvik skog väst AB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39896-2025</t>
        </is>
      </c>
      <c r="B150" s="1" t="n">
        <v>45891.63328703704</v>
      </c>
      <c r="C150" s="1" t="n">
        <v>46164</v>
      </c>
      <c r="D150" t="inlineStr">
        <is>
          <t>VÄRMLANDS LÄN</t>
        </is>
      </c>
      <c r="E150" t="inlineStr">
        <is>
          <t>FILIPSTAD</t>
        </is>
      </c>
      <c r="F150" t="inlineStr">
        <is>
          <t>Bergvik skog väst AB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39719-2025</t>
        </is>
      </c>
      <c r="B151" s="1" t="n">
        <v>45891</v>
      </c>
      <c r="C151" s="1" t="n">
        <v>46164</v>
      </c>
      <c r="D151" t="inlineStr">
        <is>
          <t>VÄRMLANDS LÄN</t>
        </is>
      </c>
      <c r="E151" t="inlineStr">
        <is>
          <t>FILIPSTAD</t>
        </is>
      </c>
      <c r="F151" t="inlineStr">
        <is>
          <t>Bergvik skog väst AB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39903-2025</t>
        </is>
      </c>
      <c r="B152" s="1" t="n">
        <v>45891.63664351852</v>
      </c>
      <c r="C152" s="1" t="n">
        <v>46164</v>
      </c>
      <c r="D152" t="inlineStr">
        <is>
          <t>VÄRMLANDS LÄN</t>
        </is>
      </c>
      <c r="E152" t="inlineStr">
        <is>
          <t>FILIPSTAD</t>
        </is>
      </c>
      <c r="F152" t="inlineStr">
        <is>
          <t>Bergvik skog väst AB</t>
        </is>
      </c>
      <c r="G152" t="n">
        <v>8.199999999999999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29460-2025</t>
        </is>
      </c>
      <c r="B153" s="1" t="n">
        <v>45824.69491898148</v>
      </c>
      <c r="C153" s="1" t="n">
        <v>46164</v>
      </c>
      <c r="D153" t="inlineStr">
        <is>
          <t>VÄRMLANDS LÄN</t>
        </is>
      </c>
      <c r="E153" t="inlineStr">
        <is>
          <t>FILIPSTAD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40646-2025</t>
        </is>
      </c>
      <c r="B154" s="1" t="n">
        <v>45896</v>
      </c>
      <c r="C154" s="1" t="n">
        <v>46164</v>
      </c>
      <c r="D154" t="inlineStr">
        <is>
          <t>VÄRMLANDS LÄN</t>
        </is>
      </c>
      <c r="E154" t="inlineStr">
        <is>
          <t>FILIPSTAD</t>
        </is>
      </c>
      <c r="F154" t="inlineStr">
        <is>
          <t>Bergvik skog väst AB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47436-2024</t>
        </is>
      </c>
      <c r="B155" s="1" t="n">
        <v>45587</v>
      </c>
      <c r="C155" s="1" t="n">
        <v>46164</v>
      </c>
      <c r="D155" t="inlineStr">
        <is>
          <t>VÄRMLANDS LÄN</t>
        </is>
      </c>
      <c r="E155" t="inlineStr">
        <is>
          <t>FILIPSTAD</t>
        </is>
      </c>
      <c r="F155" t="inlineStr">
        <is>
          <t>Bergvik skog väst AB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40667-2025</t>
        </is>
      </c>
      <c r="B156" s="1" t="n">
        <v>45896.65934027778</v>
      </c>
      <c r="C156" s="1" t="n">
        <v>46164</v>
      </c>
      <c r="D156" t="inlineStr">
        <is>
          <t>VÄRMLANDS LÄN</t>
        </is>
      </c>
      <c r="E156" t="inlineStr">
        <is>
          <t>FILIPSTAD</t>
        </is>
      </c>
      <c r="F156" t="inlineStr">
        <is>
          <t>Bergvik skog väst AB</t>
        </is>
      </c>
      <c r="G156" t="n">
        <v>5.7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40596-2025</t>
        </is>
      </c>
      <c r="B157" s="1" t="n">
        <v>45896</v>
      </c>
      <c r="C157" s="1" t="n">
        <v>46164</v>
      </c>
      <c r="D157" t="inlineStr">
        <is>
          <t>VÄRMLANDS LÄN</t>
        </is>
      </c>
      <c r="E157" t="inlineStr">
        <is>
          <t>FILIPSTAD</t>
        </is>
      </c>
      <c r="F157" t="inlineStr">
        <is>
          <t>Bergvik skog väst AB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40275-2025</t>
        </is>
      </c>
      <c r="B158" s="1" t="n">
        <v>45895.35975694445</v>
      </c>
      <c r="C158" s="1" t="n">
        <v>46164</v>
      </c>
      <c r="D158" t="inlineStr">
        <is>
          <t>VÄRMLANDS LÄN</t>
        </is>
      </c>
      <c r="E158" t="inlineStr">
        <is>
          <t>FILIPSTAD</t>
        </is>
      </c>
      <c r="F158" t="inlineStr">
        <is>
          <t>Bergvik skog väst AB</t>
        </is>
      </c>
      <c r="G158" t="n">
        <v>4.8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40398-2025</t>
        </is>
      </c>
      <c r="B159" s="1" t="n">
        <v>45895</v>
      </c>
      <c r="C159" s="1" t="n">
        <v>46164</v>
      </c>
      <c r="D159" t="inlineStr">
        <is>
          <t>VÄRMLANDS LÄN</t>
        </is>
      </c>
      <c r="E159" t="inlineStr">
        <is>
          <t>FILIPSTAD</t>
        </is>
      </c>
      <c r="F159" t="inlineStr">
        <is>
          <t>Bergvik skog väst AB</t>
        </is>
      </c>
      <c r="G159" t="n">
        <v>5.2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40527-2025</t>
        </is>
      </c>
      <c r="B160" s="1" t="n">
        <v>45896</v>
      </c>
      <c r="C160" s="1" t="n">
        <v>46164</v>
      </c>
      <c r="D160" t="inlineStr">
        <is>
          <t>VÄRMLANDS LÄN</t>
        </is>
      </c>
      <c r="E160" t="inlineStr">
        <is>
          <t>FILIPSTAD</t>
        </is>
      </c>
      <c r="F160" t="inlineStr">
        <is>
          <t>Bergvik skog väst AB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29885-2025</t>
        </is>
      </c>
      <c r="B161" s="1" t="n">
        <v>45826</v>
      </c>
      <c r="C161" s="1" t="n">
        <v>46164</v>
      </c>
      <c r="D161" t="inlineStr">
        <is>
          <t>VÄRMLANDS LÄN</t>
        </is>
      </c>
      <c r="E161" t="inlineStr">
        <is>
          <t>FILIPSTAD</t>
        </is>
      </c>
      <c r="F161" t="inlineStr">
        <is>
          <t>Bergvik skog väst AB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45592-2024</t>
        </is>
      </c>
      <c r="B162" s="1" t="n">
        <v>45579</v>
      </c>
      <c r="C162" s="1" t="n">
        <v>46164</v>
      </c>
      <c r="D162" t="inlineStr">
        <is>
          <t>VÄRMLANDS LÄN</t>
        </is>
      </c>
      <c r="E162" t="inlineStr">
        <is>
          <t>FILIPSTAD</t>
        </is>
      </c>
      <c r="F162" t="inlineStr">
        <is>
          <t>Kyrkan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30049-2025</t>
        </is>
      </c>
      <c r="B163" s="1" t="n">
        <v>45826.59048611111</v>
      </c>
      <c r="C163" s="1" t="n">
        <v>46164</v>
      </c>
      <c r="D163" t="inlineStr">
        <is>
          <t>VÄRMLANDS LÄN</t>
        </is>
      </c>
      <c r="E163" t="inlineStr">
        <is>
          <t>FILIPSTAD</t>
        </is>
      </c>
      <c r="F163" t="inlineStr">
        <is>
          <t>Bergvik skog väst AB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40546-2025</t>
        </is>
      </c>
      <c r="B164" s="1" t="n">
        <v>45896.43155092592</v>
      </c>
      <c r="C164" s="1" t="n">
        <v>46164</v>
      </c>
      <c r="D164" t="inlineStr">
        <is>
          <t>VÄRMLANDS LÄN</t>
        </is>
      </c>
      <c r="E164" t="inlineStr">
        <is>
          <t>FILIPSTAD</t>
        </is>
      </c>
      <c r="F164" t="inlineStr">
        <is>
          <t>Bergvik skog väst AB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29964-2025</t>
        </is>
      </c>
      <c r="B165" s="1" t="n">
        <v>45826.48462962963</v>
      </c>
      <c r="C165" s="1" t="n">
        <v>46164</v>
      </c>
      <c r="D165" t="inlineStr">
        <is>
          <t>VÄRMLANDS LÄN</t>
        </is>
      </c>
      <c r="E165" t="inlineStr">
        <is>
          <t>FILIPSTAD</t>
        </is>
      </c>
      <c r="F165" t="inlineStr">
        <is>
          <t>Bergvik skog väst AB</t>
        </is>
      </c>
      <c r="G165" t="n">
        <v>23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29568-2025</t>
        </is>
      </c>
      <c r="B166" s="1" t="n">
        <v>45825.36674768518</v>
      </c>
      <c r="C166" s="1" t="n">
        <v>46164</v>
      </c>
      <c r="D166" t="inlineStr">
        <is>
          <t>VÄRMLANDS LÄN</t>
        </is>
      </c>
      <c r="E166" t="inlineStr">
        <is>
          <t>FILIPSTAD</t>
        </is>
      </c>
      <c r="F166" t="inlineStr">
        <is>
          <t>Kyrkan</t>
        </is>
      </c>
      <c r="G166" t="n">
        <v>9.199999999999999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40764-2025</t>
        </is>
      </c>
      <c r="B167" s="1" t="n">
        <v>45897</v>
      </c>
      <c r="C167" s="1" t="n">
        <v>46164</v>
      </c>
      <c r="D167" t="inlineStr">
        <is>
          <t>VÄRMLANDS LÄN</t>
        </is>
      </c>
      <c r="E167" t="inlineStr">
        <is>
          <t>FILIPSTAD</t>
        </is>
      </c>
      <c r="F167" t="inlineStr">
        <is>
          <t>Bergvik skog väst AB</t>
        </is>
      </c>
      <c r="G167" t="n">
        <v>8.1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29660-2025</t>
        </is>
      </c>
      <c r="B168" s="1" t="n">
        <v>45825.48892361111</v>
      </c>
      <c r="C168" s="1" t="n">
        <v>46164</v>
      </c>
      <c r="D168" t="inlineStr">
        <is>
          <t>VÄRMLANDS LÄN</t>
        </is>
      </c>
      <c r="E168" t="inlineStr">
        <is>
          <t>FILIPSTAD</t>
        </is>
      </c>
      <c r="G168" t="n">
        <v>23.3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29944-2025</t>
        </is>
      </c>
      <c r="B169" s="1" t="n">
        <v>45826.4578587963</v>
      </c>
      <c r="C169" s="1" t="n">
        <v>46164</v>
      </c>
      <c r="D169" t="inlineStr">
        <is>
          <t>VÄRMLANDS LÄN</t>
        </is>
      </c>
      <c r="E169" t="inlineStr">
        <is>
          <t>FILIPSTAD</t>
        </is>
      </c>
      <c r="F169" t="inlineStr">
        <is>
          <t>Bergvik skog väst AB</t>
        </is>
      </c>
      <c r="G169" t="n">
        <v>6.8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29666-2025</t>
        </is>
      </c>
      <c r="B170" s="1" t="n">
        <v>45825.49204861111</v>
      </c>
      <c r="C170" s="1" t="n">
        <v>46164</v>
      </c>
      <c r="D170" t="inlineStr">
        <is>
          <t>VÄRMLANDS LÄN</t>
        </is>
      </c>
      <c r="E170" t="inlineStr">
        <is>
          <t>FILIPSTAD</t>
        </is>
      </c>
      <c r="G170" t="n">
        <v>12.4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29993-2025</t>
        </is>
      </c>
      <c r="B171" s="1" t="n">
        <v>45826.50634259259</v>
      </c>
      <c r="C171" s="1" t="n">
        <v>46164</v>
      </c>
      <c r="D171" t="inlineStr">
        <is>
          <t>VÄRMLANDS LÄN</t>
        </is>
      </c>
      <c r="E171" t="inlineStr">
        <is>
          <t>FILIPSTAD</t>
        </is>
      </c>
      <c r="F171" t="inlineStr">
        <is>
          <t>Bergvik skog väst AB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53619-2023</t>
        </is>
      </c>
      <c r="B172" s="1" t="n">
        <v>45230.57813657408</v>
      </c>
      <c r="C172" s="1" t="n">
        <v>46164</v>
      </c>
      <c r="D172" t="inlineStr">
        <is>
          <t>VÄRMLANDS LÄN</t>
        </is>
      </c>
      <c r="E172" t="inlineStr">
        <is>
          <t>FILIPSTAD</t>
        </is>
      </c>
      <c r="F172" t="inlineStr">
        <is>
          <t>Bergvik skog väst AB</t>
        </is>
      </c>
      <c r="G172" t="n">
        <v>6.9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1170-2023</t>
        </is>
      </c>
      <c r="B173" s="1" t="n">
        <v>44935</v>
      </c>
      <c r="C173" s="1" t="n">
        <v>46164</v>
      </c>
      <c r="D173" t="inlineStr">
        <is>
          <t>VÄRMLANDS LÄN</t>
        </is>
      </c>
      <c r="E173" t="inlineStr">
        <is>
          <t>FILIPSTAD</t>
        </is>
      </c>
      <c r="F173" t="inlineStr">
        <is>
          <t>Bergvik skog väst AB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40892-2025</t>
        </is>
      </c>
      <c r="B174" s="1" t="n">
        <v>45897.60939814815</v>
      </c>
      <c r="C174" s="1" t="n">
        <v>46164</v>
      </c>
      <c r="D174" t="inlineStr">
        <is>
          <t>VÄRMLANDS LÄN</t>
        </is>
      </c>
      <c r="E174" t="inlineStr">
        <is>
          <t>FILIPSTAD</t>
        </is>
      </c>
      <c r="F174" t="inlineStr">
        <is>
          <t>Bergvik skog väst AB</t>
        </is>
      </c>
      <c r="G174" t="n">
        <v>13.1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30169-2025</t>
        </is>
      </c>
      <c r="B175" s="1" t="n">
        <v>45827.33614583333</v>
      </c>
      <c r="C175" s="1" t="n">
        <v>46164</v>
      </c>
      <c r="D175" t="inlineStr">
        <is>
          <t>VÄRMLANDS LÄN</t>
        </is>
      </c>
      <c r="E175" t="inlineStr">
        <is>
          <t>FILIPSTAD</t>
        </is>
      </c>
      <c r="F175" t="inlineStr">
        <is>
          <t>Kyrkan</t>
        </is>
      </c>
      <c r="G175" t="n">
        <v>6.5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41521-2025</t>
        </is>
      </c>
      <c r="B176" s="1" t="n">
        <v>45901.55134259259</v>
      </c>
      <c r="C176" s="1" t="n">
        <v>46164</v>
      </c>
      <c r="D176" t="inlineStr">
        <is>
          <t>VÄRMLANDS LÄN</t>
        </is>
      </c>
      <c r="E176" t="inlineStr">
        <is>
          <t>FILIPSTAD</t>
        </is>
      </c>
      <c r="F176" t="inlineStr">
        <is>
          <t>Bergvik skog väst AB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31172-2025</t>
        </is>
      </c>
      <c r="B177" s="1" t="n">
        <v>45832</v>
      </c>
      <c r="C177" s="1" t="n">
        <v>46164</v>
      </c>
      <c r="D177" t="inlineStr">
        <is>
          <t>VÄRMLANDS LÄN</t>
        </is>
      </c>
      <c r="E177" t="inlineStr">
        <is>
          <t>FILIPSTAD</t>
        </is>
      </c>
      <c r="F177" t="inlineStr">
        <is>
          <t>Bergvik skog väst AB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45379-2024</t>
        </is>
      </c>
      <c r="B178" s="1" t="n">
        <v>45576.52289351852</v>
      </c>
      <c r="C178" s="1" t="n">
        <v>46164</v>
      </c>
      <c r="D178" t="inlineStr">
        <is>
          <t>VÄRMLANDS LÄN</t>
        </is>
      </c>
      <c r="E178" t="inlineStr">
        <is>
          <t>FILIPSTAD</t>
        </is>
      </c>
      <c r="F178" t="inlineStr">
        <is>
          <t>Bergvik skog väst AB</t>
        </is>
      </c>
      <c r="G178" t="n">
        <v>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31051-2025</t>
        </is>
      </c>
      <c r="B179" s="1" t="n">
        <v>45832</v>
      </c>
      <c r="C179" s="1" t="n">
        <v>46164</v>
      </c>
      <c r="D179" t="inlineStr">
        <is>
          <t>VÄRMLANDS LÄN</t>
        </is>
      </c>
      <c r="E179" t="inlineStr">
        <is>
          <t>FILIPSTAD</t>
        </is>
      </c>
      <c r="F179" t="inlineStr">
        <is>
          <t>Bergvik skog väst AB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41419-2025</t>
        </is>
      </c>
      <c r="B180" s="1" t="n">
        <v>45901.37824074074</v>
      </c>
      <c r="C180" s="1" t="n">
        <v>46164</v>
      </c>
      <c r="D180" t="inlineStr">
        <is>
          <t>VÄRMLANDS LÄN</t>
        </is>
      </c>
      <c r="E180" t="inlineStr">
        <is>
          <t>FILIPSTAD</t>
        </is>
      </c>
      <c r="F180" t="inlineStr">
        <is>
          <t>Bergvik skog väst AB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41587-2025</t>
        </is>
      </c>
      <c r="B181" s="1" t="n">
        <v>45901.62855324074</v>
      </c>
      <c r="C181" s="1" t="n">
        <v>46164</v>
      </c>
      <c r="D181" t="inlineStr">
        <is>
          <t>VÄRMLANDS LÄN</t>
        </is>
      </c>
      <c r="E181" t="inlineStr">
        <is>
          <t>FILIPSTAD</t>
        </is>
      </c>
      <c r="F181" t="inlineStr">
        <is>
          <t>Bergvik skog väst AB</t>
        </is>
      </c>
      <c r="G181" t="n">
        <v>28.3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41417-2025</t>
        </is>
      </c>
      <c r="B182" s="1" t="n">
        <v>45901.37231481481</v>
      </c>
      <c r="C182" s="1" t="n">
        <v>46164</v>
      </c>
      <c r="D182" t="inlineStr">
        <is>
          <t>VÄRMLANDS LÄN</t>
        </is>
      </c>
      <c r="E182" t="inlineStr">
        <is>
          <t>FILIPSTAD</t>
        </is>
      </c>
      <c r="F182" t="inlineStr">
        <is>
          <t>Bergvik skog väst AB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30729-2025</t>
        </is>
      </c>
      <c r="B183" s="1" t="n">
        <v>45831.57122685185</v>
      </c>
      <c r="C183" s="1" t="n">
        <v>46164</v>
      </c>
      <c r="D183" t="inlineStr">
        <is>
          <t>VÄRMLANDS LÄN</t>
        </is>
      </c>
      <c r="E183" t="inlineStr">
        <is>
          <t>FILIPSTAD</t>
        </is>
      </c>
      <c r="F183" t="inlineStr">
        <is>
          <t>Bergvik skog väst AB</t>
        </is>
      </c>
      <c r="G183" t="n">
        <v>11.5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10136-2024</t>
        </is>
      </c>
      <c r="B184" s="1" t="n">
        <v>45364</v>
      </c>
      <c r="C184" s="1" t="n">
        <v>46164</v>
      </c>
      <c r="D184" t="inlineStr">
        <is>
          <t>VÄRMLANDS LÄN</t>
        </is>
      </c>
      <c r="E184" t="inlineStr">
        <is>
          <t>FILIPSTAD</t>
        </is>
      </c>
      <c r="G184" t="n">
        <v>6.4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41718-2025</t>
        </is>
      </c>
      <c r="B185" s="1" t="n">
        <v>45902</v>
      </c>
      <c r="C185" s="1" t="n">
        <v>46164</v>
      </c>
      <c r="D185" t="inlineStr">
        <is>
          <t>VÄRMLANDS LÄN</t>
        </is>
      </c>
      <c r="E185" t="inlineStr">
        <is>
          <t>FILIPSTAD</t>
        </is>
      </c>
      <c r="G185" t="n">
        <v>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31883-2025</t>
        </is>
      </c>
      <c r="B186" s="1" t="n">
        <v>45834.65680555555</v>
      </c>
      <c r="C186" s="1" t="n">
        <v>46164</v>
      </c>
      <c r="D186" t="inlineStr">
        <is>
          <t>VÄRMLANDS LÄN</t>
        </is>
      </c>
      <c r="E186" t="inlineStr">
        <is>
          <t>FILIPSTAD</t>
        </is>
      </c>
      <c r="G186" t="n">
        <v>18.7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31861-2025</t>
        </is>
      </c>
      <c r="B187" s="1" t="n">
        <v>45834.63178240741</v>
      </c>
      <c r="C187" s="1" t="n">
        <v>46164</v>
      </c>
      <c r="D187" t="inlineStr">
        <is>
          <t>VÄRMLANDS LÄN</t>
        </is>
      </c>
      <c r="E187" t="inlineStr">
        <is>
          <t>FILIPSTAD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12594-2025</t>
        </is>
      </c>
      <c r="B188" s="1" t="n">
        <v>45732.87565972222</v>
      </c>
      <c r="C188" s="1" t="n">
        <v>46164</v>
      </c>
      <c r="D188" t="inlineStr">
        <is>
          <t>VÄRMLANDS LÄN</t>
        </is>
      </c>
      <c r="E188" t="inlineStr">
        <is>
          <t>FILIPSTAD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33368-2022</t>
        </is>
      </c>
      <c r="B189" s="1" t="n">
        <v>44788</v>
      </c>
      <c r="C189" s="1" t="n">
        <v>46164</v>
      </c>
      <c r="D189" t="inlineStr">
        <is>
          <t>VÄRMLANDS LÄN</t>
        </is>
      </c>
      <c r="E189" t="inlineStr">
        <is>
          <t>FILIPSTAD</t>
        </is>
      </c>
      <c r="F189" t="inlineStr">
        <is>
          <t>Bergvik skog väst AB</t>
        </is>
      </c>
      <c r="G189" t="n">
        <v>6.7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31676-2025</t>
        </is>
      </c>
      <c r="B190" s="1" t="n">
        <v>45834</v>
      </c>
      <c r="C190" s="1" t="n">
        <v>46164</v>
      </c>
      <c r="D190" t="inlineStr">
        <is>
          <t>VÄRMLANDS LÄN</t>
        </is>
      </c>
      <c r="E190" t="inlineStr">
        <is>
          <t>FILIPSTAD</t>
        </is>
      </c>
      <c r="F190" t="inlineStr">
        <is>
          <t>Bergvik skog väst AB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32090-2025</t>
        </is>
      </c>
      <c r="B191" s="1" t="n">
        <v>45835</v>
      </c>
      <c r="C191" s="1" t="n">
        <v>46164</v>
      </c>
      <c r="D191" t="inlineStr">
        <is>
          <t>VÄRMLANDS LÄN</t>
        </is>
      </c>
      <c r="E191" t="inlineStr">
        <is>
          <t>FILIPSTAD</t>
        </is>
      </c>
      <c r="F191" t="inlineStr">
        <is>
          <t>Bergvik skog väst AB</t>
        </is>
      </c>
      <c r="G191" t="n">
        <v>5.3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32059-2025</t>
        </is>
      </c>
      <c r="B192" s="1" t="n">
        <v>45835.44541666667</v>
      </c>
      <c r="C192" s="1" t="n">
        <v>46164</v>
      </c>
      <c r="D192" t="inlineStr">
        <is>
          <t>VÄRMLANDS LÄN</t>
        </is>
      </c>
      <c r="E192" t="inlineStr">
        <is>
          <t>FILIPSTAD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32032-2025</t>
        </is>
      </c>
      <c r="B193" s="1" t="n">
        <v>45835.4183912037</v>
      </c>
      <c r="C193" s="1" t="n">
        <v>46164</v>
      </c>
      <c r="D193" t="inlineStr">
        <is>
          <t>VÄRMLANDS LÄN</t>
        </is>
      </c>
      <c r="E193" t="inlineStr">
        <is>
          <t>FILIPSTAD</t>
        </is>
      </c>
      <c r="G193" t="n">
        <v>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30165-2025</t>
        </is>
      </c>
      <c r="B194" s="1" t="n">
        <v>45827.32953703704</v>
      </c>
      <c r="C194" s="1" t="n">
        <v>46164</v>
      </c>
      <c r="D194" t="inlineStr">
        <is>
          <t>VÄRMLANDS LÄN</t>
        </is>
      </c>
      <c r="E194" t="inlineStr">
        <is>
          <t>FILIPSTAD</t>
        </is>
      </c>
      <c r="F194" t="inlineStr">
        <is>
          <t>Kyrkan</t>
        </is>
      </c>
      <c r="G194" t="n">
        <v>6.5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32183-2025</t>
        </is>
      </c>
      <c r="B195" s="1" t="n">
        <v>45835.56497685185</v>
      </c>
      <c r="C195" s="1" t="n">
        <v>46164</v>
      </c>
      <c r="D195" t="inlineStr">
        <is>
          <t>VÄRMLANDS LÄN</t>
        </is>
      </c>
      <c r="E195" t="inlineStr">
        <is>
          <t>FILIPSTAD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11068-2025</t>
        </is>
      </c>
      <c r="B196" s="1" t="n">
        <v>45723</v>
      </c>
      <c r="C196" s="1" t="n">
        <v>46164</v>
      </c>
      <c r="D196" t="inlineStr">
        <is>
          <t>VÄRMLANDS LÄN</t>
        </is>
      </c>
      <c r="E196" t="inlineStr">
        <is>
          <t>FILIPSTAD</t>
        </is>
      </c>
      <c r="F196" t="inlineStr">
        <is>
          <t>Bergvik skog väst AB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20200-2024</t>
        </is>
      </c>
      <c r="B197" s="1" t="n">
        <v>45434</v>
      </c>
      <c r="C197" s="1" t="n">
        <v>46164</v>
      </c>
      <c r="D197" t="inlineStr">
        <is>
          <t>VÄRMLANDS LÄN</t>
        </is>
      </c>
      <c r="E197" t="inlineStr">
        <is>
          <t>FILIPSTAD</t>
        </is>
      </c>
      <c r="F197" t="inlineStr">
        <is>
          <t>Bergvik skog väst AB</t>
        </is>
      </c>
      <c r="G197" t="n">
        <v>4.4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4743-2025</t>
        </is>
      </c>
      <c r="B198" s="1" t="n">
        <v>45688</v>
      </c>
      <c r="C198" s="1" t="n">
        <v>46164</v>
      </c>
      <c r="D198" t="inlineStr">
        <is>
          <t>VÄRMLANDS LÄN</t>
        </is>
      </c>
      <c r="E198" t="inlineStr">
        <is>
          <t>FILIPSTAD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32086-2025</t>
        </is>
      </c>
      <c r="B199" s="1" t="n">
        <v>45835</v>
      </c>
      <c r="C199" s="1" t="n">
        <v>46164</v>
      </c>
      <c r="D199" t="inlineStr">
        <is>
          <t>VÄRMLANDS LÄN</t>
        </is>
      </c>
      <c r="E199" t="inlineStr">
        <is>
          <t>FILIPSTAD</t>
        </is>
      </c>
      <c r="F199" t="inlineStr">
        <is>
          <t>Bergvik skog väst AB</t>
        </is>
      </c>
      <c r="G199" t="n">
        <v>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43059-2025</t>
        </is>
      </c>
      <c r="B200" s="1" t="n">
        <v>45909.57890046296</v>
      </c>
      <c r="C200" s="1" t="n">
        <v>46164</v>
      </c>
      <c r="D200" t="inlineStr">
        <is>
          <t>VÄRMLANDS LÄN</t>
        </is>
      </c>
      <c r="E200" t="inlineStr">
        <is>
          <t>FILIPSTAD</t>
        </is>
      </c>
      <c r="F200" t="inlineStr">
        <is>
          <t>Bergvik skog väst AB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54398-2024</t>
        </is>
      </c>
      <c r="B201" s="1" t="n">
        <v>45617</v>
      </c>
      <c r="C201" s="1" t="n">
        <v>46164</v>
      </c>
      <c r="D201" t="inlineStr">
        <is>
          <t>VÄRMLANDS LÄN</t>
        </is>
      </c>
      <c r="E201" t="inlineStr">
        <is>
          <t>FILIPSTAD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43064-2025</t>
        </is>
      </c>
      <c r="B202" s="1" t="n">
        <v>45909.58709490741</v>
      </c>
      <c r="C202" s="1" t="n">
        <v>46164</v>
      </c>
      <c r="D202" t="inlineStr">
        <is>
          <t>VÄRMLANDS LÄN</t>
        </is>
      </c>
      <c r="E202" t="inlineStr">
        <is>
          <t>FILIPSTAD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43045-2024</t>
        </is>
      </c>
      <c r="B203" s="1" t="n">
        <v>45567</v>
      </c>
      <c r="C203" s="1" t="n">
        <v>46164</v>
      </c>
      <c r="D203" t="inlineStr">
        <is>
          <t>VÄRMLANDS LÄN</t>
        </is>
      </c>
      <c r="E203" t="inlineStr">
        <is>
          <t>FILIPSTAD</t>
        </is>
      </c>
      <c r="F203" t="inlineStr">
        <is>
          <t>Kyrkan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45098-2024</t>
        </is>
      </c>
      <c r="B204" s="1" t="n">
        <v>45575.58648148148</v>
      </c>
      <c r="C204" s="1" t="n">
        <v>46164</v>
      </c>
      <c r="D204" t="inlineStr">
        <is>
          <t>VÄRMLANDS LÄN</t>
        </is>
      </c>
      <c r="E204" t="inlineStr">
        <is>
          <t>FILIPSTAD</t>
        </is>
      </c>
      <c r="F204" t="inlineStr">
        <is>
          <t>Bergvik skog väst AB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6593-2026</t>
        </is>
      </c>
      <c r="B205" s="1" t="n">
        <v>46056.4637037037</v>
      </c>
      <c r="C205" s="1" t="n">
        <v>46164</v>
      </c>
      <c r="D205" t="inlineStr">
        <is>
          <t>VÄRMLANDS LÄN</t>
        </is>
      </c>
      <c r="E205" t="inlineStr">
        <is>
          <t>FILIPSTAD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6600-2026</t>
        </is>
      </c>
      <c r="B206" s="1" t="n">
        <v>46056.46625</v>
      </c>
      <c r="C206" s="1" t="n">
        <v>46164</v>
      </c>
      <c r="D206" t="inlineStr">
        <is>
          <t>VÄRMLANDS LÄN</t>
        </is>
      </c>
      <c r="E206" t="inlineStr">
        <is>
          <t>FILIPSTAD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43505-2025</t>
        </is>
      </c>
      <c r="B207" s="1" t="n">
        <v>45911.55355324074</v>
      </c>
      <c r="C207" s="1" t="n">
        <v>46164</v>
      </c>
      <c r="D207" t="inlineStr">
        <is>
          <t>VÄRMLANDS LÄN</t>
        </is>
      </c>
      <c r="E207" t="inlineStr">
        <is>
          <t>FILIPSTAD</t>
        </is>
      </c>
      <c r="F207" t="inlineStr">
        <is>
          <t>Bergvik skog väst AB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33449-2025</t>
        </is>
      </c>
      <c r="B208" s="1" t="n">
        <v>45841.46604166667</v>
      </c>
      <c r="C208" s="1" t="n">
        <v>46164</v>
      </c>
      <c r="D208" t="inlineStr">
        <is>
          <t>VÄRMLANDS LÄN</t>
        </is>
      </c>
      <c r="E208" t="inlineStr">
        <is>
          <t>FILIPSTAD</t>
        </is>
      </c>
      <c r="F208" t="inlineStr">
        <is>
          <t>Bergvik skog väst AB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43731-2025</t>
        </is>
      </c>
      <c r="B209" s="1" t="n">
        <v>45912.43563657408</v>
      </c>
      <c r="C209" s="1" t="n">
        <v>46164</v>
      </c>
      <c r="D209" t="inlineStr">
        <is>
          <t>VÄRMLANDS LÄN</t>
        </is>
      </c>
      <c r="E209" t="inlineStr">
        <is>
          <t>FILIPSTAD</t>
        </is>
      </c>
      <c r="F209" t="inlineStr">
        <is>
          <t>Bergvik skog väst AB</t>
        </is>
      </c>
      <c r="G209" t="n">
        <v>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33379-2025</t>
        </is>
      </c>
      <c r="B210" s="1" t="n">
        <v>45841.40168981482</v>
      </c>
      <c r="C210" s="1" t="n">
        <v>46164</v>
      </c>
      <c r="D210" t="inlineStr">
        <is>
          <t>VÄRMLANDS LÄN</t>
        </is>
      </c>
      <c r="E210" t="inlineStr">
        <is>
          <t>FILIPSTAD</t>
        </is>
      </c>
      <c r="F210" t="inlineStr">
        <is>
          <t>Bergvik skog väst AB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33407-2025</t>
        </is>
      </c>
      <c r="B211" s="1" t="n">
        <v>45841</v>
      </c>
      <c r="C211" s="1" t="n">
        <v>46164</v>
      </c>
      <c r="D211" t="inlineStr">
        <is>
          <t>VÄRMLANDS LÄN</t>
        </is>
      </c>
      <c r="E211" t="inlineStr">
        <is>
          <t>FILIPSTAD</t>
        </is>
      </c>
      <c r="F211" t="inlineStr">
        <is>
          <t>Bergvik skog väst AB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33827-2025</t>
        </is>
      </c>
      <c r="B212" s="1" t="n">
        <v>45842.4705787037</v>
      </c>
      <c r="C212" s="1" t="n">
        <v>46164</v>
      </c>
      <c r="D212" t="inlineStr">
        <is>
          <t>VÄRMLANDS LÄN</t>
        </is>
      </c>
      <c r="E212" t="inlineStr">
        <is>
          <t>FILIPSTAD</t>
        </is>
      </c>
      <c r="F212" t="inlineStr">
        <is>
          <t>Bergvik skog väst AB</t>
        </is>
      </c>
      <c r="G212" t="n">
        <v>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43571-2025</t>
        </is>
      </c>
      <c r="B213" s="1" t="n">
        <v>45911</v>
      </c>
      <c r="C213" s="1" t="n">
        <v>46164</v>
      </c>
      <c r="D213" t="inlineStr">
        <is>
          <t>VÄRMLANDS LÄN</t>
        </is>
      </c>
      <c r="E213" t="inlineStr">
        <is>
          <t>FILIPSTAD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24139-2024</t>
        </is>
      </c>
      <c r="B214" s="1" t="n">
        <v>45456</v>
      </c>
      <c r="C214" s="1" t="n">
        <v>46164</v>
      </c>
      <c r="D214" t="inlineStr">
        <is>
          <t>VÄRMLANDS LÄN</t>
        </is>
      </c>
      <c r="E214" t="inlineStr">
        <is>
          <t>FILIPSTAD</t>
        </is>
      </c>
      <c r="F214" t="inlineStr">
        <is>
          <t>Bergvik skog väst AB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44004-2025</t>
        </is>
      </c>
      <c r="B215" s="1" t="n">
        <v>45915.45674768519</v>
      </c>
      <c r="C215" s="1" t="n">
        <v>46164</v>
      </c>
      <c r="D215" t="inlineStr">
        <is>
          <t>VÄRMLANDS LÄN</t>
        </is>
      </c>
      <c r="E215" t="inlineStr">
        <is>
          <t>FILIPSTAD</t>
        </is>
      </c>
      <c r="F215" t="inlineStr">
        <is>
          <t>Bergvik skog väst AB</t>
        </is>
      </c>
      <c r="G215" t="n">
        <v>17.2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44131-2025</t>
        </is>
      </c>
      <c r="B216" s="1" t="n">
        <v>45915.58487268518</v>
      </c>
      <c r="C216" s="1" t="n">
        <v>46164</v>
      </c>
      <c r="D216" t="inlineStr">
        <is>
          <t>VÄRMLANDS LÄN</t>
        </is>
      </c>
      <c r="E216" t="inlineStr">
        <is>
          <t>FILIPSTAD</t>
        </is>
      </c>
      <c r="F216" t="inlineStr">
        <is>
          <t>Bergvik skog väst AB</t>
        </is>
      </c>
      <c r="G216" t="n">
        <v>5.8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25521-2024</t>
        </is>
      </c>
      <c r="B217" s="1" t="n">
        <v>45463</v>
      </c>
      <c r="C217" s="1" t="n">
        <v>46164</v>
      </c>
      <c r="D217" t="inlineStr">
        <is>
          <t>VÄRMLANDS LÄN</t>
        </is>
      </c>
      <c r="E217" t="inlineStr">
        <is>
          <t>FILIPSTAD</t>
        </is>
      </c>
      <c r="F217" t="inlineStr">
        <is>
          <t>Bergvik skog väst AB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44927-2025</t>
        </is>
      </c>
      <c r="B218" s="1" t="n">
        <v>45918</v>
      </c>
      <c r="C218" s="1" t="n">
        <v>46164</v>
      </c>
      <c r="D218" t="inlineStr">
        <is>
          <t>VÄRMLANDS LÄN</t>
        </is>
      </c>
      <c r="E218" t="inlineStr">
        <is>
          <t>FILIPSTAD</t>
        </is>
      </c>
      <c r="F218" t="inlineStr">
        <is>
          <t>Bergvik skog väst AB</t>
        </is>
      </c>
      <c r="G218" t="n">
        <v>7.6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34689-2025</t>
        </is>
      </c>
      <c r="B219" s="1" t="n">
        <v>45848.44229166667</v>
      </c>
      <c r="C219" s="1" t="n">
        <v>46164</v>
      </c>
      <c r="D219" t="inlineStr">
        <is>
          <t>VÄRMLANDS LÄN</t>
        </is>
      </c>
      <c r="E219" t="inlineStr">
        <is>
          <t>FILIPSTAD</t>
        </is>
      </c>
      <c r="G219" t="n">
        <v>7.7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44963-2025</t>
        </is>
      </c>
      <c r="B220" s="1" t="n">
        <v>45918</v>
      </c>
      <c r="C220" s="1" t="n">
        <v>46164</v>
      </c>
      <c r="D220" t="inlineStr">
        <is>
          <t>VÄRMLANDS LÄN</t>
        </is>
      </c>
      <c r="E220" t="inlineStr">
        <is>
          <t>FILIPSTAD</t>
        </is>
      </c>
      <c r="F220" t="inlineStr">
        <is>
          <t>Bergvik skog väst AB</t>
        </is>
      </c>
      <c r="G220" t="n">
        <v>12.3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44881-2025</t>
        </is>
      </c>
      <c r="B221" s="1" t="n">
        <v>45918</v>
      </c>
      <c r="C221" s="1" t="n">
        <v>46164</v>
      </c>
      <c r="D221" t="inlineStr">
        <is>
          <t>VÄRMLANDS LÄN</t>
        </is>
      </c>
      <c r="E221" t="inlineStr">
        <is>
          <t>FILIPSTAD</t>
        </is>
      </c>
      <c r="F221" t="inlineStr">
        <is>
          <t>Bergvik skog väst AB</t>
        </is>
      </c>
      <c r="G221" t="n">
        <v>43.2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45152-2025</t>
        </is>
      </c>
      <c r="B222" s="1" t="n">
        <v>45919.4736574074</v>
      </c>
      <c r="C222" s="1" t="n">
        <v>46164</v>
      </c>
      <c r="D222" t="inlineStr">
        <is>
          <t>VÄRMLANDS LÄN</t>
        </is>
      </c>
      <c r="E222" t="inlineStr">
        <is>
          <t>FILIPSTAD</t>
        </is>
      </c>
      <c r="F222" t="inlineStr">
        <is>
          <t>Bergvik skog väst AB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45587-2025</t>
        </is>
      </c>
      <c r="B223" s="1" t="n">
        <v>45922.67131944445</v>
      </c>
      <c r="C223" s="1" t="n">
        <v>46164</v>
      </c>
      <c r="D223" t="inlineStr">
        <is>
          <t>VÄRMLANDS LÄN</t>
        </is>
      </c>
      <c r="E223" t="inlineStr">
        <is>
          <t>FILIPSTAD</t>
        </is>
      </c>
      <c r="F223" t="inlineStr">
        <is>
          <t>Bergvik skog väst AB</t>
        </is>
      </c>
      <c r="G223" t="n">
        <v>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43535-2025</t>
        </is>
      </c>
      <c r="B224" s="1" t="n">
        <v>45911</v>
      </c>
      <c r="C224" s="1" t="n">
        <v>46164</v>
      </c>
      <c r="D224" t="inlineStr">
        <is>
          <t>VÄRMLANDS LÄN</t>
        </is>
      </c>
      <c r="E224" t="inlineStr">
        <is>
          <t>FILIPSTAD</t>
        </is>
      </c>
      <c r="F224" t="inlineStr">
        <is>
          <t>Bergvik skog väst AB</t>
        </is>
      </c>
      <c r="G224" t="n">
        <v>16.4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7828-2026</t>
        </is>
      </c>
      <c r="B225" s="1" t="n">
        <v>46062.63978009259</v>
      </c>
      <c r="C225" s="1" t="n">
        <v>46164</v>
      </c>
      <c r="D225" t="inlineStr">
        <is>
          <t>VÄRMLANDS LÄN</t>
        </is>
      </c>
      <c r="E225" t="inlineStr">
        <is>
          <t>FILIPSTAD</t>
        </is>
      </c>
      <c r="F225" t="inlineStr">
        <is>
          <t>Kommuner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7430-2026</t>
        </is>
      </c>
      <c r="B226" s="1" t="n">
        <v>46059</v>
      </c>
      <c r="C226" s="1" t="n">
        <v>46164</v>
      </c>
      <c r="D226" t="inlineStr">
        <is>
          <t>VÄRMLANDS LÄN</t>
        </is>
      </c>
      <c r="E226" t="inlineStr">
        <is>
          <t>FILIPSTAD</t>
        </is>
      </c>
      <c r="F226" t="inlineStr">
        <is>
          <t>Bergvik skog väst AB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5353-2025</t>
        </is>
      </c>
      <c r="B227" s="1" t="n">
        <v>45692.56569444444</v>
      </c>
      <c r="C227" s="1" t="n">
        <v>46164</v>
      </c>
      <c r="D227" t="inlineStr">
        <is>
          <t>VÄRMLANDS LÄN</t>
        </is>
      </c>
      <c r="E227" t="inlineStr">
        <is>
          <t>FILIPSTAD</t>
        </is>
      </c>
      <c r="G227" t="n">
        <v>8.4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12160-2023</t>
        </is>
      </c>
      <c r="B228" s="1" t="n">
        <v>44998</v>
      </c>
      <c r="C228" s="1" t="n">
        <v>46164</v>
      </c>
      <c r="D228" t="inlineStr">
        <is>
          <t>VÄRMLANDS LÄN</t>
        </is>
      </c>
      <c r="E228" t="inlineStr">
        <is>
          <t>FILIPSTAD</t>
        </is>
      </c>
      <c r="F228" t="inlineStr">
        <is>
          <t>Bergvik skog väst AB</t>
        </is>
      </c>
      <c r="G228" t="n">
        <v>11.2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8139-2026</t>
        </is>
      </c>
      <c r="B229" s="1" t="n">
        <v>46064.32752314815</v>
      </c>
      <c r="C229" s="1" t="n">
        <v>46164</v>
      </c>
      <c r="D229" t="inlineStr">
        <is>
          <t>VÄRMLANDS LÄN</t>
        </is>
      </c>
      <c r="E229" t="inlineStr">
        <is>
          <t>FILIPSTAD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7917-2026</t>
        </is>
      </c>
      <c r="B230" s="1" t="n">
        <v>46063.38245370371</v>
      </c>
      <c r="C230" s="1" t="n">
        <v>46164</v>
      </c>
      <c r="D230" t="inlineStr">
        <is>
          <t>VÄRMLANDS LÄN</t>
        </is>
      </c>
      <c r="E230" t="inlineStr">
        <is>
          <t>FILIPSTAD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378-2025</t>
        </is>
      </c>
      <c r="B231" s="1" t="n">
        <v>45662</v>
      </c>
      <c r="C231" s="1" t="n">
        <v>46164</v>
      </c>
      <c r="D231" t="inlineStr">
        <is>
          <t>VÄRMLANDS LÄN</t>
        </is>
      </c>
      <c r="E231" t="inlineStr">
        <is>
          <t>FILIPSTAD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46204-2025</t>
        </is>
      </c>
      <c r="B232" s="1" t="n">
        <v>45924.70509259259</v>
      </c>
      <c r="C232" s="1" t="n">
        <v>46164</v>
      </c>
      <c r="D232" t="inlineStr">
        <is>
          <t>VÄRMLANDS LÄN</t>
        </is>
      </c>
      <c r="E232" t="inlineStr">
        <is>
          <t>FILIPSTAD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30077-2025</t>
        </is>
      </c>
      <c r="B233" s="1" t="n">
        <v>45826</v>
      </c>
      <c r="C233" s="1" t="n">
        <v>46164</v>
      </c>
      <c r="D233" t="inlineStr">
        <is>
          <t>VÄRMLANDS LÄN</t>
        </is>
      </c>
      <c r="E233" t="inlineStr">
        <is>
          <t>FILIPSTAD</t>
        </is>
      </c>
      <c r="F233" t="inlineStr">
        <is>
          <t>Bergvik skog väst AB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20663-2024</t>
        </is>
      </c>
      <c r="B234" s="1" t="n">
        <v>45436</v>
      </c>
      <c r="C234" s="1" t="n">
        <v>46164</v>
      </c>
      <c r="D234" t="inlineStr">
        <is>
          <t>VÄRMLANDS LÄN</t>
        </is>
      </c>
      <c r="E234" t="inlineStr">
        <is>
          <t>FILIPSTAD</t>
        </is>
      </c>
      <c r="F234" t="inlineStr">
        <is>
          <t>Bergvik skog väst AB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35244-2025</t>
        </is>
      </c>
      <c r="B235" s="1" t="n">
        <v>45853</v>
      </c>
      <c r="C235" s="1" t="n">
        <v>46164</v>
      </c>
      <c r="D235" t="inlineStr">
        <is>
          <t>VÄRMLANDS LÄN</t>
        </is>
      </c>
      <c r="E235" t="inlineStr">
        <is>
          <t>FILIPSTAD</t>
        </is>
      </c>
      <c r="F235" t="inlineStr">
        <is>
          <t>Bergvik skog väst AB</t>
        </is>
      </c>
      <c r="G235" t="n">
        <v>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53744-2023</t>
        </is>
      </c>
      <c r="B236" s="1" t="n">
        <v>45230</v>
      </c>
      <c r="C236" s="1" t="n">
        <v>46164</v>
      </c>
      <c r="D236" t="inlineStr">
        <is>
          <t>VÄRMLANDS LÄN</t>
        </is>
      </c>
      <c r="E236" t="inlineStr">
        <is>
          <t>FILIPSTAD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46756-2025</t>
        </is>
      </c>
      <c r="B237" s="1" t="n">
        <v>45926.61857638889</v>
      </c>
      <c r="C237" s="1" t="n">
        <v>46164</v>
      </c>
      <c r="D237" t="inlineStr">
        <is>
          <t>VÄRMLANDS LÄN</t>
        </is>
      </c>
      <c r="E237" t="inlineStr">
        <is>
          <t>FILIPSTAD</t>
        </is>
      </c>
      <c r="F237" t="inlineStr">
        <is>
          <t>Bergvik skog väst AB</t>
        </is>
      </c>
      <c r="G237" t="n">
        <v>14.5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46442-2025</t>
        </is>
      </c>
      <c r="B238" s="1" t="n">
        <v>45925.64365740741</v>
      </c>
      <c r="C238" s="1" t="n">
        <v>46164</v>
      </c>
      <c r="D238" t="inlineStr">
        <is>
          <t>VÄRMLANDS LÄN</t>
        </is>
      </c>
      <c r="E238" t="inlineStr">
        <is>
          <t>FILIPSTAD</t>
        </is>
      </c>
      <c r="F238" t="inlineStr">
        <is>
          <t>Bergvik skog väst AB</t>
        </is>
      </c>
      <c r="G238" t="n">
        <v>7.5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46310-2025</t>
        </is>
      </c>
      <c r="B239" s="1" t="n">
        <v>45925</v>
      </c>
      <c r="C239" s="1" t="n">
        <v>46164</v>
      </c>
      <c r="D239" t="inlineStr">
        <is>
          <t>VÄRMLANDS LÄN</t>
        </is>
      </c>
      <c r="E239" t="inlineStr">
        <is>
          <t>FILIPSTAD</t>
        </is>
      </c>
      <c r="F239" t="inlineStr">
        <is>
          <t>Bergvik skog väst AB</t>
        </is>
      </c>
      <c r="G239" t="n">
        <v>32.2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46282-2025</t>
        </is>
      </c>
      <c r="B240" s="1" t="n">
        <v>45925.37945601852</v>
      </c>
      <c r="C240" s="1" t="n">
        <v>46164</v>
      </c>
      <c r="D240" t="inlineStr">
        <is>
          <t>VÄRMLANDS LÄN</t>
        </is>
      </c>
      <c r="E240" t="inlineStr">
        <is>
          <t>FILIPSTAD</t>
        </is>
      </c>
      <c r="F240" t="inlineStr">
        <is>
          <t>Bergvik skog väst AB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43633-2024</t>
        </is>
      </c>
      <c r="B241" s="1" t="n">
        <v>45569</v>
      </c>
      <c r="C241" s="1" t="n">
        <v>46164</v>
      </c>
      <c r="D241" t="inlineStr">
        <is>
          <t>VÄRMLANDS LÄN</t>
        </is>
      </c>
      <c r="E241" t="inlineStr">
        <is>
          <t>FILIPSTAD</t>
        </is>
      </c>
      <c r="F241" t="inlineStr">
        <is>
          <t>Bergvik skog väst AB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46906-2025</t>
        </is>
      </c>
      <c r="B242" s="1" t="n">
        <v>45929</v>
      </c>
      <c r="C242" s="1" t="n">
        <v>46164</v>
      </c>
      <c r="D242" t="inlineStr">
        <is>
          <t>VÄRMLANDS LÄN</t>
        </is>
      </c>
      <c r="E242" t="inlineStr">
        <is>
          <t>FILIPSTAD</t>
        </is>
      </c>
      <c r="F242" t="inlineStr">
        <is>
          <t>Bergvik skog väst AB</t>
        </is>
      </c>
      <c r="G242" t="n">
        <v>7.2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20811-2025</t>
        </is>
      </c>
      <c r="B243" s="1" t="n">
        <v>45776</v>
      </c>
      <c r="C243" s="1" t="n">
        <v>46164</v>
      </c>
      <c r="D243" t="inlineStr">
        <is>
          <t>VÄRMLANDS LÄN</t>
        </is>
      </c>
      <c r="E243" t="inlineStr">
        <is>
          <t>FILIPSTAD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46924-2025</t>
        </is>
      </c>
      <c r="B244" s="1" t="n">
        <v>45929</v>
      </c>
      <c r="C244" s="1" t="n">
        <v>46164</v>
      </c>
      <c r="D244" t="inlineStr">
        <is>
          <t>VÄRMLANDS LÄN</t>
        </is>
      </c>
      <c r="E244" t="inlineStr">
        <is>
          <t>FILIPSTAD</t>
        </is>
      </c>
      <c r="F244" t="inlineStr">
        <is>
          <t>Bergvik skog väst AB</t>
        </is>
      </c>
      <c r="G244" t="n">
        <v>6.9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36196-2025</t>
        </is>
      </c>
      <c r="B245" s="1" t="n">
        <v>45867</v>
      </c>
      <c r="C245" s="1" t="n">
        <v>46164</v>
      </c>
      <c r="D245" t="inlineStr">
        <is>
          <t>VÄRMLANDS LÄN</t>
        </is>
      </c>
      <c r="E245" t="inlineStr">
        <is>
          <t>FILIPSTAD</t>
        </is>
      </c>
      <c r="F245" t="inlineStr">
        <is>
          <t>Bergvik skog väst AB</t>
        </is>
      </c>
      <c r="G245" t="n">
        <v>9.1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36272-2025</t>
        </is>
      </c>
      <c r="B246" s="1" t="n">
        <v>45867</v>
      </c>
      <c r="C246" s="1" t="n">
        <v>46164</v>
      </c>
      <c r="D246" t="inlineStr">
        <is>
          <t>VÄRMLANDS LÄN</t>
        </is>
      </c>
      <c r="E246" t="inlineStr">
        <is>
          <t>FILIPSTAD</t>
        </is>
      </c>
      <c r="F246" t="inlineStr">
        <is>
          <t>Bergvik skog väst AB</t>
        </is>
      </c>
      <c r="G246" t="n">
        <v>5.7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47867-2025</t>
        </is>
      </c>
      <c r="B247" s="1" t="n">
        <v>45932.43795138889</v>
      </c>
      <c r="C247" s="1" t="n">
        <v>46164</v>
      </c>
      <c r="D247" t="inlineStr">
        <is>
          <t>VÄRMLANDS LÄN</t>
        </is>
      </c>
      <c r="E247" t="inlineStr">
        <is>
          <t>FILIPSTAD</t>
        </is>
      </c>
      <c r="F247" t="inlineStr">
        <is>
          <t>Bergvik skog väst AB</t>
        </is>
      </c>
      <c r="G247" t="n">
        <v>37.1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47566-2025</t>
        </is>
      </c>
      <c r="B248" s="1" t="n">
        <v>45931.39087962963</v>
      </c>
      <c r="C248" s="1" t="n">
        <v>46164</v>
      </c>
      <c r="D248" t="inlineStr">
        <is>
          <t>VÄRMLANDS LÄN</t>
        </is>
      </c>
      <c r="E248" t="inlineStr">
        <is>
          <t>FILIPSTAD</t>
        </is>
      </c>
      <c r="F248" t="inlineStr">
        <is>
          <t>Bergvik skog väst AB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47879-2025</t>
        </is>
      </c>
      <c r="B249" s="1" t="n">
        <v>45932.4591087963</v>
      </c>
      <c r="C249" s="1" t="n">
        <v>46164</v>
      </c>
      <c r="D249" t="inlineStr">
        <is>
          <t>VÄRMLANDS LÄN</t>
        </is>
      </c>
      <c r="E249" t="inlineStr">
        <is>
          <t>FILIPSTAD</t>
        </is>
      </c>
      <c r="F249" t="inlineStr">
        <is>
          <t>Bergvik skog väst AB</t>
        </is>
      </c>
      <c r="G249" t="n">
        <v>8.300000000000001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47970-2025</t>
        </is>
      </c>
      <c r="B250" s="1" t="n">
        <v>45932.60266203704</v>
      </c>
      <c r="C250" s="1" t="n">
        <v>46164</v>
      </c>
      <c r="D250" t="inlineStr">
        <is>
          <t>VÄRMLANDS LÄN</t>
        </is>
      </c>
      <c r="E250" t="inlineStr">
        <is>
          <t>FILIPSTAD</t>
        </is>
      </c>
      <c r="F250" t="inlineStr">
        <is>
          <t>Bergvik skog väst AB</t>
        </is>
      </c>
      <c r="G250" t="n">
        <v>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36582-2025</t>
        </is>
      </c>
      <c r="B251" s="1" t="n">
        <v>45870.42993055555</v>
      </c>
      <c r="C251" s="1" t="n">
        <v>46164</v>
      </c>
      <c r="D251" t="inlineStr">
        <is>
          <t>VÄRMLANDS LÄN</t>
        </is>
      </c>
      <c r="E251" t="inlineStr">
        <is>
          <t>FILIPSTAD</t>
        </is>
      </c>
      <c r="F251" t="inlineStr">
        <is>
          <t>Bergvik skog väst AB</t>
        </is>
      </c>
      <c r="G251" t="n">
        <v>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10757-2025</t>
        </is>
      </c>
      <c r="B252" s="1" t="n">
        <v>45722</v>
      </c>
      <c r="C252" s="1" t="n">
        <v>46164</v>
      </c>
      <c r="D252" t="inlineStr">
        <is>
          <t>VÄRMLANDS LÄN</t>
        </is>
      </c>
      <c r="E252" t="inlineStr">
        <is>
          <t>FILIPSTAD</t>
        </is>
      </c>
      <c r="G252" t="n">
        <v>10.6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  <c r="U252">
        <f>HYPERLINK("https://klasma.github.io/Logging_1782/knärot/A 10757-2025 karta knärot.png", "A 10757-2025")</f>
        <v/>
      </c>
      <c r="V252">
        <f>HYPERLINK("https://klasma.github.io/Logging_1782/klagomål/A 10757-2025 FSC-klagomål.docx", "A 10757-2025")</f>
        <v/>
      </c>
      <c r="W252">
        <f>HYPERLINK("https://klasma.github.io/Logging_1782/klagomålsmail/A 10757-2025 FSC-klagomål mail.docx", "A 10757-2025")</f>
        <v/>
      </c>
      <c r="X252">
        <f>HYPERLINK("https://klasma.github.io/Logging_1782/tillsyn/A 10757-2025 tillsynsbegäran.docx", "A 10757-2025")</f>
        <v/>
      </c>
      <c r="Y252">
        <f>HYPERLINK("https://klasma.github.io/Logging_1782/tillsynsmail/A 10757-2025 tillsynsbegäran mail.docx", "A 10757-2025")</f>
        <v/>
      </c>
    </row>
    <row r="253" ht="15" customHeight="1">
      <c r="A253" t="inlineStr">
        <is>
          <t>A 47911-2025</t>
        </is>
      </c>
      <c r="B253" s="1" t="n">
        <v>45932.51171296297</v>
      </c>
      <c r="C253" s="1" t="n">
        <v>46164</v>
      </c>
      <c r="D253" t="inlineStr">
        <is>
          <t>VÄRMLANDS LÄN</t>
        </is>
      </c>
      <c r="E253" t="inlineStr">
        <is>
          <t>FILIPSTAD</t>
        </is>
      </c>
      <c r="F253" t="inlineStr">
        <is>
          <t>Bergvik skog väst AB</t>
        </is>
      </c>
      <c r="G253" t="n">
        <v>46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22866-2023</t>
        </is>
      </c>
      <c r="B254" s="1" t="n">
        <v>45072</v>
      </c>
      <c r="C254" s="1" t="n">
        <v>46164</v>
      </c>
      <c r="D254" t="inlineStr">
        <is>
          <t>VÄRMLANDS LÄN</t>
        </is>
      </c>
      <c r="E254" t="inlineStr">
        <is>
          <t>FILIPSTAD</t>
        </is>
      </c>
      <c r="F254" t="inlineStr">
        <is>
          <t>Bergvik skog väst AB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51162-2024</t>
        </is>
      </c>
      <c r="B255" s="1" t="n">
        <v>45603.5819675926</v>
      </c>
      <c r="C255" s="1" t="n">
        <v>46164</v>
      </c>
      <c r="D255" t="inlineStr">
        <is>
          <t>VÄRMLANDS LÄN</t>
        </is>
      </c>
      <c r="E255" t="inlineStr">
        <is>
          <t>FILIPSTAD</t>
        </is>
      </c>
      <c r="F255" t="inlineStr">
        <is>
          <t>Bergvik skog väst AB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29473-2024</t>
        </is>
      </c>
      <c r="B256" s="1" t="n">
        <v>45484</v>
      </c>
      <c r="C256" s="1" t="n">
        <v>46164</v>
      </c>
      <c r="D256" t="inlineStr">
        <is>
          <t>VÄRMLANDS LÄN</t>
        </is>
      </c>
      <c r="E256" t="inlineStr">
        <is>
          <t>FILIPSTAD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47633-2025</t>
        </is>
      </c>
      <c r="B257" s="1" t="n">
        <v>45931</v>
      </c>
      <c r="C257" s="1" t="n">
        <v>46164</v>
      </c>
      <c r="D257" t="inlineStr">
        <is>
          <t>VÄRMLANDS LÄN</t>
        </is>
      </c>
      <c r="E257" t="inlineStr">
        <is>
          <t>FILIPSTAD</t>
        </is>
      </c>
      <c r="F257" t="inlineStr">
        <is>
          <t>Bergvik skog väst AB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47646-2025</t>
        </is>
      </c>
      <c r="B258" s="1" t="n">
        <v>45931</v>
      </c>
      <c r="C258" s="1" t="n">
        <v>46164</v>
      </c>
      <c r="D258" t="inlineStr">
        <is>
          <t>VÄRMLANDS LÄN</t>
        </is>
      </c>
      <c r="E258" t="inlineStr">
        <is>
          <t>FILIPSTAD</t>
        </is>
      </c>
      <c r="F258" t="inlineStr">
        <is>
          <t>Bergvik skog väst AB</t>
        </is>
      </c>
      <c r="G258" t="n">
        <v>6.8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47683-2025</t>
        </is>
      </c>
      <c r="B259" s="1" t="n">
        <v>45931</v>
      </c>
      <c r="C259" s="1" t="n">
        <v>46164</v>
      </c>
      <c r="D259" t="inlineStr">
        <is>
          <t>VÄRMLANDS LÄN</t>
        </is>
      </c>
      <c r="E259" t="inlineStr">
        <is>
          <t>FILIPSTAD</t>
        </is>
      </c>
      <c r="F259" t="inlineStr">
        <is>
          <t>Bergvik skog väst AB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36949-2025</t>
        </is>
      </c>
      <c r="B260" s="1" t="n">
        <v>45874.60010416667</v>
      </c>
      <c r="C260" s="1" t="n">
        <v>46164</v>
      </c>
      <c r="D260" t="inlineStr">
        <is>
          <t>VÄRMLANDS LÄN</t>
        </is>
      </c>
      <c r="E260" t="inlineStr">
        <is>
          <t>FILIPSTAD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11514-2025</t>
        </is>
      </c>
      <c r="B261" s="1" t="n">
        <v>45726.87460648148</v>
      </c>
      <c r="C261" s="1" t="n">
        <v>46164</v>
      </c>
      <c r="D261" t="inlineStr">
        <is>
          <t>VÄRMLANDS LÄN</t>
        </is>
      </c>
      <c r="E261" t="inlineStr">
        <is>
          <t>FILIPSTAD</t>
        </is>
      </c>
      <c r="G261" t="n">
        <v>8.199999999999999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48649-2025</t>
        </is>
      </c>
      <c r="B262" s="1" t="n">
        <v>45936.54788194445</v>
      </c>
      <c r="C262" s="1" t="n">
        <v>46164</v>
      </c>
      <c r="D262" t="inlineStr">
        <is>
          <t>VÄRMLANDS LÄN</t>
        </is>
      </c>
      <c r="E262" t="inlineStr">
        <is>
          <t>FILIPSTAD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48103-2025</t>
        </is>
      </c>
      <c r="B263" s="1" t="n">
        <v>45933</v>
      </c>
      <c r="C263" s="1" t="n">
        <v>46164</v>
      </c>
      <c r="D263" t="inlineStr">
        <is>
          <t>VÄRMLANDS LÄN</t>
        </is>
      </c>
      <c r="E263" t="inlineStr">
        <is>
          <t>FILIPSTAD</t>
        </is>
      </c>
      <c r="F263" t="inlineStr">
        <is>
          <t>Bergvik skog väst AB</t>
        </is>
      </c>
      <c r="G263" t="n">
        <v>6.3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48203-2025</t>
        </is>
      </c>
      <c r="B264" s="1" t="n">
        <v>45933</v>
      </c>
      <c r="C264" s="1" t="n">
        <v>46164</v>
      </c>
      <c r="D264" t="inlineStr">
        <is>
          <t>VÄRMLANDS LÄN</t>
        </is>
      </c>
      <c r="E264" t="inlineStr">
        <is>
          <t>FILIPSTAD</t>
        </is>
      </c>
      <c r="F264" t="inlineStr">
        <is>
          <t>Bergvik skog väst AB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48655-2025</t>
        </is>
      </c>
      <c r="B265" s="1" t="n">
        <v>45936.56003472222</v>
      </c>
      <c r="C265" s="1" t="n">
        <v>46164</v>
      </c>
      <c r="D265" t="inlineStr">
        <is>
          <t>VÄRMLANDS LÄN</t>
        </is>
      </c>
      <c r="E265" t="inlineStr">
        <is>
          <t>FILIPSTAD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48576-2025</t>
        </is>
      </c>
      <c r="B266" s="1" t="n">
        <v>45936.45268518518</v>
      </c>
      <c r="C266" s="1" t="n">
        <v>46164</v>
      </c>
      <c r="D266" t="inlineStr">
        <is>
          <t>VÄRMLANDS LÄN</t>
        </is>
      </c>
      <c r="E266" t="inlineStr">
        <is>
          <t>FILIPSTAD</t>
        </is>
      </c>
      <c r="F266" t="inlineStr">
        <is>
          <t>Bergvik skog väst AB</t>
        </is>
      </c>
      <c r="G266" t="n">
        <v>7.8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48217-2025</t>
        </is>
      </c>
      <c r="B267" s="1" t="n">
        <v>45933</v>
      </c>
      <c r="C267" s="1" t="n">
        <v>46164</v>
      </c>
      <c r="D267" t="inlineStr">
        <is>
          <t>VÄRMLANDS LÄN</t>
        </is>
      </c>
      <c r="E267" t="inlineStr">
        <is>
          <t>FILIPSTAD</t>
        </is>
      </c>
      <c r="F267" t="inlineStr">
        <is>
          <t>Bergvik skog väst AB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48657-2025</t>
        </is>
      </c>
      <c r="B268" s="1" t="n">
        <v>45936.56618055556</v>
      </c>
      <c r="C268" s="1" t="n">
        <v>46164</v>
      </c>
      <c r="D268" t="inlineStr">
        <is>
          <t>VÄRMLANDS LÄN</t>
        </is>
      </c>
      <c r="E268" t="inlineStr">
        <is>
          <t>FILIPSTAD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16652-2025</t>
        </is>
      </c>
      <c r="B269" s="1" t="n">
        <v>45754</v>
      </c>
      <c r="C269" s="1" t="n">
        <v>46164</v>
      </c>
      <c r="D269" t="inlineStr">
        <is>
          <t>VÄRMLANDS LÄN</t>
        </is>
      </c>
      <c r="E269" t="inlineStr">
        <is>
          <t>FILIPSTAD</t>
        </is>
      </c>
      <c r="F269" t="inlineStr">
        <is>
          <t>Bergvik skog väst AB</t>
        </is>
      </c>
      <c r="G269" t="n">
        <v>13.9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37414-2025</t>
        </is>
      </c>
      <c r="B270" s="1" t="n">
        <v>45877</v>
      </c>
      <c r="C270" s="1" t="n">
        <v>46164</v>
      </c>
      <c r="D270" t="inlineStr">
        <is>
          <t>VÄRMLANDS LÄN</t>
        </is>
      </c>
      <c r="E270" t="inlineStr">
        <is>
          <t>FILIPSTAD</t>
        </is>
      </c>
      <c r="F270" t="inlineStr">
        <is>
          <t>Bergvik skog väst AB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10338-2025</t>
        </is>
      </c>
      <c r="B271" s="1" t="n">
        <v>45720</v>
      </c>
      <c r="C271" s="1" t="n">
        <v>46164</v>
      </c>
      <c r="D271" t="inlineStr">
        <is>
          <t>VÄRMLANDS LÄN</t>
        </is>
      </c>
      <c r="E271" t="inlineStr">
        <is>
          <t>FILIPSTAD</t>
        </is>
      </c>
      <c r="F271" t="inlineStr">
        <is>
          <t>Bergvik skog väst AB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46978-2023</t>
        </is>
      </c>
      <c r="B272" s="1" t="n">
        <v>45195</v>
      </c>
      <c r="C272" s="1" t="n">
        <v>46164</v>
      </c>
      <c r="D272" t="inlineStr">
        <is>
          <t>VÄRMLANDS LÄN</t>
        </is>
      </c>
      <c r="E272" t="inlineStr">
        <is>
          <t>FILIPSTAD</t>
        </is>
      </c>
      <c r="F272" t="inlineStr">
        <is>
          <t>Bergvik skog väst AB</t>
        </is>
      </c>
      <c r="G272" t="n">
        <v>11.2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37733-2025</t>
        </is>
      </c>
      <c r="B273" s="1" t="n">
        <v>45880.63378472222</v>
      </c>
      <c r="C273" s="1" t="n">
        <v>46164</v>
      </c>
      <c r="D273" t="inlineStr">
        <is>
          <t>VÄRMLANDS LÄN</t>
        </is>
      </c>
      <c r="E273" t="inlineStr">
        <is>
          <t>FILIPSTAD</t>
        </is>
      </c>
      <c r="F273" t="inlineStr">
        <is>
          <t>Bergvik skog väst AB</t>
        </is>
      </c>
      <c r="G273" t="n">
        <v>7.6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56651-2024</t>
        </is>
      </c>
      <c r="B274" s="1" t="n">
        <v>45625</v>
      </c>
      <c r="C274" s="1" t="n">
        <v>46164</v>
      </c>
      <c r="D274" t="inlineStr">
        <is>
          <t>VÄRMLANDS LÄN</t>
        </is>
      </c>
      <c r="E274" t="inlineStr">
        <is>
          <t>FILIPSTAD</t>
        </is>
      </c>
      <c r="F274" t="inlineStr">
        <is>
          <t>Bergvik skog väst AB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56653-2024</t>
        </is>
      </c>
      <c r="B275" s="1" t="n">
        <v>45625.78412037037</v>
      </c>
      <c r="C275" s="1" t="n">
        <v>46164</v>
      </c>
      <c r="D275" t="inlineStr">
        <is>
          <t>VÄRMLANDS LÄN</t>
        </is>
      </c>
      <c r="E275" t="inlineStr">
        <is>
          <t>FILIPSTAD</t>
        </is>
      </c>
      <c r="F275" t="inlineStr">
        <is>
          <t>Bergvik skog väst AB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15771-2025</t>
        </is>
      </c>
      <c r="B276" s="1" t="n">
        <v>45748.58888888889</v>
      </c>
      <c r="C276" s="1" t="n">
        <v>46164</v>
      </c>
      <c r="D276" t="inlineStr">
        <is>
          <t>VÄRMLANDS LÄN</t>
        </is>
      </c>
      <c r="E276" t="inlineStr">
        <is>
          <t>FILIPSTAD</t>
        </is>
      </c>
      <c r="G276" t="n">
        <v>13.4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49899-2025</t>
        </is>
      </c>
      <c r="B277" s="1" t="n">
        <v>45940.58966435185</v>
      </c>
      <c r="C277" s="1" t="n">
        <v>46164</v>
      </c>
      <c r="D277" t="inlineStr">
        <is>
          <t>VÄRMLANDS LÄN</t>
        </is>
      </c>
      <c r="E277" t="inlineStr">
        <is>
          <t>FILIPSTAD</t>
        </is>
      </c>
      <c r="F277" t="inlineStr">
        <is>
          <t>Bergvik skog väst AB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38075-2025</t>
        </is>
      </c>
      <c r="B278" s="1" t="n">
        <v>45882</v>
      </c>
      <c r="C278" s="1" t="n">
        <v>46164</v>
      </c>
      <c r="D278" t="inlineStr">
        <is>
          <t>VÄRMLANDS LÄN</t>
        </is>
      </c>
      <c r="E278" t="inlineStr">
        <is>
          <t>FILIPSTAD</t>
        </is>
      </c>
      <c r="F278" t="inlineStr">
        <is>
          <t>Bergvik skog väst AB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38076-2025</t>
        </is>
      </c>
      <c r="B279" s="1" t="n">
        <v>45882</v>
      </c>
      <c r="C279" s="1" t="n">
        <v>46164</v>
      </c>
      <c r="D279" t="inlineStr">
        <is>
          <t>VÄRMLANDS LÄN</t>
        </is>
      </c>
      <c r="E279" t="inlineStr">
        <is>
          <t>FILIPSTAD</t>
        </is>
      </c>
      <c r="F279" t="inlineStr">
        <is>
          <t>Bergvik skog väst AB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38175-2025</t>
        </is>
      </c>
      <c r="B280" s="1" t="n">
        <v>45882</v>
      </c>
      <c r="C280" s="1" t="n">
        <v>46164</v>
      </c>
      <c r="D280" t="inlineStr">
        <is>
          <t>VÄRMLANDS LÄN</t>
        </is>
      </c>
      <c r="E280" t="inlineStr">
        <is>
          <t>FILIPSTAD</t>
        </is>
      </c>
      <c r="F280" t="inlineStr">
        <is>
          <t>Bergvik skog väst AB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49935-2025</t>
        </is>
      </c>
      <c r="B281" s="1" t="n">
        <v>45940.6605324074</v>
      </c>
      <c r="C281" s="1" t="n">
        <v>46164</v>
      </c>
      <c r="D281" t="inlineStr">
        <is>
          <t>VÄRMLANDS LÄN</t>
        </is>
      </c>
      <c r="E281" t="inlineStr">
        <is>
          <t>FILIPSTAD</t>
        </is>
      </c>
      <c r="F281" t="inlineStr">
        <is>
          <t>Bergvik skog väst AB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49602-2025</t>
        </is>
      </c>
      <c r="B282" s="1" t="n">
        <v>45939</v>
      </c>
      <c r="C282" s="1" t="n">
        <v>46164</v>
      </c>
      <c r="D282" t="inlineStr">
        <is>
          <t>VÄRMLANDS LÄN</t>
        </is>
      </c>
      <c r="E282" t="inlineStr">
        <is>
          <t>FILIPSTAD</t>
        </is>
      </c>
      <c r="F282" t="inlineStr">
        <is>
          <t>Bergvik skog väst AB</t>
        </is>
      </c>
      <c r="G282" t="n">
        <v>10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49878-2025</t>
        </is>
      </c>
      <c r="B283" s="1" t="n">
        <v>45940.56537037037</v>
      </c>
      <c r="C283" s="1" t="n">
        <v>46164</v>
      </c>
      <c r="D283" t="inlineStr">
        <is>
          <t>VÄRMLANDS LÄN</t>
        </is>
      </c>
      <c r="E283" t="inlineStr">
        <is>
          <t>FILIPSTAD</t>
        </is>
      </c>
      <c r="F283" t="inlineStr">
        <is>
          <t>Bergvik skog väst AB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49910-2025</t>
        </is>
      </c>
      <c r="B284" s="1" t="n">
        <v>45940.60739583334</v>
      </c>
      <c r="C284" s="1" t="n">
        <v>46164</v>
      </c>
      <c r="D284" t="inlineStr">
        <is>
          <t>VÄRMLANDS LÄN</t>
        </is>
      </c>
      <c r="E284" t="inlineStr">
        <is>
          <t>FILIPSTAD</t>
        </is>
      </c>
      <c r="F284" t="inlineStr">
        <is>
          <t>Bergvik skog väst AB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2440-2022</t>
        </is>
      </c>
      <c r="B285" s="1" t="n">
        <v>44579.55377314815</v>
      </c>
      <c r="C285" s="1" t="n">
        <v>46164</v>
      </c>
      <c r="D285" t="inlineStr">
        <is>
          <t>VÄRMLANDS LÄN</t>
        </is>
      </c>
      <c r="E285" t="inlineStr">
        <is>
          <t>FILIPSTAD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14608-2023</t>
        </is>
      </c>
      <c r="B286" s="1" t="n">
        <v>45013.61585648148</v>
      </c>
      <c r="C286" s="1" t="n">
        <v>46164</v>
      </c>
      <c r="D286" t="inlineStr">
        <is>
          <t>VÄRMLANDS LÄN</t>
        </is>
      </c>
      <c r="E286" t="inlineStr">
        <is>
          <t>FILIPSTAD</t>
        </is>
      </c>
      <c r="F286" t="inlineStr">
        <is>
          <t>Bergvik skog väst AB</t>
        </is>
      </c>
      <c r="G286" t="n">
        <v>5.4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50195-2025</t>
        </is>
      </c>
      <c r="B287" s="1" t="n">
        <v>45943.64201388889</v>
      </c>
      <c r="C287" s="1" t="n">
        <v>46164</v>
      </c>
      <c r="D287" t="inlineStr">
        <is>
          <t>VÄRMLANDS LÄN</t>
        </is>
      </c>
      <c r="E287" t="inlineStr">
        <is>
          <t>FILIPSTAD</t>
        </is>
      </c>
      <c r="F287" t="inlineStr">
        <is>
          <t>Bergvik skog väst AB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20528-2025</t>
        </is>
      </c>
      <c r="B288" s="1" t="n">
        <v>45775</v>
      </c>
      <c r="C288" s="1" t="n">
        <v>46164</v>
      </c>
      <c r="D288" t="inlineStr">
        <is>
          <t>VÄRMLANDS LÄN</t>
        </is>
      </c>
      <c r="E288" t="inlineStr">
        <is>
          <t>FILIPSTAD</t>
        </is>
      </c>
      <c r="F288" t="inlineStr">
        <is>
          <t>Bergvik skog väst AB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50142-2025</t>
        </is>
      </c>
      <c r="B289" s="1" t="n">
        <v>45943.5703125</v>
      </c>
      <c r="C289" s="1" t="n">
        <v>46164</v>
      </c>
      <c r="D289" t="inlineStr">
        <is>
          <t>VÄRMLANDS LÄN</t>
        </is>
      </c>
      <c r="E289" t="inlineStr">
        <is>
          <t>FILIPSTAD</t>
        </is>
      </c>
      <c r="F289" t="inlineStr">
        <is>
          <t>Bergvik skog väst AB</t>
        </is>
      </c>
      <c r="G289" t="n">
        <v>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50167-2025</t>
        </is>
      </c>
      <c r="B290" s="1" t="n">
        <v>45943</v>
      </c>
      <c r="C290" s="1" t="n">
        <v>46164</v>
      </c>
      <c r="D290" t="inlineStr">
        <is>
          <t>VÄRMLANDS LÄN</t>
        </is>
      </c>
      <c r="E290" t="inlineStr">
        <is>
          <t>FILIPSTAD</t>
        </is>
      </c>
      <c r="F290" t="inlineStr">
        <is>
          <t>Bergvik skog väst AB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50032-2025</t>
        </is>
      </c>
      <c r="B291" s="1" t="n">
        <v>45943</v>
      </c>
      <c r="C291" s="1" t="n">
        <v>46164</v>
      </c>
      <c r="D291" t="inlineStr">
        <is>
          <t>VÄRMLANDS LÄN</t>
        </is>
      </c>
      <c r="E291" t="inlineStr">
        <is>
          <t>FILIPSTAD</t>
        </is>
      </c>
      <c r="F291" t="inlineStr">
        <is>
          <t>Bergvik skog väst AB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10279-2026</t>
        </is>
      </c>
      <c r="B292" s="1" t="n">
        <v>46076.58753472222</v>
      </c>
      <c r="C292" s="1" t="n">
        <v>46164</v>
      </c>
      <c r="D292" t="inlineStr">
        <is>
          <t>VÄRMLANDS LÄN</t>
        </is>
      </c>
      <c r="E292" t="inlineStr">
        <is>
          <t>FILIPSTAD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50199-2025</t>
        </is>
      </c>
      <c r="B293" s="1" t="n">
        <v>45943.64987268519</v>
      </c>
      <c r="C293" s="1" t="n">
        <v>46164</v>
      </c>
      <c r="D293" t="inlineStr">
        <is>
          <t>VÄRMLANDS LÄN</t>
        </is>
      </c>
      <c r="E293" t="inlineStr">
        <is>
          <t>FILIPSTAD</t>
        </is>
      </c>
      <c r="F293" t="inlineStr">
        <is>
          <t>Bergvik skog väst AB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50666-2025</t>
        </is>
      </c>
      <c r="B294" s="1" t="n">
        <v>45945.69899305556</v>
      </c>
      <c r="C294" s="1" t="n">
        <v>46164</v>
      </c>
      <c r="D294" t="inlineStr">
        <is>
          <t>VÄRMLANDS LÄN</t>
        </is>
      </c>
      <c r="E294" t="inlineStr">
        <is>
          <t>FILIPSTAD</t>
        </is>
      </c>
      <c r="F294" t="inlineStr">
        <is>
          <t>Kommuner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50535-2025</t>
        </is>
      </c>
      <c r="B295" s="1" t="n">
        <v>45945.48466435185</v>
      </c>
      <c r="C295" s="1" t="n">
        <v>46164</v>
      </c>
      <c r="D295" t="inlineStr">
        <is>
          <t>VÄRMLANDS LÄN</t>
        </is>
      </c>
      <c r="E295" t="inlineStr">
        <is>
          <t>FILIPSTAD</t>
        </is>
      </c>
      <c r="F295" t="inlineStr">
        <is>
          <t>Bergvik skog väst AB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19705-2025</t>
        </is>
      </c>
      <c r="B296" s="1" t="n">
        <v>45771</v>
      </c>
      <c r="C296" s="1" t="n">
        <v>46164</v>
      </c>
      <c r="D296" t="inlineStr">
        <is>
          <t>VÄRMLANDS LÄN</t>
        </is>
      </c>
      <c r="E296" t="inlineStr">
        <is>
          <t>FILIPSTAD</t>
        </is>
      </c>
      <c r="F296" t="inlineStr">
        <is>
          <t>Bergvik skog väst AB</t>
        </is>
      </c>
      <c r="G296" t="n">
        <v>6.9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51031-2025</t>
        </is>
      </c>
      <c r="B297" s="1" t="n">
        <v>45947</v>
      </c>
      <c r="C297" s="1" t="n">
        <v>46164</v>
      </c>
      <c r="D297" t="inlineStr">
        <is>
          <t>VÄRMLANDS LÄN</t>
        </is>
      </c>
      <c r="E297" t="inlineStr">
        <is>
          <t>FILIPSTAD</t>
        </is>
      </c>
      <c r="F297" t="inlineStr">
        <is>
          <t>Bergvik skog väst AB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51039-2025</t>
        </is>
      </c>
      <c r="B298" s="1" t="n">
        <v>45947</v>
      </c>
      <c r="C298" s="1" t="n">
        <v>46164</v>
      </c>
      <c r="D298" t="inlineStr">
        <is>
          <t>VÄRMLANDS LÄN</t>
        </is>
      </c>
      <c r="E298" t="inlineStr">
        <is>
          <t>FILIPSTAD</t>
        </is>
      </c>
      <c r="F298" t="inlineStr">
        <is>
          <t>Bergvik skog väst AB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51355-2025</t>
        </is>
      </c>
      <c r="B299" s="1" t="n">
        <v>45950.44045138889</v>
      </c>
      <c r="C299" s="1" t="n">
        <v>46164</v>
      </c>
      <c r="D299" t="inlineStr">
        <is>
          <t>VÄRMLANDS LÄN</t>
        </is>
      </c>
      <c r="E299" t="inlineStr">
        <is>
          <t>FILIPSTAD</t>
        </is>
      </c>
      <c r="F299" t="inlineStr">
        <is>
          <t>Bergvik skog väst AB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51069-2025</t>
        </is>
      </c>
      <c r="B300" s="1" t="n">
        <v>45947.45486111111</v>
      </c>
      <c r="C300" s="1" t="n">
        <v>46164</v>
      </c>
      <c r="D300" t="inlineStr">
        <is>
          <t>VÄRMLANDS LÄN</t>
        </is>
      </c>
      <c r="E300" t="inlineStr">
        <is>
          <t>FILIPSTAD</t>
        </is>
      </c>
      <c r="G300" t="n">
        <v>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50996-2025</t>
        </is>
      </c>
      <c r="B301" s="1" t="n">
        <v>45947</v>
      </c>
      <c r="C301" s="1" t="n">
        <v>46164</v>
      </c>
      <c r="D301" t="inlineStr">
        <is>
          <t>VÄRMLANDS LÄN</t>
        </is>
      </c>
      <c r="E301" t="inlineStr">
        <is>
          <t>FILIPSTAD</t>
        </is>
      </c>
      <c r="F301" t="inlineStr">
        <is>
          <t>Bergvik skog väst AB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54828-2023</t>
        </is>
      </c>
      <c r="B302" s="1" t="n">
        <v>45229</v>
      </c>
      <c r="C302" s="1" t="n">
        <v>46164</v>
      </c>
      <c r="D302" t="inlineStr">
        <is>
          <t>VÄRMLANDS LÄN</t>
        </is>
      </c>
      <c r="E302" t="inlineStr">
        <is>
          <t>FILIPSTAD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23620-2023</t>
        </is>
      </c>
      <c r="B303" s="1" t="n">
        <v>45077.48210648148</v>
      </c>
      <c r="C303" s="1" t="n">
        <v>46164</v>
      </c>
      <c r="D303" t="inlineStr">
        <is>
          <t>VÄRMLANDS LÄN</t>
        </is>
      </c>
      <c r="E303" t="inlineStr">
        <is>
          <t>FILIPSTAD</t>
        </is>
      </c>
      <c r="G303" t="n">
        <v>7.5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51572-2025</t>
        </is>
      </c>
      <c r="B304" s="1" t="n">
        <v>45951.33466435185</v>
      </c>
      <c r="C304" s="1" t="n">
        <v>46164</v>
      </c>
      <c r="D304" t="inlineStr">
        <is>
          <t>VÄRMLANDS LÄN</t>
        </is>
      </c>
      <c r="E304" t="inlineStr">
        <is>
          <t>FILIPSTAD</t>
        </is>
      </c>
      <c r="F304" t="inlineStr">
        <is>
          <t>Bergvik skog väst AB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6728-2025</t>
        </is>
      </c>
      <c r="B305" s="1" t="n">
        <v>45700</v>
      </c>
      <c r="C305" s="1" t="n">
        <v>46164</v>
      </c>
      <c r="D305" t="inlineStr">
        <is>
          <t>VÄRMLANDS LÄN</t>
        </is>
      </c>
      <c r="E305" t="inlineStr">
        <is>
          <t>FILIPSTAD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51790-2025</t>
        </is>
      </c>
      <c r="B306" s="1" t="n">
        <v>45951</v>
      </c>
      <c r="C306" s="1" t="n">
        <v>46164</v>
      </c>
      <c r="D306" t="inlineStr">
        <is>
          <t>VÄRMLANDS LÄN</t>
        </is>
      </c>
      <c r="E306" t="inlineStr">
        <is>
          <t>FILIPSTAD</t>
        </is>
      </c>
      <c r="F306" t="inlineStr">
        <is>
          <t>Bergvik skog väst AB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16100-2025</t>
        </is>
      </c>
      <c r="B307" s="1" t="n">
        <v>45750.0056712963</v>
      </c>
      <c r="C307" s="1" t="n">
        <v>46164</v>
      </c>
      <c r="D307" t="inlineStr">
        <is>
          <t>VÄRMLANDS LÄN</t>
        </is>
      </c>
      <c r="E307" t="inlineStr">
        <is>
          <t>FILIPSTAD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17845-2026</t>
        </is>
      </c>
      <c r="B308" s="1" t="n">
        <v>46122.47140046296</v>
      </c>
      <c r="C308" s="1" t="n">
        <v>46164</v>
      </c>
      <c r="D308" t="inlineStr">
        <is>
          <t>VÄRMLANDS LÄN</t>
        </is>
      </c>
      <c r="E308" t="inlineStr">
        <is>
          <t>FILIPSTAD</t>
        </is>
      </c>
      <c r="F308" t="inlineStr">
        <is>
          <t>Bergvik skog väst AB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52329-2025</t>
        </is>
      </c>
      <c r="B309" s="1" t="n">
        <v>45953.67331018519</v>
      </c>
      <c r="C309" s="1" t="n">
        <v>46164</v>
      </c>
      <c r="D309" t="inlineStr">
        <is>
          <t>VÄRMLANDS LÄN</t>
        </is>
      </c>
      <c r="E309" t="inlineStr">
        <is>
          <t>FILIPSTAD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18138-2022</t>
        </is>
      </c>
      <c r="B310" s="1" t="n">
        <v>44684.58184027778</v>
      </c>
      <c r="C310" s="1" t="n">
        <v>46164</v>
      </c>
      <c r="D310" t="inlineStr">
        <is>
          <t>VÄRMLANDS LÄN</t>
        </is>
      </c>
      <c r="E310" t="inlineStr">
        <is>
          <t>FILIPSTAD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52179-2025</t>
        </is>
      </c>
      <c r="B311" s="1" t="n">
        <v>45953.3784375</v>
      </c>
      <c r="C311" s="1" t="n">
        <v>46164</v>
      </c>
      <c r="D311" t="inlineStr">
        <is>
          <t>VÄRMLANDS LÄN</t>
        </is>
      </c>
      <c r="E311" t="inlineStr">
        <is>
          <t>FILIPSTAD</t>
        </is>
      </c>
      <c r="F311" t="inlineStr">
        <is>
          <t>Bergvik skog väst AB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52518-2025</t>
        </is>
      </c>
      <c r="B312" s="1" t="n">
        <v>45954.51530092592</v>
      </c>
      <c r="C312" s="1" t="n">
        <v>46164</v>
      </c>
      <c r="D312" t="inlineStr">
        <is>
          <t>VÄRMLANDS LÄN</t>
        </is>
      </c>
      <c r="E312" t="inlineStr">
        <is>
          <t>FILIPSTAD</t>
        </is>
      </c>
      <c r="F312" t="inlineStr">
        <is>
          <t>Bergvik skog väst AB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17949-2026</t>
        </is>
      </c>
      <c r="B313" s="1" t="n">
        <v>46122.66030092593</v>
      </c>
      <c r="C313" s="1" t="n">
        <v>46164</v>
      </c>
      <c r="D313" t="inlineStr">
        <is>
          <t>VÄRMLANDS LÄN</t>
        </is>
      </c>
      <c r="E313" t="inlineStr">
        <is>
          <t>FILIPSTAD</t>
        </is>
      </c>
      <c r="F313" t="inlineStr">
        <is>
          <t>Bergvik skog väst AB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52181-2025</t>
        </is>
      </c>
      <c r="B314" s="1" t="n">
        <v>45953.3792824074</v>
      </c>
      <c r="C314" s="1" t="n">
        <v>46164</v>
      </c>
      <c r="D314" t="inlineStr">
        <is>
          <t>VÄRMLANDS LÄN</t>
        </is>
      </c>
      <c r="E314" t="inlineStr">
        <is>
          <t>FILIPSTAD</t>
        </is>
      </c>
      <c r="F314" t="inlineStr">
        <is>
          <t>Bergvik skog väst AB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14459-2023</t>
        </is>
      </c>
      <c r="B315" s="1" t="n">
        <v>45012</v>
      </c>
      <c r="C315" s="1" t="n">
        <v>46164</v>
      </c>
      <c r="D315" t="inlineStr">
        <is>
          <t>VÄRMLANDS LÄN</t>
        </is>
      </c>
      <c r="E315" t="inlineStr">
        <is>
          <t>FILIPSTAD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17931-2026</t>
        </is>
      </c>
      <c r="B316" s="1" t="n">
        <v>46122.63083333334</v>
      </c>
      <c r="C316" s="1" t="n">
        <v>46164</v>
      </c>
      <c r="D316" t="inlineStr">
        <is>
          <t>VÄRMLANDS LÄN</t>
        </is>
      </c>
      <c r="E316" t="inlineStr">
        <is>
          <t>FILIPSTAD</t>
        </is>
      </c>
      <c r="F316" t="inlineStr">
        <is>
          <t>Bergvik skog väst AB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17900-2026</t>
        </is>
      </c>
      <c r="B317" s="1" t="n">
        <v>46122.58315972222</v>
      </c>
      <c r="C317" s="1" t="n">
        <v>46164</v>
      </c>
      <c r="D317" t="inlineStr">
        <is>
          <t>VÄRMLANDS LÄN</t>
        </is>
      </c>
      <c r="E317" t="inlineStr">
        <is>
          <t>FILIPSTAD</t>
        </is>
      </c>
      <c r="F317" t="inlineStr">
        <is>
          <t>Kommuner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11310-2026</t>
        </is>
      </c>
      <c r="B318" s="1" t="n">
        <v>46080.66549768519</v>
      </c>
      <c r="C318" s="1" t="n">
        <v>46164</v>
      </c>
      <c r="D318" t="inlineStr">
        <is>
          <t>VÄRMLANDS LÄN</t>
        </is>
      </c>
      <c r="E318" t="inlineStr">
        <is>
          <t>FILIPSTAD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53207-2025</t>
        </is>
      </c>
      <c r="B319" s="1" t="n">
        <v>45958.5880787037</v>
      </c>
      <c r="C319" s="1" t="n">
        <v>46164</v>
      </c>
      <c r="D319" t="inlineStr">
        <is>
          <t>VÄRMLANDS LÄN</t>
        </is>
      </c>
      <c r="E319" t="inlineStr">
        <is>
          <t>FILIPSTAD</t>
        </is>
      </c>
      <c r="F319" t="inlineStr">
        <is>
          <t>Bergvik skog väst AB</t>
        </is>
      </c>
      <c r="G319" t="n">
        <v>9.9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47455-2023</t>
        </is>
      </c>
      <c r="B320" s="1" t="n">
        <v>45202.79825231482</v>
      </c>
      <c r="C320" s="1" t="n">
        <v>46164</v>
      </c>
      <c r="D320" t="inlineStr">
        <is>
          <t>VÄRMLANDS LÄN</t>
        </is>
      </c>
      <c r="E320" t="inlineStr">
        <is>
          <t>FILIPSTAD</t>
        </is>
      </c>
      <c r="F320" t="inlineStr">
        <is>
          <t>Bergvik skog väst AB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53649-2025</t>
        </is>
      </c>
      <c r="B321" s="1" t="n">
        <v>45960.52164351852</v>
      </c>
      <c r="C321" s="1" t="n">
        <v>46164</v>
      </c>
      <c r="D321" t="inlineStr">
        <is>
          <t>VÄRMLANDS LÄN</t>
        </is>
      </c>
      <c r="E321" t="inlineStr">
        <is>
          <t>FILIPSTAD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53655-2025</t>
        </is>
      </c>
      <c r="B322" s="1" t="n">
        <v>45960.53378472223</v>
      </c>
      <c r="C322" s="1" t="n">
        <v>46164</v>
      </c>
      <c r="D322" t="inlineStr">
        <is>
          <t>VÄRMLANDS LÄN</t>
        </is>
      </c>
      <c r="E322" t="inlineStr">
        <is>
          <t>FILIPSTAD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46546-2021</t>
        </is>
      </c>
      <c r="B323" s="1" t="n">
        <v>44445</v>
      </c>
      <c r="C323" s="1" t="n">
        <v>46164</v>
      </c>
      <c r="D323" t="inlineStr">
        <is>
          <t>VÄRMLANDS LÄN</t>
        </is>
      </c>
      <c r="E323" t="inlineStr">
        <is>
          <t>FILIPSTAD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45372-2022</t>
        </is>
      </c>
      <c r="B324" s="1" t="n">
        <v>44844.64200231482</v>
      </c>
      <c r="C324" s="1" t="n">
        <v>46164</v>
      </c>
      <c r="D324" t="inlineStr">
        <is>
          <t>VÄRMLANDS LÄN</t>
        </is>
      </c>
      <c r="E324" t="inlineStr">
        <is>
          <t>FILIPSTAD</t>
        </is>
      </c>
      <c r="F324" t="inlineStr">
        <is>
          <t>Bergvik skog väst AB</t>
        </is>
      </c>
      <c r="G324" t="n">
        <v>9.300000000000001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18022-2026</t>
        </is>
      </c>
      <c r="B325" s="1" t="n">
        <v>46125.36243055556</v>
      </c>
      <c r="C325" s="1" t="n">
        <v>46164</v>
      </c>
      <c r="D325" t="inlineStr">
        <is>
          <t>VÄRMLANDS LÄN</t>
        </is>
      </c>
      <c r="E325" t="inlineStr">
        <is>
          <t>FILIPSTAD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53325-2025</t>
        </is>
      </c>
      <c r="B326" s="1" t="n">
        <v>45959.36414351852</v>
      </c>
      <c r="C326" s="1" t="n">
        <v>46164</v>
      </c>
      <c r="D326" t="inlineStr">
        <is>
          <t>VÄRMLANDS LÄN</t>
        </is>
      </c>
      <c r="E326" t="inlineStr">
        <is>
          <t>FILIPSTAD</t>
        </is>
      </c>
      <c r="F326" t="inlineStr">
        <is>
          <t>Kyrkan</t>
        </is>
      </c>
      <c r="G326" t="n">
        <v>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11313-2026</t>
        </is>
      </c>
      <c r="B327" s="1" t="n">
        <v>46080.67502314815</v>
      </c>
      <c r="C327" s="1" t="n">
        <v>46164</v>
      </c>
      <c r="D327" t="inlineStr">
        <is>
          <t>VÄRMLANDS LÄN</t>
        </is>
      </c>
      <c r="E327" t="inlineStr">
        <is>
          <t>FILIPSTAD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53403-2025</t>
        </is>
      </c>
      <c r="B328" s="1" t="n">
        <v>45959.56959490741</v>
      </c>
      <c r="C328" s="1" t="n">
        <v>46164</v>
      </c>
      <c r="D328" t="inlineStr">
        <is>
          <t>VÄRMLANDS LÄN</t>
        </is>
      </c>
      <c r="E328" t="inlineStr">
        <is>
          <t>FILIPSTAD</t>
        </is>
      </c>
      <c r="F328" t="inlineStr">
        <is>
          <t>Bergvik skog väst AB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53395-2025</t>
        </is>
      </c>
      <c r="B329" s="1" t="n">
        <v>45959.55449074074</v>
      </c>
      <c r="C329" s="1" t="n">
        <v>46164</v>
      </c>
      <c r="D329" t="inlineStr">
        <is>
          <t>VÄRMLANDS LÄN</t>
        </is>
      </c>
      <c r="E329" t="inlineStr">
        <is>
          <t>FILIPSTAD</t>
        </is>
      </c>
      <c r="F329" t="inlineStr">
        <is>
          <t>Kyrkan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53575-2025</t>
        </is>
      </c>
      <c r="B330" s="1" t="n">
        <v>45960.42135416667</v>
      </c>
      <c r="C330" s="1" t="n">
        <v>46164</v>
      </c>
      <c r="D330" t="inlineStr">
        <is>
          <t>VÄRMLANDS LÄN</t>
        </is>
      </c>
      <c r="E330" t="inlineStr">
        <is>
          <t>FILIPSTAD</t>
        </is>
      </c>
      <c r="F330" t="inlineStr">
        <is>
          <t>Bergvik skog väst AB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56918-2024</t>
        </is>
      </c>
      <c r="B331" s="1" t="n">
        <v>45628</v>
      </c>
      <c r="C331" s="1" t="n">
        <v>46164</v>
      </c>
      <c r="D331" t="inlineStr">
        <is>
          <t>VÄRMLANDS LÄN</t>
        </is>
      </c>
      <c r="E331" t="inlineStr">
        <is>
          <t>FILIPSTAD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54080-2025</t>
        </is>
      </c>
      <c r="B332" s="1" t="n">
        <v>45964</v>
      </c>
      <c r="C332" s="1" t="n">
        <v>46164</v>
      </c>
      <c r="D332" t="inlineStr">
        <is>
          <t>VÄRMLANDS LÄN</t>
        </is>
      </c>
      <c r="E332" t="inlineStr">
        <is>
          <t>FILIPSTAD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17914-2026</t>
        </is>
      </c>
      <c r="B333" s="1" t="n">
        <v>46122.60069444445</v>
      </c>
      <c r="C333" s="1" t="n">
        <v>46164</v>
      </c>
      <c r="D333" t="inlineStr">
        <is>
          <t>VÄRMLANDS LÄN</t>
        </is>
      </c>
      <c r="E333" t="inlineStr">
        <is>
          <t>FILIPSTAD</t>
        </is>
      </c>
      <c r="F333" t="inlineStr">
        <is>
          <t>Kommuner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53947-2025</t>
        </is>
      </c>
      <c r="B334" s="1" t="n">
        <v>45961.50017361111</v>
      </c>
      <c r="C334" s="1" t="n">
        <v>46164</v>
      </c>
      <c r="D334" t="inlineStr">
        <is>
          <t>VÄRMLANDS LÄN</t>
        </is>
      </c>
      <c r="E334" t="inlineStr">
        <is>
          <t>FILIPSTAD</t>
        </is>
      </c>
      <c r="F334" t="inlineStr">
        <is>
          <t>Bergvik skog väst AB</t>
        </is>
      </c>
      <c r="G334" t="n">
        <v>8.1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40917-2025</t>
        </is>
      </c>
      <c r="B335" s="1" t="n">
        <v>45897.61912037037</v>
      </c>
      <c r="C335" s="1" t="n">
        <v>46164</v>
      </c>
      <c r="D335" t="inlineStr">
        <is>
          <t>VÄRMLANDS LÄN</t>
        </is>
      </c>
      <c r="E335" t="inlineStr">
        <is>
          <t>FILIPSTAD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18376-2026</t>
        </is>
      </c>
      <c r="B336" s="1" t="n">
        <v>46126.61981481482</v>
      </c>
      <c r="C336" s="1" t="n">
        <v>46164</v>
      </c>
      <c r="D336" t="inlineStr">
        <is>
          <t>VÄRMLANDS LÄN</t>
        </is>
      </c>
      <c r="E336" t="inlineStr">
        <is>
          <t>FILIPSTAD</t>
        </is>
      </c>
      <c r="F336" t="inlineStr">
        <is>
          <t>Bergvik skog väst AB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14840-2023</t>
        </is>
      </c>
      <c r="B337" s="1" t="n">
        <v>45014.74503472223</v>
      </c>
      <c r="C337" s="1" t="n">
        <v>46164</v>
      </c>
      <c r="D337" t="inlineStr">
        <is>
          <t>VÄRMLANDS LÄN</t>
        </is>
      </c>
      <c r="E337" t="inlineStr">
        <is>
          <t>FILIPSTAD</t>
        </is>
      </c>
      <c r="F337" t="inlineStr">
        <is>
          <t>Kyrkan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18443-2026</t>
        </is>
      </c>
      <c r="B338" s="1" t="n">
        <v>46127.37260416667</v>
      </c>
      <c r="C338" s="1" t="n">
        <v>46164</v>
      </c>
      <c r="D338" t="inlineStr">
        <is>
          <t>VÄRMLANDS LÄN</t>
        </is>
      </c>
      <c r="E338" t="inlineStr">
        <is>
          <t>FILIPSTAD</t>
        </is>
      </c>
      <c r="F338" t="inlineStr">
        <is>
          <t>Bergvik skog väst AB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54497-2025</t>
        </is>
      </c>
      <c r="B339" s="1" t="n">
        <v>45965</v>
      </c>
      <c r="C339" s="1" t="n">
        <v>46164</v>
      </c>
      <c r="D339" t="inlineStr">
        <is>
          <t>VÄRMLANDS LÄN</t>
        </is>
      </c>
      <c r="E339" t="inlineStr">
        <is>
          <t>FILIPSTAD</t>
        </is>
      </c>
      <c r="F339" t="inlineStr">
        <is>
          <t>Bergvik skog väst AB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18999-2024</t>
        </is>
      </c>
      <c r="B340" s="1" t="n">
        <v>45427.63145833334</v>
      </c>
      <c r="C340" s="1" t="n">
        <v>46164</v>
      </c>
      <c r="D340" t="inlineStr">
        <is>
          <t>VÄRMLANDS LÄN</t>
        </is>
      </c>
      <c r="E340" t="inlineStr">
        <is>
          <t>FILIPSTAD</t>
        </is>
      </c>
      <c r="F340" t="inlineStr">
        <is>
          <t>Bergvik skog väst AB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54651-2025</t>
        </is>
      </c>
      <c r="B341" s="1" t="n">
        <v>45966.3782175926</v>
      </c>
      <c r="C341" s="1" t="n">
        <v>46164</v>
      </c>
      <c r="D341" t="inlineStr">
        <is>
          <t>VÄRMLANDS LÄN</t>
        </is>
      </c>
      <c r="E341" t="inlineStr">
        <is>
          <t>FILIPSTAD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36732-2024</t>
        </is>
      </c>
      <c r="B342" s="1" t="n">
        <v>45537</v>
      </c>
      <c r="C342" s="1" t="n">
        <v>46164</v>
      </c>
      <c r="D342" t="inlineStr">
        <is>
          <t>VÄRMLANDS LÄN</t>
        </is>
      </c>
      <c r="E342" t="inlineStr">
        <is>
          <t>FILIPSTAD</t>
        </is>
      </c>
      <c r="F342" t="inlineStr">
        <is>
          <t>Bergvik skog väst AB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25375-2023</t>
        </is>
      </c>
      <c r="B343" s="1" t="n">
        <v>45088.94734953704</v>
      </c>
      <c r="C343" s="1" t="n">
        <v>46164</v>
      </c>
      <c r="D343" t="inlineStr">
        <is>
          <t>VÄRMLANDS LÄN</t>
        </is>
      </c>
      <c r="E343" t="inlineStr">
        <is>
          <t>FILIPSTAD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18533-2026</t>
        </is>
      </c>
      <c r="B344" s="1" t="n">
        <v>46127.54759259259</v>
      </c>
      <c r="C344" s="1" t="n">
        <v>46164</v>
      </c>
      <c r="D344" t="inlineStr">
        <is>
          <t>VÄRMLANDS LÄN</t>
        </is>
      </c>
      <c r="E344" t="inlineStr">
        <is>
          <t>FILIPSTAD</t>
        </is>
      </c>
      <c r="F344" t="inlineStr">
        <is>
          <t>Bergvik skog väst AB</t>
        </is>
      </c>
      <c r="G344" t="n">
        <v>6.1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39566-2023</t>
        </is>
      </c>
      <c r="B345" s="1" t="n">
        <v>45167.40119212963</v>
      </c>
      <c r="C345" s="1" t="n">
        <v>46164</v>
      </c>
      <c r="D345" t="inlineStr">
        <is>
          <t>VÄRMLANDS LÄN</t>
        </is>
      </c>
      <c r="E345" t="inlineStr">
        <is>
          <t>FILIPSTAD</t>
        </is>
      </c>
      <c r="F345" t="inlineStr">
        <is>
          <t>Bergvik skog väst AB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19351-2025</t>
        </is>
      </c>
      <c r="B346" s="1" t="n">
        <v>45769</v>
      </c>
      <c r="C346" s="1" t="n">
        <v>46164</v>
      </c>
      <c r="D346" t="inlineStr">
        <is>
          <t>VÄRMLANDS LÄN</t>
        </is>
      </c>
      <c r="E346" t="inlineStr">
        <is>
          <t>FILIPSTAD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54328-2025</t>
        </is>
      </c>
      <c r="B347" s="1" t="n">
        <v>45965.34521990741</v>
      </c>
      <c r="C347" s="1" t="n">
        <v>46164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55173-2025</t>
        </is>
      </c>
      <c r="B348" s="1" t="n">
        <v>45968.50046296296</v>
      </c>
      <c r="C348" s="1" t="n">
        <v>46164</v>
      </c>
      <c r="D348" t="inlineStr">
        <is>
          <t>VÄRMLANDS LÄN</t>
        </is>
      </c>
      <c r="E348" t="inlineStr">
        <is>
          <t>FILIPSTAD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55175-2025</t>
        </is>
      </c>
      <c r="B349" s="1" t="n">
        <v>45968.50886574074</v>
      </c>
      <c r="C349" s="1" t="n">
        <v>46164</v>
      </c>
      <c r="D349" t="inlineStr">
        <is>
          <t>VÄRMLANDS LÄN</t>
        </is>
      </c>
      <c r="E349" t="inlineStr">
        <is>
          <t>FILIPSTAD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55226-2025</t>
        </is>
      </c>
      <c r="B350" s="1" t="n">
        <v>45968.59608796296</v>
      </c>
      <c r="C350" s="1" t="n">
        <v>46164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7.8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25376-2023</t>
        </is>
      </c>
      <c r="B351" s="1" t="n">
        <v>45088.95497685186</v>
      </c>
      <c r="C351" s="1" t="n">
        <v>46164</v>
      </c>
      <c r="D351" t="inlineStr">
        <is>
          <t>VÄRMLANDS LÄN</t>
        </is>
      </c>
      <c r="E351" t="inlineStr">
        <is>
          <t>FILIPSTAD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18542-2026</t>
        </is>
      </c>
      <c r="B352" s="1" t="n">
        <v>46127.56501157407</v>
      </c>
      <c r="C352" s="1" t="n">
        <v>46164</v>
      </c>
      <c r="D352" t="inlineStr">
        <is>
          <t>VÄRMLANDS LÄN</t>
        </is>
      </c>
      <c r="E352" t="inlineStr">
        <is>
          <t>FILIPSTAD</t>
        </is>
      </c>
      <c r="F352" t="inlineStr">
        <is>
          <t>Kommuner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55670-2025</t>
        </is>
      </c>
      <c r="B353" s="1" t="n">
        <v>45972</v>
      </c>
      <c r="C353" s="1" t="n">
        <v>46164</v>
      </c>
      <c r="D353" t="inlineStr">
        <is>
          <t>VÄRMLANDS LÄN</t>
        </is>
      </c>
      <c r="E353" t="inlineStr">
        <is>
          <t>FILIPSTAD</t>
        </is>
      </c>
      <c r="F353" t="inlineStr">
        <is>
          <t>Bergvik skog väst AB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18507-2026</t>
        </is>
      </c>
      <c r="B354" s="1" t="n">
        <v>46127.48497685185</v>
      </c>
      <c r="C354" s="1" t="n">
        <v>46164</v>
      </c>
      <c r="D354" t="inlineStr">
        <is>
          <t>VÄRMLANDS LÄN</t>
        </is>
      </c>
      <c r="E354" t="inlineStr">
        <is>
          <t>FILIPSTAD</t>
        </is>
      </c>
      <c r="F354" t="inlineStr">
        <is>
          <t>Bergvik skog väst AB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55514-2025</t>
        </is>
      </c>
      <c r="B355" s="1" t="n">
        <v>45971.60143518518</v>
      </c>
      <c r="C355" s="1" t="n">
        <v>46164</v>
      </c>
      <c r="D355" t="inlineStr">
        <is>
          <t>VÄRMLANDS LÄN</t>
        </is>
      </c>
      <c r="E355" t="inlineStr">
        <is>
          <t>FILIPSTAD</t>
        </is>
      </c>
      <c r="F355" t="inlineStr">
        <is>
          <t>Bergvik skog väst AB</t>
        </is>
      </c>
      <c r="G355" t="n">
        <v>13.3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18530-2026</t>
        </is>
      </c>
      <c r="B356" s="1" t="n">
        <v>46127.54304398148</v>
      </c>
      <c r="C356" s="1" t="n">
        <v>46164</v>
      </c>
      <c r="D356" t="inlineStr">
        <is>
          <t>VÄRMLANDS LÄN</t>
        </is>
      </c>
      <c r="E356" t="inlineStr">
        <is>
          <t>FILIPSTAD</t>
        </is>
      </c>
      <c r="F356" t="inlineStr">
        <is>
          <t>Bergvik skog väst AB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21593-2023</t>
        </is>
      </c>
      <c r="B357" s="1" t="n">
        <v>45063.60222222222</v>
      </c>
      <c r="C357" s="1" t="n">
        <v>46164</v>
      </c>
      <c r="D357" t="inlineStr">
        <is>
          <t>VÄRMLANDS LÄN</t>
        </is>
      </c>
      <c r="E357" t="inlineStr">
        <is>
          <t>FILIPSTAD</t>
        </is>
      </c>
      <c r="G357" t="n">
        <v>5.5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55579-2025</t>
        </is>
      </c>
      <c r="B358" s="1" t="n">
        <v>45971.6706712963</v>
      </c>
      <c r="C358" s="1" t="n">
        <v>46164</v>
      </c>
      <c r="D358" t="inlineStr">
        <is>
          <t>VÄRMLANDS LÄN</t>
        </is>
      </c>
      <c r="E358" t="inlineStr">
        <is>
          <t>FILIPSTAD</t>
        </is>
      </c>
      <c r="F358" t="inlineStr">
        <is>
          <t>Bergvik skog väst AB</t>
        </is>
      </c>
      <c r="G358" t="n">
        <v>8.699999999999999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55668-2025</t>
        </is>
      </c>
      <c r="B359" s="1" t="n">
        <v>45972</v>
      </c>
      <c r="C359" s="1" t="n">
        <v>46164</v>
      </c>
      <c r="D359" t="inlineStr">
        <is>
          <t>VÄRMLANDS LÄN</t>
        </is>
      </c>
      <c r="E359" t="inlineStr">
        <is>
          <t>FILIPSTAD</t>
        </is>
      </c>
      <c r="F359" t="inlineStr">
        <is>
          <t>Bergvik skog väst AB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56086-2025</t>
        </is>
      </c>
      <c r="B360" s="1" t="n">
        <v>45973</v>
      </c>
      <c r="C360" s="1" t="n">
        <v>46164</v>
      </c>
      <c r="D360" t="inlineStr">
        <is>
          <t>VÄRMLANDS LÄN</t>
        </is>
      </c>
      <c r="E360" t="inlineStr">
        <is>
          <t>FILIPSTAD</t>
        </is>
      </c>
      <c r="F360" t="inlineStr">
        <is>
          <t>Bergvik skog väst AB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56180-2025</t>
        </is>
      </c>
      <c r="B361" s="1" t="n">
        <v>45974</v>
      </c>
      <c r="C361" s="1" t="n">
        <v>46164</v>
      </c>
      <c r="D361" t="inlineStr">
        <is>
          <t>VÄRMLANDS LÄN</t>
        </is>
      </c>
      <c r="E361" t="inlineStr">
        <is>
          <t>FILIPSTAD</t>
        </is>
      </c>
      <c r="F361" t="inlineStr">
        <is>
          <t>Bergvik skog väst AB</t>
        </is>
      </c>
      <c r="G361" t="n">
        <v>8.300000000000001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56037-2025</t>
        </is>
      </c>
      <c r="B362" s="1" t="n">
        <v>45973.60925925926</v>
      </c>
      <c r="C362" s="1" t="n">
        <v>46164</v>
      </c>
      <c r="D362" t="inlineStr">
        <is>
          <t>VÄRMLANDS LÄN</t>
        </is>
      </c>
      <c r="E362" t="inlineStr">
        <is>
          <t>FILIPSTAD</t>
        </is>
      </c>
      <c r="F362" t="inlineStr">
        <is>
          <t>Bergvik skog väst AB</t>
        </is>
      </c>
      <c r="G362" t="n">
        <v>5.7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56201-2025</t>
        </is>
      </c>
      <c r="B363" s="1" t="n">
        <v>45974.46380787037</v>
      </c>
      <c r="C363" s="1" t="n">
        <v>46164</v>
      </c>
      <c r="D363" t="inlineStr">
        <is>
          <t>VÄRMLANDS LÄN</t>
        </is>
      </c>
      <c r="E363" t="inlineStr">
        <is>
          <t>FILIPSTAD</t>
        </is>
      </c>
      <c r="F363" t="inlineStr">
        <is>
          <t>Bergvik skog väst AB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56158-2025</t>
        </is>
      </c>
      <c r="B364" s="1" t="n">
        <v>45974.37140046297</v>
      </c>
      <c r="C364" s="1" t="n">
        <v>46164</v>
      </c>
      <c r="D364" t="inlineStr">
        <is>
          <t>VÄRMLANDS LÄN</t>
        </is>
      </c>
      <c r="E364" t="inlineStr">
        <is>
          <t>FILIPSTAD</t>
        </is>
      </c>
      <c r="F364" t="inlineStr">
        <is>
          <t>Bergvik skog väst AB</t>
        </is>
      </c>
      <c r="G364" t="n">
        <v>5.5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56167-2025</t>
        </is>
      </c>
      <c r="B365" s="1" t="n">
        <v>45974.38503472223</v>
      </c>
      <c r="C365" s="1" t="n">
        <v>46164</v>
      </c>
      <c r="D365" t="inlineStr">
        <is>
          <t>VÄRMLANDS LÄN</t>
        </is>
      </c>
      <c r="E365" t="inlineStr">
        <is>
          <t>FILIPSTAD</t>
        </is>
      </c>
      <c r="F365" t="inlineStr">
        <is>
          <t>Bergvik skog väst AB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56182-2025</t>
        </is>
      </c>
      <c r="B366" s="1" t="n">
        <v>45974.41037037037</v>
      </c>
      <c r="C366" s="1" t="n">
        <v>46164</v>
      </c>
      <c r="D366" t="inlineStr">
        <is>
          <t>VÄRMLANDS LÄN</t>
        </is>
      </c>
      <c r="E366" t="inlineStr">
        <is>
          <t>FILIPSTAD</t>
        </is>
      </c>
      <c r="F366" t="inlineStr">
        <is>
          <t>Bergvik skog väst AB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56184-2025</t>
        </is>
      </c>
      <c r="B367" s="1" t="n">
        <v>45974.41440972222</v>
      </c>
      <c r="C367" s="1" t="n">
        <v>46164</v>
      </c>
      <c r="D367" t="inlineStr">
        <is>
          <t>VÄRMLANDS LÄN</t>
        </is>
      </c>
      <c r="E367" t="inlineStr">
        <is>
          <t>FILIPSTAD</t>
        </is>
      </c>
      <c r="F367" t="inlineStr">
        <is>
          <t>Bergvik skog väst AB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56062-2025</t>
        </is>
      </c>
      <c r="B368" s="1" t="n">
        <v>45973.64105324074</v>
      </c>
      <c r="C368" s="1" t="n">
        <v>46164</v>
      </c>
      <c r="D368" t="inlineStr">
        <is>
          <t>VÄRMLANDS LÄN</t>
        </is>
      </c>
      <c r="E368" t="inlineStr">
        <is>
          <t>FILIPSTAD</t>
        </is>
      </c>
      <c r="F368" t="inlineStr">
        <is>
          <t>Bergvik skog väst AB</t>
        </is>
      </c>
      <c r="G368" t="n">
        <v>9.199999999999999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38866-2024</t>
        </is>
      </c>
      <c r="B369" s="1" t="n">
        <v>45547</v>
      </c>
      <c r="C369" s="1" t="n">
        <v>46164</v>
      </c>
      <c r="D369" t="inlineStr">
        <is>
          <t>VÄRMLANDS LÄN</t>
        </is>
      </c>
      <c r="E369" t="inlineStr">
        <is>
          <t>FILIPSTAD</t>
        </is>
      </c>
      <c r="F369" t="inlineStr">
        <is>
          <t>Bergvik skog väst AB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56028-2025</t>
        </is>
      </c>
      <c r="B370" s="1" t="n">
        <v>45973.60055555555</v>
      </c>
      <c r="C370" s="1" t="n">
        <v>46164</v>
      </c>
      <c r="D370" t="inlineStr">
        <is>
          <t>VÄRMLANDS LÄN</t>
        </is>
      </c>
      <c r="E370" t="inlineStr">
        <is>
          <t>FILIPSTAD</t>
        </is>
      </c>
      <c r="F370" t="inlineStr">
        <is>
          <t>Bergvik skog väst AB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56008-2025</t>
        </is>
      </c>
      <c r="B371" s="1" t="n">
        <v>45973</v>
      </c>
      <c r="C371" s="1" t="n">
        <v>46164</v>
      </c>
      <c r="D371" t="inlineStr">
        <is>
          <t>VÄRMLANDS LÄN</t>
        </is>
      </c>
      <c r="E371" t="inlineStr">
        <is>
          <t>FILIPSTAD</t>
        </is>
      </c>
      <c r="F371" t="inlineStr">
        <is>
          <t>Bergvik skog väst AB</t>
        </is>
      </c>
      <c r="G371" t="n">
        <v>8.199999999999999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18445-2026</t>
        </is>
      </c>
      <c r="B372" s="1" t="n">
        <v>46127.37547453704</v>
      </c>
      <c r="C372" s="1" t="n">
        <v>46164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56083-2025</t>
        </is>
      </c>
      <c r="B373" s="1" t="n">
        <v>45973</v>
      </c>
      <c r="C373" s="1" t="n">
        <v>46164</v>
      </c>
      <c r="D373" t="inlineStr">
        <is>
          <t>VÄRMLANDS LÄN</t>
        </is>
      </c>
      <c r="E373" t="inlineStr">
        <is>
          <t>FILIPSTAD</t>
        </is>
      </c>
      <c r="F373" t="inlineStr">
        <is>
          <t>Bergvik skog väst AB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56115-2025</t>
        </is>
      </c>
      <c r="B374" s="1" t="n">
        <v>45973</v>
      </c>
      <c r="C374" s="1" t="n">
        <v>46164</v>
      </c>
      <c r="D374" t="inlineStr">
        <is>
          <t>VÄRMLANDS LÄN</t>
        </is>
      </c>
      <c r="E374" t="inlineStr">
        <is>
          <t>FILIPSTAD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56032-2025</t>
        </is>
      </c>
      <c r="B375" s="1" t="n">
        <v>45973.60501157407</v>
      </c>
      <c r="C375" s="1" t="n">
        <v>46164</v>
      </c>
      <c r="D375" t="inlineStr">
        <is>
          <t>VÄRMLANDS LÄN</t>
        </is>
      </c>
      <c r="E375" t="inlineStr">
        <is>
          <t>FILIPSTAD</t>
        </is>
      </c>
      <c r="F375" t="inlineStr">
        <is>
          <t>Bergvik skog väst AB</t>
        </is>
      </c>
      <c r="G375" t="n">
        <v>5.8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56045-2025</t>
        </is>
      </c>
      <c r="B376" s="1" t="n">
        <v>45973.61988425926</v>
      </c>
      <c r="C376" s="1" t="n">
        <v>46164</v>
      </c>
      <c r="D376" t="inlineStr">
        <is>
          <t>VÄRMLANDS LÄN</t>
        </is>
      </c>
      <c r="E376" t="inlineStr">
        <is>
          <t>FILIPSTAD</t>
        </is>
      </c>
      <c r="F376" t="inlineStr">
        <is>
          <t>Bergvik skog väst AB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57456-2022</t>
        </is>
      </c>
      <c r="B377" s="1" t="n">
        <v>44896.56736111111</v>
      </c>
      <c r="C377" s="1" t="n">
        <v>46164</v>
      </c>
      <c r="D377" t="inlineStr">
        <is>
          <t>VÄRMLANDS LÄN</t>
        </is>
      </c>
      <c r="E377" t="inlineStr">
        <is>
          <t>FILIPSTAD</t>
        </is>
      </c>
      <c r="F377" t="inlineStr">
        <is>
          <t>Bergvik skog väst AB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56925-2025</t>
        </is>
      </c>
      <c r="B378" s="1" t="n">
        <v>45978.60393518519</v>
      </c>
      <c r="C378" s="1" t="n">
        <v>46164</v>
      </c>
      <c r="D378" t="inlineStr">
        <is>
          <t>VÄRMLANDS LÄN</t>
        </is>
      </c>
      <c r="E378" t="inlineStr">
        <is>
          <t>FILIPSTAD</t>
        </is>
      </c>
      <c r="F378" t="inlineStr">
        <is>
          <t>Bergvik skog väst AB</t>
        </is>
      </c>
      <c r="G378" t="n">
        <v>18.8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12216-2026</t>
        </is>
      </c>
      <c r="B379" s="1" t="n">
        <v>46087.35563657407</v>
      </c>
      <c r="C379" s="1" t="n">
        <v>46164</v>
      </c>
      <c r="D379" t="inlineStr">
        <is>
          <t>VÄRMLANDS LÄN</t>
        </is>
      </c>
      <c r="E379" t="inlineStr">
        <is>
          <t>FILIPSTAD</t>
        </is>
      </c>
      <c r="F379" t="inlineStr">
        <is>
          <t>Bergvik skog väst AB</t>
        </is>
      </c>
      <c r="G379" t="n">
        <v>6.3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18969-2026</t>
        </is>
      </c>
      <c r="B380" s="1" t="n">
        <v>46129.60546296297</v>
      </c>
      <c r="C380" s="1" t="n">
        <v>46164</v>
      </c>
      <c r="D380" t="inlineStr">
        <is>
          <t>VÄRMLANDS LÄN</t>
        </is>
      </c>
      <c r="E380" t="inlineStr">
        <is>
          <t>FILIPSTAD</t>
        </is>
      </c>
      <c r="F380" t="inlineStr">
        <is>
          <t>Bergvik skog väst AB</t>
        </is>
      </c>
      <c r="G380" t="n">
        <v>12.9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18826-2026</t>
        </is>
      </c>
      <c r="B381" s="1" t="n">
        <v>46128.71724537037</v>
      </c>
      <c r="C381" s="1" t="n">
        <v>46164</v>
      </c>
      <c r="D381" t="inlineStr">
        <is>
          <t>VÄRMLANDS LÄN</t>
        </is>
      </c>
      <c r="E381" t="inlineStr">
        <is>
          <t>FILIPSTAD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57965-2025</t>
        </is>
      </c>
      <c r="B382" s="1" t="n">
        <v>45982.38162037037</v>
      </c>
      <c r="C382" s="1" t="n">
        <v>46164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57854-2025</t>
        </is>
      </c>
      <c r="B383" s="1" t="n">
        <v>45981.63868055555</v>
      </c>
      <c r="C383" s="1" t="n">
        <v>46164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3844-2023</t>
        </is>
      </c>
      <c r="B384" s="1" t="n">
        <v>44951.66170138889</v>
      </c>
      <c r="C384" s="1" t="n">
        <v>46164</v>
      </c>
      <c r="D384" t="inlineStr">
        <is>
          <t>VÄRMLANDS LÄN</t>
        </is>
      </c>
      <c r="E384" t="inlineStr">
        <is>
          <t>FILIPSTAD</t>
        </is>
      </c>
      <c r="F384" t="inlineStr">
        <is>
          <t>Bergvik skog väst AB</t>
        </is>
      </c>
      <c r="G384" t="n">
        <v>6.6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58019-2025</t>
        </is>
      </c>
      <c r="B385" s="1" t="n">
        <v>45982.4777662037</v>
      </c>
      <c r="C385" s="1" t="n">
        <v>46164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28.4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18892-2026</t>
        </is>
      </c>
      <c r="B386" s="1" t="n">
        <v>46129</v>
      </c>
      <c r="C386" s="1" t="n">
        <v>46164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24.9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57872-2025</t>
        </is>
      </c>
      <c r="B387" s="1" t="n">
        <v>45981.65354166667</v>
      </c>
      <c r="C387" s="1" t="n">
        <v>46164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57926-2025</t>
        </is>
      </c>
      <c r="B388" s="1" t="n">
        <v>45981.88030092593</v>
      </c>
      <c r="C388" s="1" t="n">
        <v>46164</v>
      </c>
      <c r="D388" t="inlineStr">
        <is>
          <t>VÄRMLANDS LÄN</t>
        </is>
      </c>
      <c r="E388" t="inlineStr">
        <is>
          <t>FILIPSTAD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12491-2026</t>
        </is>
      </c>
      <c r="B389" s="1" t="n">
        <v>46090.56775462963</v>
      </c>
      <c r="C389" s="1" t="n">
        <v>46164</v>
      </c>
      <c r="D389" t="inlineStr">
        <is>
          <t>VÄRMLANDS LÄN</t>
        </is>
      </c>
      <c r="E389" t="inlineStr">
        <is>
          <t>FILIPSTAD</t>
        </is>
      </c>
      <c r="G389" t="n">
        <v>8.6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57212-2023</t>
        </is>
      </c>
      <c r="B390" s="1" t="n">
        <v>45245.48929398148</v>
      </c>
      <c r="C390" s="1" t="n">
        <v>46164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58211-2025</t>
        </is>
      </c>
      <c r="B391" s="1" t="n">
        <v>45985.33813657407</v>
      </c>
      <c r="C391" s="1" t="n">
        <v>46164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19435-2026</t>
        </is>
      </c>
      <c r="B392" s="1" t="n">
        <v>46133.63002314815</v>
      </c>
      <c r="C392" s="1" t="n">
        <v>46164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6.5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58256-2025</t>
        </is>
      </c>
      <c r="B393" s="1" t="n">
        <v>45985.40229166667</v>
      </c>
      <c r="C393" s="1" t="n">
        <v>46164</v>
      </c>
      <c r="D393" t="inlineStr">
        <is>
          <t>VÄRMLANDS LÄN</t>
        </is>
      </c>
      <c r="E393" t="inlineStr">
        <is>
          <t>FILIPSTAD</t>
        </is>
      </c>
      <c r="F393" t="inlineStr">
        <is>
          <t>Bergvik skog väst AB</t>
        </is>
      </c>
      <c r="G393" t="n">
        <v>10.5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19361-2026</t>
        </is>
      </c>
      <c r="B394" s="1" t="n">
        <v>46133.51175925926</v>
      </c>
      <c r="C394" s="1" t="n">
        <v>46164</v>
      </c>
      <c r="D394" t="inlineStr">
        <is>
          <t>VÄRMLANDS LÄN</t>
        </is>
      </c>
      <c r="E394" t="inlineStr">
        <is>
          <t>FILIPSTAD</t>
        </is>
      </c>
      <c r="F394" t="inlineStr">
        <is>
          <t>Bergvik skog väst AB</t>
        </is>
      </c>
      <c r="G394" t="n">
        <v>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58389-2025</t>
        </is>
      </c>
      <c r="B395" s="1" t="n">
        <v>45985.54855324074</v>
      </c>
      <c r="C395" s="1" t="n">
        <v>46164</v>
      </c>
      <c r="D395" t="inlineStr">
        <is>
          <t>VÄRMLANDS LÄN</t>
        </is>
      </c>
      <c r="E395" t="inlineStr">
        <is>
          <t>FILIPSTAD</t>
        </is>
      </c>
      <c r="F395" t="inlineStr">
        <is>
          <t>Bergvik skog väst AB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58253-2025</t>
        </is>
      </c>
      <c r="B396" s="1" t="n">
        <v>45985.39790509259</v>
      </c>
      <c r="C396" s="1" t="n">
        <v>46164</v>
      </c>
      <c r="D396" t="inlineStr">
        <is>
          <t>VÄRMLANDS LÄN</t>
        </is>
      </c>
      <c r="E396" t="inlineStr">
        <is>
          <t>FILIPSTAD</t>
        </is>
      </c>
      <c r="F396" t="inlineStr">
        <is>
          <t>Bergvik skog väst AB</t>
        </is>
      </c>
      <c r="G396" t="n">
        <v>3.7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29426-2023</t>
        </is>
      </c>
      <c r="B397" s="1" t="n">
        <v>45106</v>
      </c>
      <c r="C397" s="1" t="n">
        <v>46164</v>
      </c>
      <c r="D397" t="inlineStr">
        <is>
          <t>VÄRMLANDS LÄN</t>
        </is>
      </c>
      <c r="E397" t="inlineStr">
        <is>
          <t>FILIPSTAD</t>
        </is>
      </c>
      <c r="F397" t="inlineStr">
        <is>
          <t>Kyrkan</t>
        </is>
      </c>
      <c r="G397" t="n">
        <v>5.9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59290-2025</t>
        </is>
      </c>
      <c r="B398" s="1" t="n">
        <v>45988.74881944444</v>
      </c>
      <c r="C398" s="1" t="n">
        <v>46164</v>
      </c>
      <c r="D398" t="inlineStr">
        <is>
          <t>VÄRMLANDS LÄN</t>
        </is>
      </c>
      <c r="E398" t="inlineStr">
        <is>
          <t>FILIPSTAD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62787-2023</t>
        </is>
      </c>
      <c r="B399" s="1" t="n">
        <v>45271.70149305555</v>
      </c>
      <c r="C399" s="1" t="n">
        <v>46164</v>
      </c>
      <c r="D399" t="inlineStr">
        <is>
          <t>VÄRMLANDS LÄN</t>
        </is>
      </c>
      <c r="E399" t="inlineStr">
        <is>
          <t>FILIPSTAD</t>
        </is>
      </c>
      <c r="F399" t="inlineStr">
        <is>
          <t>Bergvik skog väst AB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12509-2026</t>
        </is>
      </c>
      <c r="B400" s="1" t="n">
        <v>46090.58140046296</v>
      </c>
      <c r="C400" s="1" t="n">
        <v>46164</v>
      </c>
      <c r="D400" t="inlineStr">
        <is>
          <t>VÄRMLANDS LÄN</t>
        </is>
      </c>
      <c r="E400" t="inlineStr">
        <is>
          <t>FILIPSTAD</t>
        </is>
      </c>
      <c r="G400" t="n">
        <v>5.3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14432-2025</t>
        </is>
      </c>
      <c r="B401" s="1" t="n">
        <v>45741.50583333334</v>
      </c>
      <c r="C401" s="1" t="n">
        <v>46164</v>
      </c>
      <c r="D401" t="inlineStr">
        <is>
          <t>VÄRMLANDS LÄN</t>
        </is>
      </c>
      <c r="E401" t="inlineStr">
        <is>
          <t>FILIPSTAD</t>
        </is>
      </c>
      <c r="F401" t="inlineStr">
        <is>
          <t>Bergvik skog väst AB</t>
        </is>
      </c>
      <c r="G401" t="n">
        <v>10.4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34512-2023</t>
        </is>
      </c>
      <c r="B402" s="1" t="n">
        <v>45133</v>
      </c>
      <c r="C402" s="1" t="n">
        <v>46164</v>
      </c>
      <c r="D402" t="inlineStr">
        <is>
          <t>VÄRMLANDS LÄN</t>
        </is>
      </c>
      <c r="E402" t="inlineStr">
        <is>
          <t>FILIPSTAD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33844-2024</t>
        </is>
      </c>
      <c r="B403" s="1" t="n">
        <v>45520</v>
      </c>
      <c r="C403" s="1" t="n">
        <v>46164</v>
      </c>
      <c r="D403" t="inlineStr">
        <is>
          <t>VÄRMLANDS LÄN</t>
        </is>
      </c>
      <c r="E403" t="inlineStr">
        <is>
          <t>FILIPSTAD</t>
        </is>
      </c>
      <c r="F403" t="inlineStr">
        <is>
          <t>Bergvik skog väst AB</t>
        </is>
      </c>
      <c r="G403" t="n">
        <v>8.199999999999999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12498-2026</t>
        </is>
      </c>
      <c r="B404" s="1" t="n">
        <v>46090.57290509259</v>
      </c>
      <c r="C404" s="1" t="n">
        <v>46164</v>
      </c>
      <c r="D404" t="inlineStr">
        <is>
          <t>VÄRMLANDS LÄN</t>
        </is>
      </c>
      <c r="E404" t="inlineStr">
        <is>
          <t>FILIPSTAD</t>
        </is>
      </c>
      <c r="G404" t="n">
        <v>7.7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59414-2025</t>
        </is>
      </c>
      <c r="B405" s="1" t="n">
        <v>45989.49996527778</v>
      </c>
      <c r="C405" s="1" t="n">
        <v>46164</v>
      </c>
      <c r="D405" t="inlineStr">
        <is>
          <t>VÄRMLANDS LÄN</t>
        </is>
      </c>
      <c r="E405" t="inlineStr">
        <is>
          <t>FILIPSTAD</t>
        </is>
      </c>
      <c r="F405" t="inlineStr">
        <is>
          <t>Bergvik skog väst AB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59712-2025</t>
        </is>
      </c>
      <c r="B406" s="1" t="n">
        <v>45992.52568287037</v>
      </c>
      <c r="C406" s="1" t="n">
        <v>46164</v>
      </c>
      <c r="D406" t="inlineStr">
        <is>
          <t>VÄRMLANDS LÄN</t>
        </is>
      </c>
      <c r="E406" t="inlineStr">
        <is>
          <t>FILIPSTAD</t>
        </is>
      </c>
      <c r="F406" t="inlineStr">
        <is>
          <t>Bergvik skog väst AB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59707-2025</t>
        </is>
      </c>
      <c r="B407" s="1" t="n">
        <v>45992.50758101852</v>
      </c>
      <c r="C407" s="1" t="n">
        <v>46164</v>
      </c>
      <c r="D407" t="inlineStr">
        <is>
          <t>VÄRMLANDS LÄN</t>
        </is>
      </c>
      <c r="E407" t="inlineStr">
        <is>
          <t>FILIPSTAD</t>
        </is>
      </c>
      <c r="F407" t="inlineStr">
        <is>
          <t>Bergvik skog väst AB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59709-2025</t>
        </is>
      </c>
      <c r="B408" s="1" t="n">
        <v>45992.52372685185</v>
      </c>
      <c r="C408" s="1" t="n">
        <v>46164</v>
      </c>
      <c r="D408" t="inlineStr">
        <is>
          <t>VÄRMLANDS LÄN</t>
        </is>
      </c>
      <c r="E408" t="inlineStr">
        <is>
          <t>FILIPSTAD</t>
        </is>
      </c>
      <c r="F408" t="inlineStr">
        <is>
          <t>Bergvik skog väst AB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59423-2025</t>
        </is>
      </c>
      <c r="B409" s="1" t="n">
        <v>45989.5347800926</v>
      </c>
      <c r="C409" s="1" t="n">
        <v>46164</v>
      </c>
      <c r="D409" t="inlineStr">
        <is>
          <t>VÄRMLANDS LÄN</t>
        </is>
      </c>
      <c r="E409" t="inlineStr">
        <is>
          <t>FILIPSTAD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59410-2025</t>
        </is>
      </c>
      <c r="B410" s="1" t="n">
        <v>45989.49606481481</v>
      </c>
      <c r="C410" s="1" t="n">
        <v>46164</v>
      </c>
      <c r="D410" t="inlineStr">
        <is>
          <t>VÄRMLANDS LÄN</t>
        </is>
      </c>
      <c r="E410" t="inlineStr">
        <is>
          <t>FILIPSTAD</t>
        </is>
      </c>
      <c r="F410" t="inlineStr">
        <is>
          <t>Bergvik skog väst AB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6573-2023</t>
        </is>
      </c>
      <c r="B411" s="1" t="n">
        <v>44960</v>
      </c>
      <c r="C411" s="1" t="n">
        <v>46164</v>
      </c>
      <c r="D411" t="inlineStr">
        <is>
          <t>VÄRMLANDS LÄN</t>
        </is>
      </c>
      <c r="E411" t="inlineStr">
        <is>
          <t>FILIPSTAD</t>
        </is>
      </c>
      <c r="F411" t="inlineStr">
        <is>
          <t>Kommuner</t>
        </is>
      </c>
      <c r="G411" t="n">
        <v>4.6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59406-2025</t>
        </is>
      </c>
      <c r="B412" s="1" t="n">
        <v>45989.4919212963</v>
      </c>
      <c r="C412" s="1" t="n">
        <v>46164</v>
      </c>
      <c r="D412" t="inlineStr">
        <is>
          <t>VÄRMLANDS LÄN</t>
        </is>
      </c>
      <c r="E412" t="inlineStr">
        <is>
          <t>FILIPSTAD</t>
        </is>
      </c>
      <c r="F412" t="inlineStr">
        <is>
          <t>Bergvik skog väst AB</t>
        </is>
      </c>
      <c r="G412" t="n">
        <v>8.9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4819-2023</t>
        </is>
      </c>
      <c r="B413" s="1" t="n">
        <v>44957</v>
      </c>
      <c r="C413" s="1" t="n">
        <v>46164</v>
      </c>
      <c r="D413" t="inlineStr">
        <is>
          <t>VÄRMLANDS LÄN</t>
        </is>
      </c>
      <c r="E413" t="inlineStr">
        <is>
          <t>FILIPSTAD</t>
        </is>
      </c>
      <c r="F413" t="inlineStr">
        <is>
          <t>Bergvik skog väst AB</t>
        </is>
      </c>
      <c r="G413" t="n">
        <v>11.3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14275-2024</t>
        </is>
      </c>
      <c r="B414" s="1" t="n">
        <v>45393.588125</v>
      </c>
      <c r="C414" s="1" t="n">
        <v>46164</v>
      </c>
      <c r="D414" t="inlineStr">
        <is>
          <t>VÄRMLANDS LÄN</t>
        </is>
      </c>
      <c r="E414" t="inlineStr">
        <is>
          <t>FILIPSTAD</t>
        </is>
      </c>
      <c r="F414" t="inlineStr">
        <is>
          <t>Bergvik skog väst AB</t>
        </is>
      </c>
      <c r="G414" t="n">
        <v>4.6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19833-2026</t>
        </is>
      </c>
      <c r="B415" s="1" t="n">
        <v>46135.60350694445</v>
      </c>
      <c r="C415" s="1" t="n">
        <v>46164</v>
      </c>
      <c r="D415" t="inlineStr">
        <is>
          <t>VÄRMLANDS LÄN</t>
        </is>
      </c>
      <c r="E415" t="inlineStr">
        <is>
          <t>FILIPSTAD</t>
        </is>
      </c>
      <c r="F415" t="inlineStr">
        <is>
          <t>Bergvik skog väst AB</t>
        </is>
      </c>
      <c r="G415" t="n">
        <v>5.9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9270-2023</t>
        </is>
      </c>
      <c r="B416" s="1" t="n">
        <v>44980</v>
      </c>
      <c r="C416" s="1" t="n">
        <v>46164</v>
      </c>
      <c r="D416" t="inlineStr">
        <is>
          <t>VÄRMLANDS LÄN</t>
        </is>
      </c>
      <c r="E416" t="inlineStr">
        <is>
          <t>FILIPSTAD</t>
        </is>
      </c>
      <c r="F416" t="inlineStr">
        <is>
          <t>Bergvik skog väst AB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37945-2024</t>
        </is>
      </c>
      <c r="B417" s="1" t="n">
        <v>45544.50271990741</v>
      </c>
      <c r="C417" s="1" t="n">
        <v>46164</v>
      </c>
      <c r="D417" t="inlineStr">
        <is>
          <t>VÄRMLANDS LÄN</t>
        </is>
      </c>
      <c r="E417" t="inlineStr">
        <is>
          <t>FILIPSTAD</t>
        </is>
      </c>
      <c r="F417" t="inlineStr">
        <is>
          <t>Bergvik skog väst AB</t>
        </is>
      </c>
      <c r="G417" t="n">
        <v>5.2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37165-2024</t>
        </is>
      </c>
      <c r="B418" s="1" t="n">
        <v>45539.62459490741</v>
      </c>
      <c r="C418" s="1" t="n">
        <v>46164</v>
      </c>
      <c r="D418" t="inlineStr">
        <is>
          <t>VÄRMLANDS LÄN</t>
        </is>
      </c>
      <c r="E418" t="inlineStr">
        <is>
          <t>FILIPSTAD</t>
        </is>
      </c>
      <c r="F418" t="inlineStr">
        <is>
          <t>Bergvik skog väst AB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59966-2025</t>
        </is>
      </c>
      <c r="B419" s="1" t="n">
        <v>45993.48380787037</v>
      </c>
      <c r="C419" s="1" t="n">
        <v>46164</v>
      </c>
      <c r="D419" t="inlineStr">
        <is>
          <t>VÄRMLANDS LÄN</t>
        </is>
      </c>
      <c r="E419" t="inlineStr">
        <is>
          <t>FILIPSTAD</t>
        </is>
      </c>
      <c r="F419" t="inlineStr">
        <is>
          <t>Bergvik skog väst AB</t>
        </is>
      </c>
      <c r="G419" t="n">
        <v>37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59929-2025</t>
        </is>
      </c>
      <c r="B420" s="1" t="n">
        <v>45993.39767361111</v>
      </c>
      <c r="C420" s="1" t="n">
        <v>46164</v>
      </c>
      <c r="D420" t="inlineStr">
        <is>
          <t>VÄRMLANDS LÄN</t>
        </is>
      </c>
      <c r="E420" t="inlineStr">
        <is>
          <t>FILIPSTAD</t>
        </is>
      </c>
      <c r="F420" t="inlineStr">
        <is>
          <t>Bergvik skog väst AB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60653-2025</t>
        </is>
      </c>
      <c r="B421" s="1" t="n">
        <v>45996.46725694444</v>
      </c>
      <c r="C421" s="1" t="n">
        <v>46164</v>
      </c>
      <c r="D421" t="inlineStr">
        <is>
          <t>VÄRMLANDS LÄN</t>
        </is>
      </c>
      <c r="E421" t="inlineStr">
        <is>
          <t>FILIPSTAD</t>
        </is>
      </c>
      <c r="F421" t="inlineStr">
        <is>
          <t>Bergvik skog väst AB</t>
        </is>
      </c>
      <c r="G421" t="n">
        <v>7.5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60661-2025</t>
        </is>
      </c>
      <c r="B422" s="1" t="n">
        <v>45996.4994212963</v>
      </c>
      <c r="C422" s="1" t="n">
        <v>46164</v>
      </c>
      <c r="D422" t="inlineStr">
        <is>
          <t>VÄRMLANDS LÄN</t>
        </is>
      </c>
      <c r="E422" t="inlineStr">
        <is>
          <t>FILIPSTAD</t>
        </is>
      </c>
      <c r="F422" t="inlineStr">
        <is>
          <t>Bergvik skog väst AB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12943-2026</t>
        </is>
      </c>
      <c r="B423" s="1" t="n">
        <v>46092.62523148148</v>
      </c>
      <c r="C423" s="1" t="n">
        <v>46164</v>
      </c>
      <c r="D423" t="inlineStr">
        <is>
          <t>VÄRMLANDS LÄN</t>
        </is>
      </c>
      <c r="E423" t="inlineStr">
        <is>
          <t>FILIPSTAD</t>
        </is>
      </c>
      <c r="F423" t="inlineStr">
        <is>
          <t>Bergvik skog väst AB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19669-2026</t>
        </is>
      </c>
      <c r="B424" s="1" t="n">
        <v>46134.61918981482</v>
      </c>
      <c r="C424" s="1" t="n">
        <v>46164</v>
      </c>
      <c r="D424" t="inlineStr">
        <is>
          <t>VÄRMLANDS LÄN</t>
        </is>
      </c>
      <c r="E424" t="inlineStr">
        <is>
          <t>FILIPSTAD</t>
        </is>
      </c>
      <c r="G424" t="n">
        <v>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60550-2025</t>
        </is>
      </c>
      <c r="B425" s="1" t="n">
        <v>45995.7172337963</v>
      </c>
      <c r="C425" s="1" t="n">
        <v>46164</v>
      </c>
      <c r="D425" t="inlineStr">
        <is>
          <t>VÄRMLANDS LÄN</t>
        </is>
      </c>
      <c r="E425" t="inlineStr">
        <is>
          <t>FILIPSTAD</t>
        </is>
      </c>
      <c r="F425" t="inlineStr">
        <is>
          <t>Bergvik skog väst AB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19595-2026</t>
        </is>
      </c>
      <c r="B426" s="1" t="n">
        <v>46134.47600694445</v>
      </c>
      <c r="C426" s="1" t="n">
        <v>46164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4.6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60664-2025</t>
        </is>
      </c>
      <c r="B427" s="1" t="n">
        <v>45996.51069444444</v>
      </c>
      <c r="C427" s="1" t="n">
        <v>46164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60433-2025</t>
        </is>
      </c>
      <c r="B428" s="1" t="n">
        <v>45995.47346064815</v>
      </c>
      <c r="C428" s="1" t="n">
        <v>46164</v>
      </c>
      <c r="D428" t="inlineStr">
        <is>
          <t>VÄRMLANDS LÄN</t>
        </is>
      </c>
      <c r="E428" t="inlineStr">
        <is>
          <t>FILIPSTAD</t>
        </is>
      </c>
      <c r="F428" t="inlineStr">
        <is>
          <t>Bergvik skog väst AB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31358-2023</t>
        </is>
      </c>
      <c r="B429" s="1" t="n">
        <v>45114</v>
      </c>
      <c r="C429" s="1" t="n">
        <v>46164</v>
      </c>
      <c r="D429" t="inlineStr">
        <is>
          <t>VÄRMLANDS LÄN</t>
        </is>
      </c>
      <c r="E429" t="inlineStr">
        <is>
          <t>FILIPSTAD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60396-2025</t>
        </is>
      </c>
      <c r="B430" s="1" t="n">
        <v>45995.39877314815</v>
      </c>
      <c r="C430" s="1" t="n">
        <v>46164</v>
      </c>
      <c r="D430" t="inlineStr">
        <is>
          <t>VÄRMLANDS LÄN</t>
        </is>
      </c>
      <c r="E430" t="inlineStr">
        <is>
          <t>FILIPSTAD</t>
        </is>
      </c>
      <c r="F430" t="inlineStr">
        <is>
          <t>Bergvik skog väst AB</t>
        </is>
      </c>
      <c r="G430" t="n">
        <v>6.2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19760-2026</t>
        </is>
      </c>
      <c r="B431" s="1" t="n">
        <v>46135.41435185185</v>
      </c>
      <c r="C431" s="1" t="n">
        <v>46164</v>
      </c>
      <c r="D431" t="inlineStr">
        <is>
          <t>VÄRMLANDS LÄN</t>
        </is>
      </c>
      <c r="E431" t="inlineStr">
        <is>
          <t>FILIPSTAD</t>
        </is>
      </c>
      <c r="F431" t="inlineStr">
        <is>
          <t>Bergvik skog väst AB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19882-2026</t>
        </is>
      </c>
      <c r="B432" s="1" t="n">
        <v>46135.66659722223</v>
      </c>
      <c r="C432" s="1" t="n">
        <v>46164</v>
      </c>
      <c r="D432" t="inlineStr">
        <is>
          <t>VÄRMLANDS LÄN</t>
        </is>
      </c>
      <c r="E432" t="inlineStr">
        <is>
          <t>FILIPSTAD</t>
        </is>
      </c>
      <c r="F432" t="inlineStr">
        <is>
          <t>Bergvik skog väst AB</t>
        </is>
      </c>
      <c r="G432" t="n">
        <v>8.800000000000001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34116-2024</t>
        </is>
      </c>
      <c r="B433" s="1" t="n">
        <v>45524</v>
      </c>
      <c r="C433" s="1" t="n">
        <v>46164</v>
      </c>
      <c r="D433" t="inlineStr">
        <is>
          <t>VÄRMLANDS LÄN</t>
        </is>
      </c>
      <c r="E433" t="inlineStr">
        <is>
          <t>FILIPSTAD</t>
        </is>
      </c>
      <c r="F433" t="inlineStr">
        <is>
          <t>Bergvik skog väst AB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61069-2025</t>
        </is>
      </c>
      <c r="B434" s="1" t="n">
        <v>46000.37956018518</v>
      </c>
      <c r="C434" s="1" t="n">
        <v>46164</v>
      </c>
      <c r="D434" t="inlineStr">
        <is>
          <t>VÄRMLANDS LÄN</t>
        </is>
      </c>
      <c r="E434" t="inlineStr">
        <is>
          <t>FILIPSTAD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43059-2024</t>
        </is>
      </c>
      <c r="B435" s="1" t="n">
        <v>45567.46071759259</v>
      </c>
      <c r="C435" s="1" t="n">
        <v>46164</v>
      </c>
      <c r="D435" t="inlineStr">
        <is>
          <t>VÄRMLANDS LÄN</t>
        </is>
      </c>
      <c r="E435" t="inlineStr">
        <is>
          <t>FILIPSTAD</t>
        </is>
      </c>
      <c r="F435" t="inlineStr">
        <is>
          <t>Kyrkan</t>
        </is>
      </c>
      <c r="G435" t="n">
        <v>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54145-2024</t>
        </is>
      </c>
      <c r="B436" s="1" t="n">
        <v>45616</v>
      </c>
      <c r="C436" s="1" t="n">
        <v>46164</v>
      </c>
      <c r="D436" t="inlineStr">
        <is>
          <t>VÄRMLANDS LÄN</t>
        </is>
      </c>
      <c r="E436" t="inlineStr">
        <is>
          <t>FILIPSTAD</t>
        </is>
      </c>
      <c r="F436" t="inlineStr">
        <is>
          <t>Bergvik skog väst AB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35106-2024</t>
        </is>
      </c>
      <c r="B437" s="1" t="n">
        <v>45529</v>
      </c>
      <c r="C437" s="1" t="n">
        <v>46164</v>
      </c>
      <c r="D437" t="inlineStr">
        <is>
          <t>VÄRMLANDS LÄN</t>
        </is>
      </c>
      <c r="E437" t="inlineStr">
        <is>
          <t>FILIPSTAD</t>
        </is>
      </c>
      <c r="F437" t="inlineStr">
        <is>
          <t>Bergvik skog väst AB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60821-2025</t>
        </is>
      </c>
      <c r="B438" s="1" t="n">
        <v>45999.45385416667</v>
      </c>
      <c r="C438" s="1" t="n">
        <v>46164</v>
      </c>
      <c r="D438" t="inlineStr">
        <is>
          <t>VÄRMLANDS LÄN</t>
        </is>
      </c>
      <c r="E438" t="inlineStr">
        <is>
          <t>FILIPSTAD</t>
        </is>
      </c>
      <c r="F438" t="inlineStr">
        <is>
          <t>Bergvik skog väst AB</t>
        </is>
      </c>
      <c r="G438" t="n">
        <v>7.6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19676-2026</t>
        </is>
      </c>
      <c r="B439" s="1" t="n">
        <v>46134.63851851852</v>
      </c>
      <c r="C439" s="1" t="n">
        <v>46164</v>
      </c>
      <c r="D439" t="inlineStr">
        <is>
          <t>VÄRMLANDS LÄN</t>
        </is>
      </c>
      <c r="E439" t="inlineStr">
        <is>
          <t>FILIPSTAD</t>
        </is>
      </c>
      <c r="G439" t="n">
        <v>4.6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61047-2025</t>
        </is>
      </c>
      <c r="B440" s="1" t="n">
        <v>46000.31518518519</v>
      </c>
      <c r="C440" s="1" t="n">
        <v>46164</v>
      </c>
      <c r="D440" t="inlineStr">
        <is>
          <t>VÄRMLANDS LÄN</t>
        </is>
      </c>
      <c r="E440" t="inlineStr">
        <is>
          <t>FILIPSTAD</t>
        </is>
      </c>
      <c r="G440" t="n">
        <v>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61327-2025</t>
        </is>
      </c>
      <c r="B441" s="1" t="n">
        <v>46001.31626157407</v>
      </c>
      <c r="C441" s="1" t="n">
        <v>46164</v>
      </c>
      <c r="D441" t="inlineStr">
        <is>
          <t>VÄRMLANDS LÄN</t>
        </is>
      </c>
      <c r="E441" t="inlineStr">
        <is>
          <t>FILIPSTAD</t>
        </is>
      </c>
      <c r="F441" t="inlineStr">
        <is>
          <t>Bergvik skog väst AB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61362-2025</t>
        </is>
      </c>
      <c r="B442" s="1" t="n">
        <v>46001.42677083334</v>
      </c>
      <c r="C442" s="1" t="n">
        <v>46164</v>
      </c>
      <c r="D442" t="inlineStr">
        <is>
          <t>VÄRMLANDS LÄN</t>
        </is>
      </c>
      <c r="E442" t="inlineStr">
        <is>
          <t>FILIPSTAD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61482-2025</t>
        </is>
      </c>
      <c r="B443" s="1" t="n">
        <v>46001.63010416667</v>
      </c>
      <c r="C443" s="1" t="n">
        <v>46164</v>
      </c>
      <c r="D443" t="inlineStr">
        <is>
          <t>VÄRMLANDS LÄN</t>
        </is>
      </c>
      <c r="E443" t="inlineStr">
        <is>
          <t>FILIPSTAD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61717-2025</t>
        </is>
      </c>
      <c r="B444" s="1" t="n">
        <v>46002.57288194444</v>
      </c>
      <c r="C444" s="1" t="n">
        <v>46164</v>
      </c>
      <c r="D444" t="inlineStr">
        <is>
          <t>VÄRMLANDS LÄN</t>
        </is>
      </c>
      <c r="E444" t="inlineStr">
        <is>
          <t>FILIPSTAD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12955-2026</t>
        </is>
      </c>
      <c r="B445" s="1" t="n">
        <v>46092.6374074074</v>
      </c>
      <c r="C445" s="1" t="n">
        <v>46164</v>
      </c>
      <c r="D445" t="inlineStr">
        <is>
          <t>VÄRMLANDS LÄN</t>
        </is>
      </c>
      <c r="E445" t="inlineStr">
        <is>
          <t>FILIPSTAD</t>
        </is>
      </c>
      <c r="F445" t="inlineStr">
        <is>
          <t>Bergvik skog väst AB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61417-2025</t>
        </is>
      </c>
      <c r="B446" s="1" t="n">
        <v>46001.53278935186</v>
      </c>
      <c r="C446" s="1" t="n">
        <v>46164</v>
      </c>
      <c r="D446" t="inlineStr">
        <is>
          <t>VÄRMLANDS LÄN</t>
        </is>
      </c>
      <c r="E446" t="inlineStr">
        <is>
          <t>FILIPSTAD</t>
        </is>
      </c>
      <c r="F446" t="inlineStr">
        <is>
          <t>Bergvik skog väst AB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17795-2024</t>
        </is>
      </c>
      <c r="B447" s="1" t="n">
        <v>45418</v>
      </c>
      <c r="C447" s="1" t="n">
        <v>46164</v>
      </c>
      <c r="D447" t="inlineStr">
        <is>
          <t>VÄRMLANDS LÄN</t>
        </is>
      </c>
      <c r="E447" t="inlineStr">
        <is>
          <t>FILIPSTAD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61719-2025</t>
        </is>
      </c>
      <c r="B448" s="1" t="n">
        <v>46002.57747685185</v>
      </c>
      <c r="C448" s="1" t="n">
        <v>46164</v>
      </c>
      <c r="D448" t="inlineStr">
        <is>
          <t>VÄRMLANDS LÄN</t>
        </is>
      </c>
      <c r="E448" t="inlineStr">
        <is>
          <t>FILIPSTAD</t>
        </is>
      </c>
      <c r="G448" t="n">
        <v>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61566-2025</t>
        </is>
      </c>
      <c r="B449" s="1" t="n">
        <v>46001.91555555556</v>
      </c>
      <c r="C449" s="1" t="n">
        <v>46164</v>
      </c>
      <c r="D449" t="inlineStr">
        <is>
          <t>VÄRMLANDS LÄN</t>
        </is>
      </c>
      <c r="E449" t="inlineStr">
        <is>
          <t>FILIPSTAD</t>
        </is>
      </c>
      <c r="G449" t="n">
        <v>7.7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47890-2024</t>
        </is>
      </c>
      <c r="B450" s="1" t="n">
        <v>45588</v>
      </c>
      <c r="C450" s="1" t="n">
        <v>46164</v>
      </c>
      <c r="D450" t="inlineStr">
        <is>
          <t>VÄRMLANDS LÄN</t>
        </is>
      </c>
      <c r="E450" t="inlineStr">
        <is>
          <t>FILIPSTAD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61793-2025</t>
        </is>
      </c>
      <c r="B451" s="1" t="n">
        <v>46002.69542824074</v>
      </c>
      <c r="C451" s="1" t="n">
        <v>46164</v>
      </c>
      <c r="D451" t="inlineStr">
        <is>
          <t>VÄRMLANDS LÄN</t>
        </is>
      </c>
      <c r="E451" t="inlineStr">
        <is>
          <t>FILIPSTAD</t>
        </is>
      </c>
      <c r="G451" t="n">
        <v>5.6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61492-2025</t>
        </is>
      </c>
      <c r="B452" s="1" t="n">
        <v>46001</v>
      </c>
      <c r="C452" s="1" t="n">
        <v>46164</v>
      </c>
      <c r="D452" t="inlineStr">
        <is>
          <t>VÄRMLANDS LÄN</t>
        </is>
      </c>
      <c r="E452" t="inlineStr">
        <is>
          <t>FILIPSTAD</t>
        </is>
      </c>
      <c r="F452" t="inlineStr">
        <is>
          <t>Bergvik skog väst AB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12247-2022</t>
        </is>
      </c>
      <c r="B453" s="1" t="n">
        <v>44637.42344907407</v>
      </c>
      <c r="C453" s="1" t="n">
        <v>46164</v>
      </c>
      <c r="D453" t="inlineStr">
        <is>
          <t>VÄRMLANDS LÄN</t>
        </is>
      </c>
      <c r="E453" t="inlineStr">
        <is>
          <t>FILIPSTAD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61391-2025</t>
        </is>
      </c>
      <c r="B454" s="1" t="n">
        <v>46001.46604166667</v>
      </c>
      <c r="C454" s="1" t="n">
        <v>46164</v>
      </c>
      <c r="D454" t="inlineStr">
        <is>
          <t>VÄRMLANDS LÄN</t>
        </is>
      </c>
      <c r="E454" t="inlineStr">
        <is>
          <t>FILIPSTAD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20966-2024</t>
        </is>
      </c>
      <c r="B455" s="1" t="n">
        <v>45439</v>
      </c>
      <c r="C455" s="1" t="n">
        <v>46164</v>
      </c>
      <c r="D455" t="inlineStr">
        <is>
          <t>VÄRMLANDS LÄN</t>
        </is>
      </c>
      <c r="E455" t="inlineStr">
        <is>
          <t>FILIPSTAD</t>
        </is>
      </c>
      <c r="F455" t="inlineStr">
        <is>
          <t>Bergvik skog väst AB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62034-2025</t>
        </is>
      </c>
      <c r="B456" s="1" t="n">
        <v>46004.47174768519</v>
      </c>
      <c r="C456" s="1" t="n">
        <v>46164</v>
      </c>
      <c r="D456" t="inlineStr">
        <is>
          <t>VÄRMLANDS LÄN</t>
        </is>
      </c>
      <c r="E456" t="inlineStr">
        <is>
          <t>FILIPSTAD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62021-2025</t>
        </is>
      </c>
      <c r="B457" s="1" t="n">
        <v>46003.69746527778</v>
      </c>
      <c r="C457" s="1" t="n">
        <v>46164</v>
      </c>
      <c r="D457" t="inlineStr">
        <is>
          <t>VÄRMLANDS LÄN</t>
        </is>
      </c>
      <c r="E457" t="inlineStr">
        <is>
          <t>FILIPSTAD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61976-2025</t>
        </is>
      </c>
      <c r="B458" s="1" t="n">
        <v>46003</v>
      </c>
      <c r="C458" s="1" t="n">
        <v>46164</v>
      </c>
      <c r="D458" t="inlineStr">
        <is>
          <t>VÄRMLANDS LÄN</t>
        </is>
      </c>
      <c r="E458" t="inlineStr">
        <is>
          <t>FILIPSTAD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62018-2025</t>
        </is>
      </c>
      <c r="B459" s="1" t="n">
        <v>46003.69002314815</v>
      </c>
      <c r="C459" s="1" t="n">
        <v>46164</v>
      </c>
      <c r="D459" t="inlineStr">
        <is>
          <t>VÄRMLANDS LÄN</t>
        </is>
      </c>
      <c r="E459" t="inlineStr">
        <is>
          <t>FILIPSTAD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62033-2025</t>
        </is>
      </c>
      <c r="B460" s="1" t="n">
        <v>46004.46229166666</v>
      </c>
      <c r="C460" s="1" t="n">
        <v>46164</v>
      </c>
      <c r="D460" t="inlineStr">
        <is>
          <t>VÄRMLANDS LÄN</t>
        </is>
      </c>
      <c r="E460" t="inlineStr">
        <is>
          <t>FILIPSTAD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61823-2025</t>
        </is>
      </c>
      <c r="B461" s="1" t="n">
        <v>46003.3328125</v>
      </c>
      <c r="C461" s="1" t="n">
        <v>46164</v>
      </c>
      <c r="D461" t="inlineStr">
        <is>
          <t>VÄRMLANDS LÄN</t>
        </is>
      </c>
      <c r="E461" t="inlineStr">
        <is>
          <t>FILIPSTAD</t>
        </is>
      </c>
      <c r="F461" t="inlineStr">
        <is>
          <t>Bergvik skog väst AB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62252-2025</t>
        </is>
      </c>
      <c r="B462" s="1" t="n">
        <v>46006</v>
      </c>
      <c r="C462" s="1" t="n">
        <v>46164</v>
      </c>
      <c r="D462" t="inlineStr">
        <is>
          <t>VÄRMLANDS LÄN</t>
        </is>
      </c>
      <c r="E462" t="inlineStr">
        <is>
          <t>FILIPSTAD</t>
        </is>
      </c>
      <c r="F462" t="inlineStr">
        <is>
          <t>Bergvik skog väst AB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13555-2026</t>
        </is>
      </c>
      <c r="B463" s="1" t="n">
        <v>46094.73469907408</v>
      </c>
      <c r="C463" s="1" t="n">
        <v>46164</v>
      </c>
      <c r="D463" t="inlineStr">
        <is>
          <t>VÄRMLANDS LÄN</t>
        </is>
      </c>
      <c r="E463" t="inlineStr">
        <is>
          <t>FILIPSTAD</t>
        </is>
      </c>
      <c r="F463" t="inlineStr">
        <is>
          <t>Bergvik skog väst AB</t>
        </is>
      </c>
      <c r="G463" t="n">
        <v>4.8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62243-2025</t>
        </is>
      </c>
      <c r="B464" s="1" t="n">
        <v>46006</v>
      </c>
      <c r="C464" s="1" t="n">
        <v>46164</v>
      </c>
      <c r="D464" t="inlineStr">
        <is>
          <t>VÄRMLANDS LÄN</t>
        </is>
      </c>
      <c r="E464" t="inlineStr">
        <is>
          <t>FILIPSTAD</t>
        </is>
      </c>
      <c r="F464" t="inlineStr">
        <is>
          <t>Bergvik skog väst AB</t>
        </is>
      </c>
      <c r="G464" t="n">
        <v>4.5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20040-2026</t>
        </is>
      </c>
      <c r="B465" s="1" t="n">
        <v>46136.55704861111</v>
      </c>
      <c r="C465" s="1" t="n">
        <v>46164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20050-2026</t>
        </is>
      </c>
      <c r="B466" s="1" t="n">
        <v>46136.56962962963</v>
      </c>
      <c r="C466" s="1" t="n">
        <v>46164</v>
      </c>
      <c r="D466" t="inlineStr">
        <is>
          <t>VÄRMLANDS LÄN</t>
        </is>
      </c>
      <c r="E466" t="inlineStr">
        <is>
          <t>FILIPSTAD</t>
        </is>
      </c>
      <c r="F466" t="inlineStr">
        <is>
          <t>Bergvik skog väst AB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13520-2026</t>
        </is>
      </c>
      <c r="B467" s="1" t="n">
        <v>46094.6215162037</v>
      </c>
      <c r="C467" s="1" t="n">
        <v>46164</v>
      </c>
      <c r="D467" t="inlineStr">
        <is>
          <t>VÄRMLANDS LÄN</t>
        </is>
      </c>
      <c r="E467" t="inlineStr">
        <is>
          <t>FILIPSTAD</t>
        </is>
      </c>
      <c r="F467" t="inlineStr">
        <is>
          <t>Bergvik skog väst AB</t>
        </is>
      </c>
      <c r="G467" t="n">
        <v>5.5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9062-2025</t>
        </is>
      </c>
      <c r="B468" s="1" t="n">
        <v>45713.64682870371</v>
      </c>
      <c r="C468" s="1" t="n">
        <v>46164</v>
      </c>
      <c r="D468" t="inlineStr">
        <is>
          <t>VÄRMLANDS LÄN</t>
        </is>
      </c>
      <c r="E468" t="inlineStr">
        <is>
          <t>FILIPSTAD</t>
        </is>
      </c>
      <c r="F468" t="inlineStr">
        <is>
          <t>Bergvik skog väst AB</t>
        </is>
      </c>
      <c r="G468" t="n">
        <v>6.8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1750-2025</t>
        </is>
      </c>
      <c r="B469" s="1" t="n">
        <v>45671.40900462963</v>
      </c>
      <c r="C469" s="1" t="n">
        <v>46164</v>
      </c>
      <c r="D469" t="inlineStr">
        <is>
          <t>VÄRMLANDS LÄN</t>
        </is>
      </c>
      <c r="E469" t="inlineStr">
        <is>
          <t>FILIPSTAD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54127-2023</t>
        </is>
      </c>
      <c r="B470" s="1" t="n">
        <v>45232</v>
      </c>
      <c r="C470" s="1" t="n">
        <v>46164</v>
      </c>
      <c r="D470" t="inlineStr">
        <is>
          <t>VÄRMLANDS LÄN</t>
        </is>
      </c>
      <c r="E470" t="inlineStr">
        <is>
          <t>FILIPSTAD</t>
        </is>
      </c>
      <c r="G470" t="n">
        <v>15.5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20014-2026</t>
        </is>
      </c>
      <c r="B471" s="1" t="n">
        <v>46136.48873842593</v>
      </c>
      <c r="C471" s="1" t="n">
        <v>46164</v>
      </c>
      <c r="D471" t="inlineStr">
        <is>
          <t>VÄRMLANDS LÄN</t>
        </is>
      </c>
      <c r="E471" t="inlineStr">
        <is>
          <t>FILIPSTAD</t>
        </is>
      </c>
      <c r="F471" t="inlineStr">
        <is>
          <t>Bergvik skog väst AB</t>
        </is>
      </c>
      <c r="G471" t="n">
        <v>5.2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63411-2023</t>
        </is>
      </c>
      <c r="B472" s="1" t="n">
        <v>45274.52950231481</v>
      </c>
      <c r="C472" s="1" t="n">
        <v>46164</v>
      </c>
      <c r="D472" t="inlineStr">
        <is>
          <t>VÄRMLANDS LÄN</t>
        </is>
      </c>
      <c r="E472" t="inlineStr">
        <is>
          <t>FILIPSTAD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63186-2025</t>
        </is>
      </c>
      <c r="B473" s="1" t="n">
        <v>46010.44204861111</v>
      </c>
      <c r="C473" s="1" t="n">
        <v>46164</v>
      </c>
      <c r="D473" t="inlineStr">
        <is>
          <t>VÄRMLANDS LÄN</t>
        </is>
      </c>
      <c r="E473" t="inlineStr">
        <is>
          <t>FILIPSTAD</t>
        </is>
      </c>
      <c r="F473" t="inlineStr">
        <is>
          <t>Bergvik skog väst AB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62991-2025</t>
        </is>
      </c>
      <c r="B474" s="1" t="n">
        <v>46009.52553240741</v>
      </c>
      <c r="C474" s="1" t="n">
        <v>46164</v>
      </c>
      <c r="D474" t="inlineStr">
        <is>
          <t>VÄRMLANDS LÄN</t>
        </is>
      </c>
      <c r="E474" t="inlineStr">
        <is>
          <t>FILIPSTAD</t>
        </is>
      </c>
      <c r="F474" t="inlineStr">
        <is>
          <t>Bergvik skog väst AB</t>
        </is>
      </c>
      <c r="G474" t="n">
        <v>7.9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20045-2026</t>
        </is>
      </c>
      <c r="B475" s="1" t="n">
        <v>46136.56420138889</v>
      </c>
      <c r="C475" s="1" t="n">
        <v>46164</v>
      </c>
      <c r="D475" t="inlineStr">
        <is>
          <t>VÄRMLANDS LÄN</t>
        </is>
      </c>
      <c r="E475" t="inlineStr">
        <is>
          <t>FILIPSTAD</t>
        </is>
      </c>
      <c r="F475" t="inlineStr">
        <is>
          <t>Bergvik skog väst AB</t>
        </is>
      </c>
      <c r="G475" t="n">
        <v>11.5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29474-2024</t>
        </is>
      </c>
      <c r="B476" s="1" t="n">
        <v>45484</v>
      </c>
      <c r="C476" s="1" t="n">
        <v>46164</v>
      </c>
      <c r="D476" t="inlineStr">
        <is>
          <t>VÄRMLANDS LÄN</t>
        </is>
      </c>
      <c r="E476" t="inlineStr">
        <is>
          <t>FILIPSTAD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13387-2026</t>
        </is>
      </c>
      <c r="B477" s="1" t="n">
        <v>46094.43741898148</v>
      </c>
      <c r="C477" s="1" t="n">
        <v>46164</v>
      </c>
      <c r="D477" t="inlineStr">
        <is>
          <t>VÄRMLANDS LÄN</t>
        </is>
      </c>
      <c r="E477" t="inlineStr">
        <is>
          <t>FILIPSTAD</t>
        </is>
      </c>
      <c r="F477" t="inlineStr">
        <is>
          <t>Bergvik skog väst AB</t>
        </is>
      </c>
      <c r="G477" t="n">
        <v>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13553-2026</t>
        </is>
      </c>
      <c r="B478" s="1" t="n">
        <v>46094.7296875</v>
      </c>
      <c r="C478" s="1" t="n">
        <v>46164</v>
      </c>
      <c r="D478" t="inlineStr">
        <is>
          <t>VÄRMLANDS LÄN</t>
        </is>
      </c>
      <c r="E478" t="inlineStr">
        <is>
          <t>FILIPSTAD</t>
        </is>
      </c>
      <c r="F478" t="inlineStr">
        <is>
          <t>Bergvik skog väst AB</t>
        </is>
      </c>
      <c r="G478" t="n">
        <v>8.9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63482-2021</t>
        </is>
      </c>
      <c r="B479" s="1" t="n">
        <v>44508</v>
      </c>
      <c r="C479" s="1" t="n">
        <v>46164</v>
      </c>
      <c r="D479" t="inlineStr">
        <is>
          <t>VÄRMLANDS LÄN</t>
        </is>
      </c>
      <c r="E479" t="inlineStr">
        <is>
          <t>FILIPSTAD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63678-2025</t>
        </is>
      </c>
      <c r="B480" s="1" t="n">
        <v>46014.49609953703</v>
      </c>
      <c r="C480" s="1" t="n">
        <v>46164</v>
      </c>
      <c r="D480" t="inlineStr">
        <is>
          <t>VÄRMLANDS LÄN</t>
        </is>
      </c>
      <c r="E480" t="inlineStr">
        <is>
          <t>FILIPSTAD</t>
        </is>
      </c>
      <c r="G480" t="n">
        <v>9.9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63629-2025</t>
        </is>
      </c>
      <c r="B481" s="1" t="n">
        <v>46014.37099537037</v>
      </c>
      <c r="C481" s="1" t="n">
        <v>46164</v>
      </c>
      <c r="D481" t="inlineStr">
        <is>
          <t>VÄRMLANDS LÄN</t>
        </is>
      </c>
      <c r="E481" t="inlineStr">
        <is>
          <t>FILIPSTAD</t>
        </is>
      </c>
      <c r="F481" t="inlineStr">
        <is>
          <t>Bergvik skog väst AB</t>
        </is>
      </c>
      <c r="G481" t="n">
        <v>14.1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869-2025</t>
        </is>
      </c>
      <c r="B482" s="1" t="n">
        <v>45665</v>
      </c>
      <c r="C482" s="1" t="n">
        <v>46164</v>
      </c>
      <c r="D482" t="inlineStr">
        <is>
          <t>VÄRMLANDS LÄN</t>
        </is>
      </c>
      <c r="E482" t="inlineStr">
        <is>
          <t>FILIPSTAD</t>
        </is>
      </c>
      <c r="G482" t="n">
        <v>11.7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44509-2023</t>
        </is>
      </c>
      <c r="B483" s="1" t="n">
        <v>45189.46456018519</v>
      </c>
      <c r="C483" s="1" t="n">
        <v>46164</v>
      </c>
      <c r="D483" t="inlineStr">
        <is>
          <t>VÄRMLANDS LÄN</t>
        </is>
      </c>
      <c r="E483" t="inlineStr">
        <is>
          <t>FILIPSTAD</t>
        </is>
      </c>
      <c r="F483" t="inlineStr">
        <is>
          <t>Bergvik skog väst AB</t>
        </is>
      </c>
      <c r="G483" t="n">
        <v>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17763-2025</t>
        </is>
      </c>
      <c r="B484" s="1" t="n">
        <v>45758</v>
      </c>
      <c r="C484" s="1" t="n">
        <v>46164</v>
      </c>
      <c r="D484" t="inlineStr">
        <is>
          <t>VÄRMLANDS LÄN</t>
        </is>
      </c>
      <c r="E484" t="inlineStr">
        <is>
          <t>FILIPSTAD</t>
        </is>
      </c>
      <c r="F484" t="inlineStr">
        <is>
          <t>Bergvik skog väst AB</t>
        </is>
      </c>
      <c r="G484" t="n">
        <v>13.1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13393-2026</t>
        </is>
      </c>
      <c r="B485" s="1" t="n">
        <v>46094.44184027778</v>
      </c>
      <c r="C485" s="1" t="n">
        <v>46164</v>
      </c>
      <c r="D485" t="inlineStr">
        <is>
          <t>VÄRMLANDS LÄN</t>
        </is>
      </c>
      <c r="E485" t="inlineStr">
        <is>
          <t>FILIPSTAD</t>
        </is>
      </c>
      <c r="F485" t="inlineStr">
        <is>
          <t>Bergvik skog väst AB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20801-2026</t>
        </is>
      </c>
      <c r="B486" s="1" t="n">
        <v>46141.67641203704</v>
      </c>
      <c r="C486" s="1" t="n">
        <v>46164</v>
      </c>
      <c r="D486" t="inlineStr">
        <is>
          <t>VÄRMLANDS LÄN</t>
        </is>
      </c>
      <c r="E486" t="inlineStr">
        <is>
          <t>FILIPSTAD</t>
        </is>
      </c>
      <c r="F486" t="inlineStr">
        <is>
          <t>Bergvik skog väst AB</t>
        </is>
      </c>
      <c r="G486" t="n">
        <v>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13863-2026</t>
        </is>
      </c>
      <c r="B487" s="1" t="n">
        <v>46098.41208333334</v>
      </c>
      <c r="C487" s="1" t="n">
        <v>46164</v>
      </c>
      <c r="D487" t="inlineStr">
        <is>
          <t>VÄRMLANDS LÄN</t>
        </is>
      </c>
      <c r="E487" t="inlineStr">
        <is>
          <t>FILIPSTAD</t>
        </is>
      </c>
      <c r="F487" t="inlineStr">
        <is>
          <t>Bergvik skog väst AB</t>
        </is>
      </c>
      <c r="G487" t="n">
        <v>13.7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51639-2025</t>
        </is>
      </c>
      <c r="B488" s="1" t="n">
        <v>45951.44256944444</v>
      </c>
      <c r="C488" s="1" t="n">
        <v>46164</v>
      </c>
      <c r="D488" t="inlineStr">
        <is>
          <t>VÄRMLANDS LÄN</t>
        </is>
      </c>
      <c r="E488" t="inlineStr">
        <is>
          <t>FILIPSTAD</t>
        </is>
      </c>
      <c r="F488" t="inlineStr">
        <is>
          <t>Bergvik skog väst AB</t>
        </is>
      </c>
      <c r="G488" t="n">
        <v>5.3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29681-2025</t>
        </is>
      </c>
      <c r="B489" s="1" t="n">
        <v>45825.51052083333</v>
      </c>
      <c r="C489" s="1" t="n">
        <v>46164</v>
      </c>
      <c r="D489" t="inlineStr">
        <is>
          <t>VÄRMLANDS LÄN</t>
        </is>
      </c>
      <c r="E489" t="inlineStr">
        <is>
          <t>FILIPSTAD</t>
        </is>
      </c>
      <c r="F489" t="inlineStr">
        <is>
          <t>Bergvik skog väst AB</t>
        </is>
      </c>
      <c r="G489" t="n">
        <v>7.6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20661-2026</t>
        </is>
      </c>
      <c r="B490" s="1" t="n">
        <v>46141.42909722222</v>
      </c>
      <c r="C490" s="1" t="n">
        <v>46164</v>
      </c>
      <c r="D490" t="inlineStr">
        <is>
          <t>VÄRMLANDS LÄN</t>
        </is>
      </c>
      <c r="E490" t="inlineStr">
        <is>
          <t>FILIPSTAD</t>
        </is>
      </c>
      <c r="F490" t="inlineStr">
        <is>
          <t>Bergvik skog väst AB</t>
        </is>
      </c>
      <c r="G490" t="n">
        <v>5.4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51959-2025</t>
        </is>
      </c>
      <c r="B491" s="1" t="n">
        <v>45952.54662037037</v>
      </c>
      <c r="C491" s="1" t="n">
        <v>46164</v>
      </c>
      <c r="D491" t="inlineStr">
        <is>
          <t>VÄRMLANDS LÄN</t>
        </is>
      </c>
      <c r="E491" t="inlineStr">
        <is>
          <t>FILIPSTAD</t>
        </is>
      </c>
      <c r="F491" t="inlineStr">
        <is>
          <t>Bergvik skog väst AB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55998-2025</t>
        </is>
      </c>
      <c r="B492" s="1" t="n">
        <v>45973.57196759259</v>
      </c>
      <c r="C492" s="1" t="n">
        <v>46164</v>
      </c>
      <c r="D492" t="inlineStr">
        <is>
          <t>VÄRMLANDS LÄN</t>
        </is>
      </c>
      <c r="E492" t="inlineStr">
        <is>
          <t>FILIPSTAD</t>
        </is>
      </c>
      <c r="F492" t="inlineStr">
        <is>
          <t>Bergvik skog väst AB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13955-2026</t>
        </is>
      </c>
      <c r="B493" s="1" t="n">
        <v>46098.55534722222</v>
      </c>
      <c r="C493" s="1" t="n">
        <v>46164</v>
      </c>
      <c r="D493" t="inlineStr">
        <is>
          <t>VÄRMLANDS LÄN</t>
        </is>
      </c>
      <c r="E493" t="inlineStr">
        <is>
          <t>FILIPSTAD</t>
        </is>
      </c>
      <c r="F493" t="inlineStr">
        <is>
          <t>Bergvik skog väst AB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31398-2025</t>
        </is>
      </c>
      <c r="B494" s="1" t="n">
        <v>45833.46820601852</v>
      </c>
      <c r="C494" s="1" t="n">
        <v>46164</v>
      </c>
      <c r="D494" t="inlineStr">
        <is>
          <t>VÄRMLANDS LÄN</t>
        </is>
      </c>
      <c r="E494" t="inlineStr">
        <is>
          <t>FILIPSTAD</t>
        </is>
      </c>
      <c r="F494" t="inlineStr">
        <is>
          <t>Bergvik skog väst AB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70405-2021</t>
        </is>
      </c>
      <c r="B495" s="1" t="n">
        <v>44536.57564814815</v>
      </c>
      <c r="C495" s="1" t="n">
        <v>46164</v>
      </c>
      <c r="D495" t="inlineStr">
        <is>
          <t>VÄRMLANDS LÄN</t>
        </is>
      </c>
      <c r="E495" t="inlineStr">
        <is>
          <t>FILIPSTAD</t>
        </is>
      </c>
      <c r="F495" t="inlineStr">
        <is>
          <t>Bergvik skog väst AB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5754-2022</t>
        </is>
      </c>
      <c r="B496" s="1" t="n">
        <v>44596</v>
      </c>
      <c r="C496" s="1" t="n">
        <v>46164</v>
      </c>
      <c r="D496" t="inlineStr">
        <is>
          <t>VÄRMLANDS LÄN</t>
        </is>
      </c>
      <c r="E496" t="inlineStr">
        <is>
          <t>FILIPSTAD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54735-2024</t>
        </is>
      </c>
      <c r="B497" s="1" t="n">
        <v>45618.44033564815</v>
      </c>
      <c r="C497" s="1" t="n">
        <v>46164</v>
      </c>
      <c r="D497" t="inlineStr">
        <is>
          <t>VÄRMLANDS LÄN</t>
        </is>
      </c>
      <c r="E497" t="inlineStr">
        <is>
          <t>FILIPSTAD</t>
        </is>
      </c>
      <c r="F497" t="inlineStr">
        <is>
          <t>Bergvik skog väst AB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20489-2026</t>
        </is>
      </c>
      <c r="B498" s="1" t="n">
        <v>46140.49739583334</v>
      </c>
      <c r="C498" s="1" t="n">
        <v>46164</v>
      </c>
      <c r="D498" t="inlineStr">
        <is>
          <t>VÄRMLANDS LÄN</t>
        </is>
      </c>
      <c r="E498" t="inlineStr">
        <is>
          <t>FILIPSTAD</t>
        </is>
      </c>
      <c r="F498" t="inlineStr">
        <is>
          <t>Bergvik skog väst AB</t>
        </is>
      </c>
      <c r="G498" t="n">
        <v>10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40244-2023</t>
        </is>
      </c>
      <c r="B499" s="1" t="n">
        <v>45169.48890046297</v>
      </c>
      <c r="C499" s="1" t="n">
        <v>46164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11137-2025</t>
        </is>
      </c>
      <c r="B500" s="1" t="n">
        <v>45723.6612037037</v>
      </c>
      <c r="C500" s="1" t="n">
        <v>46164</v>
      </c>
      <c r="D500" t="inlineStr">
        <is>
          <t>VÄRMLANDS LÄN</t>
        </is>
      </c>
      <c r="E500" t="inlineStr">
        <is>
          <t>FILIPSTAD</t>
        </is>
      </c>
      <c r="F500" t="inlineStr">
        <is>
          <t>Bergvik skog väst AB</t>
        </is>
      </c>
      <c r="G500" t="n">
        <v>5.2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4560-2025</t>
        </is>
      </c>
      <c r="B501" s="1" t="n">
        <v>45687</v>
      </c>
      <c r="C501" s="1" t="n">
        <v>46164</v>
      </c>
      <c r="D501" t="inlineStr">
        <is>
          <t>VÄRMLANDS LÄN</t>
        </is>
      </c>
      <c r="E501" t="inlineStr">
        <is>
          <t>FILIPSTAD</t>
        </is>
      </c>
      <c r="G501" t="n">
        <v>13.6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59869-2024</t>
        </is>
      </c>
      <c r="B502" s="1" t="n">
        <v>45640.3178125</v>
      </c>
      <c r="C502" s="1" t="n">
        <v>46164</v>
      </c>
      <c r="D502" t="inlineStr">
        <is>
          <t>VÄRMLANDS LÄN</t>
        </is>
      </c>
      <c r="E502" t="inlineStr">
        <is>
          <t>FILIPSTAD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49761-2024</t>
        </is>
      </c>
      <c r="B503" s="1" t="n">
        <v>45597</v>
      </c>
      <c r="C503" s="1" t="n">
        <v>46164</v>
      </c>
      <c r="D503" t="inlineStr">
        <is>
          <t>VÄRMLANDS LÄN</t>
        </is>
      </c>
      <c r="E503" t="inlineStr">
        <is>
          <t>FILIPSTAD</t>
        </is>
      </c>
      <c r="F503" t="inlineStr">
        <is>
          <t>Bergvik skog väst AB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20487-2026</t>
        </is>
      </c>
      <c r="B504" s="1" t="n">
        <v>46140.48927083334</v>
      </c>
      <c r="C504" s="1" t="n">
        <v>46164</v>
      </c>
      <c r="D504" t="inlineStr">
        <is>
          <t>VÄRMLANDS LÄN</t>
        </is>
      </c>
      <c r="E504" t="inlineStr">
        <is>
          <t>FILIPSTAD</t>
        </is>
      </c>
      <c r="F504" t="inlineStr">
        <is>
          <t>Bergvik skog väst AB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57531-2024</t>
        </is>
      </c>
      <c r="B505" s="1" t="n">
        <v>45630</v>
      </c>
      <c r="C505" s="1" t="n">
        <v>46164</v>
      </c>
      <c r="D505" t="inlineStr">
        <is>
          <t>VÄRMLANDS LÄN</t>
        </is>
      </c>
      <c r="E505" t="inlineStr">
        <is>
          <t>FILIPSTAD</t>
        </is>
      </c>
      <c r="F505" t="inlineStr">
        <is>
          <t>Bergvik skog väst AB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20874-2026</t>
        </is>
      </c>
      <c r="B506" s="1" t="n">
        <v>46142.39570601852</v>
      </c>
      <c r="C506" s="1" t="n">
        <v>46164</v>
      </c>
      <c r="D506" t="inlineStr">
        <is>
          <t>VÄRMLANDS LÄN</t>
        </is>
      </c>
      <c r="E506" t="inlineStr">
        <is>
          <t>FILIPSTAD</t>
        </is>
      </c>
      <c r="F506" t="inlineStr">
        <is>
          <t>Bergvik skog väst AB</t>
        </is>
      </c>
      <c r="G506" t="n">
        <v>7.9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14379-2026</t>
        </is>
      </c>
      <c r="B507" s="1" t="n">
        <v>46100.37284722222</v>
      </c>
      <c r="C507" s="1" t="n">
        <v>46164</v>
      </c>
      <c r="D507" t="inlineStr">
        <is>
          <t>VÄRMLANDS LÄN</t>
        </is>
      </c>
      <c r="E507" t="inlineStr">
        <is>
          <t>FILIPSTAD</t>
        </is>
      </c>
      <c r="F507" t="inlineStr">
        <is>
          <t>Bergvik skog väst AB</t>
        </is>
      </c>
      <c r="G507" t="n">
        <v>5.7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14315-2026</t>
        </is>
      </c>
      <c r="B508" s="1" t="n">
        <v>46099.8471875</v>
      </c>
      <c r="C508" s="1" t="n">
        <v>46164</v>
      </c>
      <c r="D508" t="inlineStr">
        <is>
          <t>VÄRMLANDS LÄN</t>
        </is>
      </c>
      <c r="E508" t="inlineStr">
        <is>
          <t>FILIPSTAD</t>
        </is>
      </c>
      <c r="F508" t="inlineStr">
        <is>
          <t>Bergvik skog väst AB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58611-2025</t>
        </is>
      </c>
      <c r="B509" s="1" t="n">
        <v>45986</v>
      </c>
      <c r="C509" s="1" t="n">
        <v>46164</v>
      </c>
      <c r="D509" t="inlineStr">
        <is>
          <t>VÄRMLANDS LÄN</t>
        </is>
      </c>
      <c r="E509" t="inlineStr">
        <is>
          <t>FILIPSTAD</t>
        </is>
      </c>
      <c r="G509" t="n">
        <v>3.7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15-2025</t>
        </is>
      </c>
      <c r="B510" s="1" t="n">
        <v>45658.74451388889</v>
      </c>
      <c r="C510" s="1" t="n">
        <v>46164</v>
      </c>
      <c r="D510" t="inlineStr">
        <is>
          <t>VÄRMLANDS LÄN</t>
        </is>
      </c>
      <c r="E510" t="inlineStr">
        <is>
          <t>FILIPSTAD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20919-2026</t>
        </is>
      </c>
      <c r="B511" s="1" t="n">
        <v>46142.47592592592</v>
      </c>
      <c r="C511" s="1" t="n">
        <v>46164</v>
      </c>
      <c r="D511" t="inlineStr">
        <is>
          <t>VÄRMLANDS LÄN</t>
        </is>
      </c>
      <c r="E511" t="inlineStr">
        <is>
          <t>FILIPSTAD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15197-2026</t>
        </is>
      </c>
      <c r="B512" s="1" t="n">
        <v>46105.47495370371</v>
      </c>
      <c r="C512" s="1" t="n">
        <v>46164</v>
      </c>
      <c r="D512" t="inlineStr">
        <is>
          <t>VÄRMLANDS LÄN</t>
        </is>
      </c>
      <c r="E512" t="inlineStr">
        <is>
          <t>FILIPSTAD</t>
        </is>
      </c>
      <c r="F512" t="inlineStr">
        <is>
          <t>Bergvik skog väst AB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56451-2024</t>
        </is>
      </c>
      <c r="B513" s="1" t="n">
        <v>45625.43577546296</v>
      </c>
      <c r="C513" s="1" t="n">
        <v>46164</v>
      </c>
      <c r="D513" t="inlineStr">
        <is>
          <t>VÄRMLANDS LÄN</t>
        </is>
      </c>
      <c r="E513" t="inlineStr">
        <is>
          <t>FILIPSTAD</t>
        </is>
      </c>
      <c r="F513" t="inlineStr">
        <is>
          <t>Bergvik skog väst AB</t>
        </is>
      </c>
      <c r="G513" t="n">
        <v>6.3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20040-2025</t>
        </is>
      </c>
      <c r="B514" s="1" t="n">
        <v>45772</v>
      </c>
      <c r="C514" s="1" t="n">
        <v>46164</v>
      </c>
      <c r="D514" t="inlineStr">
        <is>
          <t>VÄRMLANDS LÄN</t>
        </is>
      </c>
      <c r="E514" t="inlineStr">
        <is>
          <t>FILIPSTAD</t>
        </is>
      </c>
      <c r="F514" t="inlineStr">
        <is>
          <t>Bergvik skog väst AB</t>
        </is>
      </c>
      <c r="G514" t="n">
        <v>7.6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49794-2024</t>
        </is>
      </c>
      <c r="B515" s="1" t="n">
        <v>45597</v>
      </c>
      <c r="C515" s="1" t="n">
        <v>46164</v>
      </c>
      <c r="D515" t="inlineStr">
        <is>
          <t>VÄRMLANDS LÄN</t>
        </is>
      </c>
      <c r="E515" t="inlineStr">
        <is>
          <t>FILIPSTAD</t>
        </is>
      </c>
      <c r="F515" t="inlineStr">
        <is>
          <t>Bergvik skog väst AB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21608-2023</t>
        </is>
      </c>
      <c r="B516" s="1" t="n">
        <v>45063.62739583333</v>
      </c>
      <c r="C516" s="1" t="n">
        <v>46164</v>
      </c>
      <c r="D516" t="inlineStr">
        <is>
          <t>VÄRMLANDS LÄN</t>
        </is>
      </c>
      <c r="E516" t="inlineStr">
        <is>
          <t>FILIPSTAD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59436-2024</t>
        </is>
      </c>
      <c r="B517" s="1" t="n">
        <v>45638</v>
      </c>
      <c r="C517" s="1" t="n">
        <v>46164</v>
      </c>
      <c r="D517" t="inlineStr">
        <is>
          <t>VÄRMLANDS LÄN</t>
        </is>
      </c>
      <c r="E517" t="inlineStr">
        <is>
          <t>FILIPSTAD</t>
        </is>
      </c>
      <c r="F517" t="inlineStr">
        <is>
          <t>Kyrkan</t>
        </is>
      </c>
      <c r="G517" t="n">
        <v>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51980-2024</t>
        </is>
      </c>
      <c r="B518" s="1" t="n">
        <v>45607</v>
      </c>
      <c r="C518" s="1" t="n">
        <v>46164</v>
      </c>
      <c r="D518" t="inlineStr">
        <is>
          <t>VÄRMLANDS LÄN</t>
        </is>
      </c>
      <c r="E518" t="inlineStr">
        <is>
          <t>FILIPSTAD</t>
        </is>
      </c>
      <c r="F518" t="inlineStr">
        <is>
          <t>Bergvik skog väst AB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15848-2026</t>
        </is>
      </c>
      <c r="B519" s="1" t="n">
        <v>46107.57069444445</v>
      </c>
      <c r="C519" s="1" t="n">
        <v>46164</v>
      </c>
      <c r="D519" t="inlineStr">
        <is>
          <t>VÄRMLANDS LÄN</t>
        </is>
      </c>
      <c r="E519" t="inlineStr">
        <is>
          <t>FILIPSTAD</t>
        </is>
      </c>
      <c r="F519" t="inlineStr">
        <is>
          <t>Bergvik skog väst AB</t>
        </is>
      </c>
      <c r="G519" t="n">
        <v>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19096-2025</t>
        </is>
      </c>
      <c r="B520" s="1" t="n">
        <v>45767</v>
      </c>
      <c r="C520" s="1" t="n">
        <v>46164</v>
      </c>
      <c r="D520" t="inlineStr">
        <is>
          <t>VÄRMLANDS LÄN</t>
        </is>
      </c>
      <c r="E520" t="inlineStr">
        <is>
          <t>FILIPSTAD</t>
        </is>
      </c>
      <c r="F520" t="inlineStr">
        <is>
          <t>Bergvik skog väst AB</t>
        </is>
      </c>
      <c r="G520" t="n">
        <v>3.9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54836-2023</t>
        </is>
      </c>
      <c r="B521" s="1" t="n">
        <v>45229</v>
      </c>
      <c r="C521" s="1" t="n">
        <v>46164</v>
      </c>
      <c r="D521" t="inlineStr">
        <is>
          <t>VÄRMLANDS LÄN</t>
        </is>
      </c>
      <c r="E521" t="inlineStr">
        <is>
          <t>FILIPSTAD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15619-2026</t>
        </is>
      </c>
      <c r="B522" s="1" t="n">
        <v>46106.60761574074</v>
      </c>
      <c r="C522" s="1" t="n">
        <v>46164</v>
      </c>
      <c r="D522" t="inlineStr">
        <is>
          <t>VÄRMLANDS LÄN</t>
        </is>
      </c>
      <c r="E522" t="inlineStr">
        <is>
          <t>FILIPSTAD</t>
        </is>
      </c>
      <c r="F522" t="inlineStr">
        <is>
          <t>Bergvik skog väst AB</t>
        </is>
      </c>
      <c r="G522" t="n">
        <v>4.4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21542-2026</t>
        </is>
      </c>
      <c r="B523" s="1" t="n">
        <v>46148.64155092592</v>
      </c>
      <c r="C523" s="1" t="n">
        <v>46164</v>
      </c>
      <c r="D523" t="inlineStr">
        <is>
          <t>VÄRMLANDS LÄN</t>
        </is>
      </c>
      <c r="E523" t="inlineStr">
        <is>
          <t>FILIPSTAD</t>
        </is>
      </c>
      <c r="F523" t="inlineStr">
        <is>
          <t>Bergvik skog väst AB</t>
        </is>
      </c>
      <c r="G523" t="n">
        <v>12.1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15920-2026</t>
        </is>
      </c>
      <c r="B524" s="1" t="n">
        <v>46107.65414351852</v>
      </c>
      <c r="C524" s="1" t="n">
        <v>46164</v>
      </c>
      <c r="D524" t="inlineStr">
        <is>
          <t>VÄRMLANDS LÄN</t>
        </is>
      </c>
      <c r="E524" t="inlineStr">
        <is>
          <t>FILIPSTAD</t>
        </is>
      </c>
      <c r="F524" t="inlineStr">
        <is>
          <t>Bergvik skog väst AB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15889-2026</t>
        </is>
      </c>
      <c r="B525" s="1" t="n">
        <v>46107.61171296296</v>
      </c>
      <c r="C525" s="1" t="n">
        <v>46164</v>
      </c>
      <c r="D525" t="inlineStr">
        <is>
          <t>VÄRMLANDS LÄN</t>
        </is>
      </c>
      <c r="E525" t="inlineStr">
        <is>
          <t>FILIPSTAD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15644-2026</t>
        </is>
      </c>
      <c r="B526" s="1" t="n">
        <v>46106.63914351852</v>
      </c>
      <c r="C526" s="1" t="n">
        <v>46164</v>
      </c>
      <c r="D526" t="inlineStr">
        <is>
          <t>VÄRMLANDS LÄN</t>
        </is>
      </c>
      <c r="E526" t="inlineStr">
        <is>
          <t>FILIPSTAD</t>
        </is>
      </c>
      <c r="F526" t="inlineStr">
        <is>
          <t>Bergvik skog väst AB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15417-2026</t>
        </is>
      </c>
      <c r="B527" s="1" t="n">
        <v>46106.37290509259</v>
      </c>
      <c r="C527" s="1" t="n">
        <v>46164</v>
      </c>
      <c r="D527" t="inlineStr">
        <is>
          <t>VÄRMLANDS LÄN</t>
        </is>
      </c>
      <c r="E527" t="inlineStr">
        <is>
          <t>FILIPSTAD</t>
        </is>
      </c>
      <c r="G527" t="n">
        <v>8.5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15645-2026</t>
        </is>
      </c>
      <c r="B528" s="1" t="n">
        <v>46106.64355324074</v>
      </c>
      <c r="C528" s="1" t="n">
        <v>46164</v>
      </c>
      <c r="D528" t="inlineStr">
        <is>
          <t>VÄRMLANDS LÄN</t>
        </is>
      </c>
      <c r="E528" t="inlineStr">
        <is>
          <t>FILIPSTAD</t>
        </is>
      </c>
      <c r="F528" t="inlineStr">
        <is>
          <t>Bergvik skog väst AB</t>
        </is>
      </c>
      <c r="G528" t="n">
        <v>6.7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15412-2026</t>
        </is>
      </c>
      <c r="B529" s="1" t="n">
        <v>46106.36917824074</v>
      </c>
      <c r="C529" s="1" t="n">
        <v>46164</v>
      </c>
      <c r="D529" t="inlineStr">
        <is>
          <t>VÄRMLANDS LÄN</t>
        </is>
      </c>
      <c r="E529" t="inlineStr">
        <is>
          <t>FILIPSTAD</t>
        </is>
      </c>
      <c r="F529" t="inlineStr">
        <is>
          <t>Bergvik skog väst AB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15459-2026</t>
        </is>
      </c>
      <c r="B530" s="1" t="n">
        <v>46106.42329861111</v>
      </c>
      <c r="C530" s="1" t="n">
        <v>46164</v>
      </c>
      <c r="D530" t="inlineStr">
        <is>
          <t>VÄRMLANDS LÄN</t>
        </is>
      </c>
      <c r="E530" t="inlineStr">
        <is>
          <t>FILIPSTAD</t>
        </is>
      </c>
      <c r="F530" t="inlineStr">
        <is>
          <t>Bergvik skog väst AB</t>
        </is>
      </c>
      <c r="G530" t="n">
        <v>11.8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22138-2026</t>
        </is>
      </c>
      <c r="B531" s="1" t="n">
        <v>46153.60133101852</v>
      </c>
      <c r="C531" s="1" t="n">
        <v>46164</v>
      </c>
      <c r="D531" t="inlineStr">
        <is>
          <t>VÄRMLANDS LÄN</t>
        </is>
      </c>
      <c r="E531" t="inlineStr">
        <is>
          <t>FILIPSTAD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22144-2026</t>
        </is>
      </c>
      <c r="B532" s="1" t="n">
        <v>46153.60578703704</v>
      </c>
      <c r="C532" s="1" t="n">
        <v>46164</v>
      </c>
      <c r="D532" t="inlineStr">
        <is>
          <t>VÄRMLANDS LÄN</t>
        </is>
      </c>
      <c r="E532" t="inlineStr">
        <is>
          <t>FILIPSTAD</t>
        </is>
      </c>
      <c r="G532" t="n">
        <v>3.5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16009-2026</t>
        </is>
      </c>
      <c r="B533" s="1" t="n">
        <v>46108.4197337963</v>
      </c>
      <c r="C533" s="1" t="n">
        <v>46164</v>
      </c>
      <c r="D533" t="inlineStr">
        <is>
          <t>VÄRMLANDS LÄN</t>
        </is>
      </c>
      <c r="E533" t="inlineStr">
        <is>
          <t>FILIPSTAD</t>
        </is>
      </c>
      <c r="F533" t="inlineStr">
        <is>
          <t>Bergvik skog väst AB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16040-2026</t>
        </is>
      </c>
      <c r="B534" s="1" t="n">
        <v>46108.46903935185</v>
      </c>
      <c r="C534" s="1" t="n">
        <v>46164</v>
      </c>
      <c r="D534" t="inlineStr">
        <is>
          <t>VÄRMLANDS LÄN</t>
        </is>
      </c>
      <c r="E534" t="inlineStr">
        <is>
          <t>FILIPSTAD</t>
        </is>
      </c>
      <c r="F534" t="inlineStr">
        <is>
          <t>Bergvik skog väst AB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16050-2026</t>
        </is>
      </c>
      <c r="B535" s="1" t="n">
        <v>46108.48368055555</v>
      </c>
      <c r="C535" s="1" t="n">
        <v>46164</v>
      </c>
      <c r="D535" t="inlineStr">
        <is>
          <t>VÄRMLANDS LÄN</t>
        </is>
      </c>
      <c r="E535" t="inlineStr">
        <is>
          <t>FILIPSTAD</t>
        </is>
      </c>
      <c r="F535" t="inlineStr">
        <is>
          <t>Bergvik skog väst AB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56650-2024</t>
        </is>
      </c>
      <c r="B536" s="1" t="n">
        <v>45625.76855324074</v>
      </c>
      <c r="C536" s="1" t="n">
        <v>46164</v>
      </c>
      <c r="D536" t="inlineStr">
        <is>
          <t>VÄRMLANDS LÄN</t>
        </is>
      </c>
      <c r="E536" t="inlineStr">
        <is>
          <t>FILIPSTAD</t>
        </is>
      </c>
      <c r="F536" t="inlineStr">
        <is>
          <t>Bergvik skog väst AB</t>
        </is>
      </c>
      <c r="G536" t="n">
        <v>6.8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56652-2024</t>
        </is>
      </c>
      <c r="B537" s="1" t="n">
        <v>45625.78240740741</v>
      </c>
      <c r="C537" s="1" t="n">
        <v>46164</v>
      </c>
      <c r="D537" t="inlineStr">
        <is>
          <t>VÄRMLANDS LÄN</t>
        </is>
      </c>
      <c r="E537" t="inlineStr">
        <is>
          <t>FILIPSTAD</t>
        </is>
      </c>
      <c r="F537" t="inlineStr">
        <is>
          <t>Bergvik skog väst AB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56654-2024</t>
        </is>
      </c>
      <c r="B538" s="1" t="n">
        <v>45625</v>
      </c>
      <c r="C538" s="1" t="n">
        <v>46164</v>
      </c>
      <c r="D538" t="inlineStr">
        <is>
          <t>VÄRMLANDS LÄN</t>
        </is>
      </c>
      <c r="E538" t="inlineStr">
        <is>
          <t>FILIPSTAD</t>
        </is>
      </c>
      <c r="F538" t="inlineStr">
        <is>
          <t>Bergvik skog väst AB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22051-2026</t>
        </is>
      </c>
      <c r="B539" s="1" t="n">
        <v>46153.47263888889</v>
      </c>
      <c r="C539" s="1" t="n">
        <v>46164</v>
      </c>
      <c r="D539" t="inlineStr">
        <is>
          <t>VÄRMLANDS LÄN</t>
        </is>
      </c>
      <c r="E539" t="inlineStr">
        <is>
          <t>FILIPSTAD</t>
        </is>
      </c>
      <c r="F539" t="inlineStr">
        <is>
          <t>Bergvik skog väst AB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22021-2026</t>
        </is>
      </c>
      <c r="B540" s="1" t="n">
        <v>46153.41</v>
      </c>
      <c r="C540" s="1" t="n">
        <v>46164</v>
      </c>
      <c r="D540" t="inlineStr">
        <is>
          <t>VÄRMLANDS LÄN</t>
        </is>
      </c>
      <c r="E540" t="inlineStr">
        <is>
          <t>FILIPSTAD</t>
        </is>
      </c>
      <c r="F540" t="inlineStr">
        <is>
          <t>Bergvik skog väst AB</t>
        </is>
      </c>
      <c r="G540" t="n">
        <v>5.6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22112-2026</t>
        </is>
      </c>
      <c r="B541" s="1" t="n">
        <v>46153.56353009259</v>
      </c>
      <c r="C541" s="1" t="n">
        <v>46164</v>
      </c>
      <c r="D541" t="inlineStr">
        <is>
          <t>VÄRMLANDS LÄN</t>
        </is>
      </c>
      <c r="E541" t="inlineStr">
        <is>
          <t>FILIPSTAD</t>
        </is>
      </c>
      <c r="F541" t="inlineStr">
        <is>
          <t>Bergvik skog väst AB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29825-2023</t>
        </is>
      </c>
      <c r="B542" s="1" t="n">
        <v>45107</v>
      </c>
      <c r="C542" s="1" t="n">
        <v>46164</v>
      </c>
      <c r="D542" t="inlineStr">
        <is>
          <t>VÄRMLANDS LÄN</t>
        </is>
      </c>
      <c r="E542" t="inlineStr">
        <is>
          <t>FILIPSTAD</t>
        </is>
      </c>
      <c r="G542" t="n">
        <v>0.3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22176-2026</t>
        </is>
      </c>
      <c r="B543" s="1" t="n">
        <v>46153.64296296296</v>
      </c>
      <c r="C543" s="1" t="n">
        <v>46164</v>
      </c>
      <c r="D543" t="inlineStr">
        <is>
          <t>VÄRMLANDS LÄN</t>
        </is>
      </c>
      <c r="E543" t="inlineStr">
        <is>
          <t>FILIPSTAD</t>
        </is>
      </c>
      <c r="F543" t="inlineStr">
        <is>
          <t>Bergvik skog väst AB</t>
        </is>
      </c>
      <c r="G543" t="n">
        <v>6.1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16067-2026</t>
        </is>
      </c>
      <c r="B544" s="1" t="n">
        <v>46108.52866898148</v>
      </c>
      <c r="C544" s="1" t="n">
        <v>46164</v>
      </c>
      <c r="D544" t="inlineStr">
        <is>
          <t>VÄRMLANDS LÄN</t>
        </is>
      </c>
      <c r="E544" t="inlineStr">
        <is>
          <t>FILIPSTAD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20554-2025</t>
        </is>
      </c>
      <c r="B545" s="1" t="n">
        <v>45775</v>
      </c>
      <c r="C545" s="1" t="n">
        <v>46164</v>
      </c>
      <c r="D545" t="inlineStr">
        <is>
          <t>VÄRMLANDS LÄN</t>
        </is>
      </c>
      <c r="E545" t="inlineStr">
        <is>
          <t>FILIPSTAD</t>
        </is>
      </c>
      <c r="F545" t="inlineStr">
        <is>
          <t>Bergvik skog väst AB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22201-2026</t>
        </is>
      </c>
      <c r="B546" s="1" t="n">
        <v>46153.66972222222</v>
      </c>
      <c r="C546" s="1" t="n">
        <v>46164</v>
      </c>
      <c r="D546" t="inlineStr">
        <is>
          <t>VÄRMLANDS LÄN</t>
        </is>
      </c>
      <c r="E546" t="inlineStr">
        <is>
          <t>FILIPSTAD</t>
        </is>
      </c>
      <c r="F546" t="inlineStr">
        <is>
          <t>Bergvik skog väst AB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22152-2026</t>
        </is>
      </c>
      <c r="B547" s="1" t="n">
        <v>46153.62416666667</v>
      </c>
      <c r="C547" s="1" t="n">
        <v>46164</v>
      </c>
      <c r="D547" t="inlineStr">
        <is>
          <t>VÄRMLANDS LÄN</t>
        </is>
      </c>
      <c r="E547" t="inlineStr">
        <is>
          <t>FILIPSTAD</t>
        </is>
      </c>
      <c r="F547" t="inlineStr">
        <is>
          <t>Bergvik skog väst AB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22032-2026</t>
        </is>
      </c>
      <c r="B548" s="1" t="n">
        <v>46153.4471875</v>
      </c>
      <c r="C548" s="1" t="n">
        <v>46164</v>
      </c>
      <c r="D548" t="inlineStr">
        <is>
          <t>VÄRMLANDS LÄN</t>
        </is>
      </c>
      <c r="E548" t="inlineStr">
        <is>
          <t>FILIPSTAD</t>
        </is>
      </c>
      <c r="F548" t="inlineStr">
        <is>
          <t>Bergvik skog väst AB</t>
        </is>
      </c>
      <c r="G548" t="n">
        <v>3.9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22136-2026</t>
        </is>
      </c>
      <c r="B549" s="1" t="n">
        <v>46153.5980324074</v>
      </c>
      <c r="C549" s="1" t="n">
        <v>46164</v>
      </c>
      <c r="D549" t="inlineStr">
        <is>
          <t>VÄRMLANDS LÄN</t>
        </is>
      </c>
      <c r="E549" t="inlineStr">
        <is>
          <t>FILIPSTAD</t>
        </is>
      </c>
      <c r="G549" t="n">
        <v>10.8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22229-2026</t>
        </is>
      </c>
      <c r="B550" s="1" t="n">
        <v>46153.7928125</v>
      </c>
      <c r="C550" s="1" t="n">
        <v>46164</v>
      </c>
      <c r="D550" t="inlineStr">
        <is>
          <t>VÄRMLANDS LÄN</t>
        </is>
      </c>
      <c r="E550" t="inlineStr">
        <is>
          <t>FILIPSTAD</t>
        </is>
      </c>
      <c r="F550" t="inlineStr">
        <is>
          <t>Bergvik skog väst AB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22045-2026</t>
        </is>
      </c>
      <c r="B551" s="1" t="n">
        <v>46153.46863425926</v>
      </c>
      <c r="C551" s="1" t="n">
        <v>46164</v>
      </c>
      <c r="D551" t="inlineStr">
        <is>
          <t>VÄRMLANDS LÄN</t>
        </is>
      </c>
      <c r="E551" t="inlineStr">
        <is>
          <t>FILIPSTAD</t>
        </is>
      </c>
      <c r="F551" t="inlineStr">
        <is>
          <t>Bergvik skog väst AB</t>
        </is>
      </c>
      <c r="G551" t="n">
        <v>5.4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22220-2026</t>
        </is>
      </c>
      <c r="B552" s="1" t="n">
        <v>46153.70738425926</v>
      </c>
      <c r="C552" s="1" t="n">
        <v>46164</v>
      </c>
      <c r="D552" t="inlineStr">
        <is>
          <t>VÄRMLANDS LÄN</t>
        </is>
      </c>
      <c r="E552" t="inlineStr">
        <is>
          <t>FILIPSTAD</t>
        </is>
      </c>
      <c r="F552" t="inlineStr">
        <is>
          <t>Bergvik skog väst AB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4462-2025</t>
        </is>
      </c>
      <c r="B553" s="1" t="n">
        <v>45686.60108796296</v>
      </c>
      <c r="C553" s="1" t="n">
        <v>46164</v>
      </c>
      <c r="D553" t="inlineStr">
        <is>
          <t>VÄRMLANDS LÄN</t>
        </is>
      </c>
      <c r="E553" t="inlineStr">
        <is>
          <t>FILIPSTAD</t>
        </is>
      </c>
      <c r="F553" t="inlineStr">
        <is>
          <t>Bergvik skog väst AB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27789-2022</t>
        </is>
      </c>
      <c r="B554" s="1" t="n">
        <v>44743.56622685185</v>
      </c>
      <c r="C554" s="1" t="n">
        <v>46164</v>
      </c>
      <c r="D554" t="inlineStr">
        <is>
          <t>VÄRMLANDS LÄN</t>
        </is>
      </c>
      <c r="E554" t="inlineStr">
        <is>
          <t>FILIPSTAD</t>
        </is>
      </c>
      <c r="F554" t="inlineStr">
        <is>
          <t>Bergvik skog väst AB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43484-2023</t>
        </is>
      </c>
      <c r="B555" s="1" t="n">
        <v>45184</v>
      </c>
      <c r="C555" s="1" t="n">
        <v>46164</v>
      </c>
      <c r="D555" t="inlineStr">
        <is>
          <t>VÄRMLANDS LÄN</t>
        </is>
      </c>
      <c r="E555" t="inlineStr">
        <is>
          <t>FILIPSTAD</t>
        </is>
      </c>
      <c r="F555" t="inlineStr">
        <is>
          <t>Bergvik skog väst AB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6674-2025</t>
        </is>
      </c>
      <c r="B556" s="1" t="n">
        <v>45700</v>
      </c>
      <c r="C556" s="1" t="n">
        <v>46164</v>
      </c>
      <c r="D556" t="inlineStr">
        <is>
          <t>VÄRMLANDS LÄN</t>
        </is>
      </c>
      <c r="E556" t="inlineStr">
        <is>
          <t>FILIPSTAD</t>
        </is>
      </c>
      <c r="G556" t="n">
        <v>5.7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28161-2023</t>
        </is>
      </c>
      <c r="B557" s="1" t="n">
        <v>45093</v>
      </c>
      <c r="C557" s="1" t="n">
        <v>46164</v>
      </c>
      <c r="D557" t="inlineStr">
        <is>
          <t>VÄRMLANDS LÄN</t>
        </is>
      </c>
      <c r="E557" t="inlineStr">
        <is>
          <t>FILIPSTAD</t>
        </is>
      </c>
      <c r="F557" t="inlineStr">
        <is>
          <t>Kommuner</t>
        </is>
      </c>
      <c r="G557" t="n">
        <v>15.4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20606-2025</t>
        </is>
      </c>
      <c r="B558" s="1" t="n">
        <v>45775</v>
      </c>
      <c r="C558" s="1" t="n">
        <v>46164</v>
      </c>
      <c r="D558" t="inlineStr">
        <is>
          <t>VÄRMLANDS LÄN</t>
        </is>
      </c>
      <c r="E558" t="inlineStr">
        <is>
          <t>FILIPSTAD</t>
        </is>
      </c>
      <c r="F558" t="inlineStr">
        <is>
          <t>Bergvik skog väst AB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22533-2026</t>
        </is>
      </c>
      <c r="B559" s="1" t="n">
        <v>46155.48246527778</v>
      </c>
      <c r="C559" s="1" t="n">
        <v>46164</v>
      </c>
      <c r="D559" t="inlineStr">
        <is>
          <t>VÄRMLANDS LÄN</t>
        </is>
      </c>
      <c r="E559" t="inlineStr">
        <is>
          <t>FILIPSTAD</t>
        </is>
      </c>
      <c r="F559" t="inlineStr">
        <is>
          <t>Bergvik skog väst AB</t>
        </is>
      </c>
      <c r="G559" t="n">
        <v>4.8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24054-2024</t>
        </is>
      </c>
      <c r="B560" s="1" t="n">
        <v>45456.50659722222</v>
      </c>
      <c r="C560" s="1" t="n">
        <v>46164</v>
      </c>
      <c r="D560" t="inlineStr">
        <is>
          <t>VÄRMLANDS LÄN</t>
        </is>
      </c>
      <c r="E560" t="inlineStr">
        <is>
          <t>FILIPSTAD</t>
        </is>
      </c>
      <c r="F560" t="inlineStr">
        <is>
          <t>Bergvik skog väst AB</t>
        </is>
      </c>
      <c r="G560" t="n">
        <v>4.1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59336-2023</t>
        </is>
      </c>
      <c r="B561" s="1" t="n">
        <v>45253.64381944444</v>
      </c>
      <c r="C561" s="1" t="n">
        <v>46164</v>
      </c>
      <c r="D561" t="inlineStr">
        <is>
          <t>VÄRMLANDS LÄN</t>
        </is>
      </c>
      <c r="E561" t="inlineStr">
        <is>
          <t>FILIPSTAD</t>
        </is>
      </c>
      <c r="F561" t="inlineStr">
        <is>
          <t>Bergvik skog väst AB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35737-2021</t>
        </is>
      </c>
      <c r="B562" s="1" t="n">
        <v>44386</v>
      </c>
      <c r="C562" s="1" t="n">
        <v>46164</v>
      </c>
      <c r="D562" t="inlineStr">
        <is>
          <t>VÄRMLANDS LÄN</t>
        </is>
      </c>
      <c r="E562" t="inlineStr">
        <is>
          <t>FILIPSTAD</t>
        </is>
      </c>
      <c r="F562" t="inlineStr">
        <is>
          <t>Bergvik skog väst AB</t>
        </is>
      </c>
      <c r="G562" t="n">
        <v>3.8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19030-2022</t>
        </is>
      </c>
      <c r="B563" s="1" t="n">
        <v>44691.36131944445</v>
      </c>
      <c r="C563" s="1" t="n">
        <v>46164</v>
      </c>
      <c r="D563" t="inlineStr">
        <is>
          <t>VÄRMLANDS LÄN</t>
        </is>
      </c>
      <c r="E563" t="inlineStr">
        <is>
          <t>FILIPSTAD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16975-2026</t>
        </is>
      </c>
      <c r="B564" s="1" t="n">
        <v>46114.38725694444</v>
      </c>
      <c r="C564" s="1" t="n">
        <v>46164</v>
      </c>
      <c r="D564" t="inlineStr">
        <is>
          <t>VÄRMLANDS LÄN</t>
        </is>
      </c>
      <c r="E564" t="inlineStr">
        <is>
          <t>FILIPSTAD</t>
        </is>
      </c>
      <c r="F564" t="inlineStr">
        <is>
          <t>Bergvik skog väst AB</t>
        </is>
      </c>
      <c r="G564" t="n">
        <v>8.1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12737-2024</t>
        </is>
      </c>
      <c r="B565" s="1" t="n">
        <v>45384</v>
      </c>
      <c r="C565" s="1" t="n">
        <v>46164</v>
      </c>
      <c r="D565" t="inlineStr">
        <is>
          <t>VÄRMLANDS LÄN</t>
        </is>
      </c>
      <c r="E565" t="inlineStr">
        <is>
          <t>FILIPSTAD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37577-2023</t>
        </is>
      </c>
      <c r="B566" s="1" t="n">
        <v>45159.38371527778</v>
      </c>
      <c r="C566" s="1" t="n">
        <v>46164</v>
      </c>
      <c r="D566" t="inlineStr">
        <is>
          <t>VÄRMLANDS LÄN</t>
        </is>
      </c>
      <c r="E566" t="inlineStr">
        <is>
          <t>FILIPSTAD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43233-2023</t>
        </is>
      </c>
      <c r="B567" s="1" t="n">
        <v>45180</v>
      </c>
      <c r="C567" s="1" t="n">
        <v>46164</v>
      </c>
      <c r="D567" t="inlineStr">
        <is>
          <t>VÄRMLANDS LÄN</t>
        </is>
      </c>
      <c r="E567" t="inlineStr">
        <is>
          <t>FILIPSTAD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16371-2024</t>
        </is>
      </c>
      <c r="B568" s="1" t="n">
        <v>45407.59866898148</v>
      </c>
      <c r="C568" s="1" t="n">
        <v>46164</v>
      </c>
      <c r="D568" t="inlineStr">
        <is>
          <t>VÄRMLANDS LÄN</t>
        </is>
      </c>
      <c r="E568" t="inlineStr">
        <is>
          <t>FILIPSTAD</t>
        </is>
      </c>
      <c r="F568" t="inlineStr">
        <is>
          <t>Bergvik skog väst AB</t>
        </is>
      </c>
      <c r="G568" t="n">
        <v>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17292-2026</t>
        </is>
      </c>
      <c r="B569" s="1" t="n">
        <v>46119.55484953704</v>
      </c>
      <c r="C569" s="1" t="n">
        <v>46164</v>
      </c>
      <c r="D569" t="inlineStr">
        <is>
          <t>VÄRMLANDS LÄN</t>
        </is>
      </c>
      <c r="E569" t="inlineStr">
        <is>
          <t>FILIPSTAD</t>
        </is>
      </c>
      <c r="F569" t="inlineStr">
        <is>
          <t>Bergvik skog väst AB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15945-2025</t>
        </is>
      </c>
      <c r="B570" s="1" t="n">
        <v>45749</v>
      </c>
      <c r="C570" s="1" t="n">
        <v>46164</v>
      </c>
      <c r="D570" t="inlineStr">
        <is>
          <t>VÄRMLANDS LÄN</t>
        </is>
      </c>
      <c r="E570" t="inlineStr">
        <is>
          <t>FILIPSTAD</t>
        </is>
      </c>
      <c r="F570" t="inlineStr">
        <is>
          <t>Bergvik skog väst AB</t>
        </is>
      </c>
      <c r="G570" t="n">
        <v>3.5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17278-2026</t>
        </is>
      </c>
      <c r="B571" s="1" t="n">
        <v>46119.52652777778</v>
      </c>
      <c r="C571" s="1" t="n">
        <v>46164</v>
      </c>
      <c r="D571" t="inlineStr">
        <is>
          <t>VÄRMLANDS LÄN</t>
        </is>
      </c>
      <c r="E571" t="inlineStr">
        <is>
          <t>FILIPSTAD</t>
        </is>
      </c>
      <c r="F571" t="inlineStr">
        <is>
          <t>Bergvik skog väst AB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17326-2026</t>
        </is>
      </c>
      <c r="B572" s="1" t="n">
        <v>46119.610625</v>
      </c>
      <c r="C572" s="1" t="n">
        <v>46164</v>
      </c>
      <c r="D572" t="inlineStr">
        <is>
          <t>VÄRMLANDS LÄN</t>
        </is>
      </c>
      <c r="E572" t="inlineStr">
        <is>
          <t>FILIPSTAD</t>
        </is>
      </c>
      <c r="F572" t="inlineStr">
        <is>
          <t>Bergvik skog väst AB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53210-2023</t>
        </is>
      </c>
      <c r="B573" s="1" t="n">
        <v>45222</v>
      </c>
      <c r="C573" s="1" t="n">
        <v>46164</v>
      </c>
      <c r="D573" t="inlineStr">
        <is>
          <t>VÄRMLANDS LÄN</t>
        </is>
      </c>
      <c r="E573" t="inlineStr">
        <is>
          <t>FILIPSTAD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23555-2026</t>
        </is>
      </c>
      <c r="B574" s="1" t="n">
        <v>46163.57935185185</v>
      </c>
      <c r="C574" s="1" t="n">
        <v>46164</v>
      </c>
      <c r="D574" t="inlineStr">
        <is>
          <t>VÄRMLANDS LÄN</t>
        </is>
      </c>
      <c r="E574" t="inlineStr">
        <is>
          <t>FILIPSTAD</t>
        </is>
      </c>
      <c r="F574" t="inlineStr">
        <is>
          <t>Bergvik skog väst AB</t>
        </is>
      </c>
      <c r="G574" t="n">
        <v>11.7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39633-2023</t>
        </is>
      </c>
      <c r="B575" s="1" t="n">
        <v>45167.52358796296</v>
      </c>
      <c r="C575" s="1" t="n">
        <v>46164</v>
      </c>
      <c r="D575" t="inlineStr">
        <is>
          <t>VÄRMLANDS LÄN</t>
        </is>
      </c>
      <c r="E575" t="inlineStr">
        <is>
          <t>FILIPSTAD</t>
        </is>
      </c>
      <c r="F575" t="inlineStr">
        <is>
          <t>Bergvik skog väst AB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43635-2023</t>
        </is>
      </c>
      <c r="B576" s="1" t="n">
        <v>45186.41872685185</v>
      </c>
      <c r="C576" s="1" t="n">
        <v>46164</v>
      </c>
      <c r="D576" t="inlineStr">
        <is>
          <t>VÄRMLANDS LÄN</t>
        </is>
      </c>
      <c r="E576" t="inlineStr">
        <is>
          <t>FILIPSTAD</t>
        </is>
      </c>
      <c r="G576" t="n">
        <v>15.3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16103-2025</t>
        </is>
      </c>
      <c r="B577" s="1" t="n">
        <v>45750</v>
      </c>
      <c r="C577" s="1" t="n">
        <v>46164</v>
      </c>
      <c r="D577" t="inlineStr">
        <is>
          <t>VÄRMLANDS LÄN</t>
        </is>
      </c>
      <c r="E577" t="inlineStr">
        <is>
          <t>FILIPSTAD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23602-2026</t>
        </is>
      </c>
      <c r="B578" s="1" t="n">
        <v>46163.65199074074</v>
      </c>
      <c r="C578" s="1" t="n">
        <v>46164</v>
      </c>
      <c r="D578" t="inlineStr">
        <is>
          <t>VÄRMLANDS LÄN</t>
        </is>
      </c>
      <c r="E578" t="inlineStr">
        <is>
          <t>FILIPSTAD</t>
        </is>
      </c>
      <c r="F578" t="inlineStr">
        <is>
          <t>Bergvik skog väst AB</t>
        </is>
      </c>
      <c r="G578" t="n">
        <v>8.699999999999999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23500-2026</t>
        </is>
      </c>
      <c r="B579" s="1" t="n">
        <v>46163.45011574074</v>
      </c>
      <c r="C579" s="1" t="n">
        <v>46164</v>
      </c>
      <c r="D579" t="inlineStr">
        <is>
          <t>VÄRMLANDS LÄN</t>
        </is>
      </c>
      <c r="E579" t="inlineStr">
        <is>
          <t>FILIPSTAD</t>
        </is>
      </c>
      <c r="F579" t="inlineStr">
        <is>
          <t>Bergvik skog väst AB</t>
        </is>
      </c>
      <c r="G579" t="n">
        <v>5.4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17531-2026</t>
        </is>
      </c>
      <c r="B580" s="1" t="n">
        <v>46120.66423611111</v>
      </c>
      <c r="C580" s="1" t="n">
        <v>46164</v>
      </c>
      <c r="D580" t="inlineStr">
        <is>
          <t>VÄRMLANDS LÄN</t>
        </is>
      </c>
      <c r="E580" t="inlineStr">
        <is>
          <t>FILIPSTAD</t>
        </is>
      </c>
      <c r="G580" t="n">
        <v>9.699999999999999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23440-2026</t>
        </is>
      </c>
      <c r="B581" s="1" t="n">
        <v>46163.34576388889</v>
      </c>
      <c r="C581" s="1" t="n">
        <v>46164</v>
      </c>
      <c r="D581" t="inlineStr">
        <is>
          <t>VÄRMLANDS LÄN</t>
        </is>
      </c>
      <c r="E581" t="inlineStr">
        <is>
          <t>FILIPSTAD</t>
        </is>
      </c>
      <c r="F581" t="inlineStr">
        <is>
          <t>Bergvik skog väst AB</t>
        </is>
      </c>
      <c r="G581" t="n">
        <v>3.9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23529-2026</t>
        </is>
      </c>
      <c r="B582" s="1" t="n">
        <v>46163.50815972222</v>
      </c>
      <c r="C582" s="1" t="n">
        <v>46164</v>
      </c>
      <c r="D582" t="inlineStr">
        <is>
          <t>VÄRMLANDS LÄN</t>
        </is>
      </c>
      <c r="E582" t="inlineStr">
        <is>
          <t>FILIPSTAD</t>
        </is>
      </c>
      <c r="F582" t="inlineStr">
        <is>
          <t>Bergvik skog väst AB</t>
        </is>
      </c>
      <c r="G582" t="n">
        <v>20.3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4620-2024</t>
        </is>
      </c>
      <c r="B583" s="1" t="n">
        <v>45328</v>
      </c>
      <c r="C583" s="1" t="n">
        <v>46164</v>
      </c>
      <c r="D583" t="inlineStr">
        <is>
          <t>VÄRMLANDS LÄN</t>
        </is>
      </c>
      <c r="E583" t="inlineStr">
        <is>
          <t>FILIPSTAD</t>
        </is>
      </c>
      <c r="F583" t="inlineStr">
        <is>
          <t>Bergvik skog väst AB</t>
        </is>
      </c>
      <c r="G583" t="n">
        <v>2.9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36251-2022</t>
        </is>
      </c>
      <c r="B584" s="1" t="n">
        <v>44803</v>
      </c>
      <c r="C584" s="1" t="n">
        <v>46164</v>
      </c>
      <c r="D584" t="inlineStr">
        <is>
          <t>VÄRMLANDS LÄN</t>
        </is>
      </c>
      <c r="E584" t="inlineStr">
        <is>
          <t>FILIPSTAD</t>
        </is>
      </c>
      <c r="F584" t="inlineStr">
        <is>
          <t>Bergvik skog väst AB</t>
        </is>
      </c>
      <c r="G584" t="n">
        <v>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33671-2022</t>
        </is>
      </c>
      <c r="B585" s="1" t="n">
        <v>44789</v>
      </c>
      <c r="C585" s="1" t="n">
        <v>46164</v>
      </c>
      <c r="D585" t="inlineStr">
        <is>
          <t>VÄRMLANDS LÄN</t>
        </is>
      </c>
      <c r="E585" t="inlineStr">
        <is>
          <t>FILIPSTAD</t>
        </is>
      </c>
      <c r="F585" t="inlineStr">
        <is>
          <t>Bergvik skog väst AB</t>
        </is>
      </c>
      <c r="G585" t="n">
        <v>10.6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23514-2026</t>
        </is>
      </c>
      <c r="B586" s="1" t="n">
        <v>46163.48381944445</v>
      </c>
      <c r="C586" s="1" t="n">
        <v>46164</v>
      </c>
      <c r="D586" t="inlineStr">
        <is>
          <t>VÄRMLANDS LÄN</t>
        </is>
      </c>
      <c r="E586" t="inlineStr">
        <is>
          <t>FILIPSTAD</t>
        </is>
      </c>
      <c r="F586" t="inlineStr">
        <is>
          <t>Bergvik skog väst AB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46257-2022</t>
        </is>
      </c>
      <c r="B587" s="1" t="n">
        <v>44847</v>
      </c>
      <c r="C587" s="1" t="n">
        <v>46164</v>
      </c>
      <c r="D587" t="inlineStr">
        <is>
          <t>VÄRMLANDS LÄN</t>
        </is>
      </c>
      <c r="E587" t="inlineStr">
        <is>
          <t>FILIPSTAD</t>
        </is>
      </c>
      <c r="G587" t="n">
        <v>0.3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36827-2022</t>
        </is>
      </c>
      <c r="B588" s="1" t="n">
        <v>44805.56246527778</v>
      </c>
      <c r="C588" s="1" t="n">
        <v>46164</v>
      </c>
      <c r="D588" t="inlineStr">
        <is>
          <t>VÄRMLANDS LÄN</t>
        </is>
      </c>
      <c r="E588" t="inlineStr">
        <is>
          <t>FILIPSTAD</t>
        </is>
      </c>
      <c r="F588" t="inlineStr">
        <is>
          <t>Bergvik skog väst AB</t>
        </is>
      </c>
      <c r="G588" t="n">
        <v>3.8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37611-2022</t>
        </is>
      </c>
      <c r="B589" s="1" t="n">
        <v>44809</v>
      </c>
      <c r="C589" s="1" t="n">
        <v>46164</v>
      </c>
      <c r="D589" t="inlineStr">
        <is>
          <t>VÄRMLANDS LÄN</t>
        </is>
      </c>
      <c r="E589" t="inlineStr">
        <is>
          <t>FILIPSTAD</t>
        </is>
      </c>
      <c r="G589" t="n">
        <v>5.4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23576-2026</t>
        </is>
      </c>
      <c r="B590" s="1" t="n">
        <v>46163.60148148148</v>
      </c>
      <c r="C590" s="1" t="n">
        <v>46164</v>
      </c>
      <c r="D590" t="inlineStr">
        <is>
          <t>VÄRMLANDS LÄN</t>
        </is>
      </c>
      <c r="E590" t="inlineStr">
        <is>
          <t>FILIPSTAD</t>
        </is>
      </c>
      <c r="F590" t="inlineStr">
        <is>
          <t>Bergvik skog väst AB</t>
        </is>
      </c>
      <c r="G590" t="n">
        <v>17.9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14502-2025</t>
        </is>
      </c>
      <c r="B591" s="1" t="n">
        <v>45741.62037037037</v>
      </c>
      <c r="C591" s="1" t="n">
        <v>46164</v>
      </c>
      <c r="D591" t="inlineStr">
        <is>
          <t>VÄRMLANDS LÄN</t>
        </is>
      </c>
      <c r="E591" t="inlineStr">
        <is>
          <t>FILIPSTAD</t>
        </is>
      </c>
      <c r="F591" t="inlineStr">
        <is>
          <t>Bergvik skog väst AB</t>
        </is>
      </c>
      <c r="G591" t="n">
        <v>5.5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57244-2023</t>
        </is>
      </c>
      <c r="B592" s="1" t="n">
        <v>45245</v>
      </c>
      <c r="C592" s="1" t="n">
        <v>46164</v>
      </c>
      <c r="D592" t="inlineStr">
        <is>
          <t>VÄRMLANDS LÄN</t>
        </is>
      </c>
      <c r="E592" t="inlineStr">
        <is>
          <t>FILIPSTAD</t>
        </is>
      </c>
      <c r="F592" t="inlineStr">
        <is>
          <t>Bergvik skog väst AB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25338-2023</t>
        </is>
      </c>
      <c r="B593" s="1" t="n">
        <v>45087.49439814815</v>
      </c>
      <c r="C593" s="1" t="n">
        <v>46164</v>
      </c>
      <c r="D593" t="inlineStr">
        <is>
          <t>VÄRMLANDS LÄN</t>
        </is>
      </c>
      <c r="E593" t="inlineStr">
        <is>
          <t>FILIPSTAD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18540-2025</t>
        </is>
      </c>
      <c r="B594" s="1" t="n">
        <v>45763</v>
      </c>
      <c r="C594" s="1" t="n">
        <v>46164</v>
      </c>
      <c r="D594" t="inlineStr">
        <is>
          <t>VÄRMLANDS LÄN</t>
        </is>
      </c>
      <c r="E594" t="inlineStr">
        <is>
          <t>FILIPSTAD</t>
        </is>
      </c>
      <c r="F594" t="inlineStr">
        <is>
          <t>Bergvik skog väst AB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6745-2025</t>
        </is>
      </c>
      <c r="B595" s="1" t="n">
        <v>45700.60505787037</v>
      </c>
      <c r="C595" s="1" t="n">
        <v>46164</v>
      </c>
      <c r="D595" t="inlineStr">
        <is>
          <t>VÄRMLANDS LÄN</t>
        </is>
      </c>
      <c r="E595" t="inlineStr">
        <is>
          <t>FILIPSTAD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36377-2023</t>
        </is>
      </c>
      <c r="B596" s="1" t="n">
        <v>45152.51186342593</v>
      </c>
      <c r="C596" s="1" t="n">
        <v>46164</v>
      </c>
      <c r="D596" t="inlineStr">
        <is>
          <t>VÄRMLANDS LÄN</t>
        </is>
      </c>
      <c r="E596" t="inlineStr">
        <is>
          <t>FILIPSTAD</t>
        </is>
      </c>
      <c r="F596" t="inlineStr">
        <is>
          <t>Bergvik skog väst AB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41983-2023</t>
        </is>
      </c>
      <c r="B597" s="1" t="n">
        <v>45177.40582175926</v>
      </c>
      <c r="C597" s="1" t="n">
        <v>46164</v>
      </c>
      <c r="D597" t="inlineStr">
        <is>
          <t>VÄRMLANDS LÄN</t>
        </is>
      </c>
      <c r="E597" t="inlineStr">
        <is>
          <t>FILIPSTAD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45139-2021</t>
        </is>
      </c>
      <c r="B598" s="1" t="n">
        <v>44439</v>
      </c>
      <c r="C598" s="1" t="n">
        <v>46164</v>
      </c>
      <c r="D598" t="inlineStr">
        <is>
          <t>VÄRMLANDS LÄN</t>
        </is>
      </c>
      <c r="E598" t="inlineStr">
        <is>
          <t>FILIPSTAD</t>
        </is>
      </c>
      <c r="F598" t="inlineStr">
        <is>
          <t>Bergvik skog väst AB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53034-2022</t>
        </is>
      </c>
      <c r="B599" s="1" t="n">
        <v>44876.30590277778</v>
      </c>
      <c r="C599" s="1" t="n">
        <v>46164</v>
      </c>
      <c r="D599" t="inlineStr">
        <is>
          <t>VÄRMLANDS LÄN</t>
        </is>
      </c>
      <c r="E599" t="inlineStr">
        <is>
          <t>FILIPSTAD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34224-2024</t>
        </is>
      </c>
      <c r="B600" s="1" t="n">
        <v>45524.54856481482</v>
      </c>
      <c r="C600" s="1" t="n">
        <v>46164</v>
      </c>
      <c r="D600" t="inlineStr">
        <is>
          <t>VÄRMLANDS LÄN</t>
        </is>
      </c>
      <c r="E600" t="inlineStr">
        <is>
          <t>FILIPSTAD</t>
        </is>
      </c>
      <c r="F600" t="inlineStr">
        <is>
          <t>Bergvik skog väst AB</t>
        </is>
      </c>
      <c r="G600" t="n">
        <v>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53348-2023</t>
        </is>
      </c>
      <c r="B601" s="1" t="n">
        <v>45229.65445601852</v>
      </c>
      <c r="C601" s="1" t="n">
        <v>46164</v>
      </c>
      <c r="D601" t="inlineStr">
        <is>
          <t>VÄRMLANDS LÄN</t>
        </is>
      </c>
      <c r="E601" t="inlineStr">
        <is>
          <t>FILIPSTAD</t>
        </is>
      </c>
      <c r="F601" t="inlineStr">
        <is>
          <t>Bergvik skog väst AB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51985-2023</t>
        </is>
      </c>
      <c r="B602" s="1" t="n">
        <v>45223.57947916666</v>
      </c>
      <c r="C602" s="1" t="n">
        <v>46164</v>
      </c>
      <c r="D602" t="inlineStr">
        <is>
          <t>VÄRMLANDS LÄN</t>
        </is>
      </c>
      <c r="E602" t="inlineStr">
        <is>
          <t>FILIPSTAD</t>
        </is>
      </c>
      <c r="F602" t="inlineStr">
        <is>
          <t>Bergvik skog väst AB</t>
        </is>
      </c>
      <c r="G602" t="n">
        <v>6.7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50904-2023</t>
        </is>
      </c>
      <c r="B603" s="1" t="n">
        <v>45218.4169212963</v>
      </c>
      <c r="C603" s="1" t="n">
        <v>46164</v>
      </c>
      <c r="D603" t="inlineStr">
        <is>
          <t>VÄRMLANDS LÄN</t>
        </is>
      </c>
      <c r="E603" t="inlineStr">
        <is>
          <t>FILIPSTAD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55598-2024</t>
        </is>
      </c>
      <c r="B604" s="1" t="n">
        <v>45622</v>
      </c>
      <c r="C604" s="1" t="n">
        <v>46164</v>
      </c>
      <c r="D604" t="inlineStr">
        <is>
          <t>VÄRMLANDS LÄN</t>
        </is>
      </c>
      <c r="E604" t="inlineStr">
        <is>
          <t>FILIPSTAD</t>
        </is>
      </c>
      <c r="F604" t="inlineStr">
        <is>
          <t>Bergvik skog väst AB</t>
        </is>
      </c>
      <c r="G604" t="n">
        <v>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55397-2022</t>
        </is>
      </c>
      <c r="B605" s="1" t="n">
        <v>44887.57297453703</v>
      </c>
      <c r="C605" s="1" t="n">
        <v>46164</v>
      </c>
      <c r="D605" t="inlineStr">
        <is>
          <t>VÄRMLANDS LÄN</t>
        </is>
      </c>
      <c r="E605" t="inlineStr">
        <is>
          <t>FILIPSTAD</t>
        </is>
      </c>
      <c r="F605" t="inlineStr">
        <is>
          <t>Bergvik skog väst AB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6520-2023</t>
        </is>
      </c>
      <c r="B606" s="1" t="n">
        <v>44960</v>
      </c>
      <c r="C606" s="1" t="n">
        <v>46164</v>
      </c>
      <c r="D606" t="inlineStr">
        <is>
          <t>VÄRMLANDS LÄN</t>
        </is>
      </c>
      <c r="E606" t="inlineStr">
        <is>
          <t>FILIPSTAD</t>
        </is>
      </c>
      <c r="F606" t="inlineStr">
        <is>
          <t>Kommuner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55978-2022</t>
        </is>
      </c>
      <c r="B607" s="1" t="n">
        <v>44889</v>
      </c>
      <c r="C607" s="1" t="n">
        <v>46164</v>
      </c>
      <c r="D607" t="inlineStr">
        <is>
          <t>VÄRMLANDS LÄN</t>
        </is>
      </c>
      <c r="E607" t="inlineStr">
        <is>
          <t>FILIPSTAD</t>
        </is>
      </c>
      <c r="F607" t="inlineStr">
        <is>
          <t>Bergvik skog väst AB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50856-2022</t>
        </is>
      </c>
      <c r="B608" s="1" t="n">
        <v>44867</v>
      </c>
      <c r="C608" s="1" t="n">
        <v>46164</v>
      </c>
      <c r="D608" t="inlineStr">
        <is>
          <t>VÄRMLANDS LÄN</t>
        </is>
      </c>
      <c r="E608" t="inlineStr">
        <is>
          <t>FILIPSTAD</t>
        </is>
      </c>
      <c r="F608" t="inlineStr">
        <is>
          <t>Bergvik skog väst AB</t>
        </is>
      </c>
      <c r="G608" t="n">
        <v>3.5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61628-2022</t>
        </is>
      </c>
      <c r="B609" s="1" t="n">
        <v>44911</v>
      </c>
      <c r="C609" s="1" t="n">
        <v>46164</v>
      </c>
      <c r="D609" t="inlineStr">
        <is>
          <t>VÄRMLANDS LÄN</t>
        </is>
      </c>
      <c r="E609" t="inlineStr">
        <is>
          <t>FILIPSTAD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43264-2024</t>
        </is>
      </c>
      <c r="B610" s="1" t="n">
        <v>45568.36819444445</v>
      </c>
      <c r="C610" s="1" t="n">
        <v>46164</v>
      </c>
      <c r="D610" t="inlineStr">
        <is>
          <t>VÄRMLANDS LÄN</t>
        </is>
      </c>
      <c r="E610" t="inlineStr">
        <is>
          <t>FILIPSTAD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59296-2023</t>
        </is>
      </c>
      <c r="B611" s="1" t="n">
        <v>45253</v>
      </c>
      <c r="C611" s="1" t="n">
        <v>46164</v>
      </c>
      <c r="D611" t="inlineStr">
        <is>
          <t>VÄRMLANDS LÄN</t>
        </is>
      </c>
      <c r="E611" t="inlineStr">
        <is>
          <t>FILIPSTAD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11680-2023</t>
        </is>
      </c>
      <c r="B612" s="1" t="n">
        <v>44994</v>
      </c>
      <c r="C612" s="1" t="n">
        <v>46164</v>
      </c>
      <c r="D612" t="inlineStr">
        <is>
          <t>VÄRMLANDS LÄN</t>
        </is>
      </c>
      <c r="E612" t="inlineStr">
        <is>
          <t>FILIPSTAD</t>
        </is>
      </c>
      <c r="F612" t="inlineStr">
        <is>
          <t>Bergvik skog väst AB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44384-2021</t>
        </is>
      </c>
      <c r="B613" s="1" t="n">
        <v>44435.47295138889</v>
      </c>
      <c r="C613" s="1" t="n">
        <v>46164</v>
      </c>
      <c r="D613" t="inlineStr">
        <is>
          <t>VÄRMLANDS LÄN</t>
        </is>
      </c>
      <c r="E613" t="inlineStr">
        <is>
          <t>FILIPSTAD</t>
        </is>
      </c>
      <c r="G613" t="n">
        <v>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36680-2023</t>
        </is>
      </c>
      <c r="B614" s="1" t="n">
        <v>45153</v>
      </c>
      <c r="C614" s="1" t="n">
        <v>46164</v>
      </c>
      <c r="D614" t="inlineStr">
        <is>
          <t>VÄRMLANDS LÄN</t>
        </is>
      </c>
      <c r="E614" t="inlineStr">
        <is>
          <t>FILIPSTAD</t>
        </is>
      </c>
      <c r="G614" t="n">
        <v>0.3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25254-2024</t>
        </is>
      </c>
      <c r="B615" s="1" t="n">
        <v>45462.61162037037</v>
      </c>
      <c r="C615" s="1" t="n">
        <v>46164</v>
      </c>
      <c r="D615" t="inlineStr">
        <is>
          <t>VÄRMLANDS LÄN</t>
        </is>
      </c>
      <c r="E615" t="inlineStr">
        <is>
          <t>FILIPSTAD</t>
        </is>
      </c>
      <c r="F615" t="inlineStr">
        <is>
          <t>Bergvik skog väst AB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5803-2023</t>
        </is>
      </c>
      <c r="B616" s="1" t="n">
        <v>44963</v>
      </c>
      <c r="C616" s="1" t="n">
        <v>46164</v>
      </c>
      <c r="D616" t="inlineStr">
        <is>
          <t>VÄRMLANDS LÄN</t>
        </is>
      </c>
      <c r="E616" t="inlineStr">
        <is>
          <t>FILIPSTAD</t>
        </is>
      </c>
      <c r="F616" t="inlineStr">
        <is>
          <t>Bergvik skog väst AB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50776-2024</t>
        </is>
      </c>
      <c r="B617" s="1" t="n">
        <v>45602.45215277778</v>
      </c>
      <c r="C617" s="1" t="n">
        <v>46164</v>
      </c>
      <c r="D617" t="inlineStr">
        <is>
          <t>VÄRMLANDS LÄN</t>
        </is>
      </c>
      <c r="E617" t="inlineStr">
        <is>
          <t>FILIPSTAD</t>
        </is>
      </c>
      <c r="F617" t="inlineStr">
        <is>
          <t>Bergvik skog väst AB</t>
        </is>
      </c>
      <c r="G617" t="n">
        <v>15.5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51618-2022</t>
        </is>
      </c>
      <c r="B618" s="1" t="n">
        <v>44872.32150462963</v>
      </c>
      <c r="C618" s="1" t="n">
        <v>46164</v>
      </c>
      <c r="D618" t="inlineStr">
        <is>
          <t>VÄRMLANDS LÄN</t>
        </is>
      </c>
      <c r="E618" t="inlineStr">
        <is>
          <t>FILIPSTAD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71971-2021</t>
        </is>
      </c>
      <c r="B619" s="1" t="n">
        <v>44544.35211805555</v>
      </c>
      <c r="C619" s="1" t="n">
        <v>46164</v>
      </c>
      <c r="D619" t="inlineStr">
        <is>
          <t>VÄRMLANDS LÄN</t>
        </is>
      </c>
      <c r="E619" t="inlineStr">
        <is>
          <t>FILIPSTAD</t>
        </is>
      </c>
      <c r="F619" t="inlineStr">
        <is>
          <t>Bergvik skog väst AB</t>
        </is>
      </c>
      <c r="G619" t="n">
        <v>6.1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51922-2024</t>
        </is>
      </c>
      <c r="B620" s="1" t="n">
        <v>45607</v>
      </c>
      <c r="C620" s="1" t="n">
        <v>46164</v>
      </c>
      <c r="D620" t="inlineStr">
        <is>
          <t>VÄRMLANDS LÄN</t>
        </is>
      </c>
      <c r="E620" t="inlineStr">
        <is>
          <t>FILIPSTAD</t>
        </is>
      </c>
      <c r="F620" t="inlineStr">
        <is>
          <t>Bergvik skog väst AB</t>
        </is>
      </c>
      <c r="G620" t="n">
        <v>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31306-2023</t>
        </is>
      </c>
      <c r="B621" s="1" t="n">
        <v>45114</v>
      </c>
      <c r="C621" s="1" t="n">
        <v>46164</v>
      </c>
      <c r="D621" t="inlineStr">
        <is>
          <t>VÄRMLANDS LÄN</t>
        </is>
      </c>
      <c r="E621" t="inlineStr">
        <is>
          <t>FILIPSTAD</t>
        </is>
      </c>
      <c r="F621" t="inlineStr">
        <is>
          <t>Bergvik skog väst AB</t>
        </is>
      </c>
      <c r="G621" t="n">
        <v>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9370-2023</t>
        </is>
      </c>
      <c r="B622" s="1" t="n">
        <v>44981</v>
      </c>
      <c r="C622" s="1" t="n">
        <v>46164</v>
      </c>
      <c r="D622" t="inlineStr">
        <is>
          <t>VÄRMLANDS LÄN</t>
        </is>
      </c>
      <c r="E622" t="inlineStr">
        <is>
          <t>FILIPSTAD</t>
        </is>
      </c>
      <c r="F622" t="inlineStr">
        <is>
          <t>Bergvik skog väst AB</t>
        </is>
      </c>
      <c r="G622" t="n">
        <v>8.1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54008-2021</t>
        </is>
      </c>
      <c r="B623" s="1" t="n">
        <v>44470</v>
      </c>
      <c r="C623" s="1" t="n">
        <v>46164</v>
      </c>
      <c r="D623" t="inlineStr">
        <is>
          <t>VÄRMLANDS LÄN</t>
        </is>
      </c>
      <c r="E623" t="inlineStr">
        <is>
          <t>FILIPSTAD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50786-2024</t>
        </is>
      </c>
      <c r="B624" s="1" t="n">
        <v>45602</v>
      </c>
      <c r="C624" s="1" t="n">
        <v>46164</v>
      </c>
      <c r="D624" t="inlineStr">
        <is>
          <t>VÄRMLANDS LÄN</t>
        </is>
      </c>
      <c r="E624" t="inlineStr">
        <is>
          <t>FILIPSTAD</t>
        </is>
      </c>
      <c r="F624" t="inlineStr">
        <is>
          <t>Bergvik skog väst AB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5846-2023</t>
        </is>
      </c>
      <c r="B625" s="1" t="n">
        <v>44963</v>
      </c>
      <c r="C625" s="1" t="n">
        <v>46164</v>
      </c>
      <c r="D625" t="inlineStr">
        <is>
          <t>VÄRMLANDS LÄN</t>
        </is>
      </c>
      <c r="E625" t="inlineStr">
        <is>
          <t>FILIPSTAD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36809-2022</t>
        </is>
      </c>
      <c r="B626" s="1" t="n">
        <v>44805.52994212963</v>
      </c>
      <c r="C626" s="1" t="n">
        <v>46164</v>
      </c>
      <c r="D626" t="inlineStr">
        <is>
          <t>VÄRMLANDS LÄN</t>
        </is>
      </c>
      <c r="E626" t="inlineStr">
        <is>
          <t>FILIPSTAD</t>
        </is>
      </c>
      <c r="G626" t="n">
        <v>3.8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33966-2023</t>
        </is>
      </c>
      <c r="B627" s="1" t="n">
        <v>45124</v>
      </c>
      <c r="C627" s="1" t="n">
        <v>46164</v>
      </c>
      <c r="D627" t="inlineStr">
        <is>
          <t>VÄRMLANDS LÄN</t>
        </is>
      </c>
      <c r="E627" t="inlineStr">
        <is>
          <t>FILIPSTAD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33967-2023</t>
        </is>
      </c>
      <c r="B628" s="1" t="n">
        <v>45124</v>
      </c>
      <c r="C628" s="1" t="n">
        <v>46164</v>
      </c>
      <c r="D628" t="inlineStr">
        <is>
          <t>VÄRMLANDS LÄN</t>
        </is>
      </c>
      <c r="E628" t="inlineStr">
        <is>
          <t>FILIPSTAD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33973-2023</t>
        </is>
      </c>
      <c r="B629" s="1" t="n">
        <v>45124</v>
      </c>
      <c r="C629" s="1" t="n">
        <v>46164</v>
      </c>
      <c r="D629" t="inlineStr">
        <is>
          <t>VÄRMLANDS LÄN</t>
        </is>
      </c>
      <c r="E629" t="inlineStr">
        <is>
          <t>FILIPSTAD</t>
        </is>
      </c>
      <c r="G629" t="n">
        <v>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61741-2022</t>
        </is>
      </c>
      <c r="B630" s="1" t="n">
        <v>44911</v>
      </c>
      <c r="C630" s="1" t="n">
        <v>46164</v>
      </c>
      <c r="D630" t="inlineStr">
        <is>
          <t>VÄRMLANDS LÄN</t>
        </is>
      </c>
      <c r="E630" t="inlineStr">
        <is>
          <t>FILIPSTAD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51574-2024</t>
        </is>
      </c>
      <c r="B631" s="1" t="n">
        <v>45604</v>
      </c>
      <c r="C631" s="1" t="n">
        <v>46164</v>
      </c>
      <c r="D631" t="inlineStr">
        <is>
          <t>VÄRMLANDS LÄN</t>
        </is>
      </c>
      <c r="E631" t="inlineStr">
        <is>
          <t>FILIPSTAD</t>
        </is>
      </c>
      <c r="F631" t="inlineStr">
        <is>
          <t>Bergvik skog väst AB</t>
        </is>
      </c>
      <c r="G631" t="n">
        <v>17.8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25737-2023</t>
        </is>
      </c>
      <c r="B632" s="1" t="n">
        <v>45090</v>
      </c>
      <c r="C632" s="1" t="n">
        <v>46164</v>
      </c>
      <c r="D632" t="inlineStr">
        <is>
          <t>VÄRMLANDS LÄN</t>
        </is>
      </c>
      <c r="E632" t="inlineStr">
        <is>
          <t>FILIPSTAD</t>
        </is>
      </c>
      <c r="F632" t="inlineStr">
        <is>
          <t>Bergvik skog väst AB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2443-2022</t>
        </is>
      </c>
      <c r="B633" s="1" t="n">
        <v>44579.56311342592</v>
      </c>
      <c r="C633" s="1" t="n">
        <v>46164</v>
      </c>
      <c r="D633" t="inlineStr">
        <is>
          <t>VÄRMLANDS LÄN</t>
        </is>
      </c>
      <c r="E633" t="inlineStr">
        <is>
          <t>FILIPSTAD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15471-2024</t>
        </is>
      </c>
      <c r="B634" s="1" t="n">
        <v>45401.48166666667</v>
      </c>
      <c r="C634" s="1" t="n">
        <v>46164</v>
      </c>
      <c r="D634" t="inlineStr">
        <is>
          <t>VÄRMLANDS LÄN</t>
        </is>
      </c>
      <c r="E634" t="inlineStr">
        <is>
          <t>FILIPSTAD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32786-2024</t>
        </is>
      </c>
      <c r="B635" s="1" t="n">
        <v>45516</v>
      </c>
      <c r="C635" s="1" t="n">
        <v>46164</v>
      </c>
      <c r="D635" t="inlineStr">
        <is>
          <t>VÄRMLANDS LÄN</t>
        </is>
      </c>
      <c r="E635" t="inlineStr">
        <is>
          <t>FILIPSTAD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5992-2023</t>
        </is>
      </c>
      <c r="B636" s="1" t="n">
        <v>44959</v>
      </c>
      <c r="C636" s="1" t="n">
        <v>46164</v>
      </c>
      <c r="D636" t="inlineStr">
        <is>
          <t>VÄRMLANDS LÄN</t>
        </is>
      </c>
      <c r="E636" t="inlineStr">
        <is>
          <t>FILIPSTAD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62014-2024</t>
        </is>
      </c>
      <c r="B637" s="1" t="n">
        <v>45655.80100694444</v>
      </c>
      <c r="C637" s="1" t="n">
        <v>46164</v>
      </c>
      <c r="D637" t="inlineStr">
        <is>
          <t>VÄRMLANDS LÄN</t>
        </is>
      </c>
      <c r="E637" t="inlineStr">
        <is>
          <t>FILIPSTAD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17686-2023</t>
        </is>
      </c>
      <c r="B638" s="1" t="n">
        <v>45037.32414351852</v>
      </c>
      <c r="C638" s="1" t="n">
        <v>46164</v>
      </c>
      <c r="D638" t="inlineStr">
        <is>
          <t>VÄRMLANDS LÄN</t>
        </is>
      </c>
      <c r="E638" t="inlineStr">
        <is>
          <t>FILIPSTAD</t>
        </is>
      </c>
      <c r="G638" t="n">
        <v>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4418-2024</t>
        </is>
      </c>
      <c r="B639" s="1" t="n">
        <v>45327.44349537037</v>
      </c>
      <c r="C639" s="1" t="n">
        <v>46164</v>
      </c>
      <c r="D639" t="inlineStr">
        <is>
          <t>VÄRMLANDS LÄN</t>
        </is>
      </c>
      <c r="E639" t="inlineStr">
        <is>
          <t>FILIPSTAD</t>
        </is>
      </c>
      <c r="F639" t="inlineStr">
        <is>
          <t>Bergvik skog väst AB</t>
        </is>
      </c>
      <c r="G639" t="n">
        <v>9.300000000000001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18210-2024</t>
        </is>
      </c>
      <c r="B640" s="1" t="n">
        <v>45420.74119212963</v>
      </c>
      <c r="C640" s="1" t="n">
        <v>46164</v>
      </c>
      <c r="D640" t="inlineStr">
        <is>
          <t>VÄRMLANDS LÄN</t>
        </is>
      </c>
      <c r="E640" t="inlineStr">
        <is>
          <t>FILIPSTAD</t>
        </is>
      </c>
      <c r="F640" t="inlineStr">
        <is>
          <t>Bergvik skog väst AB</t>
        </is>
      </c>
      <c r="G640" t="n">
        <v>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45516-2024</t>
        </is>
      </c>
      <c r="B641" s="1" t="n">
        <v>45578</v>
      </c>
      <c r="C641" s="1" t="n">
        <v>46164</v>
      </c>
      <c r="D641" t="inlineStr">
        <is>
          <t>VÄRMLANDS LÄN</t>
        </is>
      </c>
      <c r="E641" t="inlineStr">
        <is>
          <t>FILIPSTAD</t>
        </is>
      </c>
      <c r="G641" t="n">
        <v>27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46680-2024</t>
        </is>
      </c>
      <c r="B642" s="1" t="n">
        <v>45583</v>
      </c>
      <c r="C642" s="1" t="n">
        <v>46164</v>
      </c>
      <c r="D642" t="inlineStr">
        <is>
          <t>VÄRMLANDS LÄN</t>
        </is>
      </c>
      <c r="E642" t="inlineStr">
        <is>
          <t>FILIPSTAD</t>
        </is>
      </c>
      <c r="F642" t="inlineStr">
        <is>
          <t>Bergvik skog väst AB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48527-2024</t>
        </is>
      </c>
      <c r="B643" s="1" t="n">
        <v>45593.341875</v>
      </c>
      <c r="C643" s="1" t="n">
        <v>46164</v>
      </c>
      <c r="D643" t="inlineStr">
        <is>
          <t>VÄRMLANDS LÄN</t>
        </is>
      </c>
      <c r="E643" t="inlineStr">
        <is>
          <t>FILIPSTAD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22830-2023</t>
        </is>
      </c>
      <c r="B644" s="1" t="n">
        <v>45072</v>
      </c>
      <c r="C644" s="1" t="n">
        <v>46164</v>
      </c>
      <c r="D644" t="inlineStr">
        <is>
          <t>VÄRMLANDS LÄN</t>
        </is>
      </c>
      <c r="E644" t="inlineStr">
        <is>
          <t>FILIPSTAD</t>
        </is>
      </c>
      <c r="F644" t="inlineStr">
        <is>
          <t>Bergvik skog väst AB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62013-2024</t>
        </is>
      </c>
      <c r="B645" s="1" t="n">
        <v>45655</v>
      </c>
      <c r="C645" s="1" t="n">
        <v>46164</v>
      </c>
      <c r="D645" t="inlineStr">
        <is>
          <t>VÄRMLANDS LÄN</t>
        </is>
      </c>
      <c r="E645" t="inlineStr">
        <is>
          <t>FILIPSTAD</t>
        </is>
      </c>
      <c r="G645" t="n">
        <v>26.5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1371-2025</t>
        </is>
      </c>
      <c r="B646" s="1" t="n">
        <v>45667.6453587963</v>
      </c>
      <c r="C646" s="1" t="n">
        <v>46164</v>
      </c>
      <c r="D646" t="inlineStr">
        <is>
          <t>VÄRMLANDS LÄN</t>
        </is>
      </c>
      <c r="E646" t="inlineStr">
        <is>
          <t>FILIPSTAD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48040-2023</t>
        </is>
      </c>
      <c r="B647" s="1" t="n">
        <v>45204</v>
      </c>
      <c r="C647" s="1" t="n">
        <v>46164</v>
      </c>
      <c r="D647" t="inlineStr">
        <is>
          <t>VÄRMLANDS LÄN</t>
        </is>
      </c>
      <c r="E647" t="inlineStr">
        <is>
          <t>FILIPSTAD</t>
        </is>
      </c>
      <c r="G647" t="n">
        <v>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48908-2023</t>
        </is>
      </c>
      <c r="B648" s="1" t="n">
        <v>45195</v>
      </c>
      <c r="C648" s="1" t="n">
        <v>46164</v>
      </c>
      <c r="D648" t="inlineStr">
        <is>
          <t>VÄRMLANDS LÄN</t>
        </is>
      </c>
      <c r="E648" t="inlineStr">
        <is>
          <t>FILIPSTAD</t>
        </is>
      </c>
      <c r="F648" t="inlineStr">
        <is>
          <t>Bergvik skog väst AB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1042-2023</t>
        </is>
      </c>
      <c r="B649" s="1" t="n">
        <v>44935.47858796296</v>
      </c>
      <c r="C649" s="1" t="n">
        <v>46164</v>
      </c>
      <c r="D649" t="inlineStr">
        <is>
          <t>VÄRMLANDS LÄN</t>
        </is>
      </c>
      <c r="E649" t="inlineStr">
        <is>
          <t>FILIPSTAD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10306-2025</t>
        </is>
      </c>
      <c r="B650" s="1" t="n">
        <v>45720.44628472222</v>
      </c>
      <c r="C650" s="1" t="n">
        <v>46164</v>
      </c>
      <c r="D650" t="inlineStr">
        <is>
          <t>VÄRMLANDS LÄN</t>
        </is>
      </c>
      <c r="E650" t="inlineStr">
        <is>
          <t>FILIPSTAD</t>
        </is>
      </c>
      <c r="F650" t="inlineStr">
        <is>
          <t>Bergvik skog väst AB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41075-2023</t>
        </is>
      </c>
      <c r="B651" s="1" t="n">
        <v>45173</v>
      </c>
      <c r="C651" s="1" t="n">
        <v>46164</v>
      </c>
      <c r="D651" t="inlineStr">
        <is>
          <t>VÄRMLANDS LÄN</t>
        </is>
      </c>
      <c r="E651" t="inlineStr">
        <is>
          <t>FILIPSTAD</t>
        </is>
      </c>
      <c r="F651" t="inlineStr">
        <is>
          <t>Bergvik skog väst AB</t>
        </is>
      </c>
      <c r="G651" t="n">
        <v>4.6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14582-2025</t>
        </is>
      </c>
      <c r="B652" s="1" t="n">
        <v>45742</v>
      </c>
      <c r="C652" s="1" t="n">
        <v>46164</v>
      </c>
      <c r="D652" t="inlineStr">
        <is>
          <t>VÄRMLANDS LÄN</t>
        </is>
      </c>
      <c r="E652" t="inlineStr">
        <is>
          <t>FILIPSTAD</t>
        </is>
      </c>
      <c r="F652" t="inlineStr">
        <is>
          <t>Bergvik skog väst AB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6661-2025</t>
        </is>
      </c>
      <c r="B653" s="1" t="n">
        <v>45700.44770833333</v>
      </c>
      <c r="C653" s="1" t="n">
        <v>46164</v>
      </c>
      <c r="D653" t="inlineStr">
        <is>
          <t>VÄRMLANDS LÄN</t>
        </is>
      </c>
      <c r="E653" t="inlineStr">
        <is>
          <t>FILIPSTAD</t>
        </is>
      </c>
      <c r="G653" t="n">
        <v>10.6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56840-2024</t>
        </is>
      </c>
      <c r="B654" s="1" t="n">
        <v>45628</v>
      </c>
      <c r="C654" s="1" t="n">
        <v>46164</v>
      </c>
      <c r="D654" t="inlineStr">
        <is>
          <t>VÄRMLANDS LÄN</t>
        </is>
      </c>
      <c r="E654" t="inlineStr">
        <is>
          <t>FILIPSTAD</t>
        </is>
      </c>
      <c r="F654" t="inlineStr">
        <is>
          <t>Bergvik skog väst AB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8692-2025</t>
        </is>
      </c>
      <c r="B655" s="1" t="n">
        <v>45712.47305555556</v>
      </c>
      <c r="C655" s="1" t="n">
        <v>46164</v>
      </c>
      <c r="D655" t="inlineStr">
        <is>
          <t>VÄRMLANDS LÄN</t>
        </is>
      </c>
      <c r="E655" t="inlineStr">
        <is>
          <t>FILIPSTAD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23618-2023</t>
        </is>
      </c>
      <c r="B656" s="1" t="n">
        <v>45077.4805787037</v>
      </c>
      <c r="C656" s="1" t="n">
        <v>46164</v>
      </c>
      <c r="D656" t="inlineStr">
        <is>
          <t>VÄRMLANDS LÄN</t>
        </is>
      </c>
      <c r="E656" t="inlineStr">
        <is>
          <t>FILIPSTAD</t>
        </is>
      </c>
      <c r="G656" t="n">
        <v>15.8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60521-2024</t>
        </is>
      </c>
      <c r="B657" s="1" t="n">
        <v>45643</v>
      </c>
      <c r="C657" s="1" t="n">
        <v>46164</v>
      </c>
      <c r="D657" t="inlineStr">
        <is>
          <t>VÄRMLANDS LÄN</t>
        </is>
      </c>
      <c r="E657" t="inlineStr">
        <is>
          <t>FILIPSTAD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60524-2024</t>
        </is>
      </c>
      <c r="B658" s="1" t="n">
        <v>45643.6925</v>
      </c>
      <c r="C658" s="1" t="n">
        <v>46164</v>
      </c>
      <c r="D658" t="inlineStr">
        <is>
          <t>VÄRMLANDS LÄN</t>
        </is>
      </c>
      <c r="E658" t="inlineStr">
        <is>
          <t>FILIPSTAD</t>
        </is>
      </c>
      <c r="G658" t="n">
        <v>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52994-2023</t>
        </is>
      </c>
      <c r="B659" s="1" t="n">
        <v>45226</v>
      </c>
      <c r="C659" s="1" t="n">
        <v>46164</v>
      </c>
      <c r="D659" t="inlineStr">
        <is>
          <t>VÄRMLANDS LÄN</t>
        </is>
      </c>
      <c r="E659" t="inlineStr">
        <is>
          <t>FILIPSTAD</t>
        </is>
      </c>
      <c r="F659" t="inlineStr">
        <is>
          <t>Bergvik skog väst AB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18534-2025</t>
        </is>
      </c>
      <c r="B660" s="1" t="n">
        <v>45763</v>
      </c>
      <c r="C660" s="1" t="n">
        <v>46164</v>
      </c>
      <c r="D660" t="inlineStr">
        <is>
          <t>VÄRMLANDS LÄN</t>
        </is>
      </c>
      <c r="E660" t="inlineStr">
        <is>
          <t>FILIPSTAD</t>
        </is>
      </c>
      <c r="F660" t="inlineStr">
        <is>
          <t>Bergvik skog väst AB</t>
        </is>
      </c>
      <c r="G660" t="n">
        <v>6.3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14328-2025</t>
        </is>
      </c>
      <c r="B661" s="1" t="n">
        <v>45740.83446759259</v>
      </c>
      <c r="C661" s="1" t="n">
        <v>46164</v>
      </c>
      <c r="D661" t="inlineStr">
        <is>
          <t>VÄRMLANDS LÄN</t>
        </is>
      </c>
      <c r="E661" t="inlineStr">
        <is>
          <t>FILIPSTAD</t>
        </is>
      </c>
      <c r="G661" t="n">
        <v>4.3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15228-2025</t>
        </is>
      </c>
      <c r="B662" s="1" t="n">
        <v>45744.59353009259</v>
      </c>
      <c r="C662" s="1" t="n">
        <v>46164</v>
      </c>
      <c r="D662" t="inlineStr">
        <is>
          <t>VÄRMLANDS LÄN</t>
        </is>
      </c>
      <c r="E662" t="inlineStr">
        <is>
          <t>FILIPSTAD</t>
        </is>
      </c>
      <c r="F662" t="inlineStr">
        <is>
          <t>Kommuner</t>
        </is>
      </c>
      <c r="G662" t="n">
        <v>17.7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61642-2024</t>
        </is>
      </c>
      <c r="B663" s="1" t="n">
        <v>45646</v>
      </c>
      <c r="C663" s="1" t="n">
        <v>46164</v>
      </c>
      <c r="D663" t="inlineStr">
        <is>
          <t>VÄRMLANDS LÄN</t>
        </is>
      </c>
      <c r="E663" t="inlineStr">
        <is>
          <t>FILIPSTAD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60731-2024</t>
        </is>
      </c>
      <c r="B664" s="1" t="n">
        <v>45644.54251157407</v>
      </c>
      <c r="C664" s="1" t="n">
        <v>46164</v>
      </c>
      <c r="D664" t="inlineStr">
        <is>
          <t>VÄRMLANDS LÄN</t>
        </is>
      </c>
      <c r="E664" t="inlineStr">
        <is>
          <t>FILIPSTAD</t>
        </is>
      </c>
      <c r="F664" t="inlineStr">
        <is>
          <t>Bergvik skog väst AB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16063-2025</t>
        </is>
      </c>
      <c r="B665" s="1" t="n">
        <v>45749</v>
      </c>
      <c r="C665" s="1" t="n">
        <v>46164</v>
      </c>
      <c r="D665" t="inlineStr">
        <is>
          <t>VÄRMLANDS LÄN</t>
        </is>
      </c>
      <c r="E665" t="inlineStr">
        <is>
          <t>FILIPSTAD</t>
        </is>
      </c>
      <c r="F665" t="inlineStr">
        <is>
          <t>Bergvik skog väst AB</t>
        </is>
      </c>
      <c r="G665" t="n">
        <v>4.1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20661-2024</t>
        </is>
      </c>
      <c r="B666" s="1" t="n">
        <v>45436</v>
      </c>
      <c r="C666" s="1" t="n">
        <v>46164</v>
      </c>
      <c r="D666" t="inlineStr">
        <is>
          <t>VÄRMLANDS LÄN</t>
        </is>
      </c>
      <c r="E666" t="inlineStr">
        <is>
          <t>FILIPSTAD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32784-2024</t>
        </is>
      </c>
      <c r="B667" s="1" t="n">
        <v>45516</v>
      </c>
      <c r="C667" s="1" t="n">
        <v>46164</v>
      </c>
      <c r="D667" t="inlineStr">
        <is>
          <t>VÄRMLANDS LÄN</t>
        </is>
      </c>
      <c r="E667" t="inlineStr">
        <is>
          <t>FILIPSTAD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34262-2024</t>
        </is>
      </c>
      <c r="B668" s="1" t="n">
        <v>45524.60002314814</v>
      </c>
      <c r="C668" s="1" t="n">
        <v>46164</v>
      </c>
      <c r="D668" t="inlineStr">
        <is>
          <t>VÄRMLANDS LÄN</t>
        </is>
      </c>
      <c r="E668" t="inlineStr">
        <is>
          <t>FILIPSTAD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491-2024</t>
        </is>
      </c>
      <c r="B669" s="1" t="n">
        <v>45299.33832175926</v>
      </c>
      <c r="C669" s="1" t="n">
        <v>46164</v>
      </c>
      <c r="D669" t="inlineStr">
        <is>
          <t>VÄRMLANDS LÄN</t>
        </is>
      </c>
      <c r="E669" t="inlineStr">
        <is>
          <t>FILIPSTAD</t>
        </is>
      </c>
      <c r="F669" t="inlineStr">
        <is>
          <t>Bergvik skog väst AB</t>
        </is>
      </c>
      <c r="G669" t="n">
        <v>4.6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30646-2024</t>
        </is>
      </c>
      <c r="B670" s="1" t="n">
        <v>45495.58861111111</v>
      </c>
      <c r="C670" s="1" t="n">
        <v>46164</v>
      </c>
      <c r="D670" t="inlineStr">
        <is>
          <t>VÄRMLANDS LÄN</t>
        </is>
      </c>
      <c r="E670" t="inlineStr">
        <is>
          <t>FILIPSTAD</t>
        </is>
      </c>
      <c r="G670" t="n">
        <v>4.6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27139-2024</t>
        </is>
      </c>
      <c r="B671" s="1" t="n">
        <v>45471.54475694444</v>
      </c>
      <c r="C671" s="1" t="n">
        <v>46164</v>
      </c>
      <c r="D671" t="inlineStr">
        <is>
          <t>VÄRMLANDS LÄN</t>
        </is>
      </c>
      <c r="E671" t="inlineStr">
        <is>
          <t>FILIPSTAD</t>
        </is>
      </c>
      <c r="F671" t="inlineStr">
        <is>
          <t>Bergvik skog väst AB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17244-2024</t>
        </is>
      </c>
      <c r="B672" s="1" t="n">
        <v>45414.38712962963</v>
      </c>
      <c r="C672" s="1" t="n">
        <v>46164</v>
      </c>
      <c r="D672" t="inlineStr">
        <is>
          <t>VÄRMLANDS LÄN</t>
        </is>
      </c>
      <c r="E672" t="inlineStr">
        <is>
          <t>FILIPSTAD</t>
        </is>
      </c>
      <c r="G672" t="n">
        <v>5.2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20875-2024</t>
        </is>
      </c>
      <c r="B673" s="1" t="n">
        <v>45439</v>
      </c>
      <c r="C673" s="1" t="n">
        <v>46164</v>
      </c>
      <c r="D673" t="inlineStr">
        <is>
          <t>VÄRMLANDS LÄN</t>
        </is>
      </c>
      <c r="E673" t="inlineStr">
        <is>
          <t>FILIPSTAD</t>
        </is>
      </c>
      <c r="F673" t="inlineStr">
        <is>
          <t>Bergvik skog väst AB</t>
        </is>
      </c>
      <c r="G673" t="n">
        <v>6.8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1346-2025</t>
        </is>
      </c>
      <c r="B674" s="1" t="n">
        <v>45667</v>
      </c>
      <c r="C674" s="1" t="n">
        <v>46164</v>
      </c>
      <c r="D674" t="inlineStr">
        <is>
          <t>VÄRMLANDS LÄN</t>
        </is>
      </c>
      <c r="E674" t="inlineStr">
        <is>
          <t>FILIPSTAD</t>
        </is>
      </c>
      <c r="F674" t="inlineStr">
        <is>
          <t>Kommuner</t>
        </is>
      </c>
      <c r="G674" t="n">
        <v>6.9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47002-2024</t>
        </is>
      </c>
      <c r="B675" s="1" t="n">
        <v>45586.37773148148</v>
      </c>
      <c r="C675" s="1" t="n">
        <v>46164</v>
      </c>
      <c r="D675" t="inlineStr">
        <is>
          <t>VÄRMLANDS LÄN</t>
        </is>
      </c>
      <c r="E675" t="inlineStr">
        <is>
          <t>FILIPSTAD</t>
        </is>
      </c>
      <c r="F675" t="inlineStr">
        <is>
          <t>Bergvik skog väst AB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22925-2025</t>
        </is>
      </c>
      <c r="B676" s="1" t="n">
        <v>45790.44490740741</v>
      </c>
      <c r="C676" s="1" t="n">
        <v>46164</v>
      </c>
      <c r="D676" t="inlineStr">
        <is>
          <t>VÄRMLANDS LÄN</t>
        </is>
      </c>
      <c r="E676" t="inlineStr">
        <is>
          <t>FILIPSTAD</t>
        </is>
      </c>
      <c r="F676" t="inlineStr">
        <is>
          <t>Bergvik skog väst AB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22547-2025</t>
        </is>
      </c>
      <c r="B677" s="1" t="n">
        <v>45788.46444444444</v>
      </c>
      <c r="C677" s="1" t="n">
        <v>46164</v>
      </c>
      <c r="D677" t="inlineStr">
        <is>
          <t>VÄRMLANDS LÄN</t>
        </is>
      </c>
      <c r="E677" t="inlineStr">
        <is>
          <t>FILIPSTAD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22843-2025</t>
        </is>
      </c>
      <c r="B678" s="1" t="n">
        <v>45790.31645833333</v>
      </c>
      <c r="C678" s="1" t="n">
        <v>46164</v>
      </c>
      <c r="D678" t="inlineStr">
        <is>
          <t>VÄRMLANDS LÄN</t>
        </is>
      </c>
      <c r="E678" t="inlineStr">
        <is>
          <t>FILIPSTAD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65167-2021</t>
        </is>
      </c>
      <c r="B679" s="1" t="n">
        <v>44515</v>
      </c>
      <c r="C679" s="1" t="n">
        <v>46164</v>
      </c>
      <c r="D679" t="inlineStr">
        <is>
          <t>VÄRMLANDS LÄN</t>
        </is>
      </c>
      <c r="E679" t="inlineStr">
        <is>
          <t>FILIPSTAD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22558-2025</t>
        </is>
      </c>
      <c r="B680" s="1" t="n">
        <v>45789.31070601852</v>
      </c>
      <c r="C680" s="1" t="n">
        <v>46164</v>
      </c>
      <c r="D680" t="inlineStr">
        <is>
          <t>VÄRMLANDS LÄN</t>
        </is>
      </c>
      <c r="E680" t="inlineStr">
        <is>
          <t>FILIPSTAD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22880-2025</t>
        </is>
      </c>
      <c r="B681" s="1" t="n">
        <v>45790.38118055555</v>
      </c>
      <c r="C681" s="1" t="n">
        <v>46164</v>
      </c>
      <c r="D681" t="inlineStr">
        <is>
          <t>VÄRMLANDS LÄN</t>
        </is>
      </c>
      <c r="E681" t="inlineStr">
        <is>
          <t>FILIPSTAD</t>
        </is>
      </c>
      <c r="F681" t="inlineStr">
        <is>
          <t>Kyrkan</t>
        </is>
      </c>
      <c r="G681" t="n">
        <v>5.4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23174-2025</t>
        </is>
      </c>
      <c r="B682" s="1" t="n">
        <v>45791</v>
      </c>
      <c r="C682" s="1" t="n">
        <v>46164</v>
      </c>
      <c r="D682" t="inlineStr">
        <is>
          <t>VÄRMLANDS LÄN</t>
        </is>
      </c>
      <c r="E682" t="inlineStr">
        <is>
          <t>FILIPSTAD</t>
        </is>
      </c>
      <c r="F682" t="inlineStr">
        <is>
          <t>Bergvik skog väst AB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23266-2025</t>
        </is>
      </c>
      <c r="B683" s="1" t="n">
        <v>45791.55612268519</v>
      </c>
      <c r="C683" s="1" t="n">
        <v>46164</v>
      </c>
      <c r="D683" t="inlineStr">
        <is>
          <t>VÄRMLANDS LÄN</t>
        </is>
      </c>
      <c r="E683" t="inlineStr">
        <is>
          <t>FILIPSTAD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23475-2025</t>
        </is>
      </c>
      <c r="B684" s="1" t="n">
        <v>45792</v>
      </c>
      <c r="C684" s="1" t="n">
        <v>46164</v>
      </c>
      <c r="D684" t="inlineStr">
        <is>
          <t>VÄRMLANDS LÄN</t>
        </is>
      </c>
      <c r="E684" t="inlineStr">
        <is>
          <t>FILIPSTAD</t>
        </is>
      </c>
      <c r="F684" t="inlineStr">
        <is>
          <t>Bergvik skog väst AB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28357-2024</t>
        </is>
      </c>
      <c r="B685" s="1" t="n">
        <v>45477.57092592592</v>
      </c>
      <c r="C685" s="1" t="n">
        <v>46164</v>
      </c>
      <c r="D685" t="inlineStr">
        <is>
          <t>VÄRMLANDS LÄN</t>
        </is>
      </c>
      <c r="E685" t="inlineStr">
        <is>
          <t>FILIPSTAD</t>
        </is>
      </c>
      <c r="F685" t="inlineStr">
        <is>
          <t>Bergvik skog väst AB</t>
        </is>
      </c>
      <c r="G685" t="n">
        <v>5.9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48702-2024</t>
        </is>
      </c>
      <c r="B686" s="1" t="n">
        <v>45593.52293981481</v>
      </c>
      <c r="C686" s="1" t="n">
        <v>46164</v>
      </c>
      <c r="D686" t="inlineStr">
        <is>
          <t>VÄRMLANDS LÄN</t>
        </is>
      </c>
      <c r="E686" t="inlineStr">
        <is>
          <t>FILIPSTAD</t>
        </is>
      </c>
      <c r="F686" t="inlineStr">
        <is>
          <t>Bergvik skog väst AB</t>
        </is>
      </c>
      <c r="G686" t="n">
        <v>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35304-2024</t>
        </is>
      </c>
      <c r="B687" s="1" t="n">
        <v>45530.67231481482</v>
      </c>
      <c r="C687" s="1" t="n">
        <v>46164</v>
      </c>
      <c r="D687" t="inlineStr">
        <is>
          <t>VÄRMLANDS LÄN</t>
        </is>
      </c>
      <c r="E687" t="inlineStr">
        <is>
          <t>FILIPSTAD</t>
        </is>
      </c>
      <c r="F687" t="inlineStr">
        <is>
          <t>Bergvik skog väst AB</t>
        </is>
      </c>
      <c r="G687" t="n">
        <v>6.6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23399-2025</t>
        </is>
      </c>
      <c r="B688" s="1" t="n">
        <v>45792.31489583333</v>
      </c>
      <c r="C688" s="1" t="n">
        <v>46164</v>
      </c>
      <c r="D688" t="inlineStr">
        <is>
          <t>VÄRMLANDS LÄN</t>
        </is>
      </c>
      <c r="E688" t="inlineStr">
        <is>
          <t>FILIPSTAD</t>
        </is>
      </c>
      <c r="F688" t="inlineStr">
        <is>
          <t>Bergvik skog väst AB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23286-2025</t>
        </is>
      </c>
      <c r="B689" s="1" t="n">
        <v>45791</v>
      </c>
      <c r="C689" s="1" t="n">
        <v>46164</v>
      </c>
      <c r="D689" t="inlineStr">
        <is>
          <t>VÄRMLANDS LÄN</t>
        </is>
      </c>
      <c r="E689" t="inlineStr">
        <is>
          <t>FILIPSTAD</t>
        </is>
      </c>
      <c r="F689" t="inlineStr">
        <is>
          <t>Bergvik skog väst AB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1350-2025</t>
        </is>
      </c>
      <c r="B690" s="1" t="n">
        <v>45667</v>
      </c>
      <c r="C690" s="1" t="n">
        <v>46164</v>
      </c>
      <c r="D690" t="inlineStr">
        <is>
          <t>VÄRMLANDS LÄN</t>
        </is>
      </c>
      <c r="E690" t="inlineStr">
        <is>
          <t>FILIPSTAD</t>
        </is>
      </c>
      <c r="F690" t="inlineStr">
        <is>
          <t>Kommuner</t>
        </is>
      </c>
      <c r="G690" t="n">
        <v>5.9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20844-2024</t>
        </is>
      </c>
      <c r="B691" s="1" t="n">
        <v>45439</v>
      </c>
      <c r="C691" s="1" t="n">
        <v>46164</v>
      </c>
      <c r="D691" t="inlineStr">
        <is>
          <t>VÄRMLANDS LÄN</t>
        </is>
      </c>
      <c r="E691" t="inlineStr">
        <is>
          <t>FILIPSTAD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3979-2024</t>
        </is>
      </c>
      <c r="B692" s="1" t="n">
        <v>45322</v>
      </c>
      <c r="C692" s="1" t="n">
        <v>46164</v>
      </c>
      <c r="D692" t="inlineStr">
        <is>
          <t>VÄRMLANDS LÄN</t>
        </is>
      </c>
      <c r="E692" t="inlineStr">
        <is>
          <t>FILIPSTAD</t>
        </is>
      </c>
      <c r="G692" t="n">
        <v>8.199999999999999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72118-2021</t>
        </is>
      </c>
      <c r="B693" s="1" t="n">
        <v>44543</v>
      </c>
      <c r="C693" s="1" t="n">
        <v>46164</v>
      </c>
      <c r="D693" t="inlineStr">
        <is>
          <t>VÄRMLANDS LÄN</t>
        </is>
      </c>
      <c r="E693" t="inlineStr">
        <is>
          <t>FILIPSTAD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24143-2025</t>
        </is>
      </c>
      <c r="B694" s="1" t="n">
        <v>45796.64369212963</v>
      </c>
      <c r="C694" s="1" t="n">
        <v>46164</v>
      </c>
      <c r="D694" t="inlineStr">
        <is>
          <t>VÄRMLANDS LÄN</t>
        </is>
      </c>
      <c r="E694" t="inlineStr">
        <is>
          <t>FILIPSTAD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15396-2025</t>
        </is>
      </c>
      <c r="B695" s="1" t="n">
        <v>45747.44082175926</v>
      </c>
      <c r="C695" s="1" t="n">
        <v>46164</v>
      </c>
      <c r="D695" t="inlineStr">
        <is>
          <t>VÄRMLANDS LÄN</t>
        </is>
      </c>
      <c r="E695" t="inlineStr">
        <is>
          <t>FILIPSTAD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11453-2025</t>
        </is>
      </c>
      <c r="B696" s="1" t="n">
        <v>45726.64355324074</v>
      </c>
      <c r="C696" s="1" t="n">
        <v>46164</v>
      </c>
      <c r="D696" t="inlineStr">
        <is>
          <t>VÄRMLANDS LÄN</t>
        </is>
      </c>
      <c r="E696" t="inlineStr">
        <is>
          <t>FILIPSTAD</t>
        </is>
      </c>
      <c r="G696" t="n">
        <v>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23775-2025</t>
        </is>
      </c>
      <c r="B697" s="1" t="n">
        <v>45793</v>
      </c>
      <c r="C697" s="1" t="n">
        <v>46164</v>
      </c>
      <c r="D697" t="inlineStr">
        <is>
          <t>VÄRMLANDS LÄN</t>
        </is>
      </c>
      <c r="E697" t="inlineStr">
        <is>
          <t>FILIPSTAD</t>
        </is>
      </c>
      <c r="F697" t="inlineStr">
        <is>
          <t>Bergvik skog väst AB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23769-2025</t>
        </is>
      </c>
      <c r="B698" s="1" t="n">
        <v>45793</v>
      </c>
      <c r="C698" s="1" t="n">
        <v>46164</v>
      </c>
      <c r="D698" t="inlineStr">
        <is>
          <t>VÄRMLANDS LÄN</t>
        </is>
      </c>
      <c r="E698" t="inlineStr">
        <is>
          <t>FILIPSTAD</t>
        </is>
      </c>
      <c r="F698" t="inlineStr">
        <is>
          <t>Bergvik skog väst AB</t>
        </is>
      </c>
      <c r="G698" t="n">
        <v>7.1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8712-2024</t>
        </is>
      </c>
      <c r="B699" s="1" t="n">
        <v>45355</v>
      </c>
      <c r="C699" s="1" t="n">
        <v>46164</v>
      </c>
      <c r="D699" t="inlineStr">
        <is>
          <t>VÄRMLANDS LÄN</t>
        </is>
      </c>
      <c r="E699" t="inlineStr">
        <is>
          <t>FILIPSTAD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65174-2021</t>
        </is>
      </c>
      <c r="B700" s="1" t="n">
        <v>44515</v>
      </c>
      <c r="C700" s="1" t="n">
        <v>46164</v>
      </c>
      <c r="D700" t="inlineStr">
        <is>
          <t>VÄRMLANDS LÄN</t>
        </is>
      </c>
      <c r="E700" t="inlineStr">
        <is>
          <t>FILIPSTAD</t>
        </is>
      </c>
      <c r="G700" t="n">
        <v>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15406-2025</t>
        </is>
      </c>
      <c r="B701" s="1" t="n">
        <v>45747.44877314815</v>
      </c>
      <c r="C701" s="1" t="n">
        <v>46164</v>
      </c>
      <c r="D701" t="inlineStr">
        <is>
          <t>VÄRMLANDS LÄN</t>
        </is>
      </c>
      <c r="E701" t="inlineStr">
        <is>
          <t>FILIPSTAD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24386-2025</t>
        </is>
      </c>
      <c r="B702" s="1" t="n">
        <v>45797.63240740741</v>
      </c>
      <c r="C702" s="1" t="n">
        <v>46164</v>
      </c>
      <c r="D702" t="inlineStr">
        <is>
          <t>VÄRMLANDS LÄN</t>
        </is>
      </c>
      <c r="E702" t="inlineStr">
        <is>
          <t>FILIPSTAD</t>
        </is>
      </c>
      <c r="F702" t="inlineStr">
        <is>
          <t>Bergvik skog väst AB</t>
        </is>
      </c>
      <c r="G702" t="n">
        <v>5.9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35799-2022</t>
        </is>
      </c>
      <c r="B703" s="1" t="n">
        <v>44801.94767361111</v>
      </c>
      <c r="C703" s="1" t="n">
        <v>46164</v>
      </c>
      <c r="D703" t="inlineStr">
        <is>
          <t>VÄRMLANDS LÄN</t>
        </is>
      </c>
      <c r="E703" t="inlineStr">
        <is>
          <t>FILIPSTAD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24724-2025</t>
        </is>
      </c>
      <c r="B704" s="1" t="n">
        <v>45799.32064814815</v>
      </c>
      <c r="C704" s="1" t="n">
        <v>46164</v>
      </c>
      <c r="D704" t="inlineStr">
        <is>
          <t>VÄRMLANDS LÄN</t>
        </is>
      </c>
      <c r="E704" t="inlineStr">
        <is>
          <t>FILIPSTAD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47261-2024</t>
        </is>
      </c>
      <c r="B705" s="1" t="n">
        <v>45586.77313657408</v>
      </c>
      <c r="C705" s="1" t="n">
        <v>46164</v>
      </c>
      <c r="D705" t="inlineStr">
        <is>
          <t>VÄRMLANDS LÄN</t>
        </is>
      </c>
      <c r="E705" t="inlineStr">
        <is>
          <t>FILIPSTAD</t>
        </is>
      </c>
      <c r="F705" t="inlineStr">
        <is>
          <t>Bergvik skog väst AB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>
      <c r="A706" t="inlineStr">
        <is>
          <t>A 25483-2025</t>
        </is>
      </c>
      <c r="B706" s="1" t="n">
        <v>45802</v>
      </c>
      <c r="C706" s="1" t="n">
        <v>46164</v>
      </c>
      <c r="D706" t="inlineStr">
        <is>
          <t>VÄRMLANDS LÄN</t>
        </is>
      </c>
      <c r="E706" t="inlineStr">
        <is>
          <t>FILIPSTAD</t>
        </is>
      </c>
      <c r="F706" t="inlineStr">
        <is>
          <t>Bergvik skog väst AB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2026-05-22T10:43:13Z</dcterms:created>
  <dcterms:modified xmlns:dcterms="http://purl.org/dc/terms/" xmlns:xsi="http://www.w3.org/2001/XMLSchema-instance" xsi:type="dcterms:W3CDTF">2026-05-22T10:43:13Z</dcterms:modified>
</cp:coreProperties>
</file>