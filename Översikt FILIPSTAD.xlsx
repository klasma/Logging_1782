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46255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46255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46255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46255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46255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46255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46255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46255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46255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46255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51922-2024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46255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Läderlappslav
Tjäder</t>
        </is>
      </c>
      <c r="W19">
        <f>HYPERLINK("https://klasma.github.io/Logging_1782/artfynd/A 51922-2024 artfynd.xlsx", "A 51922-2024")</f>
        <v/>
      </c>
      <c r="X19">
        <f>HYPERLINK("https://klasma.github.io/Logging_1782/kartor/A 51922-2024 karta.png", "A 51922-2024")</f>
        <v/>
      </c>
      <c r="Y19">
        <f>HYPERLINK("https://klasma.github.io/Logging_1782/kartor_geotiff/A 51922-2024 georefererad karta.tif", "A 51922-2024")</f>
        <v/>
      </c>
      <c r="AA19">
        <f>HYPERLINK("https://klasma.github.io/Logging_1782/klagomål/A 51922-2024 FSC-klagomål.docx", "A 51922-2024")</f>
        <v/>
      </c>
      <c r="AB19">
        <f>HYPERLINK("https://klasma.github.io/Logging_1782/klagomålsmail/A 51922-2024 FSC-klagomål mail.docx", "A 51922-2024")</f>
        <v/>
      </c>
      <c r="AC19">
        <f>HYPERLINK("https://klasma.github.io/Logging_1782/tillsyn/A 51922-2024 tillsynsbegäran.docx", "A 51922-2024")</f>
        <v/>
      </c>
      <c r="AD19">
        <f>HYPERLINK("https://klasma.github.io/Logging_1782/tillsynsmail/A 51922-2024 tillsynsbegäran mail.docx", "A 51922-2024")</f>
        <v/>
      </c>
      <c r="AE19">
        <f>HYPERLINK("https://klasma.github.io/Logging_1782/fåglar/A 51922-2024 prioriterade fågelarter.docx", "A 51922-2024")</f>
        <v/>
      </c>
    </row>
    <row r="20" ht="15" customHeight="1">
      <c r="A20" t="inlineStr">
        <is>
          <t>A 32438-2026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46255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Dubbelnycklar
Ängsnycklar</t>
        </is>
      </c>
      <c r="W20">
        <f>HYPERLINK("https://klasma.github.io/Logging_1782/artfynd/A 32438-2026 artfynd.xlsx", "A 32438-2026")</f>
        <v/>
      </c>
      <c r="X20">
        <f>HYPERLINK("https://klasma.github.io/Logging_1782/kartor/A 32438-2026 karta.png", "A 32438-2026")</f>
        <v/>
      </c>
      <c r="Y20">
        <f>HYPERLINK("https://klasma.github.io/Logging_1782/kartor_geotiff/A 32438-2026 georefererad karta.tif", "A 32438-2026")</f>
        <v/>
      </c>
      <c r="AA20">
        <f>HYPERLINK("https://klasma.github.io/Logging_1782/klagomål/A 32438-2026 FSC-klagomål.docx", "A 32438-2026")</f>
        <v/>
      </c>
      <c r="AB20">
        <f>HYPERLINK("https://klasma.github.io/Logging_1782/klagomålsmail/A 32438-2026 FSC-klagomål mail.docx", "A 32438-2026")</f>
        <v/>
      </c>
      <c r="AC20">
        <f>HYPERLINK("https://klasma.github.io/Logging_1782/tillsyn/A 32438-2026 tillsynsbegäran.docx", "A 32438-2026")</f>
        <v/>
      </c>
      <c r="AD20">
        <f>HYPERLINK("https://klasma.github.io/Logging_1782/tillsynsmail/A 32438-2026 tillsynsbegäran mail.docx", "A 32438-2026")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46255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46255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46255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46255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46255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46255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46255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46255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46255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46255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46255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46255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HYPERLINK("https://klasma.github.io/Logging_1782/artfynd/A 23046-2023 artfynd.xlsx", "A 23046-2023")</f>
        <v/>
      </c>
      <c r="X32">
        <f>HYPERLINK("https://klasma.github.io/Logging_1782/kartor/A 23046-2023 karta.png", "A 23046-2023")</f>
        <v/>
      </c>
      <c r="Y32">
        <f>HYPERLINK("https://klasma.github.io/Logging_1782/kartor_geotiff/A 23046-2023 georefererad karta.tif", "A 23046-2023")</f>
        <v/>
      </c>
      <c r="Z32">
        <f>HYPERLINK("https://klasma.github.io/Logging_1782/knärot/A 23046-2023 karta knärot.png", "A 23046-2023")</f>
        <v/>
      </c>
      <c r="AA32">
        <f>HYPERLINK("https://klasma.github.io/Logging_1782/klagomål/A 23046-2023 FSC-klagomål.docx", "A 23046-2023")</f>
        <v/>
      </c>
      <c r="AB32">
        <f>HYPERLINK("https://klasma.github.io/Logging_1782/klagomålsmail/A 23046-2023 FSC-klagomål mail.docx", "A 23046-2023")</f>
        <v/>
      </c>
      <c r="AC32">
        <f>HYPERLINK("https://klasma.github.io/Logging_1782/tillsyn/A 23046-2023 tillsynsbegäran.docx", "A 23046-2023")</f>
        <v/>
      </c>
      <c r="AD32">
        <f>HYPERLINK("https://klasma.github.io/Logging_1782/tillsynsmail/A 23046-2023 tillsynsbegäran mail.docx", "A 23046-2023")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46255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46255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46255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46255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46255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46255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Kamjordstjärna</t>
        </is>
      </c>
      <c r="W38">
        <f>HYPERLINK("https://klasma.github.io/Logging_1782/artfynd/A 874-2025 artfynd.xlsx", "A 874-2025")</f>
        <v/>
      </c>
      <c r="X38">
        <f>HYPERLINK("https://klasma.github.io/Logging_1782/kartor/A 874-2025 karta.png", "A 874-2025")</f>
        <v/>
      </c>
      <c r="Y38">
        <f>HYPERLINK("https://klasma.github.io/Logging_1782/kartor_geotiff/A 874-2025 georefererad karta.tif", "A 874-2025")</f>
        <v/>
      </c>
      <c r="AA38">
        <f>HYPERLINK("https://klasma.github.io/Logging_1782/klagomål/A 874-2025 FSC-klagomål.docx", "A 874-2025")</f>
        <v/>
      </c>
      <c r="AB38">
        <f>HYPERLINK("https://klasma.github.io/Logging_1782/klagomålsmail/A 874-2025 FSC-klagomål mail.docx", "A 874-2025")</f>
        <v/>
      </c>
      <c r="AC38">
        <f>HYPERLINK("https://klasma.github.io/Logging_1782/tillsyn/A 874-2025 tillsynsbegäran.docx", "A 874-2025")</f>
        <v/>
      </c>
      <c r="AD38">
        <f>HYPERLINK("https://klasma.github.io/Logging_1782/tillsynsmail/A 874-2025 tillsynsbegäran mail.docx", "A 874-2025")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46255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46255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46255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Stjärnstarr</t>
        </is>
      </c>
      <c r="W42">
        <f>HYPERLINK("https://klasma.github.io/Logging_1782/artfynd/A 28915-2026 artfynd.xlsx", "A 28915-2026")</f>
        <v/>
      </c>
      <c r="X42">
        <f>HYPERLINK("https://klasma.github.io/Logging_1782/kartor/A 28915-2026 karta.png", "A 28915-2026")</f>
        <v/>
      </c>
      <c r="Y42">
        <f>HYPERLINK("https://klasma.github.io/Logging_1782/kartor_geotiff/A 28915-2026 georefererad karta.tif", "A 28915-2026")</f>
        <v/>
      </c>
      <c r="AA42">
        <f>HYPERLINK("https://klasma.github.io/Logging_1782/klagomål/A 28915-2026 FSC-klagomål.docx", "A 28915-2026")</f>
        <v/>
      </c>
      <c r="AB42">
        <f>HYPERLINK("https://klasma.github.io/Logging_1782/klagomålsmail/A 28915-2026 FSC-klagomål mail.docx", "A 28915-2026")</f>
        <v/>
      </c>
      <c r="AC42">
        <f>HYPERLINK("https://klasma.github.io/Logging_1782/tillsyn/A 28915-2026 tillsynsbegäran.docx", "A 28915-2026")</f>
        <v/>
      </c>
      <c r="AD42">
        <f>HYPERLINK("https://klasma.github.io/Logging_1782/tillsynsmail/A 28915-2026 tillsynsbegäran mail.docx", "A 28915-2026")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46255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46255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A 25916-2025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45804</v>
      </c>
      <c r="E45" s="1" t="n">
        <v>46255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26.4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HYPERLINK("https://klasma.github.io/Logging_1782/artfynd/A 25916-2025 artfynd.xlsx", "A 25916-2025")</f>
        <v/>
      </c>
      <c r="X45">
        <f>HYPERLINK("https://klasma.github.io/Logging_1782/kartor/A 25916-2025 karta.png", "A 25916-2025")</f>
        <v/>
      </c>
      <c r="Y45">
        <f>HYPERLINK("https://klasma.github.io/Logging_1782/kartor_geotiff/A 25916-2025 georefererad karta.tif", "A 25916-2025")</f>
        <v/>
      </c>
      <c r="AA45">
        <f>HYPERLINK("https://klasma.github.io/Logging_1782/klagomål/A 25916-2025 FSC-klagomål.docx", "A 25916-2025")</f>
        <v/>
      </c>
      <c r="AB45">
        <f>HYPERLINK("https://klasma.github.io/Logging_1782/klagomålsmail/A 25916-2025 FSC-klagomål mail.docx", "A 25916-2025")</f>
        <v/>
      </c>
      <c r="AC45">
        <f>HYPERLINK("https://klasma.github.io/Logging_1782/tillsyn/A 25916-2025 tillsynsbegäran.docx", "A 25916-2025")</f>
        <v/>
      </c>
      <c r="AD45">
        <f>HYPERLINK("https://klasma.github.io/Logging_1782/tillsynsmail/A 25916-2025 tillsynsbegäran mail.docx", "A 25916-2025")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46255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46255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46255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46255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46255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46255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46255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46255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46255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46255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46255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46255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46255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46255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46255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46255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46255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46255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46255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46255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46255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46255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46255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46255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46255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46255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46255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53562-2023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46255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46255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46255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46255</v>
      </c>
      <c r="F79" t="inlineStr">
        <is>
          <t>VÄRMLANDS LÄN</t>
        </is>
      </c>
      <c r="G79" t="inlineStr">
        <is>
          <t>FILIPSTAD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46255</v>
      </c>
      <c r="F80" t="inlineStr">
        <is>
          <t>VÄRMLANDS LÄN</t>
        </is>
      </c>
      <c r="G80" t="inlineStr">
        <is>
          <t>FILIPSTAD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45342</v>
      </c>
      <c r="E81" s="1" t="n">
        <v>46255</v>
      </c>
      <c r="F81" t="inlineStr">
        <is>
          <t>VÄRMLANDS LÄN</t>
        </is>
      </c>
      <c r="G81" t="inlineStr">
        <is>
          <t>FILIPSTAD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46255</v>
      </c>
      <c r="F82" t="inlineStr">
        <is>
          <t>VÄRMLANDS LÄN</t>
        </is>
      </c>
      <c r="G82" t="inlineStr">
        <is>
          <t>FILIPSTAD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45391</v>
      </c>
      <c r="E83" s="1" t="n">
        <v>46255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46255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46255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46255</v>
      </c>
      <c r="F86" t="inlineStr">
        <is>
          <t>VÄRMLANDS LÄN</t>
        </is>
      </c>
      <c r="G86" t="inlineStr">
        <is>
          <t>FILIPSTAD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45223</v>
      </c>
      <c r="E87" s="1" t="n">
        <v>46255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46255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46255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45384</v>
      </c>
      <c r="E90" s="1" t="n">
        <v>46255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46255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46255</v>
      </c>
      <c r="F92" t="inlineStr">
        <is>
          <t>VÄRMLANDS LÄN</t>
        </is>
      </c>
      <c r="G92" t="inlineStr">
        <is>
          <t>FILIPSTAD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46255</v>
      </c>
      <c r="F93" t="inlineStr">
        <is>
          <t>VÄRMLANDS LÄN</t>
        </is>
      </c>
      <c r="G93" t="inlineStr">
        <is>
          <t>FILIPSTAD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46255</v>
      </c>
      <c r="F94" t="inlineStr">
        <is>
          <t>VÄRMLANDS LÄN</t>
        </is>
      </c>
      <c r="G94" t="inlineStr">
        <is>
          <t>FILIPSTAD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46255</v>
      </c>
      <c r="F95" t="inlineStr">
        <is>
          <t>VÄRMLANDS LÄN</t>
        </is>
      </c>
      <c r="G95" t="inlineStr">
        <is>
          <t>FILIPSTAD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46255</v>
      </c>
      <c r="F96" t="inlineStr">
        <is>
          <t>VÄRMLANDS LÄN</t>
        </is>
      </c>
      <c r="G96" t="inlineStr">
        <is>
          <t>FILIPSTAD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46255</v>
      </c>
      <c r="F97" t="inlineStr">
        <is>
          <t>VÄRMLANDS LÄN</t>
        </is>
      </c>
      <c r="G97" t="inlineStr">
        <is>
          <t>FILIPSTAD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46255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46255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46255</v>
      </c>
      <c r="F100" t="inlineStr">
        <is>
          <t>VÄRMLANDS LÄN</t>
        </is>
      </c>
      <c r="G100" t="inlineStr">
        <is>
          <t>FILIPSTAD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45393</v>
      </c>
      <c r="E101" s="1" t="n">
        <v>46255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46255</v>
      </c>
      <c r="F102" t="inlineStr">
        <is>
          <t>VÄRMLANDS LÄN</t>
        </is>
      </c>
      <c r="G102" t="inlineStr">
        <is>
          <t>FILIPSTAD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44588</v>
      </c>
      <c r="E103" s="1" t="n">
        <v>46255</v>
      </c>
      <c r="F103" t="inlineStr">
        <is>
          <t>VÄRMLANDS LÄN</t>
        </is>
      </c>
      <c r="G103" t="inlineStr">
        <is>
          <t>FILIPSTAD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45418</v>
      </c>
      <c r="E104" s="1" t="n">
        <v>46255</v>
      </c>
      <c r="F104" t="inlineStr">
        <is>
          <t>VÄRMLANDS LÄN</t>
        </is>
      </c>
      <c r="G104" t="inlineStr">
        <is>
          <t>FILIPSTAD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44672</v>
      </c>
      <c r="E105" s="1" t="n">
        <v>46255</v>
      </c>
      <c r="F105" t="inlineStr">
        <is>
          <t>VÄRMLANDS LÄN</t>
        </is>
      </c>
      <c r="G105" t="inlineStr">
        <is>
          <t>FILIPSTAD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45578</v>
      </c>
      <c r="E106" s="1" t="n">
        <v>46255</v>
      </c>
      <c r="F106" t="inlineStr">
        <is>
          <t>VÄRMLANDS LÄN</t>
        </is>
      </c>
      <c r="G106" t="inlineStr">
        <is>
          <t>FILIPSTAD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56151-2023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46255</v>
      </c>
      <c r="F107" t="inlineStr">
        <is>
          <t>VÄRMLANDS LÄN</t>
        </is>
      </c>
      <c r="G107" t="inlineStr">
        <is>
          <t>FILIPSTAD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46255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46255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46255</v>
      </c>
      <c r="F110" t="inlineStr">
        <is>
          <t>VÄRMLANDS LÄN</t>
        </is>
      </c>
      <c r="G110" t="inlineStr">
        <is>
          <t>FILIPSTAD</t>
        </is>
      </c>
      <c r="H110" t="inlineStr">
        <is>
          <t>Kyrkan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46255</v>
      </c>
      <c r="F111" t="inlineStr">
        <is>
          <t>VÄRMLANDS LÄN</t>
        </is>
      </c>
      <c r="G111" t="inlineStr">
        <is>
          <t>FILIPSTAD</t>
        </is>
      </c>
      <c r="I111" t="n">
        <v>23.3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46255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46255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69015-2021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44530</v>
      </c>
      <c r="E114" s="1" t="n">
        <v>46255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12.7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31172-2025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45832</v>
      </c>
      <c r="E115" s="1" t="n">
        <v>46255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46255</v>
      </c>
      <c r="F116" t="inlineStr">
        <is>
          <t>VÄRMLANDS LÄN</t>
        </is>
      </c>
      <c r="G116" t="inlineStr">
        <is>
          <t>FILIPSTAD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46255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46255</v>
      </c>
      <c r="F118" t="inlineStr">
        <is>
          <t>VÄRMLANDS LÄN</t>
        </is>
      </c>
      <c r="G118" t="inlineStr">
        <is>
          <t>FILIPSTAD</t>
        </is>
      </c>
      <c r="I118" t="n">
        <v>18.7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46255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46255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32032-2025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45835</v>
      </c>
      <c r="E121" s="1" t="n">
        <v>46255</v>
      </c>
      <c r="F121" t="inlineStr">
        <is>
          <t>VÄRMLANDS LÄN</t>
        </is>
      </c>
      <c r="G121" t="inlineStr">
        <is>
          <t>FILIPSTAD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46255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45688</v>
      </c>
      <c r="E123" s="1" t="n">
        <v>46255</v>
      </c>
      <c r="F123" t="inlineStr">
        <is>
          <t>VÄRMLANDS LÄN</t>
        </is>
      </c>
      <c r="G123" t="inlineStr">
        <is>
          <t>FILIPSTAD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44935</v>
      </c>
      <c r="E124" s="1" t="n">
        <v>46255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8139-2026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46064</v>
      </c>
      <c r="E125" s="1" t="n">
        <v>46255</v>
      </c>
      <c r="F125" t="inlineStr">
        <is>
          <t>VÄRMLANDS LÄN</t>
        </is>
      </c>
      <c r="G125" t="inlineStr">
        <is>
          <t>FILIPSTAD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33407-2025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45841</v>
      </c>
      <c r="E126" s="1" t="n">
        <v>46255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46255</v>
      </c>
      <c r="F127" t="inlineStr">
        <is>
          <t>VÄRMLANDS LÄN</t>
        </is>
      </c>
      <c r="G127" t="inlineStr">
        <is>
          <t>FILIPSTAD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46255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44788</v>
      </c>
      <c r="E129" s="1" t="n">
        <v>46255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45902</v>
      </c>
      <c r="E130" s="1" t="n">
        <v>46255</v>
      </c>
      <c r="F130" t="inlineStr">
        <is>
          <t>VÄRMLANDS LÄN</t>
        </is>
      </c>
      <c r="G130" t="inlineStr">
        <is>
          <t>FILIPSTAD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45870</v>
      </c>
      <c r="E131" s="1" t="n">
        <v>46255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46255</v>
      </c>
      <c r="F132" t="inlineStr">
        <is>
          <t>VÄRMLANDS LÄN</t>
        </is>
      </c>
      <c r="G132" t="inlineStr">
        <is>
          <t>FILIPSTAD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45567</v>
      </c>
      <c r="E133" s="1" t="n">
        <v>46255</v>
      </c>
      <c r="F133" t="inlineStr">
        <is>
          <t>VÄRMLANDS LÄN</t>
        </is>
      </c>
      <c r="G133" t="inlineStr">
        <is>
          <t>FILIPSTAD</t>
        </is>
      </c>
      <c r="H133" t="inlineStr">
        <is>
          <t>Kyrkan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46255</v>
      </c>
      <c r="F134" t="inlineStr">
        <is>
          <t>VÄRMLANDS LÄN</t>
        </is>
      </c>
      <c r="G134" t="inlineStr">
        <is>
          <t>FILIPSTAD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46255</v>
      </c>
      <c r="F135" t="inlineStr">
        <is>
          <t>VÄRMLANDS LÄN</t>
        </is>
      </c>
      <c r="G135" t="inlineStr">
        <is>
          <t>FILIPSTAD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46255</v>
      </c>
      <c r="F136" t="inlineStr">
        <is>
          <t>VÄRMLANDS LÄN</t>
        </is>
      </c>
      <c r="G136" t="inlineStr">
        <is>
          <t>FILIPSTAD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46255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46255</v>
      </c>
      <c r="F138" t="inlineStr">
        <is>
          <t>VÄRMLANDS LÄN</t>
        </is>
      </c>
      <c r="G138" t="inlineStr">
        <is>
          <t>FILIPSTAD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46255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46255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46255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46255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46255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45569</v>
      </c>
      <c r="E144" s="1" t="n">
        <v>46255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46255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48103-2025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45933</v>
      </c>
      <c r="E147" s="1" t="n">
        <v>46255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22866-2023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45072</v>
      </c>
      <c r="E148" s="1" t="n">
        <v>46255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29473-2024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45484</v>
      </c>
      <c r="E149" s="1" t="n">
        <v>46255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46255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46255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46255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46255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46255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46255</v>
      </c>
      <c r="F155" t="inlineStr">
        <is>
          <t>VÄRMLANDS LÄN</t>
        </is>
      </c>
      <c r="G155" t="inlineStr">
        <is>
          <t>FILIPSTAD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44579</v>
      </c>
      <c r="E157" s="1" t="n">
        <v>46255</v>
      </c>
      <c r="F157" t="inlineStr">
        <is>
          <t>VÄRMLANDS LÄN</t>
        </is>
      </c>
      <c r="G157" t="inlineStr">
        <is>
          <t>FILIPSTAD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46255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46255</v>
      </c>
      <c r="F159" t="inlineStr">
        <is>
          <t>VÄRMLANDS LÄN</t>
        </is>
      </c>
      <c r="G159" t="inlineStr">
        <is>
          <t>FILIPSTAD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46255</v>
      </c>
      <c r="F160" t="inlineStr">
        <is>
          <t>VÄRMLANDS LÄN</t>
        </is>
      </c>
      <c r="G160" t="inlineStr">
        <is>
          <t>FILIPSTAD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46255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46255</v>
      </c>
      <c r="F162" t="inlineStr">
        <is>
          <t>VÄRMLANDS LÄN</t>
        </is>
      </c>
      <c r="G162" t="inlineStr">
        <is>
          <t>FILIPSTAD</t>
        </is>
      </c>
      <c r="H162" t="inlineStr">
        <is>
          <t>Kyrkan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46255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46255</v>
      </c>
      <c r="F164" t="inlineStr">
        <is>
          <t>VÄRMLANDS LÄN</t>
        </is>
      </c>
      <c r="G164" t="inlineStr">
        <is>
          <t>FILIPSTAD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46255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46255</v>
      </c>
      <c r="F166" t="inlineStr">
        <is>
          <t>VÄRMLANDS LÄN</t>
        </is>
      </c>
      <c r="G166" t="inlineStr">
        <is>
          <t>FILIPSTAD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46255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46255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46255</v>
      </c>
      <c r="F169" t="inlineStr">
        <is>
          <t>VÄRMLANDS LÄN</t>
        </is>
      </c>
      <c r="G169" t="inlineStr">
        <is>
          <t>FILIPSTAD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46255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46255</v>
      </c>
      <c r="F171" t="inlineStr">
        <is>
          <t>VÄRMLANDS LÄN</t>
        </is>
      </c>
      <c r="G171" t="inlineStr">
        <is>
          <t>FILIPSTAD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46255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45968</v>
      </c>
      <c r="E173" s="1" t="n">
        <v>46255</v>
      </c>
      <c r="F173" t="inlineStr">
        <is>
          <t>VÄRMLANDS LÄN</t>
        </is>
      </c>
      <c r="G173" t="inlineStr">
        <is>
          <t>FILIPSTAD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46255</v>
      </c>
      <c r="F174" t="inlineStr">
        <is>
          <t>VÄRMLANDS LÄN</t>
        </is>
      </c>
      <c r="G174" t="inlineStr">
        <is>
          <t>FILIPSTAD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46255</v>
      </c>
      <c r="F175" t="inlineStr">
        <is>
          <t>VÄRMLANDS LÄN</t>
        </is>
      </c>
      <c r="G175" t="inlineStr">
        <is>
          <t>FILIPSTAD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46255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46255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46255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46255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46255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46255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46255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46098</v>
      </c>
      <c r="E183" s="1" t="n">
        <v>46255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46255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46255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46255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46255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46255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46255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46255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56184-2025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46255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46255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46255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46098</v>
      </c>
      <c r="E194" s="1" t="n">
        <v>46255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46255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44445</v>
      </c>
      <c r="E196" s="1" t="n">
        <v>46255</v>
      </c>
      <c r="F196" t="inlineStr">
        <is>
          <t>VÄRMLANDS LÄN</t>
        </is>
      </c>
      <c r="G196" t="inlineStr">
        <is>
          <t>FILIPSTAD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46255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46255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45014</v>
      </c>
      <c r="E201" s="1" t="n">
        <v>46255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46255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46255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45088</v>
      </c>
      <c r="E204" s="1" t="n">
        <v>46255</v>
      </c>
      <c r="F204" t="inlineStr">
        <is>
          <t>VÄRMLANDS LÄN</t>
        </is>
      </c>
      <c r="G204" t="inlineStr">
        <is>
          <t>FILIPSTAD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39566-2023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46255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19351-2025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45769</v>
      </c>
      <c r="E206" s="1" t="n">
        <v>46255</v>
      </c>
      <c r="F206" t="inlineStr">
        <is>
          <t>VÄRMLANDS LÄN</t>
        </is>
      </c>
      <c r="G206" t="inlineStr">
        <is>
          <t>FILIPSTAD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45982</v>
      </c>
      <c r="E207" s="1" t="n">
        <v>46255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46255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46255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58211-2025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46255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46255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45088</v>
      </c>
      <c r="E212" s="1" t="n">
        <v>46255</v>
      </c>
      <c r="F212" t="inlineStr">
        <is>
          <t>VÄRMLANDS LÄN</t>
        </is>
      </c>
      <c r="G212" t="inlineStr">
        <is>
          <t>FILIPSTAD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46255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46255</v>
      </c>
      <c r="F214" t="inlineStr">
        <is>
          <t>VÄRMLANDS LÄN</t>
        </is>
      </c>
      <c r="G214" t="inlineStr">
        <is>
          <t>FILIPSTAD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46255</v>
      </c>
      <c r="F215" t="inlineStr">
        <is>
          <t>VÄRMLANDS LÄN</t>
        </is>
      </c>
      <c r="G215" t="inlineStr">
        <is>
          <t>FILIPSTAD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46255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46255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45992</v>
      </c>
      <c r="E218" s="1" t="n">
        <v>46255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46255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46107</v>
      </c>
      <c r="E220" s="1" t="n">
        <v>46255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46255</v>
      </c>
      <c r="F221" t="inlineStr">
        <is>
          <t>VÄRMLANDS LÄN</t>
        </is>
      </c>
      <c r="G221" t="inlineStr">
        <is>
          <t>FILIPSTAD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46255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46255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46255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46107</v>
      </c>
      <c r="E225" s="1" t="n">
        <v>46255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46255</v>
      </c>
      <c r="F226" t="inlineStr">
        <is>
          <t>VÄRMLANDS LÄN</t>
        </is>
      </c>
      <c r="G226" t="inlineStr">
        <is>
          <t>FILIPSTAD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45993</v>
      </c>
      <c r="E227" s="1" t="n">
        <v>46255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46255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45996</v>
      </c>
      <c r="E229" s="1" t="n">
        <v>46255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46255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46255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46255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46255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46255</v>
      </c>
      <c r="F234" t="inlineStr">
        <is>
          <t>VÄRMLANDS LÄN</t>
        </is>
      </c>
      <c r="G234" t="inlineStr">
        <is>
          <t>FILIPSTAD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46108</v>
      </c>
      <c r="E235" s="1" t="n">
        <v>46255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16040-2026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46108</v>
      </c>
      <c r="E236" s="1" t="n">
        <v>46255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46255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46255</v>
      </c>
      <c r="F238" t="inlineStr">
        <is>
          <t>VÄRMLANDS LÄN</t>
        </is>
      </c>
      <c r="G238" t="inlineStr">
        <is>
          <t>FILIPSTAD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61327-2025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46001</v>
      </c>
      <c r="E239" s="1" t="n">
        <v>46255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46255</v>
      </c>
      <c r="F240" t="inlineStr">
        <is>
          <t>VÄRMLANDS LÄN</t>
        </is>
      </c>
      <c r="G240" t="inlineStr">
        <is>
          <t>FILIPSTAD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46255</v>
      </c>
      <c r="F241" t="inlineStr">
        <is>
          <t>VÄRMLANDS LÄN</t>
        </is>
      </c>
      <c r="G241" t="inlineStr">
        <is>
          <t>FILIPSTAD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46255</v>
      </c>
      <c r="F242" t="inlineStr">
        <is>
          <t>VÄRMLANDS LÄN</t>
        </is>
      </c>
      <c r="G242" t="inlineStr">
        <is>
          <t>FILIPSTAD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61417-2025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46001</v>
      </c>
      <c r="E243" s="1" t="n">
        <v>46255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46255</v>
      </c>
      <c r="F244" t="inlineStr">
        <is>
          <t>VÄRMLANDS LÄN</t>
        </is>
      </c>
      <c r="G244" t="inlineStr">
        <is>
          <t>FILIPSTAD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46255</v>
      </c>
      <c r="F245" t="inlineStr">
        <is>
          <t>VÄRMLANDS LÄN</t>
        </is>
      </c>
      <c r="G245" t="inlineStr">
        <is>
          <t>FILIPSTAD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46255</v>
      </c>
      <c r="F246" t="inlineStr">
        <is>
          <t>VÄRMLANDS LÄN</t>
        </is>
      </c>
      <c r="G246" t="inlineStr">
        <is>
          <t>FILIPSTAD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46001</v>
      </c>
      <c r="E247" s="1" t="n">
        <v>46255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46255</v>
      </c>
      <c r="F248" t="inlineStr">
        <is>
          <t>VÄRMLANDS LÄN</t>
        </is>
      </c>
      <c r="G248" t="inlineStr">
        <is>
          <t>FILIPSTAD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46004</v>
      </c>
      <c r="E249" s="1" t="n">
        <v>46255</v>
      </c>
      <c r="F249" t="inlineStr">
        <is>
          <t>VÄRMLANDS LÄN</t>
        </is>
      </c>
      <c r="G249" t="inlineStr">
        <is>
          <t>FILIPSTAD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46255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46255</v>
      </c>
      <c r="F251" t="inlineStr">
        <is>
          <t>VÄRMLANDS LÄN</t>
        </is>
      </c>
      <c r="G251" t="inlineStr">
        <is>
          <t>FILIPSTAD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46004</v>
      </c>
      <c r="E252" s="1" t="n">
        <v>46255</v>
      </c>
      <c r="F252" t="inlineStr">
        <is>
          <t>VÄRMLANDS LÄN</t>
        </is>
      </c>
      <c r="G252" t="inlineStr">
        <is>
          <t>FILIPSTAD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61823-2025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46003</v>
      </c>
      <c r="E253" s="1" t="n">
        <v>46255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46006</v>
      </c>
      <c r="E254" s="1" t="n">
        <v>46255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46006</v>
      </c>
      <c r="E255" s="1" t="n">
        <v>46255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45232</v>
      </c>
      <c r="E256" s="1" t="n">
        <v>46255</v>
      </c>
      <c r="F256" t="inlineStr">
        <is>
          <t>VÄRMLANDS LÄN</t>
        </is>
      </c>
      <c r="G256" t="inlineStr">
        <is>
          <t>FILIPSTAD</t>
        </is>
      </c>
      <c r="I256" t="n">
        <v>15.5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45106</v>
      </c>
      <c r="E257" s="1" t="n">
        <v>46255</v>
      </c>
      <c r="F257" t="inlineStr">
        <is>
          <t>VÄRMLANDS LÄN</t>
        </is>
      </c>
      <c r="G257" t="inlineStr">
        <is>
          <t>FILIPSTAD</t>
        </is>
      </c>
      <c r="H257" t="inlineStr">
        <is>
          <t>Kyrkan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63186-2025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46255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46255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8.1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62787-2023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45271</v>
      </c>
      <c r="E260" s="1" t="n">
        <v>46255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46255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46255</v>
      </c>
      <c r="F262" t="inlineStr">
        <is>
          <t>VÄRMLANDS LÄN</t>
        </is>
      </c>
      <c r="G262" t="inlineStr">
        <is>
          <t>FILIPSTAD</t>
        </is>
      </c>
      <c r="I262" t="n">
        <v>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17292-2026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46255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34512-2023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45133</v>
      </c>
      <c r="E264" s="1" t="n">
        <v>46255</v>
      </c>
      <c r="F264" t="inlineStr">
        <is>
          <t>VÄRMLANDS LÄN</t>
        </is>
      </c>
      <c r="G264" t="inlineStr">
        <is>
          <t>FILIPSTAD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46255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46255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46255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46255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46255</v>
      </c>
      <c r="F269" t="inlineStr">
        <is>
          <t>VÄRMLANDS LÄN</t>
        </is>
      </c>
      <c r="G269" t="inlineStr">
        <is>
          <t>FILIPSTAD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44960</v>
      </c>
      <c r="E270" s="1" t="n">
        <v>46255</v>
      </c>
      <c r="F270" t="inlineStr">
        <is>
          <t>VÄRMLANDS LÄN</t>
        </is>
      </c>
      <c r="G270" t="inlineStr">
        <is>
          <t>FILIPSTAD</t>
        </is>
      </c>
      <c r="H270" t="inlineStr">
        <is>
          <t>Kommuner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4819-2023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44957</v>
      </c>
      <c r="E271" s="1" t="n">
        <v>46255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46122</v>
      </c>
      <c r="E272" s="1" t="n">
        <v>46255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46255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46255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9270-2023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44980</v>
      </c>
      <c r="E275" s="1" t="n">
        <v>46255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46255</v>
      </c>
      <c r="F276" t="inlineStr">
        <is>
          <t>VÄRMLANDS LÄN</t>
        </is>
      </c>
      <c r="G276" t="inlineStr">
        <is>
          <t>FILIPSTAD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45544</v>
      </c>
      <c r="E277" s="1" t="n">
        <v>46255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46122</v>
      </c>
      <c r="E278" s="1" t="n">
        <v>46255</v>
      </c>
      <c r="F278" t="inlineStr">
        <is>
          <t>VÄRMLANDS LÄN</t>
        </is>
      </c>
      <c r="G278" t="inlineStr">
        <is>
          <t>FILIPSTAD</t>
        </is>
      </c>
      <c r="H278" t="inlineStr">
        <is>
          <t>Kommuner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46255</v>
      </c>
      <c r="F279" t="inlineStr">
        <is>
          <t>VÄRMLANDS LÄN</t>
        </is>
      </c>
      <c r="G279" t="inlineStr">
        <is>
          <t>FILIPSTAD</t>
        </is>
      </c>
      <c r="H279" t="inlineStr">
        <is>
          <t>Kommuner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46255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46255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46255</v>
      </c>
      <c r="F282" t="inlineStr">
        <is>
          <t>VÄRMLANDS LÄN</t>
        </is>
      </c>
      <c r="G282" t="inlineStr">
        <is>
          <t>FILIPSTAD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46255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46255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46255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46255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45567</v>
      </c>
      <c r="E287" s="1" t="n">
        <v>46255</v>
      </c>
      <c r="F287" t="inlineStr">
        <is>
          <t>VÄRMLANDS LÄN</t>
        </is>
      </c>
      <c r="G287" t="inlineStr">
        <is>
          <t>FILIPSTAD</t>
        </is>
      </c>
      <c r="H287" t="inlineStr">
        <is>
          <t>Kyrkan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46255</v>
      </c>
      <c r="F288" t="inlineStr">
        <is>
          <t>VÄRMLANDS LÄN</t>
        </is>
      </c>
      <c r="G288" t="inlineStr">
        <is>
          <t>FILIPSTAD</t>
        </is>
      </c>
      <c r="H288" t="inlineStr">
        <is>
          <t>Kommuner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46255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46255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45986</v>
      </c>
      <c r="E291" s="1" t="n">
        <v>46255</v>
      </c>
      <c r="F291" t="inlineStr">
        <is>
          <t>VÄRMLANDS LÄN</t>
        </is>
      </c>
      <c r="G291" t="inlineStr">
        <is>
          <t>FILIPSTAD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46255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46255</v>
      </c>
      <c r="F293" t="inlineStr">
        <is>
          <t>VÄRMLANDS LÄN</t>
        </is>
      </c>
      <c r="G293" t="inlineStr">
        <is>
          <t>FILIPSTAD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45588</v>
      </c>
      <c r="E294" s="1" t="n">
        <v>46255</v>
      </c>
      <c r="F294" t="inlineStr">
        <is>
          <t>VÄRMLANDS LÄN</t>
        </is>
      </c>
      <c r="G294" t="inlineStr">
        <is>
          <t>FILIPSTAD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46129</v>
      </c>
      <c r="E295" s="1" t="n">
        <v>46255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46255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46040</v>
      </c>
      <c r="E297" s="1" t="n">
        <v>46255</v>
      </c>
      <c r="F297" t="inlineStr">
        <is>
          <t>VÄRMLANDS LÄN</t>
        </is>
      </c>
      <c r="G297" t="inlineStr">
        <is>
          <t>FILIPSTAD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44637</v>
      </c>
      <c r="E298" s="1" t="n">
        <v>46255</v>
      </c>
      <c r="F298" t="inlineStr">
        <is>
          <t>VÄRMLANDS LÄN</t>
        </is>
      </c>
      <c r="G298" t="inlineStr">
        <is>
          <t>FILIPSTAD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46255</v>
      </c>
      <c r="F299" t="inlineStr">
        <is>
          <t>VÄRMLANDS LÄN</t>
        </is>
      </c>
      <c r="G299" t="inlineStr">
        <is>
          <t>FILIPSTAD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20966-2024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45439</v>
      </c>
      <c r="E300" s="1" t="n">
        <v>46255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46255</v>
      </c>
      <c r="F301" t="inlineStr">
        <is>
          <t>VÄRMLANDS LÄN</t>
        </is>
      </c>
      <c r="G301" t="inlineStr">
        <is>
          <t>FILIPSTAD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46255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46134</v>
      </c>
      <c r="E303" s="1" t="n">
        <v>46255</v>
      </c>
      <c r="F303" t="inlineStr">
        <is>
          <t>VÄRMLANDS LÄN</t>
        </is>
      </c>
      <c r="G303" t="inlineStr">
        <is>
          <t>FILIPSTAD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46255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46255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63411-2023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46255</v>
      </c>
      <c r="F306" t="inlineStr">
        <is>
          <t>VÄRMLANDS LÄN</t>
        </is>
      </c>
      <c r="G306" t="inlineStr">
        <is>
          <t>FILIPSTAD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46134</v>
      </c>
      <c r="E307" s="1" t="n">
        <v>46255</v>
      </c>
      <c r="F307" t="inlineStr">
        <is>
          <t>VÄRMLANDS LÄN</t>
        </is>
      </c>
      <c r="G307" t="inlineStr">
        <is>
          <t>FILIPSTAD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29474-2024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45484</v>
      </c>
      <c r="E308" s="1" t="n">
        <v>46255</v>
      </c>
      <c r="F308" t="inlineStr">
        <is>
          <t>VÄRMLANDS LÄN</t>
        </is>
      </c>
      <c r="G308" t="inlineStr">
        <is>
          <t>FILIPSTAD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46255</v>
      </c>
      <c r="F309" t="inlineStr">
        <is>
          <t>VÄRMLANDS LÄN</t>
        </is>
      </c>
      <c r="G309" t="inlineStr">
        <is>
          <t>FILIPSTAD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46255</v>
      </c>
      <c r="F310" t="inlineStr">
        <is>
          <t>VÄRMLANDS LÄN</t>
        </is>
      </c>
      <c r="G310" t="inlineStr">
        <is>
          <t>FILIPSTAD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63482-2021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46255</v>
      </c>
      <c r="F311" t="inlineStr">
        <is>
          <t>VÄRMLANDS LÄN</t>
        </is>
      </c>
      <c r="G311" t="inlineStr">
        <is>
          <t>FILIPSTAD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46255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46255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46255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46255</v>
      </c>
      <c r="F315" t="inlineStr">
        <is>
          <t>VÄRMLANDS LÄN</t>
        </is>
      </c>
      <c r="G315" t="inlineStr">
        <is>
          <t>FILIPSTAD</t>
        </is>
      </c>
      <c r="I315" t="n">
        <v>11.7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46255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46255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43634-2021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44433</v>
      </c>
      <c r="E318" s="1" t="n">
        <v>46255</v>
      </c>
      <c r="F318" t="inlineStr">
        <is>
          <t>VÄRMLANDS LÄN</t>
        </is>
      </c>
      <c r="G318" t="inlineStr">
        <is>
          <t>FILIPSTAD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70405-2021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44536</v>
      </c>
      <c r="E319" s="1" t="n">
        <v>46255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44596</v>
      </c>
      <c r="E320" s="1" t="n">
        <v>46255</v>
      </c>
      <c r="F320" t="inlineStr">
        <is>
          <t>VÄRMLANDS LÄN</t>
        </is>
      </c>
      <c r="G320" t="inlineStr">
        <is>
          <t>FILIPSTAD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46255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20050-2026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46136</v>
      </c>
      <c r="E322" s="1" t="n">
        <v>46255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46255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46255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46255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45420</v>
      </c>
      <c r="E326" s="1" t="n">
        <v>46255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46255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46255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57456-2022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44896</v>
      </c>
      <c r="E329" s="1" t="n">
        <v>46255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45658</v>
      </c>
      <c r="E330" s="1" t="n">
        <v>46255</v>
      </c>
      <c r="F330" t="inlineStr">
        <is>
          <t>VÄRMLANDS LÄN</t>
        </is>
      </c>
      <c r="G330" t="inlineStr">
        <is>
          <t>FILIPSTAD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46255</v>
      </c>
      <c r="F331" t="inlineStr">
        <is>
          <t>VÄRMLANDS LÄN</t>
        </is>
      </c>
      <c r="G331" t="inlineStr">
        <is>
          <t>FILIPSTAD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46255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46255</v>
      </c>
      <c r="F333" t="inlineStr">
        <is>
          <t>VÄRMLANDS LÄN</t>
        </is>
      </c>
      <c r="G333" t="inlineStr">
        <is>
          <t>FILIPSTAD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45638</v>
      </c>
      <c r="E334" s="1" t="n">
        <v>46255</v>
      </c>
      <c r="F334" t="inlineStr">
        <is>
          <t>VÄRMLANDS LÄN</t>
        </is>
      </c>
      <c r="G334" t="inlineStr">
        <is>
          <t>FILIPSTAD</t>
        </is>
      </c>
      <c r="H334" t="inlineStr">
        <is>
          <t>Kyrkan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46255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45789</v>
      </c>
      <c r="E336" s="1" t="n">
        <v>46255</v>
      </c>
      <c r="F336" t="inlineStr">
        <is>
          <t>VÄRMLANDS LÄN</t>
        </is>
      </c>
      <c r="G336" t="inlineStr">
        <is>
          <t>FILIPSTAD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45229</v>
      </c>
      <c r="E337" s="1" t="n">
        <v>46255</v>
      </c>
      <c r="F337" t="inlineStr">
        <is>
          <t>VÄRMLANDS LÄN</t>
        </is>
      </c>
      <c r="G337" t="inlineStr">
        <is>
          <t>FILIPSTAD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46255</v>
      </c>
      <c r="F338" t="inlineStr">
        <is>
          <t>VÄRMLANDS LÄN</t>
        </is>
      </c>
      <c r="G338" t="inlineStr">
        <is>
          <t>FILIPSTAD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46255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46255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46255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29825-2023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45107</v>
      </c>
      <c r="E342" s="1" t="n">
        <v>46255</v>
      </c>
      <c r="F342" t="inlineStr">
        <is>
          <t>VÄRMLANDS LÄN</t>
        </is>
      </c>
      <c r="G342" t="inlineStr">
        <is>
          <t>FILIPSTAD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46255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46255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45686</v>
      </c>
      <c r="E345" s="1" t="n">
        <v>46255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44743</v>
      </c>
      <c r="E346" s="1" t="n">
        <v>46255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46255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46255</v>
      </c>
      <c r="F348" t="inlineStr">
        <is>
          <t>VÄRMLANDS LÄN</t>
        </is>
      </c>
      <c r="G348" t="inlineStr">
        <is>
          <t>FILIPSTAD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45093</v>
      </c>
      <c r="E349" s="1" t="n">
        <v>46255</v>
      </c>
      <c r="F349" t="inlineStr">
        <is>
          <t>VÄRMLANDS LÄN</t>
        </is>
      </c>
      <c r="G349" t="inlineStr">
        <is>
          <t>FILIPSTAD</t>
        </is>
      </c>
      <c r="H349" t="inlineStr">
        <is>
          <t>Kommuner</t>
        </is>
      </c>
      <c r="I349" t="n">
        <v>15.4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46255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46255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45456</v>
      </c>
      <c r="E352" s="1" t="n">
        <v>46255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46255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45775</v>
      </c>
      <c r="E354" s="1" t="n">
        <v>46255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44691</v>
      </c>
      <c r="E355" s="1" t="n">
        <v>46255</v>
      </c>
      <c r="F355" t="inlineStr">
        <is>
          <t>VÄRMLANDS LÄN</t>
        </is>
      </c>
      <c r="G355" t="inlineStr">
        <is>
          <t>FILIPSTAD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46255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46255</v>
      </c>
      <c r="F357" t="inlineStr">
        <is>
          <t>VÄRMLANDS LÄN</t>
        </is>
      </c>
      <c r="G357" t="inlineStr">
        <is>
          <t>FILIPSTAD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46255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46255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20874-2026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46255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45456</v>
      </c>
      <c r="E361" s="1" t="n">
        <v>46255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46255</v>
      </c>
      <c r="F362" t="inlineStr">
        <is>
          <t>VÄRMLANDS LÄN</t>
        </is>
      </c>
      <c r="G362" t="inlineStr">
        <is>
          <t>FILIPSTAD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46108</v>
      </c>
      <c r="E363" s="1" t="n">
        <v>46255</v>
      </c>
      <c r="F363" t="inlineStr">
        <is>
          <t>VÄRMLANDS LÄN</t>
        </is>
      </c>
      <c r="G363" t="inlineStr">
        <is>
          <t>FILIPSTAD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46255</v>
      </c>
      <c r="F364" t="inlineStr">
        <is>
          <t>VÄRMLANDS LÄN</t>
        </is>
      </c>
      <c r="G364" t="inlineStr">
        <is>
          <t>FILIPSTAD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45407</v>
      </c>
      <c r="E365" s="1" t="n">
        <v>46255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46255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53210-2023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46255</v>
      </c>
      <c r="F367" t="inlineStr">
        <is>
          <t>VÄRMLANDS LÄN</t>
        </is>
      </c>
      <c r="G367" t="inlineStr">
        <is>
          <t>FILIPSTAD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39633-2023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45167</v>
      </c>
      <c r="E368" s="1" t="n">
        <v>46255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45186</v>
      </c>
      <c r="E369" s="1" t="n">
        <v>46255</v>
      </c>
      <c r="F369" t="inlineStr">
        <is>
          <t>VÄRMLANDS LÄN</t>
        </is>
      </c>
      <c r="G369" t="inlineStr">
        <is>
          <t>FILIPSTAD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16103-2025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45750</v>
      </c>
      <c r="E370" s="1" t="n">
        <v>46255</v>
      </c>
      <c r="F370" t="inlineStr">
        <is>
          <t>VÄRMLANDS LÄN</t>
        </is>
      </c>
      <c r="G370" t="inlineStr">
        <is>
          <t>FILIPSTAD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46255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22112-2026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46255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46255</v>
      </c>
      <c r="F373" t="inlineStr">
        <is>
          <t>VÄRMLANDS LÄN</t>
        </is>
      </c>
      <c r="G373" t="inlineStr">
        <is>
          <t>FILIPSTAD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46255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36251-2022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44803</v>
      </c>
      <c r="E375" s="1" t="n">
        <v>46255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46255</v>
      </c>
      <c r="F376" t="inlineStr">
        <is>
          <t>VÄRMLANDS LÄN</t>
        </is>
      </c>
      <c r="G376" t="inlineStr">
        <is>
          <t>FILIPSTAD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46255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46255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46255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33671-2022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44789</v>
      </c>
      <c r="E380" s="1" t="n">
        <v>46255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46257-2022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44847</v>
      </c>
      <c r="E381" s="1" t="n">
        <v>46255</v>
      </c>
      <c r="F381" t="inlineStr">
        <is>
          <t>VÄRMLANDS LÄN</t>
        </is>
      </c>
      <c r="G381" t="inlineStr">
        <is>
          <t>FILIPSTAD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44805</v>
      </c>
      <c r="E382" s="1" t="n">
        <v>46255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37611-2022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44809</v>
      </c>
      <c r="E383" s="1" t="n">
        <v>46255</v>
      </c>
      <c r="F383" t="inlineStr">
        <is>
          <t>VÄRMLANDS LÄN</t>
        </is>
      </c>
      <c r="G383" t="inlineStr">
        <is>
          <t>FILIPSTAD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46255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46255</v>
      </c>
      <c r="F385" t="inlineStr">
        <is>
          <t>VÄRMLANDS LÄN</t>
        </is>
      </c>
      <c r="G385" t="inlineStr">
        <is>
          <t>FILIPSTAD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46255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46255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46255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46255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46255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57244-2023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45245</v>
      </c>
      <c r="E391" s="1" t="n">
        <v>46255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46155</v>
      </c>
      <c r="E392" s="1" t="n">
        <v>46255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45087</v>
      </c>
      <c r="E393" s="1" t="n">
        <v>46255</v>
      </c>
      <c r="F393" t="inlineStr">
        <is>
          <t>VÄRMLANDS LÄN</t>
        </is>
      </c>
      <c r="G393" t="inlineStr">
        <is>
          <t>FILIPSTAD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45077</v>
      </c>
      <c r="E394" s="1" t="n">
        <v>46255</v>
      </c>
      <c r="F394" t="inlineStr">
        <is>
          <t>VÄRMLANDS LÄN</t>
        </is>
      </c>
      <c r="G394" t="inlineStr">
        <is>
          <t>FILIPSTAD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45177</v>
      </c>
      <c r="E395" s="1" t="n">
        <v>46255</v>
      </c>
      <c r="F395" t="inlineStr">
        <is>
          <t>VÄRMLANDS LÄN</t>
        </is>
      </c>
      <c r="G395" t="inlineStr">
        <is>
          <t>FILIPSTAD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46255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46255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46255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46255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45139-2021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44439</v>
      </c>
      <c r="E400" s="1" t="n">
        <v>46255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46255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23500-2026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46255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46255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46255</v>
      </c>
      <c r="F404" t="inlineStr">
        <is>
          <t>VÄRMLANDS LÄN</t>
        </is>
      </c>
      <c r="G404" t="inlineStr">
        <is>
          <t>FILIPSTAD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46255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49935-2025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45940</v>
      </c>
      <c r="E406" s="1" t="n">
        <v>46255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46255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23934-2026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46255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46255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53348-2023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45229</v>
      </c>
      <c r="E410" s="1" t="n">
        <v>46255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46255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46255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46255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46255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46255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46255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46255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45223</v>
      </c>
      <c r="E418" s="1" t="n">
        <v>46255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46255</v>
      </c>
      <c r="F419" t="inlineStr">
        <is>
          <t>VÄRMLANDS LÄN</t>
        </is>
      </c>
      <c r="G419" t="inlineStr">
        <is>
          <t>FILIPSTAD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24008-2026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46255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46255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46255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55397-2022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44887</v>
      </c>
      <c r="E423" s="1" t="n">
        <v>46255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24260-2026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46169</v>
      </c>
      <c r="E424" s="1" t="n">
        <v>46255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46255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46255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46255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46255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46255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46255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44960</v>
      </c>
      <c r="E431" s="1" t="n">
        <v>46255</v>
      </c>
      <c r="F431" t="inlineStr">
        <is>
          <t>VÄRMLANDS LÄN</t>
        </is>
      </c>
      <c r="G431" t="inlineStr">
        <is>
          <t>FILIPSTAD</t>
        </is>
      </c>
      <c r="H431" t="inlineStr">
        <is>
          <t>Kommuner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24452-2026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46255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46170</v>
      </c>
      <c r="E433" s="1" t="n">
        <v>46255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55978-2022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44889</v>
      </c>
      <c r="E434" s="1" t="n">
        <v>46255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24745-2026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46171</v>
      </c>
      <c r="E435" s="1" t="n">
        <v>46255</v>
      </c>
      <c r="F435" t="inlineStr">
        <is>
          <t>VÄRMLANDS LÄN</t>
        </is>
      </c>
      <c r="G435" t="inlineStr">
        <is>
          <t>FILIPSTAD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50856-2022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44867</v>
      </c>
      <c r="E436" s="1" t="n">
        <v>46255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46255</v>
      </c>
      <c r="F437" t="inlineStr">
        <is>
          <t>VÄRMLANDS LÄN</t>
        </is>
      </c>
      <c r="G437" t="inlineStr">
        <is>
          <t>FILIPSTAD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61628-2022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44911</v>
      </c>
      <c r="E438" s="1" t="n">
        <v>46255</v>
      </c>
      <c r="F438" t="inlineStr">
        <is>
          <t>VÄRMLANDS LÄN</t>
        </is>
      </c>
      <c r="G438" t="inlineStr">
        <is>
          <t>FILIPSTAD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43264-2024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46255</v>
      </c>
      <c r="F439" t="inlineStr">
        <is>
          <t>VÄRMLANDS LÄN</t>
        </is>
      </c>
      <c r="G439" t="inlineStr">
        <is>
          <t>FILIPSTAD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46255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59296-2023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45253</v>
      </c>
      <c r="E441" s="1" t="n">
        <v>46255</v>
      </c>
      <c r="F441" t="inlineStr">
        <is>
          <t>VÄRMLANDS LÄN</t>
        </is>
      </c>
      <c r="G441" t="inlineStr">
        <is>
          <t>FILIPSTAD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25205-2026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46255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46255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24886-2026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46255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44994</v>
      </c>
      <c r="E445" s="1" t="n">
        <v>46255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46255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44435</v>
      </c>
      <c r="E447" s="1" t="n">
        <v>46255</v>
      </c>
      <c r="F447" t="inlineStr">
        <is>
          <t>VÄRMLANDS LÄN</t>
        </is>
      </c>
      <c r="G447" t="inlineStr">
        <is>
          <t>FILIPSTAD</t>
        </is>
      </c>
      <c r="I447" t="n">
        <v>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46255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8.5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36680-2023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45153</v>
      </c>
      <c r="E449" s="1" t="n">
        <v>46255</v>
      </c>
      <c r="F449" t="inlineStr">
        <is>
          <t>VÄRMLANDS LÄN</t>
        </is>
      </c>
      <c r="G449" t="inlineStr">
        <is>
          <t>FILIPSTAD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46219</v>
      </c>
      <c r="E450" s="1" t="n">
        <v>46255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5803-2023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44963</v>
      </c>
      <c r="E451" s="1" t="n">
        <v>46255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45602</v>
      </c>
      <c r="E452" s="1" t="n">
        <v>46255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25869-2026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46255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51618-2022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44872</v>
      </c>
      <c r="E454" s="1" t="n">
        <v>46255</v>
      </c>
      <c r="F454" t="inlineStr">
        <is>
          <t>VÄRMLANDS LÄN</t>
        </is>
      </c>
      <c r="G454" t="inlineStr">
        <is>
          <t>FILIPSTAD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46181</v>
      </c>
      <c r="E455" s="1" t="n">
        <v>46255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46255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31537-2026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46223</v>
      </c>
      <c r="E457" s="1" t="n">
        <v>46255</v>
      </c>
      <c r="F457" t="inlineStr">
        <is>
          <t>VÄRMLANDS LÄN</t>
        </is>
      </c>
      <c r="G457" t="inlineStr">
        <is>
          <t>FILIPSTAD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31548-2026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46255</v>
      </c>
      <c r="F458" t="inlineStr">
        <is>
          <t>VÄRMLANDS LÄN</t>
        </is>
      </c>
      <c r="G458" t="inlineStr">
        <is>
          <t>FILIPSTAD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71971-2021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44544</v>
      </c>
      <c r="E459" s="1" t="n">
        <v>46255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25786-2026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46255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46255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46255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26211-2026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46255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46226</v>
      </c>
      <c r="E464" s="1" t="n">
        <v>46255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46182</v>
      </c>
      <c r="E465" s="1" t="n">
        <v>46255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46226</v>
      </c>
      <c r="E466" s="1" t="n">
        <v>46255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46182</v>
      </c>
      <c r="E467" s="1" t="n">
        <v>46255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46255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46183</v>
      </c>
      <c r="E469" s="1" t="n">
        <v>46255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46182</v>
      </c>
      <c r="E470" s="1" t="n">
        <v>46255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46255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46255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9370-2023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44981</v>
      </c>
      <c r="E473" s="1" t="n">
        <v>46255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46255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46185</v>
      </c>
      <c r="E475" s="1" t="n">
        <v>46255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46227</v>
      </c>
      <c r="E476" s="1" t="n">
        <v>46255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46227</v>
      </c>
      <c r="E477" s="1" t="n">
        <v>46255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54008-2021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44470</v>
      </c>
      <c r="E478" s="1" t="n">
        <v>46255</v>
      </c>
      <c r="F478" t="inlineStr">
        <is>
          <t>VÄRMLANDS LÄN</t>
        </is>
      </c>
      <c r="G478" t="inlineStr">
        <is>
          <t>FILIPSTAD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50786-2024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45602</v>
      </c>
      <c r="E479" s="1" t="n">
        <v>46255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46187</v>
      </c>
      <c r="E480" s="1" t="n">
        <v>46255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46255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44963</v>
      </c>
      <c r="E482" s="1" t="n">
        <v>46255</v>
      </c>
      <c r="F482" t="inlineStr">
        <is>
          <t>VÄRMLANDS LÄN</t>
        </is>
      </c>
      <c r="G482" t="inlineStr">
        <is>
          <t>FILIPSTAD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46186</v>
      </c>
      <c r="E483" s="1" t="n">
        <v>46255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46186</v>
      </c>
      <c r="E484" s="1" t="n">
        <v>46255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36809-2022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44805</v>
      </c>
      <c r="E485" s="1" t="n">
        <v>46255</v>
      </c>
      <c r="F485" t="inlineStr">
        <is>
          <t>VÄRMLANDS LÄN</t>
        </is>
      </c>
      <c r="G485" t="inlineStr">
        <is>
          <t>FILIPSTAD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45124</v>
      </c>
      <c r="E486" s="1" t="n">
        <v>46255</v>
      </c>
      <c r="F486" t="inlineStr">
        <is>
          <t>VÄRMLANDS LÄN</t>
        </is>
      </c>
      <c r="G486" t="inlineStr">
        <is>
          <t>FILIPSTAD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45124</v>
      </c>
      <c r="E487" s="1" t="n">
        <v>46255</v>
      </c>
      <c r="F487" t="inlineStr">
        <is>
          <t>VÄRMLANDS LÄN</t>
        </is>
      </c>
      <c r="G487" t="inlineStr">
        <is>
          <t>FILIPSTAD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61741-2022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44911</v>
      </c>
      <c r="E488" s="1" t="n">
        <v>46255</v>
      </c>
      <c r="F488" t="inlineStr">
        <is>
          <t>VÄRMLANDS LÄN</t>
        </is>
      </c>
      <c r="G488" t="inlineStr">
        <is>
          <t>FILIPSTAD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27300-2026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46255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46255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31950-2026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46232</v>
      </c>
      <c r="E491" s="1" t="n">
        <v>46255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46231</v>
      </c>
      <c r="E492" s="1" t="n">
        <v>46255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46255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31963-2026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46232</v>
      </c>
      <c r="E494" s="1" t="n">
        <v>46255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8.699999999999999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25737-2023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45090</v>
      </c>
      <c r="E495" s="1" t="n">
        <v>46255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46191</v>
      </c>
      <c r="E496" s="1" t="n">
        <v>46255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44579</v>
      </c>
      <c r="E497" s="1" t="n">
        <v>46255</v>
      </c>
      <c r="F497" t="inlineStr">
        <is>
          <t>VÄRMLANDS LÄN</t>
        </is>
      </c>
      <c r="G497" t="inlineStr">
        <is>
          <t>FILIPSTAD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46233</v>
      </c>
      <c r="E498" s="1" t="n">
        <v>46255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46255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45401</v>
      </c>
      <c r="E500" s="1" t="n">
        <v>46255</v>
      </c>
      <c r="F500" t="inlineStr">
        <is>
          <t>VÄRMLANDS LÄN</t>
        </is>
      </c>
      <c r="G500" t="inlineStr">
        <is>
          <t>FILIPSTAD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46233</v>
      </c>
      <c r="E501" s="1" t="n">
        <v>46255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32008-2026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46233</v>
      </c>
      <c r="E502" s="1" t="n">
        <v>46255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32141-2026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46234</v>
      </c>
      <c r="E503" s="1" t="n">
        <v>46255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32786-2024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45516</v>
      </c>
      <c r="E504" s="1" t="n">
        <v>46255</v>
      </c>
      <c r="F504" t="inlineStr">
        <is>
          <t>VÄRMLANDS LÄN</t>
        </is>
      </c>
      <c r="G504" t="inlineStr">
        <is>
          <t>FILIPSTAD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46191</v>
      </c>
      <c r="E505" s="1" t="n">
        <v>46255</v>
      </c>
      <c r="F505" t="inlineStr">
        <is>
          <t>VÄRMLANDS LÄN</t>
        </is>
      </c>
      <c r="G505" t="inlineStr">
        <is>
          <t>FILIPSTAD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46255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46255</v>
      </c>
      <c r="F507" t="inlineStr">
        <is>
          <t>VÄRMLANDS LÄN</t>
        </is>
      </c>
      <c r="G507" t="inlineStr">
        <is>
          <t>FILIPSTAD</t>
        </is>
      </c>
      <c r="I507" t="n">
        <v>13.4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44959</v>
      </c>
      <c r="E508" s="1" t="n">
        <v>46255</v>
      </c>
      <c r="F508" t="inlineStr">
        <is>
          <t>VÄRMLANDS LÄN</t>
        </is>
      </c>
      <c r="G508" t="inlineStr">
        <is>
          <t>FILIPSTAD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45655</v>
      </c>
      <c r="E509" s="1" t="n">
        <v>46255</v>
      </c>
      <c r="F509" t="inlineStr">
        <is>
          <t>VÄRMLANDS LÄN</t>
        </is>
      </c>
      <c r="G509" t="inlineStr">
        <is>
          <t>FILIPSTAD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46255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45037</v>
      </c>
      <c r="E511" s="1" t="n">
        <v>46255</v>
      </c>
      <c r="F511" t="inlineStr">
        <is>
          <t>VÄRMLANDS LÄN</t>
        </is>
      </c>
      <c r="G511" t="inlineStr">
        <is>
          <t>FILIPSTAD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46237</v>
      </c>
      <c r="E512" s="1" t="n">
        <v>46255</v>
      </c>
      <c r="F512" t="inlineStr">
        <is>
          <t>VÄRMLANDS LÄN</t>
        </is>
      </c>
      <c r="G512" t="inlineStr">
        <is>
          <t>FILIPSTAD</t>
        </is>
      </c>
      <c r="H512" t="inlineStr">
        <is>
          <t>Kommuner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45327</v>
      </c>
      <c r="E513" s="1" t="n">
        <v>46255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9.300000000000001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45947</v>
      </c>
      <c r="E514" s="1" t="n">
        <v>46255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46239</v>
      </c>
      <c r="E515" s="1" t="n">
        <v>46255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46239</v>
      </c>
      <c r="E516" s="1" t="n">
        <v>46255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46240</v>
      </c>
      <c r="E517" s="1" t="n">
        <v>46255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46255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46255</v>
      </c>
      <c r="F519" t="inlineStr">
        <is>
          <t>VÄRMLANDS LÄN</t>
        </is>
      </c>
      <c r="G519" t="inlineStr">
        <is>
          <t>FILIPSTAD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46255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46255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46255</v>
      </c>
      <c r="F522" t="inlineStr">
        <is>
          <t>VÄRMLANDS LÄN</t>
        </is>
      </c>
      <c r="G522" t="inlineStr">
        <is>
          <t>FILIPSTAD</t>
        </is>
      </c>
      <c r="I522" t="n">
        <v>27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46680-2024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45583</v>
      </c>
      <c r="E523" s="1" t="n">
        <v>46255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32588-2026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46240</v>
      </c>
      <c r="E524" s="1" t="n">
        <v>46255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22830-2023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45072</v>
      </c>
      <c r="E525" s="1" t="n">
        <v>46255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46255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46255</v>
      </c>
      <c r="F527" t="inlineStr">
        <is>
          <t>VÄRMLANDS LÄN</t>
        </is>
      </c>
      <c r="G527" t="inlineStr">
        <is>
          <t>FILIPSTAD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45655</v>
      </c>
      <c r="E528" s="1" t="n">
        <v>46255</v>
      </c>
      <c r="F528" t="inlineStr">
        <is>
          <t>VÄRMLANDS LÄN</t>
        </is>
      </c>
      <c r="G528" t="inlineStr">
        <is>
          <t>FILIPSTAD</t>
        </is>
      </c>
      <c r="I528" t="n">
        <v>26.5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46255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48040-2023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45204</v>
      </c>
      <c r="E530" s="1" t="n">
        <v>46255</v>
      </c>
      <c r="F530" t="inlineStr">
        <is>
          <t>VÄRMLANDS LÄN</t>
        </is>
      </c>
      <c r="G530" t="inlineStr">
        <is>
          <t>FILIPSTAD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46255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46255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48908-2023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45195</v>
      </c>
      <c r="E533" s="1" t="n">
        <v>46255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32980-2026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46244</v>
      </c>
      <c r="E534" s="1" t="n">
        <v>46255</v>
      </c>
      <c r="F534" t="inlineStr">
        <is>
          <t>VÄRMLANDS LÄN</t>
        </is>
      </c>
      <c r="G534" t="inlineStr">
        <is>
          <t>FILIPSTAD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46255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44935</v>
      </c>
      <c r="E536" s="1" t="n">
        <v>46255</v>
      </c>
      <c r="F536" t="inlineStr">
        <is>
          <t>VÄRMLANDS LÄN</t>
        </is>
      </c>
      <c r="G536" t="inlineStr">
        <is>
          <t>FILIPSTAD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46255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46255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46246</v>
      </c>
      <c r="E539" s="1" t="n">
        <v>46255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46255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46255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46255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46255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41075-2023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46255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46255</v>
      </c>
      <c r="F545" t="inlineStr">
        <is>
          <t>VÄRMLANDS LÄN</t>
        </is>
      </c>
      <c r="G545" t="inlineStr">
        <is>
          <t>FILIPSTAD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46199</v>
      </c>
      <c r="E546" s="1" t="n">
        <v>46255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46255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46255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33493-2026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46247</v>
      </c>
      <c r="E549" s="1" t="n">
        <v>46255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46255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29591-2026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46255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29389-2026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46203</v>
      </c>
      <c r="E552" s="1" t="n">
        <v>46255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8.199999999999999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14582-2025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45742</v>
      </c>
      <c r="E553" s="1" t="n">
        <v>46255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56840-2024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45628</v>
      </c>
      <c r="E554" s="1" t="n">
        <v>46255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46255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45712</v>
      </c>
      <c r="E556" s="1" t="n">
        <v>46255</v>
      </c>
      <c r="F556" t="inlineStr">
        <is>
          <t>VÄRMLANDS LÄN</t>
        </is>
      </c>
      <c r="G556" t="inlineStr">
        <is>
          <t>FILIPSTAD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45077</v>
      </c>
      <c r="E557" s="1" t="n">
        <v>46255</v>
      </c>
      <c r="F557" t="inlineStr">
        <is>
          <t>VÄRMLANDS LÄN</t>
        </is>
      </c>
      <c r="G557" t="inlineStr">
        <is>
          <t>FILIPSTAD</t>
        </is>
      </c>
      <c r="I557" t="n">
        <v>15.8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46255</v>
      </c>
      <c r="F559" t="inlineStr">
        <is>
          <t>VÄRMLANDS LÄN</t>
        </is>
      </c>
      <c r="G559" t="inlineStr">
        <is>
          <t>FILIPSTAD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46255</v>
      </c>
      <c r="F560" t="inlineStr">
        <is>
          <t>VÄRMLANDS LÄN</t>
        </is>
      </c>
      <c r="G560" t="inlineStr">
        <is>
          <t>FILIPSTAD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60524-2024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45643</v>
      </c>
      <c r="E561" s="1" t="n">
        <v>46255</v>
      </c>
      <c r="F561" t="inlineStr">
        <is>
          <t>VÄRMLANDS LÄN</t>
        </is>
      </c>
      <c r="G561" t="inlineStr">
        <is>
          <t>FILIPSTAD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45740</v>
      </c>
      <c r="E562" s="1" t="n">
        <v>46255</v>
      </c>
      <c r="F562" t="inlineStr">
        <is>
          <t>VÄRMLANDS LÄN</t>
        </is>
      </c>
      <c r="G562" t="inlineStr">
        <is>
          <t>FILIPSTAD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46251</v>
      </c>
      <c r="E563" s="1" t="n">
        <v>46255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46255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46255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15228-2025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45744</v>
      </c>
      <c r="E566" s="1" t="n">
        <v>46255</v>
      </c>
      <c r="F566" t="inlineStr">
        <is>
          <t>VÄRMLANDS LÄN</t>
        </is>
      </c>
      <c r="G566" t="inlineStr">
        <is>
          <t>FILIPSTAD</t>
        </is>
      </c>
      <c r="H566" t="inlineStr">
        <is>
          <t>Kommuner</t>
        </is>
      </c>
      <c r="I566" t="n">
        <v>17.7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46189</v>
      </c>
      <c r="E567" s="1" t="n">
        <v>46255</v>
      </c>
      <c r="F567" t="inlineStr">
        <is>
          <t>VÄRMLANDS LÄN</t>
        </is>
      </c>
      <c r="G567" t="inlineStr">
        <is>
          <t>FILIPSTAD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46213</v>
      </c>
      <c r="E568" s="1" t="n">
        <v>46255</v>
      </c>
      <c r="F568" t="inlineStr">
        <is>
          <t>VÄRMLANDS LÄN</t>
        </is>
      </c>
      <c r="G568" t="inlineStr">
        <is>
          <t>FILIPSTAD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33859-2026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46255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46255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20661-2024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45436</v>
      </c>
      <c r="E571" s="1" t="n">
        <v>46255</v>
      </c>
      <c r="F571" t="inlineStr">
        <is>
          <t>VÄRMLANDS LÄN</t>
        </is>
      </c>
      <c r="G571" t="inlineStr">
        <is>
          <t>FILIPSTAD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46255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45524</v>
      </c>
      <c r="E573" s="1" t="n">
        <v>46255</v>
      </c>
      <c r="F573" t="inlineStr">
        <is>
          <t>VÄRMLANDS LÄN</t>
        </is>
      </c>
      <c r="G573" t="inlineStr">
        <is>
          <t>FILIPSTAD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45299</v>
      </c>
      <c r="E574" s="1" t="n">
        <v>46255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46255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7.4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30074-2026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45495</v>
      </c>
      <c r="E577" s="1" t="n">
        <v>46255</v>
      </c>
      <c r="F577" t="inlineStr">
        <is>
          <t>VÄRMLANDS LÄN</t>
        </is>
      </c>
      <c r="G577" t="inlineStr">
        <is>
          <t>FILIPSTAD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27139-2024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45471</v>
      </c>
      <c r="E578" s="1" t="n">
        <v>46255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45414</v>
      </c>
      <c r="E579" s="1" t="n">
        <v>46255</v>
      </c>
      <c r="F579" t="inlineStr">
        <is>
          <t>VÄRMLANDS LÄN</t>
        </is>
      </c>
      <c r="G579" t="inlineStr">
        <is>
          <t>FILIPSTAD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46255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46210</v>
      </c>
      <c r="E581" s="1" t="n">
        <v>46255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46255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46255</v>
      </c>
      <c r="F583" t="inlineStr">
        <is>
          <t>VÄRMLANDS LÄN</t>
        </is>
      </c>
      <c r="G583" t="inlineStr">
        <is>
          <t>FILIPSTAD</t>
        </is>
      </c>
      <c r="H583" t="inlineStr">
        <is>
          <t>Kommuner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47002-2024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45586</v>
      </c>
      <c r="E584" s="1" t="n">
        <v>46255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65167-2021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44515</v>
      </c>
      <c r="E585" s="1" t="n">
        <v>46255</v>
      </c>
      <c r="F585" t="inlineStr">
        <is>
          <t>VÄRMLANDS LÄN</t>
        </is>
      </c>
      <c r="G585" t="inlineStr">
        <is>
          <t>FILIPSTAD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22880-2025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46255</v>
      </c>
      <c r="F586" t="inlineStr">
        <is>
          <t>VÄRMLANDS LÄN</t>
        </is>
      </c>
      <c r="G586" t="inlineStr">
        <is>
          <t>FILIPSTAD</t>
        </is>
      </c>
      <c r="H586" t="inlineStr">
        <is>
          <t>Kyrkan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46255</v>
      </c>
      <c r="F587" t="inlineStr">
        <is>
          <t>VÄRMLANDS LÄN</t>
        </is>
      </c>
      <c r="G587" t="inlineStr">
        <is>
          <t>FILIPSTAD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45792</v>
      </c>
      <c r="E588" s="1" t="n">
        <v>46255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28357-2024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45477</v>
      </c>
      <c r="E589" s="1" t="n">
        <v>46255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48702-2024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46255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45530</v>
      </c>
      <c r="E591" s="1" t="n">
        <v>46255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23399-2025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45792</v>
      </c>
      <c r="E592" s="1" t="n">
        <v>46255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45667</v>
      </c>
      <c r="E593" s="1" t="n">
        <v>46255</v>
      </c>
      <c r="F593" t="inlineStr">
        <is>
          <t>VÄRMLANDS LÄN</t>
        </is>
      </c>
      <c r="G593" t="inlineStr">
        <is>
          <t>FILIPSTAD</t>
        </is>
      </c>
      <c r="H593" t="inlineStr">
        <is>
          <t>Kommuner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46255</v>
      </c>
      <c r="F594" t="inlineStr">
        <is>
          <t>VÄRMLANDS LÄN</t>
        </is>
      </c>
      <c r="G594" t="inlineStr">
        <is>
          <t>FILIPSTAD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45322</v>
      </c>
      <c r="E595" s="1" t="n">
        <v>46255</v>
      </c>
      <c r="F595" t="inlineStr">
        <is>
          <t>VÄRMLANDS LÄN</t>
        </is>
      </c>
      <c r="G595" t="inlineStr">
        <is>
          <t>FILIPSTAD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72118-2021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44543</v>
      </c>
      <c r="E596" s="1" t="n">
        <v>46255</v>
      </c>
      <c r="F596" t="inlineStr">
        <is>
          <t>VÄRMLANDS LÄN</t>
        </is>
      </c>
      <c r="G596" t="inlineStr">
        <is>
          <t>FILIPSTAD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24143-2025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45796</v>
      </c>
      <c r="E597" s="1" t="n">
        <v>46255</v>
      </c>
      <c r="F597" t="inlineStr">
        <is>
          <t>VÄRMLANDS LÄN</t>
        </is>
      </c>
      <c r="G597" t="inlineStr">
        <is>
          <t>FILIPSTAD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15396-2025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45747</v>
      </c>
      <c r="E598" s="1" t="n">
        <v>46255</v>
      </c>
      <c r="F598" t="inlineStr">
        <is>
          <t>VÄRMLANDS LÄN</t>
        </is>
      </c>
      <c r="G598" t="inlineStr">
        <is>
          <t>FILIPSTAD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23775-2025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45793</v>
      </c>
      <c r="E599" s="1" t="n">
        <v>46255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8712-2024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45355</v>
      </c>
      <c r="E600" s="1" t="n">
        <v>46255</v>
      </c>
      <c r="F600" t="inlineStr">
        <is>
          <t>VÄRMLANDS LÄN</t>
        </is>
      </c>
      <c r="G600" t="inlineStr">
        <is>
          <t>FILIPSTAD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65174-2021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46255</v>
      </c>
      <c r="F601" t="inlineStr">
        <is>
          <t>VÄRMLANDS LÄN</t>
        </is>
      </c>
      <c r="G601" t="inlineStr">
        <is>
          <t>FILIPSTAD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45747</v>
      </c>
      <c r="E602" s="1" t="n">
        <v>46255</v>
      </c>
      <c r="F602" t="inlineStr">
        <is>
          <t>VÄRMLANDS LÄN</t>
        </is>
      </c>
      <c r="G602" t="inlineStr">
        <is>
          <t>FILIPSTAD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44801</v>
      </c>
      <c r="E603" s="1" t="n">
        <v>46255</v>
      </c>
      <c r="F603" t="inlineStr">
        <is>
          <t>VÄRMLANDS LÄN</t>
        </is>
      </c>
      <c r="G603" t="inlineStr">
        <is>
          <t>FILIPSTAD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47261-2024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45586</v>
      </c>
      <c r="E604" s="1" t="n">
        <v>46255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26123-2025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45805</v>
      </c>
      <c r="E605" s="1" t="n">
        <v>46255</v>
      </c>
      <c r="F605" t="inlineStr">
        <is>
          <t>VÄRMLANDS LÄN</t>
        </is>
      </c>
      <c r="G605" t="inlineStr">
        <is>
          <t>FILIPSTAD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26116-2025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45805</v>
      </c>
      <c r="E606" s="1" t="n">
        <v>46255</v>
      </c>
      <c r="F606" t="inlineStr">
        <is>
          <t>VÄRMLANDS LÄN</t>
        </is>
      </c>
      <c r="G606" t="inlineStr">
        <is>
          <t>FILIPSTAD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45810</v>
      </c>
      <c r="E607" s="1" t="n">
        <v>46255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26843-2024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45470</v>
      </c>
      <c r="E608" s="1" t="n">
        <v>46255</v>
      </c>
      <c r="F608" t="inlineStr">
        <is>
          <t>VÄRMLANDS LÄN</t>
        </is>
      </c>
      <c r="G608" t="inlineStr">
        <is>
          <t>FILIPSTAD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26599-2024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45469</v>
      </c>
      <c r="E609" s="1" t="n">
        <v>46255</v>
      </c>
      <c r="F609" t="inlineStr">
        <is>
          <t>VÄRMLANDS LÄN</t>
        </is>
      </c>
      <c r="G609" t="inlineStr">
        <is>
          <t>FILIPSTAD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5757-2021</t>
        </is>
      </c>
      <c r="B610" t="inlineStr">
        <is>
          <t>samrådsanmälan</t>
        </is>
      </c>
      <c r="C610" t="inlineStr">
        <is>
          <t>Basväg</t>
        </is>
      </c>
      <c r="D610" s="1" t="n">
        <v>44438</v>
      </c>
      <c r="E610" s="1" t="n">
        <v>46255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1191-2021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44328</v>
      </c>
      <c r="E611" s="1" t="n">
        <v>46255</v>
      </c>
      <c r="F611" t="inlineStr">
        <is>
          <t>VÄRMLANDS LÄN</t>
        </is>
      </c>
      <c r="G611" t="inlineStr">
        <is>
          <t>FILIPSTAD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4134-2023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45247</v>
      </c>
      <c r="E612" s="1" t="n">
        <v>46255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4115-2023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45246</v>
      </c>
      <c r="E613" s="1" t="n">
        <v>46255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4137-2023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46255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4132-2023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46255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4130-2023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46255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4127-2023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46255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56.4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837-2023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46255</v>
      </c>
      <c r="F618" t="inlineStr">
        <is>
          <t>VÄRMLANDS LÄN</t>
        </is>
      </c>
      <c r="G618" t="inlineStr">
        <is>
          <t>FILIPSTAD</t>
        </is>
      </c>
      <c r="I618" t="n">
        <v>19.3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4129-2023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46255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3919-2023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45233</v>
      </c>
      <c r="E620" s="1" t="n">
        <v>46255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4135-2023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46255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6078-2021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44442</v>
      </c>
      <c r="E622" s="1" t="n">
        <v>46255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4126-2023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294-2025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45687</v>
      </c>
      <c r="E624" s="1" t="n">
        <v>46255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4116-2023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45246</v>
      </c>
      <c r="E625" s="1" t="n">
        <v>46255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661-2025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45716</v>
      </c>
      <c r="E626" s="1" t="n">
        <v>46255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161.7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3429-2025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45995</v>
      </c>
      <c r="E627" s="1" t="n">
        <v>46255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3576-2025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46010</v>
      </c>
      <c r="E628" s="1" t="n">
        <v>46255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27.1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105-2026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46036</v>
      </c>
      <c r="E629" s="1" t="n">
        <v>46255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238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2026-08-21T01:48:50Z</dcterms:created>
  <dcterms:modified xmlns:dcterms="http://purl.org/dc/terms/" xmlns:xsi="http://www.w3.org/2001/XMLSchema-instance" xsi:type="dcterms:W3CDTF">2026-08-21T01:48:50Z</dcterms:modified>
</cp:coreProperties>
</file>