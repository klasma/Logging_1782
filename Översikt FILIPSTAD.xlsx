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46292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46292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46292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46292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46292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46292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46292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46292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46292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46292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46292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46292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46292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16139-2025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45750</v>
      </c>
      <c r="E29" s="1" t="n">
        <v>46292</v>
      </c>
      <c r="F29" t="inlineStr">
        <is>
          <t>VÄRMLANDS LÄN</t>
        </is>
      </c>
      <c r="G29" t="inlineStr">
        <is>
          <t>FILIPSTAD</t>
        </is>
      </c>
      <c r="I29" t="n">
        <v>18.2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Bronshjon</t>
        </is>
      </c>
      <c r="W29">
        <f>HYPERLINK("https://klasma.github.io/Logging_1782/artfynd/A 16139-2025 artfynd.xlsx", "A 16139-2025")</f>
        <v/>
      </c>
      <c r="X29">
        <f>HYPERLINK("https://klasma.github.io/Logging_1782/kartor/A 16139-2025 karta.png", "A 16139-2025")</f>
        <v/>
      </c>
      <c r="Y29">
        <f>HYPERLINK("https://klasma.github.io/Logging_1782/kartor_geotiff/A 16139-2025 georefererad karta.tif", "A 16139-2025")</f>
        <v/>
      </c>
      <c r="AA29">
        <f>HYPERLINK("https://klasma.github.io/Logging_1782/klagomål/A 16139-2025 FSC-klagomål.docx", "A 16139-2025")</f>
        <v/>
      </c>
      <c r="AB29">
        <f>HYPERLINK("https://klasma.github.io/Logging_1782/klagomålsmail/A 16139-2025 FSC-klagomål mail.docx", "A 16139-2025")</f>
        <v/>
      </c>
      <c r="AC29">
        <f>HYPERLINK("https://klasma.github.io/Logging_1782/tillsyn/A 16139-2025 tillsynsbegäran.docx", "A 16139-2025")</f>
        <v/>
      </c>
      <c r="AD29">
        <f>HYPERLINK("https://klasma.github.io/Logging_1782/tillsynsmail/A 16139-2025 tillsynsbegäran mail.docx", "A 16139-2025")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46292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17274-2024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45414</v>
      </c>
      <c r="E31" s="1" t="n">
        <v>46292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5.8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Dropptaggsvamp
Talltita</t>
        </is>
      </c>
      <c r="W31">
        <f>HYPERLINK("https://klasma.github.io/Logging_1782/artfynd/A 17274-2024 artfynd.xlsx", "A 17274-2024")</f>
        <v/>
      </c>
      <c r="X31">
        <f>HYPERLINK("https://klasma.github.io/Logging_1782/kartor/A 17274-2024 karta.png", "A 17274-2024")</f>
        <v/>
      </c>
      <c r="Y31">
        <f>HYPERLINK("https://klasma.github.io/Logging_1782/kartor_geotiff/A 17274-2024 georefererad karta.tif", "A 17274-2024")</f>
        <v/>
      </c>
      <c r="AA31">
        <f>HYPERLINK("https://klasma.github.io/Logging_1782/klagomål/A 17274-2024 FSC-klagomål.docx", "A 17274-2024")</f>
        <v/>
      </c>
      <c r="AB31">
        <f>HYPERLINK("https://klasma.github.io/Logging_1782/klagomålsmail/A 17274-2024 FSC-klagomål mail.docx", "A 17274-2024")</f>
        <v/>
      </c>
      <c r="AC31">
        <f>HYPERLINK("https://klasma.github.io/Logging_1782/tillsyn/A 17274-2024 tillsynsbegäran.docx", "A 17274-2024")</f>
        <v/>
      </c>
      <c r="AD31">
        <f>HYPERLINK("https://klasma.github.io/Logging_1782/tillsynsmail/A 17274-2024 tillsynsbegäran mail.docx", "A 17274-2024")</f>
        <v/>
      </c>
      <c r="AE31">
        <f>HYPERLINK("https://klasma.github.io/Logging_1782/fåglar/A 17274-2024 prioriterade fågelarter.docx", "A 17274-2024")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46292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46292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46292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46292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46292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46292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46292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46292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46292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18138-2022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46292</v>
      </c>
      <c r="F45" t="inlineStr">
        <is>
          <t>VÄRMLANDS LÄN</t>
        </is>
      </c>
      <c r="G45" t="inlineStr">
        <is>
          <t>FILIPSTAD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18138-2022 artfynd.xlsx", "A 18138-2022")</f>
        <v/>
      </c>
      <c r="X45">
        <f>HYPERLINK("https://klasma.github.io/Logging_1782/kartor/A 18138-2022 karta.png", "A 18138-2022")</f>
        <v/>
      </c>
      <c r="Y45">
        <f>HYPERLINK("https://klasma.github.io/Logging_1782/kartor_geotiff/A 18138-2022 georefererad karta.tif", "A 18138-2022")</f>
        <v/>
      </c>
      <c r="AA45">
        <f>HYPERLINK("https://klasma.github.io/Logging_1782/klagomål/A 18138-2022 FSC-klagomål.docx", "A 18138-2022")</f>
        <v/>
      </c>
      <c r="AB45">
        <f>HYPERLINK("https://klasma.github.io/Logging_1782/klagomålsmail/A 18138-2022 FSC-klagomål mail.docx", "A 18138-2022")</f>
        <v/>
      </c>
      <c r="AC45">
        <f>HYPERLINK("https://klasma.github.io/Logging_1782/tillsyn/A 18138-2022 tillsynsbegäran.docx", "A 18138-2022")</f>
        <v/>
      </c>
      <c r="AD45">
        <f>HYPERLINK("https://klasma.github.io/Logging_1782/tillsynsmail/A 18138-2022 tillsynsbegäran mail.docx", "A 18138-2022")</f>
        <v/>
      </c>
    </row>
    <row r="46" ht="15" customHeight="1">
      <c r="A46" t="inlineStr">
        <is>
          <t>A 30652-2025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46292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HYPERLINK("https://klasma.github.io/Logging_1782/artfynd/A 30652-2025 artfynd.xlsx", "A 30652-2025")</f>
        <v/>
      </c>
      <c r="X46">
        <f>HYPERLINK("https://klasma.github.io/Logging_1782/kartor/A 30652-2025 karta.png", "A 30652-2025")</f>
        <v/>
      </c>
      <c r="Y46">
        <f>HYPERLINK("https://klasma.github.io/Logging_1782/kartor_geotiff/A 30652-2025 georefererad karta.tif", "A 30652-2025")</f>
        <v/>
      </c>
      <c r="AA46">
        <f>HYPERLINK("https://klasma.github.io/Logging_1782/klagomål/A 30652-2025 FSC-klagomål.docx", "A 30652-2025")</f>
        <v/>
      </c>
      <c r="AB46">
        <f>HYPERLINK("https://klasma.github.io/Logging_1782/klagomålsmail/A 30652-2025 FSC-klagomål mail.docx", "A 30652-2025")</f>
        <v/>
      </c>
      <c r="AC46">
        <f>HYPERLINK("https://klasma.github.io/Logging_1782/tillsyn/A 30652-2025 tillsynsbegäran.docx", "A 30652-2025")</f>
        <v/>
      </c>
      <c r="AD46">
        <f>HYPERLINK("https://klasma.github.io/Logging_1782/tillsynsmail/A 30652-2025 tillsynsbegäran mail.docx", "A 30652-2025")</f>
        <v/>
      </c>
      <c r="AE46">
        <f>HYPERLINK("https://klasma.github.io/Logging_1782/fåglar/A 30652-2025 prioriterade fågelarter.docx", "A 30652-2025")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46292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46292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874-2025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46292</v>
      </c>
      <c r="F50" t="inlineStr">
        <is>
          <t>VÄRMLANDS LÄN</t>
        </is>
      </c>
      <c r="G50" t="inlineStr">
        <is>
          <t>FILIPSTAD</t>
        </is>
      </c>
      <c r="H50" t="inlineStr">
        <is>
          <t>Kyrkan</t>
        </is>
      </c>
      <c r="I50" t="n">
        <v>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Kamjordstjärna</t>
        </is>
      </c>
      <c r="W50">
        <f>HYPERLINK("https://klasma.github.io/Logging_1782/artfynd/A 874-2025 artfynd.xlsx", "A 874-2025")</f>
        <v/>
      </c>
      <c r="X50">
        <f>HYPERLINK("https://klasma.github.io/Logging_1782/kartor/A 874-2025 karta.png", "A 874-2025")</f>
        <v/>
      </c>
      <c r="Y50">
        <f>HYPERLINK("https://klasma.github.io/Logging_1782/kartor_geotiff/A 874-2025 georefererad karta.tif", "A 874-2025")</f>
        <v/>
      </c>
      <c r="AA50">
        <f>HYPERLINK("https://klasma.github.io/Logging_1782/klagomål/A 874-2025 FSC-klagomål.docx", "A 874-2025")</f>
        <v/>
      </c>
      <c r="AB50">
        <f>HYPERLINK("https://klasma.github.io/Logging_1782/klagomålsmail/A 874-2025 FSC-klagomål mail.docx", "A 874-2025")</f>
        <v/>
      </c>
      <c r="AC50">
        <f>HYPERLINK("https://klasma.github.io/Logging_1782/tillsyn/A 874-2025 tillsynsbegäran.docx", "A 874-2025")</f>
        <v/>
      </c>
      <c r="AD50">
        <f>HYPERLINK("https://klasma.github.io/Logging_1782/tillsynsmail/A 874-2025 tillsynsbegäran mail.docx", "A 874-2025")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46292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51522-2022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46292</v>
      </c>
      <c r="F52" t="inlineStr">
        <is>
          <t>VÄRMLANDS LÄN</t>
        </is>
      </c>
      <c r="G52" t="inlineStr">
        <is>
          <t>FILIPSTAD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HYPERLINK("https://klasma.github.io/Logging_1782/artfynd/A 51522-2022 artfynd.xlsx", "A 51522-2022")</f>
        <v/>
      </c>
      <c r="X52">
        <f>HYPERLINK("https://klasma.github.io/Logging_1782/kartor/A 51522-2022 karta.png", "A 51522-2022")</f>
        <v/>
      </c>
      <c r="Y52">
        <f>HYPERLINK("https://klasma.github.io/Logging_1782/kartor_geotiff/A 51522-2022 georefererad karta.tif", "A 51522-2022")</f>
        <v/>
      </c>
      <c r="AA52">
        <f>HYPERLINK("https://klasma.github.io/Logging_1782/klagomål/A 51522-2022 FSC-klagomål.docx", "A 51522-2022")</f>
        <v/>
      </c>
      <c r="AB52">
        <f>HYPERLINK("https://klasma.github.io/Logging_1782/klagomålsmail/A 51522-2022 FSC-klagomål mail.docx", "A 51522-2022")</f>
        <v/>
      </c>
      <c r="AC52">
        <f>HYPERLINK("https://klasma.github.io/Logging_1782/tillsyn/A 51522-2022 tillsynsbegäran.docx", "A 51522-2022")</f>
        <v/>
      </c>
      <c r="AD52">
        <f>HYPERLINK("https://klasma.github.io/Logging_1782/tillsynsmail/A 51522-2022 tillsynsbegäran mail.docx", "A 51522-2022")</f>
        <v/>
      </c>
    </row>
    <row r="53" ht="15" customHeight="1">
      <c r="A53" t="inlineStr">
        <is>
          <t>A 50776-2024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46292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15.5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50776-2024 artfynd.xlsx", "A 50776-2024")</f>
        <v/>
      </c>
      <c r="X53">
        <f>HYPERLINK("https://klasma.github.io/Logging_1782/kartor/A 50776-2024 karta.png", "A 50776-2024")</f>
        <v/>
      </c>
      <c r="Y53">
        <f>HYPERLINK("https://klasma.github.io/Logging_1782/kartor_geotiff/A 50776-2024 georefererad karta.tif", "A 50776-2024")</f>
        <v/>
      </c>
      <c r="AA53">
        <f>HYPERLINK("https://klasma.github.io/Logging_1782/klagomål/A 50776-2024 FSC-klagomål.docx", "A 50776-2024")</f>
        <v/>
      </c>
      <c r="AB53">
        <f>HYPERLINK("https://klasma.github.io/Logging_1782/klagomålsmail/A 50776-2024 FSC-klagomål mail.docx", "A 50776-2024")</f>
        <v/>
      </c>
      <c r="AC53">
        <f>HYPERLINK("https://klasma.github.io/Logging_1782/tillsyn/A 50776-2024 tillsynsbegäran.docx", "A 50776-2024")</f>
        <v/>
      </c>
      <c r="AD53">
        <f>HYPERLINK("https://klasma.github.io/Logging_1782/tillsynsmail/A 50776-2024 tillsynsbegäran mail.docx", "A 50776-2024")</f>
        <v/>
      </c>
    </row>
    <row r="54" ht="15" customHeight="1">
      <c r="A54" t="inlineStr">
        <is>
          <t>A 5992-2023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44959</v>
      </c>
      <c r="E54" s="1" t="n">
        <v>46292</v>
      </c>
      <c r="F54" t="inlineStr">
        <is>
          <t>VÄRMLANDS LÄN</t>
        </is>
      </c>
      <c r="G54" t="inlineStr">
        <is>
          <t>FILIPSTAD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HYPERLINK("https://klasma.github.io/Logging_1782/artfynd/A 5992-2023 artfynd.xlsx", "A 5992-2023")</f>
        <v/>
      </c>
      <c r="X54">
        <f>HYPERLINK("https://klasma.github.io/Logging_1782/kartor/A 5992-2023 karta.png", "A 5992-2023")</f>
        <v/>
      </c>
      <c r="Y54">
        <f>HYPERLINK("https://klasma.github.io/Logging_1782/kartor_geotiff/A 5992-2023 georefererad karta.tif", "A 5992-2023")</f>
        <v/>
      </c>
      <c r="AA54">
        <f>HYPERLINK("https://klasma.github.io/Logging_1782/klagomål/A 5992-2023 FSC-klagomål.docx", "A 5992-2023")</f>
        <v/>
      </c>
      <c r="AB54">
        <f>HYPERLINK("https://klasma.github.io/Logging_1782/klagomålsmail/A 5992-2023 FSC-klagomål mail.docx", "A 5992-2023")</f>
        <v/>
      </c>
      <c r="AC54">
        <f>HYPERLINK("https://klasma.github.io/Logging_1782/tillsyn/A 5992-2023 tillsynsbegäran.docx", "A 5992-2023")</f>
        <v/>
      </c>
      <c r="AD54">
        <f>HYPERLINK("https://klasma.github.io/Logging_1782/tillsynsmail/A 5992-2023 tillsynsbegäran mail.docx", "A 5992-2023")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46292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46292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46292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46292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46292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46292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46292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46292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46292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46292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46292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46292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46292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46292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46292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46292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46292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46292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46292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46292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46292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46292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46292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46292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46292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46292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46292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46292</v>
      </c>
      <c r="F85" t="inlineStr">
        <is>
          <t>VÄRMLANDS LÄN</t>
        </is>
      </c>
      <c r="G85" t="inlineStr">
        <is>
          <t>FILIPSTAD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46292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46292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46292</v>
      </c>
      <c r="F88" t="inlineStr">
        <is>
          <t>VÄRMLANDS LÄN</t>
        </is>
      </c>
      <c r="G88" t="inlineStr">
        <is>
          <t>FILIPSTAD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46292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46292</v>
      </c>
      <c r="F90" t="inlineStr">
        <is>
          <t>VÄRMLANDS LÄN</t>
        </is>
      </c>
      <c r="G90" t="inlineStr">
        <is>
          <t>FILIPSTAD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46292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46292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46292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46292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46292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46292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46292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46292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46292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45439</v>
      </c>
      <c r="E100" s="1" t="n">
        <v>46292</v>
      </c>
      <c r="F100" t="inlineStr">
        <is>
          <t>VÄRMLANDS LÄN</t>
        </is>
      </c>
      <c r="G100" t="inlineStr">
        <is>
          <t>FILIPSTAD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46292</v>
      </c>
      <c r="F101" t="inlineStr">
        <is>
          <t>VÄRMLANDS LÄN</t>
        </is>
      </c>
      <c r="G101" t="inlineStr">
        <is>
          <t>FILIPSTAD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72118-2021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44543</v>
      </c>
      <c r="E102" s="1" t="n">
        <v>46292</v>
      </c>
      <c r="F102" t="inlineStr">
        <is>
          <t>VÄRMLANDS LÄN</t>
        </is>
      </c>
      <c r="G102" t="inlineStr">
        <is>
          <t>FILIPSTAD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46292</v>
      </c>
      <c r="F103" t="inlineStr">
        <is>
          <t>VÄRMLANDS LÄN</t>
        </is>
      </c>
      <c r="G103" t="inlineStr">
        <is>
          <t>FILIPSTAD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46292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46292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46292</v>
      </c>
      <c r="F106" t="inlineStr">
        <is>
          <t>VÄRMLANDS LÄN</t>
        </is>
      </c>
      <c r="G106" t="inlineStr">
        <is>
          <t>FILIPSTAD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46292</v>
      </c>
      <c r="F107" t="inlineStr">
        <is>
          <t>VÄRMLANDS LÄN</t>
        </is>
      </c>
      <c r="G107" t="inlineStr">
        <is>
          <t>FILIPSTAD</t>
        </is>
      </c>
      <c r="I107" t="n">
        <v>13.2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46292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46292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46292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65174-2021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46292</v>
      </c>
      <c r="F111" t="inlineStr">
        <is>
          <t>VÄRMLANDS LÄN</t>
        </is>
      </c>
      <c r="G111" t="inlineStr">
        <is>
          <t>FILIPSTAD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46292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46292</v>
      </c>
      <c r="F113" t="inlineStr">
        <is>
          <t>VÄRMLANDS LÄN</t>
        </is>
      </c>
      <c r="G113" t="inlineStr">
        <is>
          <t>FILIPSTAD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44801</v>
      </c>
      <c r="E114" s="1" t="n">
        <v>46292</v>
      </c>
      <c r="F114" t="inlineStr">
        <is>
          <t>VÄRMLANDS LÄN</t>
        </is>
      </c>
      <c r="G114" t="inlineStr">
        <is>
          <t>FILIPSTAD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46292</v>
      </c>
      <c r="F115" t="inlineStr">
        <is>
          <t>VÄRMLANDS LÄN</t>
        </is>
      </c>
      <c r="G115" t="inlineStr">
        <is>
          <t>FILIPSTAD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45986</v>
      </c>
      <c r="E116" s="1" t="n">
        <v>46292</v>
      </c>
      <c r="F116" t="inlineStr">
        <is>
          <t>VÄRMLANDS LÄN</t>
        </is>
      </c>
      <c r="G116" t="inlineStr">
        <is>
          <t>FILIPSTAD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46292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46040</v>
      </c>
      <c r="E118" s="1" t="n">
        <v>46292</v>
      </c>
      <c r="F118" t="inlineStr">
        <is>
          <t>VÄRMLANDS LÄN</t>
        </is>
      </c>
      <c r="G118" t="inlineStr">
        <is>
          <t>FILIPSTAD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46292</v>
      </c>
      <c r="F119" t="inlineStr">
        <is>
          <t>VÄRMLANDS LÄN</t>
        </is>
      </c>
      <c r="G119" t="inlineStr">
        <is>
          <t>FILIPSTAD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41718-2025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45902</v>
      </c>
      <c r="E120" s="1" t="n">
        <v>46292</v>
      </c>
      <c r="F120" t="inlineStr">
        <is>
          <t>VÄRMLANDS LÄN</t>
        </is>
      </c>
      <c r="G120" t="inlineStr">
        <is>
          <t>FILIPSTAD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46292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46292</v>
      </c>
      <c r="F122" t="inlineStr">
        <is>
          <t>VÄRMLANDS LÄN</t>
        </is>
      </c>
      <c r="G122" t="inlineStr">
        <is>
          <t>FILIPSTAD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46292</v>
      </c>
      <c r="F123" t="inlineStr">
        <is>
          <t>VÄRMLANDS LÄN</t>
        </is>
      </c>
      <c r="G123" t="inlineStr">
        <is>
          <t>FILIPSTAD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46292</v>
      </c>
      <c r="F124" t="inlineStr">
        <is>
          <t>VÄRMLANDS LÄN</t>
        </is>
      </c>
      <c r="G124" t="inlineStr">
        <is>
          <t>FILIPSTAD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46292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46292</v>
      </c>
      <c r="F126" t="inlineStr">
        <is>
          <t>VÄRMLANDS LÄN</t>
        </is>
      </c>
      <c r="G126" t="inlineStr">
        <is>
          <t>FILIPSTAD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46292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46292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46292</v>
      </c>
      <c r="F129" t="inlineStr">
        <is>
          <t>VÄRMLANDS LÄN</t>
        </is>
      </c>
      <c r="G129" t="inlineStr">
        <is>
          <t>FILIPSTAD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46292</v>
      </c>
      <c r="F130" t="inlineStr">
        <is>
          <t>VÄRMLANDS LÄN</t>
        </is>
      </c>
      <c r="G130" t="inlineStr">
        <is>
          <t>FILIPSTAD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46292</v>
      </c>
      <c r="F131" t="inlineStr">
        <is>
          <t>VÄRMLANDS LÄN</t>
        </is>
      </c>
      <c r="G131" t="inlineStr">
        <is>
          <t>FILIPSTAD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45578</v>
      </c>
      <c r="E132" s="1" t="n">
        <v>46292</v>
      </c>
      <c r="F132" t="inlineStr">
        <is>
          <t>VÄRMLANDS LÄN</t>
        </is>
      </c>
      <c r="G132" t="inlineStr">
        <is>
          <t>FILIPSTAD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46292</v>
      </c>
      <c r="F133" t="inlineStr">
        <is>
          <t>VÄRMLANDS LÄN</t>
        </is>
      </c>
      <c r="G133" t="inlineStr">
        <is>
          <t>FILIPSTAD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46292</v>
      </c>
      <c r="F134" t="inlineStr">
        <is>
          <t>VÄRMLANDS LÄN</t>
        </is>
      </c>
      <c r="G134" t="inlineStr">
        <is>
          <t>FILIPSTAD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46292</v>
      </c>
      <c r="F135" t="inlineStr">
        <is>
          <t>VÄRMLANDS LÄN</t>
        </is>
      </c>
      <c r="G135" t="inlineStr">
        <is>
          <t>FILIPSTAD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46292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69015-2021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46292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46292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46292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26123-2025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45805</v>
      </c>
      <c r="E141" s="1" t="n">
        <v>46292</v>
      </c>
      <c r="F141" t="inlineStr">
        <is>
          <t>VÄRMLANDS LÄN</t>
        </is>
      </c>
      <c r="G141" t="inlineStr">
        <is>
          <t>FILIPSTAD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26116-2025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45805</v>
      </c>
      <c r="E142" s="1" t="n">
        <v>46292</v>
      </c>
      <c r="F142" t="inlineStr">
        <is>
          <t>VÄRMLANDS LÄN</t>
        </is>
      </c>
      <c r="G142" t="inlineStr">
        <is>
          <t>FILIPSTAD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46292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46292</v>
      </c>
      <c r="F144" t="inlineStr">
        <is>
          <t>VÄRMLANDS LÄN</t>
        </is>
      </c>
      <c r="G144" t="inlineStr">
        <is>
          <t>FILIPSTAD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46292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46292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48103-2025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45933</v>
      </c>
      <c r="E147" s="1" t="n">
        <v>46292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46292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44935</v>
      </c>
      <c r="E149" s="1" t="n">
        <v>46292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46292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46292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46292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46292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46292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46292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46292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46292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46292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46292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46292</v>
      </c>
      <c r="F160" t="inlineStr">
        <is>
          <t>VÄRMLANDS LÄN</t>
        </is>
      </c>
      <c r="G160" t="inlineStr">
        <is>
          <t>FILIPSTAD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46292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46292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46292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46292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46292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46292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46292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46292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46292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46292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46292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46292</v>
      </c>
      <c r="F172" t="inlineStr">
        <is>
          <t>VÄRMLANDS LÄN</t>
        </is>
      </c>
      <c r="G172" t="inlineStr">
        <is>
          <t>FILIPSTAD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46292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16040-2026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46108</v>
      </c>
      <c r="E174" s="1" t="n">
        <v>46292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46292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46292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46114</v>
      </c>
      <c r="E177" s="1" t="n">
        <v>46292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46292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46292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46292</v>
      </c>
      <c r="F180" t="inlineStr">
        <is>
          <t>VÄRMLANDS LÄN</t>
        </is>
      </c>
      <c r="G180" t="inlineStr">
        <is>
          <t>FILIPSTAD</t>
        </is>
      </c>
      <c r="H180" t="inlineStr">
        <is>
          <t>Kyrkan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46292</v>
      </c>
      <c r="F181" t="inlineStr">
        <is>
          <t>VÄRMLANDS LÄN</t>
        </is>
      </c>
      <c r="G181" t="inlineStr">
        <is>
          <t>FILIPSTAD</t>
        </is>
      </c>
      <c r="H181" t="inlineStr">
        <is>
          <t>Kyrkan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45469</v>
      </c>
      <c r="E182" s="1" t="n">
        <v>46292</v>
      </c>
      <c r="F182" t="inlineStr">
        <is>
          <t>VÄRMLANDS LÄN</t>
        </is>
      </c>
      <c r="G182" t="inlineStr">
        <is>
          <t>FILIPSTAD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46292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46292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46292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46292</v>
      </c>
      <c r="F186" t="inlineStr">
        <is>
          <t>VÄRMLANDS LÄN</t>
        </is>
      </c>
      <c r="G186" t="inlineStr">
        <is>
          <t>FILIPSTAD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46292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46292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46292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46292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46292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46292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46292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46292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45968</v>
      </c>
      <c r="E197" s="1" t="n">
        <v>46292</v>
      </c>
      <c r="F197" t="inlineStr">
        <is>
          <t>VÄRMLANDS LÄN</t>
        </is>
      </c>
      <c r="G197" t="inlineStr">
        <is>
          <t>FILIPSTAD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46292</v>
      </c>
      <c r="F198" t="inlineStr">
        <is>
          <t>VÄRMLANDS LÄN</t>
        </is>
      </c>
      <c r="G198" t="inlineStr">
        <is>
          <t>FILIPSTAD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46292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46292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46292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46292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46292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46292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46292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46292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46292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46292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46292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46292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46292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46292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46292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46292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46292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46292</v>
      </c>
      <c r="F218" t="inlineStr">
        <is>
          <t>VÄRMLANDS LÄN</t>
        </is>
      </c>
      <c r="G218" t="inlineStr">
        <is>
          <t>FILIPSTAD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46292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46292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46292</v>
      </c>
      <c r="F221" t="inlineStr">
        <is>
          <t>VÄRMLANDS LÄN</t>
        </is>
      </c>
      <c r="G221" t="inlineStr">
        <is>
          <t>FILIPSTAD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46292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46292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46292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46292</v>
      </c>
      <c r="F225" t="inlineStr">
        <is>
          <t>VÄRMLANDS LÄN</t>
        </is>
      </c>
      <c r="G225" t="inlineStr">
        <is>
          <t>FILIPSTAD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46292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46292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46292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46292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46292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46292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46292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46292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46292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46292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46292</v>
      </c>
      <c r="F238" t="inlineStr">
        <is>
          <t>VÄRMLANDS LÄN</t>
        </is>
      </c>
      <c r="G238" t="inlineStr">
        <is>
          <t>FILIPSTAD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46292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46292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46292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46292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46292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46292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46292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46292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46292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46292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46292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45072</v>
      </c>
      <c r="E250" s="1" t="n">
        <v>46292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45484</v>
      </c>
      <c r="E251" s="1" t="n">
        <v>46292</v>
      </c>
      <c r="F251" t="inlineStr">
        <is>
          <t>VÄRMLANDS LÄN</t>
        </is>
      </c>
      <c r="G251" t="inlineStr">
        <is>
          <t>FILIPSTAD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46292</v>
      </c>
      <c r="F252" t="inlineStr">
        <is>
          <t>VÄRMLANDS LÄN</t>
        </is>
      </c>
      <c r="G252" t="inlineStr">
        <is>
          <t>FILIPSTAD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45790</v>
      </c>
      <c r="E253" s="1" t="n">
        <v>46292</v>
      </c>
      <c r="F253" t="inlineStr">
        <is>
          <t>VÄRMLANDS LÄN</t>
        </is>
      </c>
      <c r="G253" t="inlineStr">
        <is>
          <t>FILIPSTAD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46292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46292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46292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46292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46292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46292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46292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46292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46292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46292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46001</v>
      </c>
      <c r="E264" s="1" t="n">
        <v>46292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46292</v>
      </c>
      <c r="F265" t="inlineStr">
        <is>
          <t>VÄRMLANDS LÄN</t>
        </is>
      </c>
      <c r="G265" t="inlineStr">
        <is>
          <t>FILIPSTAD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46004</v>
      </c>
      <c r="E266" s="1" t="n">
        <v>46292</v>
      </c>
      <c r="F266" t="inlineStr">
        <is>
          <t>VÄRMLANDS LÄN</t>
        </is>
      </c>
      <c r="G266" t="inlineStr">
        <is>
          <t>FILIPSTAD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46292</v>
      </c>
      <c r="F267" t="inlineStr">
        <is>
          <t>VÄRMLANDS LÄN</t>
        </is>
      </c>
      <c r="G267" t="inlineStr">
        <is>
          <t>FILIPSTAD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46004</v>
      </c>
      <c r="E269" s="1" t="n">
        <v>46292</v>
      </c>
      <c r="F269" t="inlineStr">
        <is>
          <t>VÄRMLANDS LÄN</t>
        </is>
      </c>
      <c r="G269" t="inlineStr">
        <is>
          <t>FILIPSTAD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46292</v>
      </c>
      <c r="F270" t="inlineStr">
        <is>
          <t>VÄRMLANDS LÄN</t>
        </is>
      </c>
      <c r="G270" t="inlineStr">
        <is>
          <t>FILIPSTAD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61823-2025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46003</v>
      </c>
      <c r="E271" s="1" t="n">
        <v>46292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46292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46292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46292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46292</v>
      </c>
      <c r="F275" t="inlineStr">
        <is>
          <t>VÄRMLANDS LÄN</t>
        </is>
      </c>
      <c r="G275" t="inlineStr">
        <is>
          <t>FILIPSTAD</t>
        </is>
      </c>
      <c r="I275" t="n">
        <v>15.5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46292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46292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46292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46292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46292</v>
      </c>
      <c r="F280" t="inlineStr">
        <is>
          <t>VÄRMLANDS LÄN</t>
        </is>
      </c>
      <c r="G280" t="inlineStr">
        <is>
          <t>FILIPSTAD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46292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44579</v>
      </c>
      <c r="E282" s="1" t="n">
        <v>46292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46292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46292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46292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46292</v>
      </c>
      <c r="F286" t="inlineStr">
        <is>
          <t>VÄRMLANDS LÄN</t>
        </is>
      </c>
      <c r="G286" t="inlineStr">
        <is>
          <t>FILIPSTAD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46292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46292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46292</v>
      </c>
      <c r="F289" t="inlineStr">
        <is>
          <t>VÄRMLANDS LÄN</t>
        </is>
      </c>
      <c r="G289" t="inlineStr">
        <is>
          <t>FILIPSTAD</t>
        </is>
      </c>
      <c r="I289" t="n">
        <v>23.3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46292</v>
      </c>
      <c r="F290" t="inlineStr">
        <is>
          <t>VÄRMLANDS LÄN</t>
        </is>
      </c>
      <c r="G290" t="inlineStr">
        <is>
          <t>FILIPSTAD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46292</v>
      </c>
      <c r="F291" t="inlineStr">
        <is>
          <t>VÄRMLANDS LÄN</t>
        </is>
      </c>
      <c r="G291" t="inlineStr">
        <is>
          <t>FILIPSTAD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46292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45750</v>
      </c>
      <c r="E293" s="1" t="n">
        <v>46292</v>
      </c>
      <c r="F293" t="inlineStr">
        <is>
          <t>VÄRMLANDS LÄN</t>
        </is>
      </c>
      <c r="G293" t="inlineStr">
        <is>
          <t>FILIPSTAD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46292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20554-2025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45775</v>
      </c>
      <c r="E296" s="1" t="n">
        <v>46292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46292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46292</v>
      </c>
      <c r="F298" t="inlineStr">
        <is>
          <t>VÄRMLANDS LÄN</t>
        </is>
      </c>
      <c r="G298" t="inlineStr">
        <is>
          <t>FILIPSTAD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36272-2025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45867</v>
      </c>
      <c r="E299" s="1" t="n">
        <v>46292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46292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46292</v>
      </c>
      <c r="F301" t="inlineStr">
        <is>
          <t>VÄRMLANDS LÄN</t>
        </is>
      </c>
      <c r="G301" t="inlineStr">
        <is>
          <t>FILIPSTAD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46292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45456</v>
      </c>
      <c r="E303" s="1" t="n">
        <v>46292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46292</v>
      </c>
      <c r="F304" t="inlineStr">
        <is>
          <t>VÄRMLANDS LÄN</t>
        </is>
      </c>
      <c r="G304" t="inlineStr">
        <is>
          <t>FILIPSTAD</t>
        </is>
      </c>
      <c r="H304" t="inlineStr">
        <is>
          <t>Kyrkan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46292</v>
      </c>
      <c r="F305" t="inlineStr">
        <is>
          <t>VÄRMLANDS LÄN</t>
        </is>
      </c>
      <c r="G305" t="inlineStr">
        <is>
          <t>FILIPSTAD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46292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31172-2025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45832</v>
      </c>
      <c r="E307" s="1" t="n">
        <v>46292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46292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46292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45427</v>
      </c>
      <c r="E310" s="1" t="n">
        <v>46292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45088</v>
      </c>
      <c r="E311" s="1" t="n">
        <v>46292</v>
      </c>
      <c r="F311" t="inlineStr">
        <is>
          <t>VÄRMLANDS LÄN</t>
        </is>
      </c>
      <c r="G311" t="inlineStr">
        <is>
          <t>FILIPSTAD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46292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19351-2025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45769</v>
      </c>
      <c r="E313" s="1" t="n">
        <v>46292</v>
      </c>
      <c r="F313" t="inlineStr">
        <is>
          <t>VÄRMLANDS LÄN</t>
        </is>
      </c>
      <c r="G313" t="inlineStr">
        <is>
          <t>FILIPSTAD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46292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46292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46292</v>
      </c>
      <c r="F316" t="inlineStr">
        <is>
          <t>VÄRMLANDS LÄN</t>
        </is>
      </c>
      <c r="G316" t="inlineStr">
        <is>
          <t>FILIPSTAD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46292</v>
      </c>
      <c r="F317" t="inlineStr">
        <is>
          <t>VÄRMLANDS LÄN</t>
        </is>
      </c>
      <c r="G317" t="inlineStr">
        <is>
          <t>FILIPSTAD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46292</v>
      </c>
      <c r="F321" t="inlineStr">
        <is>
          <t>VÄRMLANDS LÄN</t>
        </is>
      </c>
      <c r="G321" t="inlineStr">
        <is>
          <t>FILIPSTAD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46292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46292</v>
      </c>
      <c r="F323" t="inlineStr">
        <is>
          <t>VÄRMLANDS LÄN</t>
        </is>
      </c>
      <c r="G323" t="inlineStr">
        <is>
          <t>FILIPSTAD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46292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45088</v>
      </c>
      <c r="E325" s="1" t="n">
        <v>46292</v>
      </c>
      <c r="F325" t="inlineStr">
        <is>
          <t>VÄRMLANDS LÄN</t>
        </is>
      </c>
      <c r="G325" t="inlineStr">
        <is>
          <t>FILIPSTAD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46292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46292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46292</v>
      </c>
      <c r="F330" t="inlineStr">
        <is>
          <t>VÄRMLANDS LÄN</t>
        </is>
      </c>
      <c r="G330" t="inlineStr">
        <is>
          <t>FILIPSTAD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46292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32032-2025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45835</v>
      </c>
      <c r="E332" s="1" t="n">
        <v>46292</v>
      </c>
      <c r="F332" t="inlineStr">
        <is>
          <t>VÄRMLANDS LÄN</t>
        </is>
      </c>
      <c r="G332" t="inlineStr">
        <is>
          <t>FILIPSTAD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46292</v>
      </c>
      <c r="F333" t="inlineStr">
        <is>
          <t>VÄRMLANDS LÄN</t>
        </is>
      </c>
      <c r="G333" t="inlineStr">
        <is>
          <t>FILIPSTAD</t>
        </is>
      </c>
      <c r="H333" t="inlineStr">
        <is>
          <t>Kyrkan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45688</v>
      </c>
      <c r="E334" s="1" t="n">
        <v>46292</v>
      </c>
      <c r="F334" t="inlineStr">
        <is>
          <t>VÄRMLANDS LÄN</t>
        </is>
      </c>
      <c r="G334" t="inlineStr">
        <is>
          <t>FILIPSTAD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46292</v>
      </c>
      <c r="F335" t="inlineStr">
        <is>
          <t>VÄRMLANDS LÄN</t>
        </is>
      </c>
      <c r="G335" t="inlineStr">
        <is>
          <t>FILIPSTAD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33407-2025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46292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46292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46292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46292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46292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46292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46292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46292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46292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46292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46292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46292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46292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46292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46292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46292</v>
      </c>
      <c r="F358" t="inlineStr">
        <is>
          <t>VÄRMLANDS LÄN</t>
        </is>
      </c>
      <c r="G358" t="inlineStr">
        <is>
          <t>FILIPSTAD</t>
        </is>
      </c>
      <c r="H358" t="inlineStr">
        <is>
          <t>Kyrkan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46292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46292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46292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46292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62787-2023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46292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46292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46292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46292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46292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46292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46292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46292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45133</v>
      </c>
      <c r="E372" s="1" t="n">
        <v>46292</v>
      </c>
      <c r="F372" t="inlineStr">
        <is>
          <t>VÄRMLANDS LÄN</t>
        </is>
      </c>
      <c r="G372" t="inlineStr">
        <is>
          <t>FILIPSTAD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46171</v>
      </c>
      <c r="E373" s="1" t="n">
        <v>46292</v>
      </c>
      <c r="F373" t="inlineStr">
        <is>
          <t>VÄRMLANDS LÄN</t>
        </is>
      </c>
      <c r="G373" t="inlineStr">
        <is>
          <t>FILIPSTAD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46292</v>
      </c>
      <c r="F374" t="inlineStr">
        <is>
          <t>VÄRMLANDS LÄN</t>
        </is>
      </c>
      <c r="G374" t="inlineStr">
        <is>
          <t>FILIPSTAD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46292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44960</v>
      </c>
      <c r="E376" s="1" t="n">
        <v>46292</v>
      </c>
      <c r="F376" t="inlineStr">
        <is>
          <t>VÄRMLANDS LÄN</t>
        </is>
      </c>
      <c r="G376" t="inlineStr">
        <is>
          <t>FILIPSTAD</t>
        </is>
      </c>
      <c r="H376" t="inlineStr">
        <is>
          <t>Kommuner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44957</v>
      </c>
      <c r="E377" s="1" t="n">
        <v>46292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46292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45393</v>
      </c>
      <c r="E379" s="1" t="n">
        <v>46292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9270-2023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46292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46292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46292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46292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46292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46292</v>
      </c>
      <c r="F385" t="inlineStr">
        <is>
          <t>VÄRMLANDS LÄN</t>
        </is>
      </c>
      <c r="G385" t="inlineStr">
        <is>
          <t>FILIPSTAD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46292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25869-2026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46292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46292</v>
      </c>
      <c r="F388" t="inlineStr">
        <is>
          <t>VÄRMLANDS LÄN</t>
        </is>
      </c>
      <c r="G388" t="inlineStr">
        <is>
          <t>FILIPSTAD</t>
        </is>
      </c>
      <c r="H388" t="inlineStr">
        <is>
          <t>Kyrkan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46292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46292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46292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46292</v>
      </c>
      <c r="F392" t="inlineStr">
        <is>
          <t>VÄRMLANDS LÄN</t>
        </is>
      </c>
      <c r="G392" t="inlineStr">
        <is>
          <t>FILIPSTAD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46292</v>
      </c>
      <c r="F393" t="inlineStr">
        <is>
          <t>VÄRMLANDS LÄN</t>
        </is>
      </c>
      <c r="G393" t="inlineStr">
        <is>
          <t>FILIPSTAD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46292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46292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46292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46292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44637</v>
      </c>
      <c r="E398" s="1" t="n">
        <v>46292</v>
      </c>
      <c r="F398" t="inlineStr">
        <is>
          <t>VÄRMLANDS LÄN</t>
        </is>
      </c>
      <c r="G398" t="inlineStr">
        <is>
          <t>FILIPSTAD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46292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46292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46292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45439</v>
      </c>
      <c r="E402" s="1" t="n">
        <v>46292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46292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46292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46292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46292</v>
      </c>
      <c r="F406" t="inlineStr">
        <is>
          <t>VÄRMLANDS LÄN</t>
        </is>
      </c>
      <c r="G406" t="inlineStr">
        <is>
          <t>FILIPSTAD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46187</v>
      </c>
      <c r="E407" s="1" t="n">
        <v>46292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46292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46186</v>
      </c>
      <c r="E409" s="1" t="n">
        <v>46292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46292</v>
      </c>
      <c r="F411" t="inlineStr">
        <is>
          <t>VÄRMLANDS LÄN</t>
        </is>
      </c>
      <c r="G411" t="inlineStr">
        <is>
          <t>FILIPSTAD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46292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45484</v>
      </c>
      <c r="E413" s="1" t="n">
        <v>46292</v>
      </c>
      <c r="F413" t="inlineStr">
        <is>
          <t>VÄRMLANDS LÄN</t>
        </is>
      </c>
      <c r="G413" t="inlineStr">
        <is>
          <t>FILIPSTAD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46292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46292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63482-2021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44508</v>
      </c>
      <c r="E416" s="1" t="n">
        <v>46292</v>
      </c>
      <c r="F416" t="inlineStr">
        <is>
          <t>VÄRMLANDS LÄN</t>
        </is>
      </c>
      <c r="G416" t="inlineStr">
        <is>
          <t>FILIPSTAD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46292</v>
      </c>
      <c r="F417" t="inlineStr">
        <is>
          <t>VÄRMLANDS LÄN</t>
        </is>
      </c>
      <c r="G417" t="inlineStr">
        <is>
          <t>FILIPSTAD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46292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46292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46292</v>
      </c>
      <c r="F420" t="inlineStr">
        <is>
          <t>VÄRMLANDS LÄN</t>
        </is>
      </c>
      <c r="G420" t="inlineStr">
        <is>
          <t>FILIPSTAD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46292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46292</v>
      </c>
      <c r="F422" t="inlineStr">
        <is>
          <t>VÄRMLANDS LÄN</t>
        </is>
      </c>
      <c r="G422" t="inlineStr">
        <is>
          <t>FILIPSTAD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70405-2021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44536</v>
      </c>
      <c r="E424" s="1" t="n">
        <v>46292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44596</v>
      </c>
      <c r="E425" s="1" t="n">
        <v>46292</v>
      </c>
      <c r="F425" t="inlineStr">
        <is>
          <t>VÄRMLANDS LÄN</t>
        </is>
      </c>
      <c r="G425" t="inlineStr">
        <is>
          <t>FILIPSTAD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46292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46292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46292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46292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46292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46292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46292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45658</v>
      </c>
      <c r="E434" s="1" t="n">
        <v>46292</v>
      </c>
      <c r="F434" t="inlineStr">
        <is>
          <t>VÄRMLANDS LÄN</t>
        </is>
      </c>
      <c r="G434" t="inlineStr">
        <is>
          <t>FILIPSTAD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46292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46203</v>
      </c>
      <c r="E437" s="1" t="n">
        <v>46292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46292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46292</v>
      </c>
      <c r="F440" t="inlineStr">
        <is>
          <t>VÄRMLANDS LÄN</t>
        </is>
      </c>
      <c r="G440" t="inlineStr">
        <is>
          <t>FILIPSTAD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46292</v>
      </c>
      <c r="F441" t="inlineStr">
        <is>
          <t>VÄRMLANDS LÄN</t>
        </is>
      </c>
      <c r="G441" t="inlineStr">
        <is>
          <t>FILIPSTAD</t>
        </is>
      </c>
      <c r="H441" t="inlineStr">
        <is>
          <t>Kyrkan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46292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46292</v>
      </c>
      <c r="F443" t="inlineStr">
        <is>
          <t>VÄRMLANDS LÄN</t>
        </is>
      </c>
      <c r="G443" t="inlineStr">
        <is>
          <t>FILIPSTAD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46292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46292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46292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46213</v>
      </c>
      <c r="E448" s="1" t="n">
        <v>46292</v>
      </c>
      <c r="F448" t="inlineStr">
        <is>
          <t>VÄRMLANDS LÄN</t>
        </is>
      </c>
      <c r="G448" t="inlineStr">
        <is>
          <t>FILIPSTAD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46292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46292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46292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46292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46292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46292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29825-2023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45107</v>
      </c>
      <c r="E456" s="1" t="n">
        <v>46292</v>
      </c>
      <c r="F456" t="inlineStr">
        <is>
          <t>VÄRMLANDS LÄN</t>
        </is>
      </c>
      <c r="G456" t="inlineStr">
        <is>
          <t>FILIPSTAD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45686</v>
      </c>
      <c r="E460" s="1" t="n">
        <v>46292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45700</v>
      </c>
      <c r="E464" s="1" t="n">
        <v>46292</v>
      </c>
      <c r="F464" t="inlineStr">
        <is>
          <t>VÄRMLANDS LÄN</t>
        </is>
      </c>
      <c r="G464" t="inlineStr">
        <is>
          <t>FILIPSTAD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28161-2023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45093</v>
      </c>
      <c r="E465" s="1" t="n">
        <v>46292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15.4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45456</v>
      </c>
      <c r="E466" s="1" t="n">
        <v>46292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46292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46259</v>
      </c>
      <c r="E468" s="1" t="n">
        <v>46292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44691</v>
      </c>
      <c r="E469" s="1" t="n">
        <v>46292</v>
      </c>
      <c r="F469" t="inlineStr">
        <is>
          <t>VÄRMLANDS LÄN</t>
        </is>
      </c>
      <c r="G469" t="inlineStr">
        <is>
          <t>FILIPSTAD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46261</v>
      </c>
      <c r="E470" s="1" t="n">
        <v>46292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35423-2026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46261</v>
      </c>
      <c r="E471" s="1" t="n">
        <v>46292</v>
      </c>
      <c r="F471" t="inlineStr">
        <is>
          <t>VÄRMLANDS LÄN</t>
        </is>
      </c>
      <c r="G471" t="inlineStr">
        <is>
          <t>FILIPSTAD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46292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46292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46292</v>
      </c>
      <c r="F474" t="inlineStr">
        <is>
          <t>VÄRMLANDS LÄN</t>
        </is>
      </c>
      <c r="G474" t="inlineStr">
        <is>
          <t>FILIPSTAD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46292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46292</v>
      </c>
      <c r="F476" t="inlineStr">
        <is>
          <t>VÄRMLANDS LÄN</t>
        </is>
      </c>
      <c r="G476" t="inlineStr">
        <is>
          <t>FILIPSTAD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46292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46292</v>
      </c>
      <c r="F478" t="inlineStr">
        <is>
          <t>VÄRMLANDS LÄN</t>
        </is>
      </c>
      <c r="G478" t="inlineStr">
        <is>
          <t>FILIPSTAD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46266</v>
      </c>
      <c r="E479" s="1" t="n">
        <v>46292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46264</v>
      </c>
      <c r="E480" s="1" t="n">
        <v>46292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46292</v>
      </c>
      <c r="F482" t="inlineStr">
        <is>
          <t>VÄRMLANDS LÄN</t>
        </is>
      </c>
      <c r="G482" t="inlineStr">
        <is>
          <t>FILIPSTAD</t>
        </is>
      </c>
      <c r="I482" t="n">
        <v>15.3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46292</v>
      </c>
      <c r="F483" t="inlineStr">
        <is>
          <t>VÄRMLANDS LÄN</t>
        </is>
      </c>
      <c r="G483" t="inlineStr">
        <is>
          <t>FILIPSTAD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16103-2025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45750</v>
      </c>
      <c r="E484" s="1" t="n">
        <v>46292</v>
      </c>
      <c r="F484" t="inlineStr">
        <is>
          <t>VÄRMLANDS LÄN</t>
        </is>
      </c>
      <c r="G484" t="inlineStr">
        <is>
          <t>FILIPSTAD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46292</v>
      </c>
      <c r="F485" t="inlineStr">
        <is>
          <t>VÄRMLANDS LÄN</t>
        </is>
      </c>
      <c r="G485" t="inlineStr">
        <is>
          <t>FILIPSTAD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46292</v>
      </c>
      <c r="F486" t="inlineStr">
        <is>
          <t>VÄRMLANDS LÄN</t>
        </is>
      </c>
      <c r="G486" t="inlineStr">
        <is>
          <t>FILIPSTAD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46292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46292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46292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46292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31537-2026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46223</v>
      </c>
      <c r="E491" s="1" t="n">
        <v>46292</v>
      </c>
      <c r="F491" t="inlineStr">
        <is>
          <t>VÄRMLANDS LÄN</t>
        </is>
      </c>
      <c r="G491" t="inlineStr">
        <is>
          <t>FILIPSTAD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46292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36251-2022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44803</v>
      </c>
      <c r="E493" s="1" t="n">
        <v>46292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46292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44789</v>
      </c>
      <c r="E495" s="1" t="n">
        <v>46292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46257-2022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44847</v>
      </c>
      <c r="E496" s="1" t="n">
        <v>46292</v>
      </c>
      <c r="F496" t="inlineStr">
        <is>
          <t>VÄRMLANDS LÄN</t>
        </is>
      </c>
      <c r="G496" t="inlineStr">
        <is>
          <t>FILIPSTAD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44805</v>
      </c>
      <c r="E497" s="1" t="n">
        <v>46292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44809</v>
      </c>
      <c r="E498" s="1" t="n">
        <v>46292</v>
      </c>
      <c r="F498" t="inlineStr">
        <is>
          <t>VÄRMLANDS LÄN</t>
        </is>
      </c>
      <c r="G498" t="inlineStr">
        <is>
          <t>FILIPSTAD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46292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46226</v>
      </c>
      <c r="E500" s="1" t="n">
        <v>46292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46226</v>
      </c>
      <c r="E501" s="1" t="n">
        <v>46292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46226</v>
      </c>
      <c r="E502" s="1" t="n">
        <v>46292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46227</v>
      </c>
      <c r="E503" s="1" t="n">
        <v>46292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46292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46292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46292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46272</v>
      </c>
      <c r="E507" s="1" t="n">
        <v>46292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46292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46292</v>
      </c>
      <c r="F509" t="inlineStr">
        <is>
          <t>VÄRMLANDS LÄN</t>
        </is>
      </c>
      <c r="G509" t="inlineStr">
        <is>
          <t>FILIPSTAD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46292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36801-2026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46272</v>
      </c>
      <c r="E511" s="1" t="n">
        <v>46292</v>
      </c>
      <c r="F511" t="inlineStr">
        <is>
          <t>VÄRMLANDS LÄN</t>
        </is>
      </c>
      <c r="G511" t="inlineStr">
        <is>
          <t>FILIPSTAD</t>
        </is>
      </c>
      <c r="I511" t="n">
        <v>11.6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46269</v>
      </c>
      <c r="E512" s="1" t="n">
        <v>46292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46186</v>
      </c>
      <c r="E514" s="1" t="n">
        <v>46292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46231</v>
      </c>
      <c r="E515" s="1" t="n">
        <v>46292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46274</v>
      </c>
      <c r="E516" s="1" t="n">
        <v>46292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46292</v>
      </c>
      <c r="F517" t="inlineStr">
        <is>
          <t>VÄRMLANDS LÄN</t>
        </is>
      </c>
      <c r="G517" t="inlineStr">
        <is>
          <t>FILIPSTAD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45087</v>
      </c>
      <c r="E518" s="1" t="n">
        <v>46292</v>
      </c>
      <c r="F518" t="inlineStr">
        <is>
          <t>VÄRMLANDS LÄN</t>
        </is>
      </c>
      <c r="G518" t="inlineStr">
        <is>
          <t>FILIPSTAD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46273</v>
      </c>
      <c r="E519" s="1" t="n">
        <v>46292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46269</v>
      </c>
      <c r="E520" s="1" t="n">
        <v>46292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46292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46232</v>
      </c>
      <c r="E522" s="1" t="n">
        <v>46292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46292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46292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46292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46276</v>
      </c>
      <c r="E526" s="1" t="n">
        <v>46292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46292</v>
      </c>
      <c r="F527" t="inlineStr">
        <is>
          <t>VÄRMLANDS LÄN</t>
        </is>
      </c>
      <c r="G527" t="inlineStr">
        <is>
          <t>FILIPSTAD</t>
        </is>
      </c>
      <c r="H527" t="inlineStr">
        <is>
          <t>Kommuner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46234</v>
      </c>
      <c r="E528" s="1" t="n">
        <v>46292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46292</v>
      </c>
      <c r="F529" t="inlineStr">
        <is>
          <t>VÄRMLANDS LÄN</t>
        </is>
      </c>
      <c r="G529" t="inlineStr">
        <is>
          <t>FILIPSTAD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46292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46237</v>
      </c>
      <c r="E531" s="1" t="n">
        <v>46292</v>
      </c>
      <c r="F531" t="inlineStr">
        <is>
          <t>VÄRMLANDS LÄN</t>
        </is>
      </c>
      <c r="G531" t="inlineStr">
        <is>
          <t>FILIPSTAD</t>
        </is>
      </c>
      <c r="I531" t="n">
        <v>13.4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46292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46292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46292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46292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46292</v>
      </c>
      <c r="F536" t="inlineStr">
        <is>
          <t>VÄRMLANDS LÄN</t>
        </is>
      </c>
      <c r="G536" t="inlineStr">
        <is>
          <t>FILIPSTAD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46292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53348-2023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45229</v>
      </c>
      <c r="E539" s="1" t="n">
        <v>46292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46292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32603-2026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46292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46292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46292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46292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51985-2023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46292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46292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45218</v>
      </c>
      <c r="E547" s="1" t="n">
        <v>46292</v>
      </c>
      <c r="F547" t="inlineStr">
        <is>
          <t>VÄRMLANDS LÄN</t>
        </is>
      </c>
      <c r="G547" t="inlineStr">
        <is>
          <t>FILIPSTAD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55397-2022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44887</v>
      </c>
      <c r="E548" s="1" t="n">
        <v>46292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46292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46283</v>
      </c>
      <c r="E550" s="1" t="n">
        <v>46292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46292</v>
      </c>
      <c r="F551" t="inlineStr">
        <is>
          <t>VÄRMLANDS LÄN</t>
        </is>
      </c>
      <c r="G551" t="inlineStr">
        <is>
          <t>FILIPSTAD</t>
        </is>
      </c>
      <c r="H551" t="inlineStr">
        <is>
          <t>Kommuner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46292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55978-2022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46292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46292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46288</v>
      </c>
      <c r="E555" s="1" t="n">
        <v>46292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50856-2022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44867</v>
      </c>
      <c r="E556" s="1" t="n">
        <v>46292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46292</v>
      </c>
      <c r="F557" t="inlineStr">
        <is>
          <t>VÄRMLANDS LÄN</t>
        </is>
      </c>
      <c r="G557" t="inlineStr">
        <is>
          <t>FILIPSTAD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46292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44911</v>
      </c>
      <c r="E559" s="1" t="n">
        <v>46292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46292</v>
      </c>
      <c r="F560" t="inlineStr">
        <is>
          <t>VÄRMLANDS LÄN</t>
        </is>
      </c>
      <c r="G560" t="inlineStr">
        <is>
          <t>FILIPSTAD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46292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45253</v>
      </c>
      <c r="E562" s="1" t="n">
        <v>46292</v>
      </c>
      <c r="F562" t="inlineStr">
        <is>
          <t>VÄRMLANDS LÄN</t>
        </is>
      </c>
      <c r="G562" t="inlineStr">
        <is>
          <t>FILIPSTAD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46292</v>
      </c>
      <c r="F563" t="inlineStr">
        <is>
          <t>VÄRMLANDS LÄN</t>
        </is>
      </c>
      <c r="G563" t="inlineStr">
        <is>
          <t>FILIPSTAD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46292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46292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46292</v>
      </c>
      <c r="F566" t="inlineStr">
        <is>
          <t>VÄRMLANDS LÄN</t>
        </is>
      </c>
      <c r="G566" t="inlineStr">
        <is>
          <t>FILIPSTAD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46289</v>
      </c>
      <c r="E568" s="1" t="n">
        <v>46292</v>
      </c>
      <c r="F568" t="inlineStr">
        <is>
          <t>VÄRMLANDS LÄN</t>
        </is>
      </c>
      <c r="G568" t="inlineStr">
        <is>
          <t>FILIPSTAD</t>
        </is>
      </c>
      <c r="H568" t="inlineStr">
        <is>
          <t>Kyrkan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46292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46246</v>
      </c>
      <c r="E570" s="1" t="n">
        <v>46292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46292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36680-2023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45153</v>
      </c>
      <c r="E572" s="1" t="n">
        <v>46292</v>
      </c>
      <c r="F572" t="inlineStr">
        <is>
          <t>VÄRMLANDS LÄN</t>
        </is>
      </c>
      <c r="G572" t="inlineStr">
        <is>
          <t>FILIPSTAD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44963</v>
      </c>
      <c r="E573" s="1" t="n">
        <v>46292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46292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46290</v>
      </c>
      <c r="E575" s="1" t="n">
        <v>46292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46292</v>
      </c>
      <c r="F576" t="inlineStr">
        <is>
          <t>VÄRMLANDS LÄN</t>
        </is>
      </c>
      <c r="G576" t="inlineStr">
        <is>
          <t>FILIPSTAD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51618-2022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44872</v>
      </c>
      <c r="E577" s="1" t="n">
        <v>46292</v>
      </c>
      <c r="F577" t="inlineStr">
        <is>
          <t>VÄRMLANDS LÄN</t>
        </is>
      </c>
      <c r="G577" t="inlineStr">
        <is>
          <t>FILIPSTAD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71971-2021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44544</v>
      </c>
      <c r="E578" s="1" t="n">
        <v>46292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46292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44981</v>
      </c>
      <c r="E580" s="1" t="n">
        <v>46292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54008-2021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44470</v>
      </c>
      <c r="E581" s="1" t="n">
        <v>46292</v>
      </c>
      <c r="F581" t="inlineStr">
        <is>
          <t>VÄRMLANDS LÄN</t>
        </is>
      </c>
      <c r="G581" t="inlineStr">
        <is>
          <t>FILIPSTAD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50786-2024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45602</v>
      </c>
      <c r="E582" s="1" t="n">
        <v>46292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46292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44805</v>
      </c>
      <c r="E584" s="1" t="n">
        <v>46292</v>
      </c>
      <c r="F584" t="inlineStr">
        <is>
          <t>VÄRMLANDS LÄN</t>
        </is>
      </c>
      <c r="G584" t="inlineStr">
        <is>
          <t>FILIPSTAD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46292</v>
      </c>
      <c r="F585" t="inlineStr">
        <is>
          <t>VÄRMLANDS LÄN</t>
        </is>
      </c>
      <c r="G585" t="inlineStr">
        <is>
          <t>FILIPSTAD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46292</v>
      </c>
      <c r="F586" t="inlineStr">
        <is>
          <t>VÄRMLANDS LÄN</t>
        </is>
      </c>
      <c r="G586" t="inlineStr">
        <is>
          <t>FILIPSTAD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61741-2022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44911</v>
      </c>
      <c r="E587" s="1" t="n">
        <v>46292</v>
      </c>
      <c r="F587" t="inlineStr">
        <is>
          <t>VÄRMLANDS LÄN</t>
        </is>
      </c>
      <c r="G587" t="inlineStr">
        <is>
          <t>FILIPSTAD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25737-2023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45090</v>
      </c>
      <c r="E588" s="1" t="n">
        <v>46292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44579</v>
      </c>
      <c r="E589" s="1" t="n">
        <v>46292</v>
      </c>
      <c r="F589" t="inlineStr">
        <is>
          <t>VÄRMLANDS LÄN</t>
        </is>
      </c>
      <c r="G589" t="inlineStr">
        <is>
          <t>FILIPSTAD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46292</v>
      </c>
      <c r="F590" t="inlineStr">
        <is>
          <t>VÄRMLANDS LÄN</t>
        </is>
      </c>
      <c r="G590" t="inlineStr">
        <is>
          <t>FILIPSTAD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45516</v>
      </c>
      <c r="E591" s="1" t="n">
        <v>46292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62014-2024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45655</v>
      </c>
      <c r="E592" s="1" t="n">
        <v>46292</v>
      </c>
      <c r="F592" t="inlineStr">
        <is>
          <t>VÄRMLANDS LÄN</t>
        </is>
      </c>
      <c r="G592" t="inlineStr">
        <is>
          <t>FILIPSTAD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46292</v>
      </c>
      <c r="F593" t="inlineStr">
        <is>
          <t>VÄRMLANDS LÄN</t>
        </is>
      </c>
      <c r="G593" t="inlineStr">
        <is>
          <t>FILIPSTAD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45327</v>
      </c>
      <c r="E594" s="1" t="n">
        <v>46292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45578</v>
      </c>
      <c r="E595" s="1" t="n">
        <v>46292</v>
      </c>
      <c r="F595" t="inlineStr">
        <is>
          <t>VÄRMLANDS LÄN</t>
        </is>
      </c>
      <c r="G595" t="inlineStr">
        <is>
          <t>FILIPSTAD</t>
        </is>
      </c>
      <c r="I595" t="n">
        <v>27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46680-2024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46292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22830-2023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45072</v>
      </c>
      <c r="E597" s="1" t="n">
        <v>46292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45655</v>
      </c>
      <c r="E598" s="1" t="n">
        <v>46292</v>
      </c>
      <c r="F598" t="inlineStr">
        <is>
          <t>VÄRMLANDS LÄN</t>
        </is>
      </c>
      <c r="G598" t="inlineStr">
        <is>
          <t>FILIPSTAD</t>
        </is>
      </c>
      <c r="I598" t="n">
        <v>26.5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45204</v>
      </c>
      <c r="E599" s="1" t="n">
        <v>46292</v>
      </c>
      <c r="F599" t="inlineStr">
        <is>
          <t>VÄRMLANDS LÄN</t>
        </is>
      </c>
      <c r="G599" t="inlineStr">
        <is>
          <t>FILIPSTAD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45195</v>
      </c>
      <c r="E600" s="1" t="n">
        <v>46292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44935</v>
      </c>
      <c r="E601" s="1" t="n">
        <v>46292</v>
      </c>
      <c r="F601" t="inlineStr">
        <is>
          <t>VÄRMLANDS LÄN</t>
        </is>
      </c>
      <c r="G601" t="inlineStr">
        <is>
          <t>FILIPSTAD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45720</v>
      </c>
      <c r="E602" s="1" t="n">
        <v>46292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45173</v>
      </c>
      <c r="E603" s="1" t="n">
        <v>46292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14582-2025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45742</v>
      </c>
      <c r="E604" s="1" t="n">
        <v>46292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56840-2024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45628</v>
      </c>
      <c r="E605" s="1" t="n">
        <v>46292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45712</v>
      </c>
      <c r="E606" s="1" t="n">
        <v>46292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46292</v>
      </c>
      <c r="F607" t="inlineStr">
        <is>
          <t>VÄRMLANDS LÄN</t>
        </is>
      </c>
      <c r="G607" t="inlineStr">
        <is>
          <t>FILIPSTAD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60524-2024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46292</v>
      </c>
      <c r="F608" t="inlineStr">
        <is>
          <t>VÄRMLANDS LÄN</t>
        </is>
      </c>
      <c r="G608" t="inlineStr">
        <is>
          <t>FILIPSTAD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45740</v>
      </c>
      <c r="E609" s="1" t="n">
        <v>46292</v>
      </c>
      <c r="F609" t="inlineStr">
        <is>
          <t>VÄRMLANDS LÄN</t>
        </is>
      </c>
      <c r="G609" t="inlineStr">
        <is>
          <t>FILIPSTAD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45744</v>
      </c>
      <c r="E610" s="1" t="n">
        <v>46292</v>
      </c>
      <c r="F610" t="inlineStr">
        <is>
          <t>VÄRMLANDS LÄN</t>
        </is>
      </c>
      <c r="G610" t="inlineStr">
        <is>
          <t>FILIPSTAD</t>
        </is>
      </c>
      <c r="H610" t="inlineStr">
        <is>
          <t>Kommuner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45436</v>
      </c>
      <c r="E611" s="1" t="n">
        <v>46292</v>
      </c>
      <c r="F611" t="inlineStr">
        <is>
          <t>VÄRMLANDS LÄN</t>
        </is>
      </c>
      <c r="G611" t="inlineStr">
        <is>
          <t>FILIPSTAD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34262-2024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45524</v>
      </c>
      <c r="E612" s="1" t="n">
        <v>46292</v>
      </c>
      <c r="F612" t="inlineStr">
        <is>
          <t>VÄRMLANDS LÄN</t>
        </is>
      </c>
      <c r="G612" t="inlineStr">
        <is>
          <t>FILIPSTAD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45299</v>
      </c>
      <c r="E613" s="1" t="n">
        <v>46292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46292</v>
      </c>
      <c r="F614" t="inlineStr">
        <is>
          <t>VÄRMLANDS LÄN</t>
        </is>
      </c>
      <c r="G614" t="inlineStr">
        <is>
          <t>FILIPSTAD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45471</v>
      </c>
      <c r="E615" s="1" t="n">
        <v>46292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45414</v>
      </c>
      <c r="E616" s="1" t="n">
        <v>46292</v>
      </c>
      <c r="F616" t="inlineStr">
        <is>
          <t>VÄRMLANDS LÄN</t>
        </is>
      </c>
      <c r="G616" t="inlineStr">
        <is>
          <t>FILIPSTAD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46292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46292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65167-2021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44515</v>
      </c>
      <c r="E619" s="1" t="n">
        <v>46292</v>
      </c>
      <c r="F619" t="inlineStr">
        <is>
          <t>VÄRMLANDS LÄN</t>
        </is>
      </c>
      <c r="G619" t="inlineStr">
        <is>
          <t>FILIPSTAD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45790</v>
      </c>
      <c r="E620" s="1" t="n">
        <v>46292</v>
      </c>
      <c r="F620" t="inlineStr">
        <is>
          <t>VÄRMLANDS LÄN</t>
        </is>
      </c>
      <c r="G620" t="inlineStr">
        <is>
          <t>FILIPSTAD</t>
        </is>
      </c>
      <c r="H620" t="inlineStr">
        <is>
          <t>Kyrkan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45791</v>
      </c>
      <c r="E621" s="1" t="n">
        <v>46292</v>
      </c>
      <c r="F621" t="inlineStr">
        <is>
          <t>VÄRMLANDS LÄN</t>
        </is>
      </c>
      <c r="G621" t="inlineStr">
        <is>
          <t>FILIPSTAD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46292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48702-2024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45593</v>
      </c>
      <c r="E623" s="1" t="n">
        <v>46292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45530</v>
      </c>
      <c r="E624" s="1" t="n">
        <v>46292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23399-2025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45792</v>
      </c>
      <c r="E625" s="1" t="n">
        <v>46292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45667</v>
      </c>
      <c r="E626" s="1" t="n">
        <v>46292</v>
      </c>
      <c r="F626" t="inlineStr">
        <is>
          <t>VÄRMLANDS LÄN</t>
        </is>
      </c>
      <c r="G626" t="inlineStr">
        <is>
          <t>FILIPSTAD</t>
        </is>
      </c>
      <c r="H626" t="inlineStr">
        <is>
          <t>Kommuner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46292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46292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46292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46292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46292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46292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46292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46292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46292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46292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46292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46292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46292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46292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46292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46292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46292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46292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2026-09-27T01:58:24Z</dcterms:created>
  <dcterms:modified xmlns:dcterms="http://purl.org/dc/terms/" xmlns:xsi="http://www.w3.org/2001/XMLSchema-instance" xsi:type="dcterms:W3CDTF">2026-09-27T01:58:25Z</dcterms:modified>
</cp:coreProperties>
</file>