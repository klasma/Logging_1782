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46261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46261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46261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46261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46261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19945-2023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46261</v>
      </c>
      <c r="F18" t="inlineStr">
        <is>
          <t>VÄRMLANDS LÄN</t>
        </is>
      </c>
      <c r="G18" t="inlineStr">
        <is>
          <t>FILIPSTAD</t>
        </is>
      </c>
      <c r="I18" t="n">
        <v>3.3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Guckusko
Kransrams</t>
        </is>
      </c>
      <c r="W18">
        <f>HYPERLINK("https://klasma.github.io/Logging_1782/artfynd/A 19945-2023 artfynd.xlsx", "A 19945-2023")</f>
        <v/>
      </c>
      <c r="X18">
        <f>HYPERLINK("https://klasma.github.io/Logging_1782/kartor/A 19945-2023 karta.png", "A 19945-2023")</f>
        <v/>
      </c>
      <c r="Y18">
        <f>HYPERLINK("https://klasma.github.io/Logging_1782/kartor_geotiff/A 19945-2023 georefererad karta.tif", "A 19945-2023")</f>
        <v/>
      </c>
      <c r="AA18">
        <f>HYPERLINK("https://klasma.github.io/Logging_1782/klagomål/A 19945-2023 FSC-klagomål.docx", "A 19945-2023")</f>
        <v/>
      </c>
      <c r="AB18">
        <f>HYPERLINK("https://klasma.github.io/Logging_1782/klagomålsmail/A 19945-2023 FSC-klagomål mail.docx", "A 19945-2023")</f>
        <v/>
      </c>
      <c r="AC18">
        <f>HYPERLINK("https://klasma.github.io/Logging_1782/tillsyn/A 19945-2023 tillsynsbegäran.docx", "A 19945-2023")</f>
        <v/>
      </c>
      <c r="AD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45414</v>
      </c>
      <c r="E19" s="1" t="n">
        <v>46261</v>
      </c>
      <c r="F19" t="inlineStr">
        <is>
          <t>VÄRMLANDS LÄN</t>
        </is>
      </c>
      <c r="G19" t="inlineStr">
        <is>
          <t>FILIPSTAD</t>
        </is>
      </c>
      <c r="H19" t="inlineStr">
        <is>
          <t>Kommuner</t>
        </is>
      </c>
      <c r="I19" t="n">
        <v>5.8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Dropptaggsvamp
Talltita</t>
        </is>
      </c>
      <c r="W19">
        <f>HYPERLINK("https://klasma.github.io/Logging_1782/artfynd/A 17274-2024 artfynd.xlsx", "A 17274-2024")</f>
        <v/>
      </c>
      <c r="X19">
        <f>HYPERLINK("https://klasma.github.io/Logging_1782/kartor/A 17274-2024 karta.png", "A 17274-2024")</f>
        <v/>
      </c>
      <c r="Y19">
        <f>HYPERLINK("https://klasma.github.io/Logging_1782/kartor_geotiff/A 17274-2024 georefererad karta.tif", "A 17274-2024")</f>
        <v/>
      </c>
      <c r="AA19">
        <f>HYPERLINK("https://klasma.github.io/Logging_1782/klagomål/A 17274-2024 FSC-klagomål.docx", "A 17274-2024")</f>
        <v/>
      </c>
      <c r="AB19">
        <f>HYPERLINK("https://klasma.github.io/Logging_1782/klagomålsmail/A 17274-2024 FSC-klagomål mail.docx", "A 17274-2024")</f>
        <v/>
      </c>
      <c r="AC19">
        <f>HYPERLINK("https://klasma.github.io/Logging_1782/tillsyn/A 17274-2024 tillsynsbegäran.docx", "A 17274-2024")</f>
        <v/>
      </c>
      <c r="AD19">
        <f>HYPERLINK("https://klasma.github.io/Logging_1782/tillsynsmail/A 17274-2024 tillsynsbegäran mail.docx", "A 17274-2024")</f>
        <v/>
      </c>
      <c r="AE19">
        <f>HYPERLINK("https://klasma.github.io/Logging_1782/fåglar/A 17274-2024 prioriterade fågelarter.docx", "A 17274-2024")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46261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46261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46261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46261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33583-2026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46248</v>
      </c>
      <c r="E24" s="1" t="n">
        <v>46261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16.4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Bårdlav
Stuplav</t>
        </is>
      </c>
      <c r="W24">
        <f>HYPERLINK("https://klasma.github.io/Logging_1782/artfynd/A 33583-2026 artfynd.xlsx", "A 33583-2026")</f>
        <v/>
      </c>
      <c r="X24">
        <f>HYPERLINK("https://klasma.github.io/Logging_1782/kartor/A 33583-2026 karta.png", "A 33583-2026")</f>
        <v/>
      </c>
      <c r="Y24">
        <f>HYPERLINK("https://klasma.github.io/Logging_1782/kartor_geotiff/A 33583-2026 georefererad karta.tif", "A 33583-2026")</f>
        <v/>
      </c>
      <c r="AA24">
        <f>HYPERLINK("https://klasma.github.io/Logging_1782/klagomål/A 33583-2026 FSC-klagomål.docx", "A 33583-2026")</f>
        <v/>
      </c>
      <c r="AB24">
        <f>HYPERLINK("https://klasma.github.io/Logging_1782/klagomålsmail/A 33583-2026 FSC-klagomål mail.docx", "A 33583-2026")</f>
        <v/>
      </c>
      <c r="AC24">
        <f>HYPERLINK("https://klasma.github.io/Logging_1782/tillsyn/A 33583-2026 tillsynsbegäran.docx", "A 33583-2026")</f>
        <v/>
      </c>
      <c r="AD24">
        <f>HYPERLINK("https://klasma.github.io/Logging_1782/tillsynsmail/A 33583-2026 tillsynsbegäran mail.docx", "A 33583-2026")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46261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46261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46261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46261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46261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11453-2025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46261</v>
      </c>
      <c r="F31" t="inlineStr">
        <is>
          <t>VÄRMLANDS LÄN</t>
        </is>
      </c>
      <c r="G31" t="inlineStr">
        <is>
          <t>FILIPSTAD</t>
        </is>
      </c>
      <c r="I31" t="n">
        <v>7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Purpurknipprot</t>
        </is>
      </c>
      <c r="W31">
        <f>HYPERLINK("https://klasma.github.io/Logging_1782/artfynd/A 11453-2025 artfynd.xlsx", "A 11453-2025")</f>
        <v/>
      </c>
      <c r="X31">
        <f>HYPERLINK("https://klasma.github.io/Logging_1782/kartor/A 11453-2025 karta.png", "A 11453-2025")</f>
        <v/>
      </c>
      <c r="Y31">
        <f>HYPERLINK("https://klasma.github.io/Logging_1782/kartor_geotiff/A 11453-2025 georefererad karta.tif", "A 11453-2025")</f>
        <v/>
      </c>
      <c r="AA31">
        <f>HYPERLINK("https://klasma.github.io/Logging_1782/klagomål/A 11453-2025 FSC-klagomål.docx", "A 11453-2025")</f>
        <v/>
      </c>
      <c r="AB31">
        <f>HYPERLINK("https://klasma.github.io/Logging_1782/klagomålsmail/A 11453-2025 FSC-klagomål mail.docx", "A 11453-2025")</f>
        <v/>
      </c>
      <c r="AC31">
        <f>HYPERLINK("https://klasma.github.io/Logging_1782/tillsyn/A 11453-2025 tillsynsbegäran.docx", "A 11453-2025")</f>
        <v/>
      </c>
      <c r="AD31">
        <f>HYPERLINK("https://klasma.github.io/Logging_1782/tillsynsmail/A 11453-2025 tillsynsbegäran mail.docx", "A 11453-2025")</f>
        <v/>
      </c>
    </row>
    <row r="32" ht="15" customHeight="1">
      <c r="A32" t="inlineStr">
        <is>
          <t>A 4560-2025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46261</v>
      </c>
      <c r="F32" t="inlineStr">
        <is>
          <t>VÄRMLANDS LÄN</t>
        </is>
      </c>
      <c r="G32" t="inlineStr">
        <is>
          <t>FILIPSTAD</t>
        </is>
      </c>
      <c r="I32" t="n">
        <v>13.6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Skrovlig taggsvamp</t>
        </is>
      </c>
      <c r="W32">
        <f>HYPERLINK("https://klasma.github.io/Logging_1782/artfynd/A 4560-2025 artfynd.xlsx", "A 4560-2025")</f>
        <v/>
      </c>
      <c r="X32">
        <f>HYPERLINK("https://klasma.github.io/Logging_1782/kartor/A 4560-2025 karta.png", "A 4560-2025")</f>
        <v/>
      </c>
      <c r="Y32">
        <f>HYPERLINK("https://klasma.github.io/Logging_1782/kartor_geotiff/A 4560-2025 georefererad karta.tif", "A 4560-2025")</f>
        <v/>
      </c>
      <c r="AA32">
        <f>HYPERLINK("https://klasma.github.io/Logging_1782/klagomål/A 4560-2025 FSC-klagomål.docx", "A 4560-2025")</f>
        <v/>
      </c>
      <c r="AB32">
        <f>HYPERLINK("https://klasma.github.io/Logging_1782/klagomålsmail/A 4560-2025 FSC-klagomål mail.docx", "A 4560-2025")</f>
        <v/>
      </c>
      <c r="AC32">
        <f>HYPERLINK("https://klasma.github.io/Logging_1782/tillsyn/A 4560-2025 tillsynsbegäran.docx", "A 4560-2025")</f>
        <v/>
      </c>
      <c r="AD32">
        <f>HYPERLINK("https://klasma.github.io/Logging_1782/tillsynsmail/A 4560-2025 tillsynsbegäran mail.docx", "A 4560-2025")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46261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Lunglav</t>
        </is>
      </c>
      <c r="W33">
        <f>HYPERLINK("https://klasma.github.io/Logging_1782/artfynd/A 25916-2025 artfynd.xlsx", "A 25916-2025")</f>
        <v/>
      </c>
      <c r="X33">
        <f>HYPERLINK("https://klasma.github.io/Logging_1782/kartor/A 25916-2025 karta.png", "A 25916-2025")</f>
        <v/>
      </c>
      <c r="Y33">
        <f>HYPERLINK("https://klasma.github.io/Logging_1782/kartor_geotiff/A 25916-2025 georefererad karta.tif", "A 25916-2025")</f>
        <v/>
      </c>
      <c r="AA33">
        <f>HYPERLINK("https://klasma.github.io/Logging_1782/klagomål/A 25916-2025 FSC-klagomål.docx", "A 25916-2025")</f>
        <v/>
      </c>
      <c r="AB33">
        <f>HYPERLINK("https://klasma.github.io/Logging_1782/klagomålsmail/A 25916-2025 FSC-klagomål mail.docx", "A 25916-2025")</f>
        <v/>
      </c>
      <c r="AC33">
        <f>HYPERLINK("https://klasma.github.io/Logging_1782/tillsyn/A 25916-2025 tillsynsbegäran.docx", "A 25916-2025")</f>
        <v/>
      </c>
      <c r="AD33">
        <f>HYPERLINK("https://klasma.github.io/Logging_1782/tillsynsmail/A 25916-2025 tillsynsbegäran mail.docx", "A 25916-2025")</f>
        <v/>
      </c>
    </row>
    <row r="34" ht="15" customHeight="1">
      <c r="A34" t="inlineStr">
        <is>
          <t>A 38140-2024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46261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HYPERLINK("https://klasma.github.io/Logging_1782/artfynd/A 38140-2024 artfynd.xlsx", "A 38140-2024")</f>
        <v/>
      </c>
      <c r="X34">
        <f>HYPERLINK("https://klasma.github.io/Logging_1782/kartor/A 38140-2024 karta.png", "A 38140-2024")</f>
        <v/>
      </c>
      <c r="Y34">
        <f>HYPERLINK("https://klasma.github.io/Logging_1782/kartor_geotiff/A 38140-2024 georefererad karta.tif", "A 38140-2024")</f>
        <v/>
      </c>
      <c r="AA34">
        <f>HYPERLINK("https://klasma.github.io/Logging_1782/klagomål/A 38140-2024 FSC-klagomål.docx", "A 38140-2024")</f>
        <v/>
      </c>
      <c r="AB34">
        <f>HYPERLINK("https://klasma.github.io/Logging_1782/klagomålsmail/A 38140-2024 FSC-klagomål mail.docx", "A 38140-2024")</f>
        <v/>
      </c>
      <c r="AC34">
        <f>HYPERLINK("https://klasma.github.io/Logging_1782/tillsyn/A 38140-2024 tillsynsbegäran.docx", "A 38140-2024")</f>
        <v/>
      </c>
      <c r="AD34">
        <f>HYPERLINK("https://klasma.github.io/Logging_1782/tillsynsmail/A 38140-2024 tillsynsbegäran mail.docx", "A 38140-2024")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46261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HYPERLINK("https://klasma.github.io/Logging_1782/artfynd/A 30652-2025 artfynd.xlsx", "A 30652-2025")</f>
        <v/>
      </c>
      <c r="X35">
        <f>HYPERLINK("https://klasma.github.io/Logging_1782/kartor/A 30652-2025 karta.png", "A 30652-2025")</f>
        <v/>
      </c>
      <c r="Y35">
        <f>HYPERLINK("https://klasma.github.io/Logging_1782/kartor_geotiff/A 30652-2025 georefererad karta.tif", "A 30652-2025")</f>
        <v/>
      </c>
      <c r="AA35">
        <f>HYPERLINK("https://klasma.github.io/Logging_1782/klagomål/A 30652-2025 FSC-klagomål.docx", "A 30652-2025")</f>
        <v/>
      </c>
      <c r="AB35">
        <f>HYPERLINK("https://klasma.github.io/Logging_1782/klagomålsmail/A 30652-2025 FSC-klagomål mail.docx", "A 30652-2025")</f>
        <v/>
      </c>
      <c r="AC35">
        <f>HYPERLINK("https://klasma.github.io/Logging_1782/tillsyn/A 30652-2025 tillsynsbegäran.docx", "A 30652-2025")</f>
        <v/>
      </c>
      <c r="AD35">
        <f>HYPERLINK("https://klasma.github.io/Logging_1782/tillsynsmail/A 30652-2025 tillsynsbegäran mail.docx", "A 30652-2025")</f>
        <v/>
      </c>
      <c r="AE35">
        <f>HYPERLINK("https://klasma.github.io/Logging_1782/fåglar/A 30652-2025 prioriterade fågelarter.docx", "A 30652-2025")</f>
        <v/>
      </c>
    </row>
    <row r="36" ht="15" customHeight="1">
      <c r="A36" t="inlineStr">
        <is>
          <t>A 45781-2025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45923</v>
      </c>
      <c r="E36" s="1" t="n">
        <v>46261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Brunklöver</t>
        </is>
      </c>
      <c r="W36">
        <f>HYPERLINK("https://klasma.github.io/Logging_1782/artfynd/A 45781-2025 artfynd.xlsx", "A 45781-2025")</f>
        <v/>
      </c>
      <c r="X36">
        <f>HYPERLINK("https://klasma.github.io/Logging_1782/kartor/A 45781-2025 karta.png", "A 45781-2025")</f>
        <v/>
      </c>
      <c r="Y36">
        <f>HYPERLINK("https://klasma.github.io/Logging_1782/kartor_geotiff/A 45781-2025 georefererad karta.tif", "A 45781-2025")</f>
        <v/>
      </c>
      <c r="AA36">
        <f>HYPERLINK("https://klasma.github.io/Logging_1782/klagomål/A 45781-2025 FSC-klagomål.docx", "A 45781-2025")</f>
        <v/>
      </c>
      <c r="AB36">
        <f>HYPERLINK("https://klasma.github.io/Logging_1782/klagomålsmail/A 45781-2025 FSC-klagomål mail.docx", "A 45781-2025")</f>
        <v/>
      </c>
      <c r="AC36">
        <f>HYPERLINK("https://klasma.github.io/Logging_1782/tillsyn/A 45781-2025 tillsynsbegäran.docx", "A 45781-2025")</f>
        <v/>
      </c>
      <c r="AD36">
        <f>HYPERLINK("https://klasma.github.io/Logging_1782/tillsynsmail/A 45781-2025 tillsynsbegäran mail.docx", "A 45781-2025")</f>
        <v/>
      </c>
    </row>
    <row r="37" ht="15" customHeight="1">
      <c r="A37" t="inlineStr">
        <is>
          <t>A 23046-2023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45075</v>
      </c>
      <c r="E37" s="1" t="n">
        <v>46261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HYPERLINK("https://klasma.github.io/Logging_1782/artfynd/A 23046-2023 artfynd.xlsx", "A 23046-2023")</f>
        <v/>
      </c>
      <c r="X37">
        <f>HYPERLINK("https://klasma.github.io/Logging_1782/kartor/A 23046-2023 karta.png", "A 23046-2023")</f>
        <v/>
      </c>
      <c r="Y37">
        <f>HYPERLINK("https://klasma.github.io/Logging_1782/kartor_geotiff/A 23046-2023 georefererad karta.tif", "A 23046-2023")</f>
        <v/>
      </c>
      <c r="Z37">
        <f>HYPERLINK("https://klasma.github.io/Logging_1782/knärot/A 23046-2023 karta knärot.png", "A 23046-2023")</f>
        <v/>
      </c>
      <c r="AA37">
        <f>HYPERLINK("https://klasma.github.io/Logging_1782/klagomål/A 23046-2023 FSC-klagomål.docx", "A 23046-2023")</f>
        <v/>
      </c>
      <c r="AB37">
        <f>HYPERLINK("https://klasma.github.io/Logging_1782/klagomålsmail/A 23046-2023 FSC-klagomål mail.docx", "A 23046-2023")</f>
        <v/>
      </c>
      <c r="AC37">
        <f>HYPERLINK("https://klasma.github.io/Logging_1782/tillsyn/A 23046-2023 tillsynsbegäran.docx", "A 23046-2023")</f>
        <v/>
      </c>
      <c r="AD37">
        <f>HYPERLINK("https://klasma.github.io/Logging_1782/tillsynsmail/A 23046-2023 tillsynsbegäran mail.docx", "A 23046-2023")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46261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58734-2025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46261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18.2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Tretåig hackspett</t>
        </is>
      </c>
      <c r="W39">
        <f>HYPERLINK("https://klasma.github.io/Logging_1782/artfynd/A 58734-2025 artfynd.xlsx", "A 58734-2025")</f>
        <v/>
      </c>
      <c r="X39">
        <f>HYPERLINK("https://klasma.github.io/Logging_1782/kartor/A 58734-2025 karta.png", "A 58734-2025")</f>
        <v/>
      </c>
      <c r="Y39">
        <f>HYPERLINK("https://klasma.github.io/Logging_1782/kartor_geotiff/A 58734-2025 georefererad karta.tif", "A 58734-2025")</f>
        <v/>
      </c>
      <c r="AA39">
        <f>HYPERLINK("https://klasma.github.io/Logging_1782/klagomål/A 58734-2025 FSC-klagomål.docx", "A 58734-2025")</f>
        <v/>
      </c>
      <c r="AB39">
        <f>HYPERLINK("https://klasma.github.io/Logging_1782/klagomålsmail/A 58734-2025 FSC-klagomål mail.docx", "A 58734-2025")</f>
        <v/>
      </c>
      <c r="AC39">
        <f>HYPERLINK("https://klasma.github.io/Logging_1782/tillsyn/A 58734-2025 tillsynsbegäran.docx", "A 58734-2025")</f>
        <v/>
      </c>
      <c r="AD39">
        <f>HYPERLINK("https://klasma.github.io/Logging_1782/tillsynsmail/A 58734-2025 tillsynsbegäran mail.docx", "A 58734-2025")</f>
        <v/>
      </c>
      <c r="AE39">
        <f>HYPERLINK("https://klasma.github.io/Logging_1782/fåglar/A 58734-2025 prioriterade fågelarter.docx", "A 58734-2025")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46261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46261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HYPERLINK("https://klasma.github.io/Logging_1782/artfynd/A 28915-2026 artfynd.xlsx", "A 28915-2026")</f>
        <v/>
      </c>
      <c r="X41">
        <f>HYPERLINK("https://klasma.github.io/Logging_1782/kartor/A 28915-2026 karta.png", "A 28915-2026")</f>
        <v/>
      </c>
      <c r="Y41">
        <f>HYPERLINK("https://klasma.github.io/Logging_1782/kartor_geotiff/A 28915-2026 georefererad karta.tif", "A 28915-2026")</f>
        <v/>
      </c>
      <c r="AA41">
        <f>HYPERLINK("https://klasma.github.io/Logging_1782/klagomål/A 28915-2026 FSC-klagomål.docx", "A 28915-2026")</f>
        <v/>
      </c>
      <c r="AB41">
        <f>HYPERLINK("https://klasma.github.io/Logging_1782/klagomålsmail/A 28915-2026 FSC-klagomål mail.docx", "A 28915-2026")</f>
        <v/>
      </c>
      <c r="AC41">
        <f>HYPERLINK("https://klasma.github.io/Logging_1782/tillsyn/A 28915-2026 tillsynsbegäran.docx", "A 28915-2026")</f>
        <v/>
      </c>
      <c r="AD41">
        <f>HYPERLINK("https://klasma.github.io/Logging_1782/tillsynsmail/A 28915-2026 tillsynsbegäran mail.docx", "A 28915-2026")</f>
        <v/>
      </c>
    </row>
    <row r="42" ht="15" customHeight="1">
      <c r="A42" t="inlineStr">
        <is>
          <t>A 30988-2026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46261</v>
      </c>
      <c r="F42" t="inlineStr">
        <is>
          <t>VÄRMLANDS LÄN</t>
        </is>
      </c>
      <c r="G42" t="inlineStr">
        <is>
          <t>FILIPSTAD</t>
        </is>
      </c>
      <c r="I42" t="n">
        <v>2.4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Skuggblåslav</t>
        </is>
      </c>
      <c r="W42">
        <f>HYPERLINK("https://klasma.github.io/Logging_1782/artfynd/A 30988-2026 artfynd.xlsx", "A 30988-2026")</f>
        <v/>
      </c>
      <c r="X42">
        <f>HYPERLINK("https://klasma.github.io/Logging_1782/kartor/A 30988-2026 karta.png", "A 30988-2026")</f>
        <v/>
      </c>
      <c r="Y42">
        <f>HYPERLINK("https://klasma.github.io/Logging_1782/kartor_geotiff/A 30988-2026 georefererad karta.tif", "A 30988-2026")</f>
        <v/>
      </c>
      <c r="AA42">
        <f>HYPERLINK("https://klasma.github.io/Logging_1782/klagomål/A 30988-2026 FSC-klagomål.docx", "A 30988-2026")</f>
        <v/>
      </c>
      <c r="AB42">
        <f>HYPERLINK("https://klasma.github.io/Logging_1782/klagomålsmail/A 30988-2026 FSC-klagomål mail.docx", "A 30988-2026")</f>
        <v/>
      </c>
      <c r="AC42">
        <f>HYPERLINK("https://klasma.github.io/Logging_1782/tillsyn/A 30988-2026 tillsynsbegäran.docx", "A 30988-2026")</f>
        <v/>
      </c>
      <c r="AD42">
        <f>HYPERLINK("https://klasma.github.io/Logging_1782/tillsynsmail/A 30988-2026 tillsynsbegäran mail.docx", "A 30988-2026")</f>
        <v/>
      </c>
    </row>
    <row r="43" ht="15" customHeight="1">
      <c r="A43" t="inlineStr">
        <is>
          <t>A 31257-2026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46261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10.2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Gräsull</t>
        </is>
      </c>
      <c r="W43">
        <f>HYPERLINK("https://klasma.github.io/Logging_1782/artfynd/A 31257-2026 artfynd.xlsx", "A 31257-2026")</f>
        <v/>
      </c>
      <c r="X43">
        <f>HYPERLINK("https://klasma.github.io/Logging_1782/kartor/A 31257-2026 karta.png", "A 31257-2026")</f>
        <v/>
      </c>
      <c r="Y43">
        <f>HYPERLINK("https://klasma.github.io/Logging_1782/kartor_geotiff/A 31257-2026 georefererad karta.tif", "A 31257-2026")</f>
        <v/>
      </c>
      <c r="AA43">
        <f>HYPERLINK("https://klasma.github.io/Logging_1782/klagomål/A 31257-2026 FSC-klagomål.docx", "A 31257-2026")</f>
        <v/>
      </c>
      <c r="AB43">
        <f>HYPERLINK("https://klasma.github.io/Logging_1782/klagomålsmail/A 31257-2026 FSC-klagomål mail.docx", "A 31257-2026")</f>
        <v/>
      </c>
      <c r="AC43">
        <f>HYPERLINK("https://klasma.github.io/Logging_1782/tillsyn/A 31257-2026 tillsynsbegäran.docx", "A 31257-2026")</f>
        <v/>
      </c>
      <c r="AD43">
        <f>HYPERLINK("https://klasma.github.io/Logging_1782/tillsynsmail/A 31257-2026 tillsynsbegäran mail.docx", "A 31257-2026")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46261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51522-2022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46261</v>
      </c>
      <c r="F45" t="inlineStr">
        <is>
          <t>VÄRMLANDS LÄN</t>
        </is>
      </c>
      <c r="G45" t="inlineStr">
        <is>
          <t>FILIPSTAD</t>
        </is>
      </c>
      <c r="I45" t="n">
        <v>4.1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HYPERLINK("https://klasma.github.io/Logging_1782/artfynd/A 51522-2022 artfynd.xlsx", "A 51522-2022")</f>
        <v/>
      </c>
      <c r="X45">
        <f>HYPERLINK("https://klasma.github.io/Logging_1782/kartor/A 51522-2022 karta.png", "A 51522-2022")</f>
        <v/>
      </c>
      <c r="Y45">
        <f>HYPERLINK("https://klasma.github.io/Logging_1782/kartor_geotiff/A 51522-2022 georefererad karta.tif", "A 51522-2022")</f>
        <v/>
      </c>
      <c r="AA45">
        <f>HYPERLINK("https://klasma.github.io/Logging_1782/klagomål/A 51522-2022 FSC-klagomål.docx", "A 51522-2022")</f>
        <v/>
      </c>
      <c r="AB45">
        <f>HYPERLINK("https://klasma.github.io/Logging_1782/klagomålsmail/A 51522-2022 FSC-klagomål mail.docx", "A 51522-2022")</f>
        <v/>
      </c>
      <c r="AC45">
        <f>HYPERLINK("https://klasma.github.io/Logging_1782/tillsyn/A 51522-2022 tillsynsbegäran.docx", "A 51522-2022")</f>
        <v/>
      </c>
      <c r="AD45">
        <f>HYPERLINK("https://klasma.github.io/Logging_1782/tillsynsmail/A 51522-2022 tillsynsbegäran mail.docx", "A 51522-2022")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46261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46261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46261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46261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46261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46261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46261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46261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46261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46261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46261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46261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46261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46261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46261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46261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46261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46261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46261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46261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46261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46261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46261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46261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46261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46261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46261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46261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53562-2023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46261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46261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46261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6860-2024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45342</v>
      </c>
      <c r="E79" s="1" t="n">
        <v>46261</v>
      </c>
      <c r="F79" t="inlineStr">
        <is>
          <t>VÄRMLANDS LÄN</t>
        </is>
      </c>
      <c r="G79" t="inlineStr">
        <is>
          <t>FILIPSTAD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46261</v>
      </c>
      <c r="F80" t="inlineStr">
        <is>
          <t>VÄRMLANDS LÄN</t>
        </is>
      </c>
      <c r="G80" t="inlineStr">
        <is>
          <t>FILIPSTAD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46261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46261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46261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46261</v>
      </c>
      <c r="F84" t="inlineStr">
        <is>
          <t>VÄRMLANDS LÄN</t>
        </is>
      </c>
      <c r="G84" t="inlineStr">
        <is>
          <t>FILIPSTAD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46261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46261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46261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45384</v>
      </c>
      <c r="E88" s="1" t="n">
        <v>46261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46261</v>
      </c>
      <c r="F89" t="inlineStr">
        <is>
          <t>VÄRMLANDS LÄN</t>
        </is>
      </c>
      <c r="G89" t="inlineStr">
        <is>
          <t>FILIPSTAD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45408</v>
      </c>
      <c r="E90" s="1" t="n">
        <v>46261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45700</v>
      </c>
      <c r="E91" s="1" t="n">
        <v>46261</v>
      </c>
      <c r="F91" t="inlineStr">
        <is>
          <t>VÄRMLANDS LÄN</t>
        </is>
      </c>
      <c r="G91" t="inlineStr">
        <is>
          <t>FILIPSTAD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46261</v>
      </c>
      <c r="F92" t="inlineStr">
        <is>
          <t>VÄRMLANDS LÄN</t>
        </is>
      </c>
      <c r="G92" t="inlineStr">
        <is>
          <t>FILIPSTAD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45418</v>
      </c>
      <c r="E93" s="1" t="n">
        <v>46261</v>
      </c>
      <c r="F93" t="inlineStr">
        <is>
          <t>VÄRMLANDS LÄN</t>
        </is>
      </c>
      <c r="G93" t="inlineStr">
        <is>
          <t>FILIPSTAD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46261</v>
      </c>
      <c r="F94" t="inlineStr">
        <is>
          <t>VÄRMLANDS LÄN</t>
        </is>
      </c>
      <c r="G94" t="inlineStr">
        <is>
          <t>FILIPSTAD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46261</v>
      </c>
      <c r="F95" t="inlineStr">
        <is>
          <t>VÄRMLANDS LÄN</t>
        </is>
      </c>
      <c r="G95" t="inlineStr">
        <is>
          <t>FILIPSTAD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46261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45593</v>
      </c>
      <c r="E97" s="1" t="n">
        <v>46261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46261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23399-2025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45792</v>
      </c>
      <c r="E99" s="1" t="n">
        <v>46261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45667</v>
      </c>
      <c r="E100" s="1" t="n">
        <v>46261</v>
      </c>
      <c r="F100" t="inlineStr">
        <is>
          <t>VÄRMLANDS LÄN</t>
        </is>
      </c>
      <c r="G100" t="inlineStr">
        <is>
          <t>FILIPSTAD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46261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13.1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46261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46261</v>
      </c>
      <c r="F103" t="inlineStr">
        <is>
          <t>VÄRMLANDS LÄN</t>
        </is>
      </c>
      <c r="G103" t="inlineStr">
        <is>
          <t>FILIPSTAD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45322</v>
      </c>
      <c r="E104" s="1" t="n">
        <v>46261</v>
      </c>
      <c r="F104" t="inlineStr">
        <is>
          <t>VÄRMLANDS LÄN</t>
        </is>
      </c>
      <c r="G104" t="inlineStr">
        <is>
          <t>FILIPSTAD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72118-2021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44543</v>
      </c>
      <c r="E105" s="1" t="n">
        <v>46261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46261</v>
      </c>
      <c r="F106" t="inlineStr">
        <is>
          <t>VÄRMLANDS LÄN</t>
        </is>
      </c>
      <c r="G106" t="inlineStr">
        <is>
          <t>FILIPSTAD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46261</v>
      </c>
      <c r="F107" t="inlineStr">
        <is>
          <t>VÄRMLANDS LÄN</t>
        </is>
      </c>
      <c r="G107" t="inlineStr">
        <is>
          <t>FILIPSTAD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46261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46261</v>
      </c>
      <c r="F109" t="inlineStr">
        <is>
          <t>VÄRMLANDS LÄN</t>
        </is>
      </c>
      <c r="G109" t="inlineStr">
        <is>
          <t>FILIPSTAD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65174-2021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44515</v>
      </c>
      <c r="E110" s="1" t="n">
        <v>46261</v>
      </c>
      <c r="F110" t="inlineStr">
        <is>
          <t>VÄRMLANDS LÄN</t>
        </is>
      </c>
      <c r="G110" t="inlineStr">
        <is>
          <t>FILIPSTAD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46261</v>
      </c>
      <c r="F111" t="inlineStr">
        <is>
          <t>VÄRMLANDS LÄN</t>
        </is>
      </c>
      <c r="G111" t="inlineStr">
        <is>
          <t>FILIPSTAD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44801</v>
      </c>
      <c r="E112" s="1" t="n">
        <v>46261</v>
      </c>
      <c r="F112" t="inlineStr">
        <is>
          <t>VÄRMLANDS LÄN</t>
        </is>
      </c>
      <c r="G112" t="inlineStr">
        <is>
          <t>FILIPSTAD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58611-2025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45986</v>
      </c>
      <c r="E113" s="1" t="n">
        <v>46261</v>
      </c>
      <c r="F113" t="inlineStr">
        <is>
          <t>VÄRMLANDS LÄN</t>
        </is>
      </c>
      <c r="G113" t="inlineStr">
        <is>
          <t>FILIPSTAD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46261</v>
      </c>
      <c r="F114" t="inlineStr">
        <is>
          <t>VÄRMLANDS LÄN</t>
        </is>
      </c>
      <c r="G114" t="inlineStr">
        <is>
          <t>FILIPSTAD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46261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26123-2025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45805</v>
      </c>
      <c r="E116" s="1" t="n">
        <v>46261</v>
      </c>
      <c r="F116" t="inlineStr">
        <is>
          <t>VÄRMLANDS LÄN</t>
        </is>
      </c>
      <c r="G116" t="inlineStr">
        <is>
          <t>FILIPSTAD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46040</v>
      </c>
      <c r="E117" s="1" t="n">
        <v>46261</v>
      </c>
      <c r="F117" t="inlineStr">
        <is>
          <t>VÄRMLANDS LÄN</t>
        </is>
      </c>
      <c r="G117" t="inlineStr">
        <is>
          <t>FILIPSTAD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26116-2025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45805</v>
      </c>
      <c r="E118" s="1" t="n">
        <v>46261</v>
      </c>
      <c r="F118" t="inlineStr">
        <is>
          <t>VÄRMLANDS LÄN</t>
        </is>
      </c>
      <c r="G118" t="inlineStr">
        <is>
          <t>FILIPSTAD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45463</v>
      </c>
      <c r="E119" s="1" t="n">
        <v>46261</v>
      </c>
      <c r="F119" t="inlineStr">
        <is>
          <t>VÄRMLANDS LÄN</t>
        </is>
      </c>
      <c r="G119" t="inlineStr">
        <is>
          <t>FILIPSTAD</t>
        </is>
      </c>
      <c r="I119" t="n">
        <v>13.2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46261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45470</v>
      </c>
      <c r="E121" s="1" t="n">
        <v>46261</v>
      </c>
      <c r="F121" t="inlineStr">
        <is>
          <t>VÄRMLANDS LÄN</t>
        </is>
      </c>
      <c r="G121" t="inlineStr">
        <is>
          <t>FILIPSTAD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26599-2024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45469</v>
      </c>
      <c r="E122" s="1" t="n">
        <v>46261</v>
      </c>
      <c r="F122" t="inlineStr">
        <is>
          <t>VÄRMLANDS LÄN</t>
        </is>
      </c>
      <c r="G122" t="inlineStr">
        <is>
          <t>FILIPSTAD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45511</v>
      </c>
      <c r="E123" s="1" t="n">
        <v>46261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46261</v>
      </c>
      <c r="F124" t="inlineStr">
        <is>
          <t>VÄRMLANDS LÄN</t>
        </is>
      </c>
      <c r="G124" t="inlineStr">
        <is>
          <t>FILIPSTAD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46261</v>
      </c>
      <c r="F125" t="inlineStr">
        <is>
          <t>VÄRMLANDS LÄN</t>
        </is>
      </c>
      <c r="G125" t="inlineStr">
        <is>
          <t>FILIPSTAD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41718-2025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45902</v>
      </c>
      <c r="E126" s="1" t="n">
        <v>46261</v>
      </c>
      <c r="F126" t="inlineStr">
        <is>
          <t>VÄRMLANDS LÄN</t>
        </is>
      </c>
      <c r="G126" t="inlineStr">
        <is>
          <t>FILIPSTAD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46261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46261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46261</v>
      </c>
      <c r="F129" t="inlineStr">
        <is>
          <t>VÄRMLANDS LÄN</t>
        </is>
      </c>
      <c r="G129" t="inlineStr">
        <is>
          <t>FILIPSTAD</t>
        </is>
      </c>
      <c r="H129" t="inlineStr">
        <is>
          <t>Kyrkan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8139-2026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46261</v>
      </c>
      <c r="F130" t="inlineStr">
        <is>
          <t>VÄRMLANDS LÄN</t>
        </is>
      </c>
      <c r="G130" t="inlineStr">
        <is>
          <t>FILIPSTAD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46261</v>
      </c>
      <c r="F131" t="inlineStr">
        <is>
          <t>VÄRMLANDS LÄN</t>
        </is>
      </c>
      <c r="G131" t="inlineStr">
        <is>
          <t>FILIPSTAD</t>
        </is>
      </c>
      <c r="I131" t="n">
        <v>23.3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46261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30169-2025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46261</v>
      </c>
      <c r="F133" t="inlineStr">
        <is>
          <t>VÄRMLANDS LÄN</t>
        </is>
      </c>
      <c r="G133" t="inlineStr">
        <is>
          <t>FILIPSTAD</t>
        </is>
      </c>
      <c r="H133" t="inlineStr">
        <is>
          <t>Kyrkan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46261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31172-2025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45832</v>
      </c>
      <c r="E135" s="1" t="n">
        <v>46261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46261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46261</v>
      </c>
      <c r="F137" t="inlineStr">
        <is>
          <t>VÄRMLANDS LÄN</t>
        </is>
      </c>
      <c r="G137" t="inlineStr">
        <is>
          <t>FILIPSTAD</t>
        </is>
      </c>
      <c r="I137" t="n">
        <v>18.7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46261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32032-2025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45835</v>
      </c>
      <c r="E139" s="1" t="n">
        <v>46261</v>
      </c>
      <c r="F139" t="inlineStr">
        <is>
          <t>VÄRMLANDS LÄN</t>
        </is>
      </c>
      <c r="G139" t="inlineStr">
        <is>
          <t>FILIPSTAD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45827</v>
      </c>
      <c r="E140" s="1" t="n">
        <v>46261</v>
      </c>
      <c r="F140" t="inlineStr">
        <is>
          <t>VÄRMLANDS LÄN</t>
        </is>
      </c>
      <c r="G140" t="inlineStr">
        <is>
          <t>FILIPSTAD</t>
        </is>
      </c>
      <c r="H140" t="inlineStr">
        <is>
          <t>Kyrkan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45120</v>
      </c>
      <c r="E141" s="1" t="n">
        <v>46261</v>
      </c>
      <c r="F141" t="inlineStr">
        <is>
          <t>VÄRMLANDS LÄN</t>
        </is>
      </c>
      <c r="G141" t="inlineStr">
        <is>
          <t>FILIPSTAD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45688</v>
      </c>
      <c r="E142" s="1" t="n">
        <v>46261</v>
      </c>
      <c r="F142" t="inlineStr">
        <is>
          <t>VÄRMLANDS LÄN</t>
        </is>
      </c>
      <c r="G142" t="inlineStr">
        <is>
          <t>FILIPSTAD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46261</v>
      </c>
      <c r="F143" t="inlineStr">
        <is>
          <t>VÄRMLANDS LÄN</t>
        </is>
      </c>
      <c r="G143" t="inlineStr">
        <is>
          <t>FILIPSTAD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46261</v>
      </c>
      <c r="F144" t="inlineStr">
        <is>
          <t>VÄRMLANDS LÄN</t>
        </is>
      </c>
      <c r="G144" t="inlineStr">
        <is>
          <t>FILIPSTAD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45841</v>
      </c>
      <c r="E145" s="1" t="n">
        <v>46261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46261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45929</v>
      </c>
      <c r="E147" s="1" t="n">
        <v>46261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46261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46261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46261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46261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46261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46261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46261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46261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46261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46261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46261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46261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46098</v>
      </c>
      <c r="E161" s="1" t="n">
        <v>46261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46261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46261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14268-2024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45393</v>
      </c>
      <c r="E164" s="1" t="n">
        <v>46261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46099</v>
      </c>
      <c r="E165" s="1" t="n">
        <v>46261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45870</v>
      </c>
      <c r="E166" s="1" t="n">
        <v>46261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46261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46261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46261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46261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46107</v>
      </c>
      <c r="E171" s="1" t="n">
        <v>46261</v>
      </c>
      <c r="F171" t="inlineStr">
        <is>
          <t>VÄRMLANDS LÄN</t>
        </is>
      </c>
      <c r="G171" t="inlineStr">
        <is>
          <t>FILIPSTAD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46261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46261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46261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46261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16040-2026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46108</v>
      </c>
      <c r="E176" s="1" t="n">
        <v>46261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46261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46261</v>
      </c>
      <c r="F178" t="inlineStr">
        <is>
          <t>VÄRMLANDS LÄN</t>
        </is>
      </c>
      <c r="G178" t="inlineStr">
        <is>
          <t>FILIPSTAD</t>
        </is>
      </c>
      <c r="H178" t="inlineStr">
        <is>
          <t>Kommuner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46261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46261</v>
      </c>
      <c r="F180" t="inlineStr">
        <is>
          <t>VÄRMLANDS LÄN</t>
        </is>
      </c>
      <c r="G180" t="inlineStr">
        <is>
          <t>FILIPSTAD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46261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46114</v>
      </c>
      <c r="E182" s="1" t="n">
        <v>46261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46261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46261</v>
      </c>
      <c r="F184" t="inlineStr">
        <is>
          <t>VÄRMLANDS LÄN</t>
        </is>
      </c>
      <c r="G184" t="inlineStr">
        <is>
          <t>FILIPSTAD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46261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46119</v>
      </c>
      <c r="E186" s="1" t="n">
        <v>46261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46119</v>
      </c>
      <c r="E187" s="1" t="n">
        <v>46261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46120</v>
      </c>
      <c r="E188" s="1" t="n">
        <v>46261</v>
      </c>
      <c r="F188" t="inlineStr">
        <is>
          <t>VÄRMLANDS LÄN</t>
        </is>
      </c>
      <c r="G188" t="inlineStr">
        <is>
          <t>FILIPSTAD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46261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46122</v>
      </c>
      <c r="E190" s="1" t="n">
        <v>46261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46261</v>
      </c>
      <c r="F191" t="inlineStr">
        <is>
          <t>VÄRMLANDS LÄN</t>
        </is>
      </c>
      <c r="G191" t="inlineStr">
        <is>
          <t>FILIPSTAD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46261</v>
      </c>
      <c r="F192" t="inlineStr">
        <is>
          <t>VÄRMLANDS LÄN</t>
        </is>
      </c>
      <c r="G192" t="inlineStr">
        <is>
          <t>FILIPSTAD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46261</v>
      </c>
      <c r="F193" t="inlineStr">
        <is>
          <t>VÄRMLANDS LÄN</t>
        </is>
      </c>
      <c r="G193" t="inlineStr">
        <is>
          <t>FILIPSTAD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46122</v>
      </c>
      <c r="E194" s="1" t="n">
        <v>46261</v>
      </c>
      <c r="F194" t="inlineStr">
        <is>
          <t>VÄRMLANDS LÄN</t>
        </is>
      </c>
      <c r="G194" t="inlineStr">
        <is>
          <t>FILIPSTAD</t>
        </is>
      </c>
      <c r="H194" t="inlineStr">
        <is>
          <t>Kommuner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46122</v>
      </c>
      <c r="E195" s="1" t="n">
        <v>46261</v>
      </c>
      <c r="F195" t="inlineStr">
        <is>
          <t>VÄRMLANDS LÄN</t>
        </is>
      </c>
      <c r="G195" t="inlineStr">
        <is>
          <t>FILIPSTAD</t>
        </is>
      </c>
      <c r="H195" t="inlineStr">
        <is>
          <t>Kommuner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46261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46261</v>
      </c>
      <c r="F197" t="inlineStr">
        <is>
          <t>VÄRMLANDS LÄN</t>
        </is>
      </c>
      <c r="G197" t="inlineStr">
        <is>
          <t>FILIPSTAD</t>
        </is>
      </c>
      <c r="H197" t="inlineStr">
        <is>
          <t>Kyrkan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46261</v>
      </c>
      <c r="F198" t="inlineStr">
        <is>
          <t>VÄRMLANDS LÄN</t>
        </is>
      </c>
      <c r="G198" t="inlineStr">
        <is>
          <t>FILIPSTAD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46261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46261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46261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46261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46261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46261</v>
      </c>
      <c r="F204" t="inlineStr">
        <is>
          <t>VÄRMLANDS LÄN</t>
        </is>
      </c>
      <c r="G204" t="inlineStr">
        <is>
          <t>FILIPSTAD</t>
        </is>
      </c>
      <c r="H204" t="inlineStr">
        <is>
          <t>Kommuner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46261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45152</v>
      </c>
      <c r="E206" s="1" t="n">
        <v>46261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46261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46129</v>
      </c>
      <c r="E208" s="1" t="n">
        <v>46261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46261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46128</v>
      </c>
      <c r="E210" s="1" t="n">
        <v>46261</v>
      </c>
      <c r="F210" t="inlineStr">
        <is>
          <t>VÄRMLANDS LÄN</t>
        </is>
      </c>
      <c r="G210" t="inlineStr">
        <is>
          <t>FILIPSTAD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46261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46261</v>
      </c>
      <c r="F212" t="inlineStr">
        <is>
          <t>VÄRMLANDS LÄN</t>
        </is>
      </c>
      <c r="G212" t="inlineStr">
        <is>
          <t>FILIPSTAD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46261</v>
      </c>
      <c r="F213" t="inlineStr">
        <is>
          <t>VÄRMLANDS LÄN</t>
        </is>
      </c>
      <c r="G213" t="inlineStr">
        <is>
          <t>FILIPSTAD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46261</v>
      </c>
      <c r="F214" t="inlineStr">
        <is>
          <t>VÄRMLANDS LÄN</t>
        </is>
      </c>
      <c r="G214" t="inlineStr">
        <is>
          <t>FILIPSTAD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46261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19676-2026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46134</v>
      </c>
      <c r="E216" s="1" t="n">
        <v>46261</v>
      </c>
      <c r="F216" t="inlineStr">
        <is>
          <t>VÄRMLANDS LÄN</t>
        </is>
      </c>
      <c r="G216" t="inlineStr">
        <is>
          <t>FILIPSTAD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46261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46261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46261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46134</v>
      </c>
      <c r="E220" s="1" t="n">
        <v>46261</v>
      </c>
      <c r="F220" t="inlineStr">
        <is>
          <t>VÄRMLANDS LÄN</t>
        </is>
      </c>
      <c r="G220" t="inlineStr">
        <is>
          <t>FILIPSTAD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45418</v>
      </c>
      <c r="E221" s="1" t="n">
        <v>46261</v>
      </c>
      <c r="F221" t="inlineStr">
        <is>
          <t>VÄRMLANDS LÄN</t>
        </is>
      </c>
      <c r="G221" t="inlineStr">
        <is>
          <t>FILIPSTAD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46261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46261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46261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46261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46261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46261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46261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46261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46261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46261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9.199999999999999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46261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46261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46261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46261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46261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46261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46261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46261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16591-2022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44672</v>
      </c>
      <c r="E240" s="1" t="n">
        <v>46261</v>
      </c>
      <c r="F240" t="inlineStr">
        <is>
          <t>VÄRMLANDS LÄN</t>
        </is>
      </c>
      <c r="G240" t="inlineStr">
        <is>
          <t>FILIPSTAD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46261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45578</v>
      </c>
      <c r="E242" s="1" t="n">
        <v>46261</v>
      </c>
      <c r="F242" t="inlineStr">
        <is>
          <t>VÄRMLANDS LÄN</t>
        </is>
      </c>
      <c r="G242" t="inlineStr">
        <is>
          <t>FILIPSTAD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46261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18.8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46261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45240</v>
      </c>
      <c r="E245" s="1" t="n">
        <v>46261</v>
      </c>
      <c r="F245" t="inlineStr">
        <is>
          <t>VÄRMLANDS LÄN</t>
        </is>
      </c>
      <c r="G245" t="inlineStr">
        <is>
          <t>FILIPSTAD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46261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46135</v>
      </c>
      <c r="E247" s="1" t="n">
        <v>46261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46261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45982</v>
      </c>
      <c r="E249" s="1" t="n">
        <v>46261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28.4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46261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46261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45901</v>
      </c>
      <c r="E252" s="1" t="n">
        <v>46261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46261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46261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46261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45790</v>
      </c>
      <c r="E256" s="1" t="n">
        <v>46261</v>
      </c>
      <c r="F256" t="inlineStr">
        <is>
          <t>VÄRMLANDS LÄN</t>
        </is>
      </c>
      <c r="G256" t="inlineStr">
        <is>
          <t>FILIPSTAD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45988</v>
      </c>
      <c r="E257" s="1" t="n">
        <v>46261</v>
      </c>
      <c r="F257" t="inlineStr">
        <is>
          <t>VÄRMLANDS LÄN</t>
        </is>
      </c>
      <c r="G257" t="inlineStr">
        <is>
          <t>FILIPSTAD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46261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46261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46261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45992</v>
      </c>
      <c r="E261" s="1" t="n">
        <v>46261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46261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46261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46261</v>
      </c>
      <c r="F264" t="inlineStr">
        <is>
          <t>VÄRMLANDS LÄN</t>
        </is>
      </c>
      <c r="G264" t="inlineStr">
        <is>
          <t>FILIPSTAD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46261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69015-2021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44530</v>
      </c>
      <c r="E266" s="1" t="n">
        <v>46261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46261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46261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54080-2025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45964</v>
      </c>
      <c r="E269" s="1" t="n">
        <v>46261</v>
      </c>
      <c r="F269" t="inlineStr">
        <is>
          <t>VÄRMLANDS LÄN</t>
        </is>
      </c>
      <c r="G269" t="inlineStr">
        <is>
          <t>FILIPSTAD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46261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46261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45996</v>
      </c>
      <c r="E272" s="1" t="n">
        <v>46261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45995</v>
      </c>
      <c r="E273" s="1" t="n">
        <v>46261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46261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45995</v>
      </c>
      <c r="E275" s="1" t="n">
        <v>46261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45880</v>
      </c>
      <c r="E276" s="1" t="n">
        <v>46261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46261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46261</v>
      </c>
      <c r="F278" t="inlineStr">
        <is>
          <t>VÄRMLANDS LÄN</t>
        </is>
      </c>
      <c r="G278" t="inlineStr">
        <is>
          <t>FILIPSTAD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46261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46261</v>
      </c>
      <c r="F280" t="inlineStr">
        <is>
          <t>VÄRMLANDS LÄN</t>
        </is>
      </c>
      <c r="G280" t="inlineStr">
        <is>
          <t>FILIPSTAD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61327-2025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46001</v>
      </c>
      <c r="E281" s="1" t="n">
        <v>46261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46261</v>
      </c>
      <c r="F282" t="inlineStr">
        <is>
          <t>VÄRMLANDS LÄN</t>
        </is>
      </c>
      <c r="G282" t="inlineStr">
        <is>
          <t>FILIPSTAD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46261</v>
      </c>
      <c r="F283" t="inlineStr">
        <is>
          <t>VÄRMLANDS LÄN</t>
        </is>
      </c>
      <c r="G283" t="inlineStr">
        <is>
          <t>FILIPSTAD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46002</v>
      </c>
      <c r="E284" s="1" t="n">
        <v>46261</v>
      </c>
      <c r="F284" t="inlineStr">
        <is>
          <t>VÄRMLANDS LÄN</t>
        </is>
      </c>
      <c r="G284" t="inlineStr">
        <is>
          <t>FILIPSTAD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46261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46261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61417-2025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46001</v>
      </c>
      <c r="E287" s="1" t="n">
        <v>46261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46002</v>
      </c>
      <c r="E288" s="1" t="n">
        <v>46261</v>
      </c>
      <c r="F288" t="inlineStr">
        <is>
          <t>VÄRMLANDS LÄN</t>
        </is>
      </c>
      <c r="G288" t="inlineStr">
        <is>
          <t>FILIPSTAD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46261</v>
      </c>
      <c r="F289" t="inlineStr">
        <is>
          <t>VÄRMLANDS LÄN</t>
        </is>
      </c>
      <c r="G289" t="inlineStr">
        <is>
          <t>FILIPSTAD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46261</v>
      </c>
      <c r="F290" t="inlineStr">
        <is>
          <t>VÄRMLANDS LÄN</t>
        </is>
      </c>
      <c r="G290" t="inlineStr">
        <is>
          <t>FILIPSTAD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45579</v>
      </c>
      <c r="E291" s="1" t="n">
        <v>46261</v>
      </c>
      <c r="F291" t="inlineStr">
        <is>
          <t>VÄRMLANDS LÄN</t>
        </is>
      </c>
      <c r="G291" t="inlineStr">
        <is>
          <t>FILIPSTAD</t>
        </is>
      </c>
      <c r="H291" t="inlineStr">
        <is>
          <t>Kyrkan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61492-2025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46001</v>
      </c>
      <c r="E292" s="1" t="n">
        <v>46261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45891</v>
      </c>
      <c r="E293" s="1" t="n">
        <v>46261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46261</v>
      </c>
      <c r="F294" t="inlineStr">
        <is>
          <t>VÄRMLANDS LÄN</t>
        </is>
      </c>
      <c r="G294" t="inlineStr">
        <is>
          <t>FILIPSTAD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46004</v>
      </c>
      <c r="E295" s="1" t="n">
        <v>46261</v>
      </c>
      <c r="F295" t="inlineStr">
        <is>
          <t>VÄRMLANDS LÄN</t>
        </is>
      </c>
      <c r="G295" t="inlineStr">
        <is>
          <t>FILIPSTAD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62021-2025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46261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46004</v>
      </c>
      <c r="E297" s="1" t="n">
        <v>46261</v>
      </c>
      <c r="F297" t="inlineStr">
        <is>
          <t>VÄRMLANDS LÄN</t>
        </is>
      </c>
      <c r="G297" t="inlineStr">
        <is>
          <t>FILIPSTAD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61823-2025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46003</v>
      </c>
      <c r="E298" s="1" t="n">
        <v>46261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46261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46261</v>
      </c>
      <c r="F301" t="inlineStr">
        <is>
          <t>VÄRMLANDS LÄN</t>
        </is>
      </c>
      <c r="G301" t="inlineStr">
        <is>
          <t>FILIPSTAD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46261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46261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46261</v>
      </c>
      <c r="F304" t="inlineStr">
        <is>
          <t>VÄRMLANDS LÄN</t>
        </is>
      </c>
      <c r="G304" t="inlineStr">
        <is>
          <t>FILIPSTAD</t>
        </is>
      </c>
      <c r="I304" t="n">
        <v>15.5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44935</v>
      </c>
      <c r="E305" s="1" t="n">
        <v>46261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20554-2025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45775</v>
      </c>
      <c r="E306" s="1" t="n">
        <v>46261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46261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46142</v>
      </c>
      <c r="E308" s="1" t="n">
        <v>46261</v>
      </c>
      <c r="F308" t="inlineStr">
        <is>
          <t>VÄRMLANDS LÄN</t>
        </is>
      </c>
      <c r="G308" t="inlineStr">
        <is>
          <t>FILIPSTAD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46261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45867</v>
      </c>
      <c r="E310" s="1" t="n">
        <v>46261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46261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46261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46261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46261</v>
      </c>
      <c r="F314" t="inlineStr">
        <is>
          <t>VÄRMLANDS LÄN</t>
        </is>
      </c>
      <c r="G314" t="inlineStr">
        <is>
          <t>FILIPSTAD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46014</v>
      </c>
      <c r="E315" s="1" t="n">
        <v>46261</v>
      </c>
      <c r="F315" t="inlineStr">
        <is>
          <t>VÄRMLANDS LÄN</t>
        </is>
      </c>
      <c r="G315" t="inlineStr">
        <is>
          <t>FILIPSTAD</t>
        </is>
      </c>
      <c r="I315" t="n">
        <v>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46261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45364</v>
      </c>
      <c r="E317" s="1" t="n">
        <v>46261</v>
      </c>
      <c r="F317" t="inlineStr">
        <is>
          <t>VÄRMLANDS LÄN</t>
        </is>
      </c>
      <c r="G317" t="inlineStr">
        <is>
          <t>FILIPSTAD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46261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46261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46261</v>
      </c>
      <c r="F320" t="inlineStr">
        <is>
          <t>VÄRMLANDS LÄN</t>
        </is>
      </c>
      <c r="G320" t="inlineStr">
        <is>
          <t>FILIPSTAD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46261</v>
      </c>
      <c r="F321" t="inlineStr">
        <is>
          <t>VÄRMLANDS LÄN</t>
        </is>
      </c>
      <c r="G321" t="inlineStr">
        <is>
          <t>FILIPSTAD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33368-2022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44788</v>
      </c>
      <c r="E322" s="1" t="n">
        <v>46261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46261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46261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46261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46261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46261</v>
      </c>
      <c r="F327" t="inlineStr">
        <is>
          <t>VÄRMLANDS LÄN</t>
        </is>
      </c>
      <c r="G327" t="inlineStr">
        <is>
          <t>FILIPSTAD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46261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46261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46261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46261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46261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22533-2026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46155</v>
      </c>
      <c r="E333" s="1" t="n">
        <v>46261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54398-2024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46261</v>
      </c>
      <c r="F334" t="inlineStr">
        <is>
          <t>VÄRMLANDS LÄN</t>
        </is>
      </c>
      <c r="G334" t="inlineStr">
        <is>
          <t>FILIPSTAD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45567</v>
      </c>
      <c r="E335" s="1" t="n">
        <v>46261</v>
      </c>
      <c r="F335" t="inlineStr">
        <is>
          <t>VÄRMLANDS LÄN</t>
        </is>
      </c>
      <c r="G335" t="inlineStr">
        <is>
          <t>FILIPSTAD</t>
        </is>
      </c>
      <c r="H335" t="inlineStr">
        <is>
          <t>Kyrkan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46261</v>
      </c>
      <c r="F336" t="inlineStr">
        <is>
          <t>VÄRMLANDS LÄN</t>
        </is>
      </c>
      <c r="G336" t="inlineStr">
        <is>
          <t>FILIPSTAD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46261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46261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46261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46261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46261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46261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46261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46261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49935-2025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45940</v>
      </c>
      <c r="E345" s="1" t="n">
        <v>46261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46261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46261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46261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46261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46261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46261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46261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46261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46261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45436</v>
      </c>
      <c r="E355" s="1" t="n">
        <v>46261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46261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46261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46261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46261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46169</v>
      </c>
      <c r="E360" s="1" t="n">
        <v>46261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46261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46261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46261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46261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46261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46261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46261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46261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46261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46261</v>
      </c>
      <c r="F370" t="inlineStr">
        <is>
          <t>VÄRMLANDS LÄN</t>
        </is>
      </c>
      <c r="G370" t="inlineStr">
        <is>
          <t>FILIPSTAD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43633-2024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45569</v>
      </c>
      <c r="E371" s="1" t="n">
        <v>46261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32183-2025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46261</v>
      </c>
      <c r="F372" t="inlineStr">
        <is>
          <t>VÄRMLANDS LÄN</t>
        </is>
      </c>
      <c r="G372" t="inlineStr">
        <is>
          <t>FILIPSTAD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45749</v>
      </c>
      <c r="E373" s="1" t="n">
        <v>46261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46261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46261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46261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8.9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46261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22866-2023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45072</v>
      </c>
      <c r="E378" s="1" t="n">
        <v>46261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29473-2024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45484</v>
      </c>
      <c r="E379" s="1" t="n">
        <v>46261</v>
      </c>
      <c r="F379" t="inlineStr">
        <is>
          <t>VÄRMLANDS LÄN</t>
        </is>
      </c>
      <c r="G379" t="inlineStr">
        <is>
          <t>FILIPSTAD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46219</v>
      </c>
      <c r="E380" s="1" t="n">
        <v>46261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46261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46261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46261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31537-2026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46223</v>
      </c>
      <c r="E384" s="1" t="n">
        <v>46261</v>
      </c>
      <c r="F384" t="inlineStr">
        <is>
          <t>VÄRMLANDS LÄN</t>
        </is>
      </c>
      <c r="G384" t="inlineStr">
        <is>
          <t>FILIPSTAD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46223</v>
      </c>
      <c r="E385" s="1" t="n">
        <v>46261</v>
      </c>
      <c r="F385" t="inlineStr">
        <is>
          <t>VÄRMLANDS LÄN</t>
        </is>
      </c>
      <c r="G385" t="inlineStr">
        <is>
          <t>FILIPSTAD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10338-2025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46261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46978-2023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45195</v>
      </c>
      <c r="E387" s="1" t="n">
        <v>46261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46261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31688-2026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46226</v>
      </c>
      <c r="E389" s="1" t="n">
        <v>46261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46261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46226</v>
      </c>
      <c r="E391" s="1" t="n">
        <v>46261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46182</v>
      </c>
      <c r="E392" s="1" t="n">
        <v>46261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46226</v>
      </c>
      <c r="E393" s="1" t="n">
        <v>46261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26229-2026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46261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46261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26501-2026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46183</v>
      </c>
      <c r="E396" s="1" t="n">
        <v>46261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46261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46261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46261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46261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46185</v>
      </c>
      <c r="E401" s="1" t="n">
        <v>46261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46227</v>
      </c>
      <c r="E402" s="1" t="n">
        <v>46261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31726-2026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46227</v>
      </c>
      <c r="E403" s="1" t="n">
        <v>46261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44579</v>
      </c>
      <c r="E404" s="1" t="n">
        <v>46261</v>
      </c>
      <c r="F404" t="inlineStr">
        <is>
          <t>VÄRMLANDS LÄN</t>
        </is>
      </c>
      <c r="G404" t="inlineStr">
        <is>
          <t>FILIPSTAD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46187</v>
      </c>
      <c r="E405" s="1" t="n">
        <v>46261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46261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46186</v>
      </c>
      <c r="E407" s="1" t="n">
        <v>46261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46186</v>
      </c>
      <c r="E408" s="1" t="n">
        <v>46261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45771</v>
      </c>
      <c r="E409" s="1" t="n">
        <v>46261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46261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54828-2023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46261</v>
      </c>
      <c r="F411" t="inlineStr">
        <is>
          <t>VÄRMLANDS LÄN</t>
        </is>
      </c>
      <c r="G411" t="inlineStr">
        <is>
          <t>FILIPSTAD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46261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46232</v>
      </c>
      <c r="E413" s="1" t="n">
        <v>46261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46231</v>
      </c>
      <c r="E414" s="1" t="n">
        <v>46261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46232</v>
      </c>
      <c r="E415" s="1" t="n">
        <v>46261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31963-2026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46232</v>
      </c>
      <c r="E416" s="1" t="n">
        <v>46261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8.699999999999999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45700</v>
      </c>
      <c r="E417" s="1" t="n">
        <v>46261</v>
      </c>
      <c r="F417" t="inlineStr">
        <is>
          <t>VÄRMLANDS LÄN</t>
        </is>
      </c>
      <c r="G417" t="inlineStr">
        <is>
          <t>FILIPSTAD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16100-2025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45750</v>
      </c>
      <c r="E418" s="1" t="n">
        <v>46261</v>
      </c>
      <c r="F418" t="inlineStr">
        <is>
          <t>VÄRMLANDS LÄN</t>
        </is>
      </c>
      <c r="G418" t="inlineStr">
        <is>
          <t>FILIPSTAD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44684</v>
      </c>
      <c r="E419" s="1" t="n">
        <v>46261</v>
      </c>
      <c r="F419" t="inlineStr">
        <is>
          <t>VÄRMLANDS LÄN</t>
        </is>
      </c>
      <c r="G419" t="inlineStr">
        <is>
          <t>FILIPSTAD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46261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46233</v>
      </c>
      <c r="E421" s="1" t="n">
        <v>46261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45012</v>
      </c>
      <c r="E422" s="1" t="n">
        <v>46261</v>
      </c>
      <c r="F422" t="inlineStr">
        <is>
          <t>VÄRMLANDS LÄN</t>
        </is>
      </c>
      <c r="G422" t="inlineStr">
        <is>
          <t>FILIPSTAD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46261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46233</v>
      </c>
      <c r="E424" s="1" t="n">
        <v>46261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46233</v>
      </c>
      <c r="E425" s="1" t="n">
        <v>46261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46234</v>
      </c>
      <c r="E426" s="1" t="n">
        <v>46261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46261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46261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46237</v>
      </c>
      <c r="E429" s="1" t="n">
        <v>46261</v>
      </c>
      <c r="F429" t="inlineStr">
        <is>
          <t>VÄRMLANDS LÄN</t>
        </is>
      </c>
      <c r="G429" t="inlineStr">
        <is>
          <t>FILIPSTAD</t>
        </is>
      </c>
      <c r="I429" t="n">
        <v>13.4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46261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45202</v>
      </c>
      <c r="E431" s="1" t="n">
        <v>46261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32249-2026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46261</v>
      </c>
      <c r="F432" t="inlineStr">
        <is>
          <t>VÄRMLANDS LÄN</t>
        </is>
      </c>
      <c r="G432" t="inlineStr">
        <is>
          <t>FILIPSTAD</t>
        </is>
      </c>
      <c r="H432" t="inlineStr">
        <is>
          <t>Kommuner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46546-2021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44445</v>
      </c>
      <c r="E433" s="1" t="n">
        <v>46261</v>
      </c>
      <c r="F433" t="inlineStr">
        <is>
          <t>VÄRMLANDS LÄN</t>
        </is>
      </c>
      <c r="G433" t="inlineStr">
        <is>
          <t>FILIPSTAD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45947</v>
      </c>
      <c r="E434" s="1" t="n">
        <v>46261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46239</v>
      </c>
      <c r="E435" s="1" t="n">
        <v>46261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32572-2026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46239</v>
      </c>
      <c r="E436" s="1" t="n">
        <v>46261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46261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46261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46261</v>
      </c>
      <c r="F439" t="inlineStr">
        <is>
          <t>VÄRMLANDS LÄN</t>
        </is>
      </c>
      <c r="G439" t="inlineStr">
        <is>
          <t>FILIPSTAD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45014</v>
      </c>
      <c r="E440" s="1" t="n">
        <v>46261</v>
      </c>
      <c r="F440" t="inlineStr">
        <is>
          <t>VÄRMLANDS LÄN</t>
        </is>
      </c>
      <c r="G440" t="inlineStr">
        <is>
          <t>FILIPSTAD</t>
        </is>
      </c>
      <c r="H440" t="inlineStr">
        <is>
          <t>Kyrkan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45427</v>
      </c>
      <c r="E441" s="1" t="n">
        <v>46261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46261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46261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45088</v>
      </c>
      <c r="E444" s="1" t="n">
        <v>46261</v>
      </c>
      <c r="F444" t="inlineStr">
        <is>
          <t>VÄRMLANDS LÄN</t>
        </is>
      </c>
      <c r="G444" t="inlineStr">
        <is>
          <t>FILIPSTAD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46240</v>
      </c>
      <c r="E445" s="1" t="n">
        <v>46261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39566-2023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46261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19351-2025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45769</v>
      </c>
      <c r="E447" s="1" t="n">
        <v>46261</v>
      </c>
      <c r="F447" t="inlineStr">
        <is>
          <t>VÄRMLANDS LÄN</t>
        </is>
      </c>
      <c r="G447" t="inlineStr">
        <is>
          <t>FILIPSTAD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46239</v>
      </c>
      <c r="E448" s="1" t="n">
        <v>46261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45088</v>
      </c>
      <c r="E449" s="1" t="n">
        <v>46261</v>
      </c>
      <c r="F449" t="inlineStr">
        <is>
          <t>VÄRMLANDS LÄN</t>
        </is>
      </c>
      <c r="G449" t="inlineStr">
        <is>
          <t>FILIPSTAD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46261</v>
      </c>
      <c r="F450" t="inlineStr">
        <is>
          <t>VÄRMLANDS LÄN</t>
        </is>
      </c>
      <c r="G450" t="inlineStr">
        <is>
          <t>FILIPSTAD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21593-2023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45063</v>
      </c>
      <c r="E451" s="1" t="n">
        <v>46261</v>
      </c>
      <c r="F451" t="inlineStr">
        <is>
          <t>VÄRMLANDS LÄN</t>
        </is>
      </c>
      <c r="G451" t="inlineStr">
        <is>
          <t>FILIPSTAD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46261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46241</v>
      </c>
      <c r="E453" s="1" t="n">
        <v>46261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32972-2026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46244</v>
      </c>
      <c r="E454" s="1" t="n">
        <v>46261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46261</v>
      </c>
      <c r="F455" t="inlineStr">
        <is>
          <t>VÄRMLANDS LÄN</t>
        </is>
      </c>
      <c r="G455" t="inlineStr">
        <is>
          <t>FILIPSTAD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46261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46245</v>
      </c>
      <c r="E457" s="1" t="n">
        <v>46261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29385-2026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46203</v>
      </c>
      <c r="E458" s="1" t="n">
        <v>46261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33324-2026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46246</v>
      </c>
      <c r="E459" s="1" t="n">
        <v>46261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46261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46261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46202</v>
      </c>
      <c r="E462" s="1" t="n">
        <v>46261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46245</v>
      </c>
      <c r="E463" s="1" t="n">
        <v>46261</v>
      </c>
      <c r="F463" t="inlineStr">
        <is>
          <t>VÄRMLANDS LÄN</t>
        </is>
      </c>
      <c r="G463" t="inlineStr">
        <is>
          <t>FILIPSTAD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46261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46261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46261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33493-2026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46247</v>
      </c>
      <c r="E467" s="1" t="n">
        <v>46261</v>
      </c>
      <c r="F467" t="inlineStr">
        <is>
          <t>VÄRMLANDS LÄN</t>
        </is>
      </c>
      <c r="G467" t="inlineStr">
        <is>
          <t>FILIPSTAD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46261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45245</v>
      </c>
      <c r="E469" s="1" t="n">
        <v>46261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46261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46261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8.199999999999999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46261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46261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46090</v>
      </c>
      <c r="E474" s="1" t="n">
        <v>46261</v>
      </c>
      <c r="F474" t="inlineStr">
        <is>
          <t>VÄRMLANDS LÄN</t>
        </is>
      </c>
      <c r="G474" t="inlineStr">
        <is>
          <t>FILIPSTAD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46261</v>
      </c>
      <c r="F475" t="inlineStr">
        <is>
          <t>VÄRMLANDS LÄN</t>
        </is>
      </c>
      <c r="G475" t="inlineStr">
        <is>
          <t>FILIPSTAD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46261</v>
      </c>
      <c r="F476" t="inlineStr">
        <is>
          <t>VÄRMLANDS LÄN</t>
        </is>
      </c>
      <c r="G476" t="inlineStr">
        <is>
          <t>FILIPSTAD</t>
        </is>
      </c>
      <c r="H476" t="inlineStr">
        <is>
          <t>Kyrkan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46251</v>
      </c>
      <c r="E477" s="1" t="n">
        <v>46261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33866-2026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46251</v>
      </c>
      <c r="E478" s="1" t="n">
        <v>46261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34053-2026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46252</v>
      </c>
      <c r="E479" s="1" t="n">
        <v>46261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62787-2023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45271</v>
      </c>
      <c r="E480" s="1" t="n">
        <v>46261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45741</v>
      </c>
      <c r="E481" s="1" t="n">
        <v>46261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46261</v>
      </c>
      <c r="F482" t="inlineStr">
        <is>
          <t>VÄRMLANDS LÄN</t>
        </is>
      </c>
      <c r="G482" t="inlineStr">
        <is>
          <t>FILIPSTAD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45133</v>
      </c>
      <c r="E483" s="1" t="n">
        <v>46261</v>
      </c>
      <c r="F483" t="inlineStr">
        <is>
          <t>VÄRMLANDS LÄN</t>
        </is>
      </c>
      <c r="G483" t="inlineStr">
        <is>
          <t>FILIPSTAD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46261</v>
      </c>
      <c r="F484" t="inlineStr">
        <is>
          <t>VÄRMLANDS LÄN</t>
        </is>
      </c>
      <c r="G484" t="inlineStr">
        <is>
          <t>FILIPSTAD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46251</v>
      </c>
      <c r="E485" s="1" t="n">
        <v>46261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46261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46261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46251</v>
      </c>
      <c r="E488" s="1" t="n">
        <v>46261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46261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44960</v>
      </c>
      <c r="E490" s="1" t="n">
        <v>46261</v>
      </c>
      <c r="F490" t="inlineStr">
        <is>
          <t>VÄRMLANDS LÄN</t>
        </is>
      </c>
      <c r="G490" t="inlineStr">
        <is>
          <t>FILIPSTAD</t>
        </is>
      </c>
      <c r="H490" t="inlineStr">
        <is>
          <t>Kommuner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4819-2023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44957</v>
      </c>
      <c r="E491" s="1" t="n">
        <v>46261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14275-2024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45393</v>
      </c>
      <c r="E492" s="1" t="n">
        <v>46261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9270-2023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44980</v>
      </c>
      <c r="E493" s="1" t="n">
        <v>46261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46261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46261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45114</v>
      </c>
      <c r="E496" s="1" t="n">
        <v>46261</v>
      </c>
      <c r="F496" t="inlineStr">
        <is>
          <t>VÄRMLANDS LÄN</t>
        </is>
      </c>
      <c r="G496" t="inlineStr">
        <is>
          <t>FILIPSTAD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43059-2024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45567</v>
      </c>
      <c r="E497" s="1" t="n">
        <v>46261</v>
      </c>
      <c r="F497" t="inlineStr">
        <is>
          <t>VÄRMLANDS LÄN</t>
        </is>
      </c>
      <c r="G497" t="inlineStr">
        <is>
          <t>FILIPSTAD</t>
        </is>
      </c>
      <c r="H497" t="inlineStr">
        <is>
          <t>Kyrkan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46261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46261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19.2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46261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46261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17795-2024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45418</v>
      </c>
      <c r="E502" s="1" t="n">
        <v>46261</v>
      </c>
      <c r="F502" t="inlineStr">
        <is>
          <t>VÄRMLANDS LÄN</t>
        </is>
      </c>
      <c r="G502" t="inlineStr">
        <is>
          <t>FILIPSTAD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46261</v>
      </c>
      <c r="F503" t="inlineStr">
        <is>
          <t>VÄRMLANDS LÄN</t>
        </is>
      </c>
      <c r="G503" t="inlineStr">
        <is>
          <t>FILIPSTAD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46212</v>
      </c>
      <c r="E504" s="1" t="n">
        <v>46261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12247-2022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44637</v>
      </c>
      <c r="E505" s="1" t="n">
        <v>46261</v>
      </c>
      <c r="F505" t="inlineStr">
        <is>
          <t>VÄRMLANDS LÄN</t>
        </is>
      </c>
      <c r="G505" t="inlineStr">
        <is>
          <t>FILIPSTAD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45439</v>
      </c>
      <c r="E506" s="1" t="n">
        <v>46261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34982-2026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46259</v>
      </c>
      <c r="E507" s="1" t="n">
        <v>46261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46218</v>
      </c>
      <c r="E508" s="1" t="n">
        <v>46261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45671</v>
      </c>
      <c r="E509" s="1" t="n">
        <v>46261</v>
      </c>
      <c r="F509" t="inlineStr">
        <is>
          <t>VÄRMLANDS LÄN</t>
        </is>
      </c>
      <c r="G509" t="inlineStr">
        <is>
          <t>FILIPSTAD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46261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63411-2023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45274</v>
      </c>
      <c r="E511" s="1" t="n">
        <v>46261</v>
      </c>
      <c r="F511" t="inlineStr">
        <is>
          <t>VÄRMLANDS LÄN</t>
        </is>
      </c>
      <c r="G511" t="inlineStr">
        <is>
          <t>FILIPSTAD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45484</v>
      </c>
      <c r="E512" s="1" t="n">
        <v>46261</v>
      </c>
      <c r="F512" t="inlineStr">
        <is>
          <t>VÄRMLANDS LÄN</t>
        </is>
      </c>
      <c r="G512" t="inlineStr">
        <is>
          <t>FILIPSTAD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63482-2021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44508</v>
      </c>
      <c r="E513" s="1" t="n">
        <v>46261</v>
      </c>
      <c r="F513" t="inlineStr">
        <is>
          <t>VÄRMLANDS LÄN</t>
        </is>
      </c>
      <c r="G513" t="inlineStr">
        <is>
          <t>FILIPSTAD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45665</v>
      </c>
      <c r="E514" s="1" t="n">
        <v>46261</v>
      </c>
      <c r="F514" t="inlineStr">
        <is>
          <t>VÄRMLANDS LÄN</t>
        </is>
      </c>
      <c r="G514" t="inlineStr">
        <is>
          <t>FILIPSTAD</t>
        </is>
      </c>
      <c r="I514" t="n">
        <v>11.7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70405-2021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44536</v>
      </c>
      <c r="E515" s="1" t="n">
        <v>46261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44596</v>
      </c>
      <c r="E516" s="1" t="n">
        <v>46261</v>
      </c>
      <c r="F516" t="inlineStr">
        <is>
          <t>VÄRMLANDS LÄN</t>
        </is>
      </c>
      <c r="G516" t="inlineStr">
        <is>
          <t>FILIPSTAD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54735-2024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46261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40244-2023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45169</v>
      </c>
      <c r="E518" s="1" t="n">
        <v>46261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45658</v>
      </c>
      <c r="E519" s="1" t="n">
        <v>46261</v>
      </c>
      <c r="F519" t="inlineStr">
        <is>
          <t>VÄRMLANDS LÄN</t>
        </is>
      </c>
      <c r="G519" t="inlineStr">
        <is>
          <t>FILIPSTAD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46261</v>
      </c>
      <c r="F520" t="inlineStr">
        <is>
          <t>VÄRMLANDS LÄN</t>
        </is>
      </c>
      <c r="G520" t="inlineStr">
        <is>
          <t>FILIPSTAD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59436-2024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45638</v>
      </c>
      <c r="E521" s="1" t="n">
        <v>46261</v>
      </c>
      <c r="F521" t="inlineStr">
        <is>
          <t>VÄRMLANDS LÄN</t>
        </is>
      </c>
      <c r="G521" t="inlineStr">
        <is>
          <t>FILIPSTAD</t>
        </is>
      </c>
      <c r="H521" t="inlineStr">
        <is>
          <t>Kyrkan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54836-2023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45229</v>
      </c>
      <c r="E522" s="1" t="n">
        <v>46261</v>
      </c>
      <c r="F522" t="inlineStr">
        <is>
          <t>VÄRMLANDS LÄN</t>
        </is>
      </c>
      <c r="G522" t="inlineStr">
        <is>
          <t>FILIPSTAD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29825-2023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45107</v>
      </c>
      <c r="E523" s="1" t="n">
        <v>46261</v>
      </c>
      <c r="F523" t="inlineStr">
        <is>
          <t>VÄRMLANDS LÄN</t>
        </is>
      </c>
      <c r="G523" t="inlineStr">
        <is>
          <t>FILIPSTAD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4462-2025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46261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27789-2022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44743</v>
      </c>
      <c r="E525" s="1" t="n">
        <v>46261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43484-2023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45184</v>
      </c>
      <c r="E526" s="1" t="n">
        <v>46261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46261</v>
      </c>
      <c r="F527" t="inlineStr">
        <is>
          <t>VÄRMLANDS LÄN</t>
        </is>
      </c>
      <c r="G527" t="inlineStr">
        <is>
          <t>FILIPSTAD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28161-2023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45093</v>
      </c>
      <c r="E528" s="1" t="n">
        <v>46261</v>
      </c>
      <c r="F528" t="inlineStr">
        <is>
          <t>VÄRMLANDS LÄN</t>
        </is>
      </c>
      <c r="G528" t="inlineStr">
        <is>
          <t>FILIPSTAD</t>
        </is>
      </c>
      <c r="H528" t="inlineStr">
        <is>
          <t>Kommuner</t>
        </is>
      </c>
      <c r="I528" t="n">
        <v>15.4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45456</v>
      </c>
      <c r="E529" s="1" t="n">
        <v>46261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19030-2022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44691</v>
      </c>
      <c r="E530" s="1" t="n">
        <v>46261</v>
      </c>
      <c r="F530" t="inlineStr">
        <is>
          <t>VÄRMLANDS LÄN</t>
        </is>
      </c>
      <c r="G530" t="inlineStr">
        <is>
          <t>FILIPSTAD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37577-2023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45159</v>
      </c>
      <c r="E531" s="1" t="n">
        <v>46261</v>
      </c>
      <c r="F531" t="inlineStr">
        <is>
          <t>VÄRMLANDS LÄN</t>
        </is>
      </c>
      <c r="G531" t="inlineStr">
        <is>
          <t>FILIPSTAD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45180</v>
      </c>
      <c r="E532" s="1" t="n">
        <v>46261</v>
      </c>
      <c r="F532" t="inlineStr">
        <is>
          <t>VÄRMLANDS LÄN</t>
        </is>
      </c>
      <c r="G532" t="inlineStr">
        <is>
          <t>FILIPSTAD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16371-2024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45407</v>
      </c>
      <c r="E533" s="1" t="n">
        <v>46261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53210-2023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45222</v>
      </c>
      <c r="E534" s="1" t="n">
        <v>46261</v>
      </c>
      <c r="F534" t="inlineStr">
        <is>
          <t>VÄRMLANDS LÄN</t>
        </is>
      </c>
      <c r="G534" t="inlineStr">
        <is>
          <t>FILIPSTAD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45167</v>
      </c>
      <c r="E535" s="1" t="n">
        <v>46261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43635-2023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45186</v>
      </c>
      <c r="E536" s="1" t="n">
        <v>46261</v>
      </c>
      <c r="F536" t="inlineStr">
        <is>
          <t>VÄRMLANDS LÄN</t>
        </is>
      </c>
      <c r="G536" t="inlineStr">
        <is>
          <t>FILIPSTAD</t>
        </is>
      </c>
      <c r="I536" t="n">
        <v>15.3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16103-2025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45750</v>
      </c>
      <c r="E537" s="1" t="n">
        <v>46261</v>
      </c>
      <c r="F537" t="inlineStr">
        <is>
          <t>VÄRMLANDS LÄN</t>
        </is>
      </c>
      <c r="G537" t="inlineStr">
        <is>
          <t>FILIPSTAD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45328</v>
      </c>
      <c r="E538" s="1" t="n">
        <v>46261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36251-2022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44803</v>
      </c>
      <c r="E539" s="1" t="n">
        <v>46261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33671-2022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44789</v>
      </c>
      <c r="E540" s="1" t="n">
        <v>46261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46257-2022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44847</v>
      </c>
      <c r="E541" s="1" t="n">
        <v>46261</v>
      </c>
      <c r="F541" t="inlineStr">
        <is>
          <t>VÄRMLANDS LÄN</t>
        </is>
      </c>
      <c r="G541" t="inlineStr">
        <is>
          <t>FILIPSTAD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36827-2022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44805</v>
      </c>
      <c r="E542" s="1" t="n">
        <v>46261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37611-2022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44809</v>
      </c>
      <c r="E543" s="1" t="n">
        <v>46261</v>
      </c>
      <c r="F543" t="inlineStr">
        <is>
          <t>VÄRMLANDS LÄN</t>
        </is>
      </c>
      <c r="G543" t="inlineStr">
        <is>
          <t>FILIPSTAD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57244-2023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45245</v>
      </c>
      <c r="E544" s="1" t="n">
        <v>46261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45087</v>
      </c>
      <c r="E545" s="1" t="n">
        <v>46261</v>
      </c>
      <c r="F545" t="inlineStr">
        <is>
          <t>VÄRMLANDS LÄN</t>
        </is>
      </c>
      <c r="G545" t="inlineStr">
        <is>
          <t>FILIPSTAD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45177</v>
      </c>
      <c r="E546" s="1" t="n">
        <v>46261</v>
      </c>
      <c r="F546" t="inlineStr">
        <is>
          <t>VÄRMLANDS LÄN</t>
        </is>
      </c>
      <c r="G546" t="inlineStr">
        <is>
          <t>FILIPSTAD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45139-2021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44439</v>
      </c>
      <c r="E547" s="1" t="n">
        <v>46261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53034-2022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44876</v>
      </c>
      <c r="E548" s="1" t="n">
        <v>46261</v>
      </c>
      <c r="F548" t="inlineStr">
        <is>
          <t>VÄRMLANDS LÄN</t>
        </is>
      </c>
      <c r="G548" t="inlineStr">
        <is>
          <t>FILIPSTAD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53348-2023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45229</v>
      </c>
      <c r="E549" s="1" t="n">
        <v>46261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51985-2023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46261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50904-2023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46261</v>
      </c>
      <c r="F551" t="inlineStr">
        <is>
          <t>VÄRMLANDS LÄN</t>
        </is>
      </c>
      <c r="G551" t="inlineStr">
        <is>
          <t>FILIPSTAD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55397-2022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44887</v>
      </c>
      <c r="E552" s="1" t="n">
        <v>46261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44960</v>
      </c>
      <c r="E553" s="1" t="n">
        <v>46261</v>
      </c>
      <c r="F553" t="inlineStr">
        <is>
          <t>VÄRMLANDS LÄN</t>
        </is>
      </c>
      <c r="G553" t="inlineStr">
        <is>
          <t>FILIPSTAD</t>
        </is>
      </c>
      <c r="H553" t="inlineStr">
        <is>
          <t>Kommuner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55978-2022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44889</v>
      </c>
      <c r="E554" s="1" t="n">
        <v>46261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50856-2022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44867</v>
      </c>
      <c r="E555" s="1" t="n">
        <v>46261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61628-2022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46261</v>
      </c>
      <c r="F556" t="inlineStr">
        <is>
          <t>VÄRMLANDS LÄN</t>
        </is>
      </c>
      <c r="G556" t="inlineStr">
        <is>
          <t>FILIPSTAD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43264-2024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45568</v>
      </c>
      <c r="E557" s="1" t="n">
        <v>46261</v>
      </c>
      <c r="F557" t="inlineStr">
        <is>
          <t>VÄRMLANDS LÄN</t>
        </is>
      </c>
      <c r="G557" t="inlineStr">
        <is>
          <t>FILIPSTAD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45253</v>
      </c>
      <c r="E558" s="1" t="n">
        <v>46261</v>
      </c>
      <c r="F558" t="inlineStr">
        <is>
          <t>VÄRMLANDS LÄN</t>
        </is>
      </c>
      <c r="G558" t="inlineStr">
        <is>
          <t>FILIPSTAD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11680-2023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44994</v>
      </c>
      <c r="E559" s="1" t="n">
        <v>46261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44384-2021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44435</v>
      </c>
      <c r="E560" s="1" t="n">
        <v>46261</v>
      </c>
      <c r="F560" t="inlineStr">
        <is>
          <t>VÄRMLANDS LÄN</t>
        </is>
      </c>
      <c r="G560" t="inlineStr">
        <is>
          <t>FILIPSTAD</t>
        </is>
      </c>
      <c r="I560" t="n">
        <v>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36680-2023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45153</v>
      </c>
      <c r="E561" s="1" t="n">
        <v>46261</v>
      </c>
      <c r="F561" t="inlineStr">
        <is>
          <t>VÄRMLANDS LÄN</t>
        </is>
      </c>
      <c r="G561" t="inlineStr">
        <is>
          <t>FILIPSTAD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5803-2023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44963</v>
      </c>
      <c r="E562" s="1" t="n">
        <v>46261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50776-2024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45602</v>
      </c>
      <c r="E563" s="1" t="n">
        <v>46261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44872</v>
      </c>
      <c r="E564" s="1" t="n">
        <v>46261</v>
      </c>
      <c r="F564" t="inlineStr">
        <is>
          <t>VÄRMLANDS LÄN</t>
        </is>
      </c>
      <c r="G564" t="inlineStr">
        <is>
          <t>FILIPSTAD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71971-2021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44544</v>
      </c>
      <c r="E565" s="1" t="n">
        <v>46261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45114</v>
      </c>
      <c r="E566" s="1" t="n">
        <v>46261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9370-2023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44981</v>
      </c>
      <c r="E567" s="1" t="n">
        <v>46261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8.1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54008-2021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44470</v>
      </c>
      <c r="E568" s="1" t="n">
        <v>46261</v>
      </c>
      <c r="F568" t="inlineStr">
        <is>
          <t>VÄRMLANDS LÄN</t>
        </is>
      </c>
      <c r="G568" t="inlineStr">
        <is>
          <t>FILIPSTAD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50786-2024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46261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5846-2023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44963</v>
      </c>
      <c r="E570" s="1" t="n">
        <v>46261</v>
      </c>
      <c r="F570" t="inlineStr">
        <is>
          <t>VÄRMLANDS LÄN</t>
        </is>
      </c>
      <c r="G570" t="inlineStr">
        <is>
          <t>FILIPSTAD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36809-2022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44805</v>
      </c>
      <c r="E571" s="1" t="n">
        <v>46261</v>
      </c>
      <c r="F571" t="inlineStr">
        <is>
          <t>VÄRMLANDS LÄN</t>
        </is>
      </c>
      <c r="G571" t="inlineStr">
        <is>
          <t>FILIPSTAD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33967-2023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45124</v>
      </c>
      <c r="E572" s="1" t="n">
        <v>46261</v>
      </c>
      <c r="F572" t="inlineStr">
        <is>
          <t>VÄRMLANDS LÄN</t>
        </is>
      </c>
      <c r="G572" t="inlineStr">
        <is>
          <t>FILIPSTAD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33973-2023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45124</v>
      </c>
      <c r="E573" s="1" t="n">
        <v>46261</v>
      </c>
      <c r="F573" t="inlineStr">
        <is>
          <t>VÄRMLANDS LÄN</t>
        </is>
      </c>
      <c r="G573" t="inlineStr">
        <is>
          <t>FILIPSTAD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61741-2022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44911</v>
      </c>
      <c r="E574" s="1" t="n">
        <v>46261</v>
      </c>
      <c r="F574" t="inlineStr">
        <is>
          <t>VÄRMLANDS LÄN</t>
        </is>
      </c>
      <c r="G574" t="inlineStr">
        <is>
          <t>FILIPSTAD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25737-2023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45090</v>
      </c>
      <c r="E575" s="1" t="n">
        <v>46261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2443-2022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44579</v>
      </c>
      <c r="E576" s="1" t="n">
        <v>46261</v>
      </c>
      <c r="F576" t="inlineStr">
        <is>
          <t>VÄRMLANDS LÄN</t>
        </is>
      </c>
      <c r="G576" t="inlineStr">
        <is>
          <t>FILIPSTAD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15471-2024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45401</v>
      </c>
      <c r="E577" s="1" t="n">
        <v>46261</v>
      </c>
      <c r="F577" t="inlineStr">
        <is>
          <t>VÄRMLANDS LÄN</t>
        </is>
      </c>
      <c r="G577" t="inlineStr">
        <is>
          <t>FILIPSTAD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45516</v>
      </c>
      <c r="E578" s="1" t="n">
        <v>46261</v>
      </c>
      <c r="F578" t="inlineStr">
        <is>
          <t>VÄRMLANDS LÄN</t>
        </is>
      </c>
      <c r="G578" t="inlineStr">
        <is>
          <t>FILIPSTAD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5992-2023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44959</v>
      </c>
      <c r="E579" s="1" t="n">
        <v>46261</v>
      </c>
      <c r="F579" t="inlineStr">
        <is>
          <t>VÄRMLANDS LÄN</t>
        </is>
      </c>
      <c r="G579" t="inlineStr">
        <is>
          <t>FILIPSTAD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62014-2024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45655</v>
      </c>
      <c r="E580" s="1" t="n">
        <v>46261</v>
      </c>
      <c r="F580" t="inlineStr">
        <is>
          <t>VÄRMLANDS LÄN</t>
        </is>
      </c>
      <c r="G580" t="inlineStr">
        <is>
          <t>FILIPSTAD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17686-2023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45037</v>
      </c>
      <c r="E581" s="1" t="n">
        <v>46261</v>
      </c>
      <c r="F581" t="inlineStr">
        <is>
          <t>VÄRMLANDS LÄN</t>
        </is>
      </c>
      <c r="G581" t="inlineStr">
        <is>
          <t>FILIPSTAD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45327</v>
      </c>
      <c r="E582" s="1" t="n">
        <v>46261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9.300000000000001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45516-2024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45578</v>
      </c>
      <c r="E583" s="1" t="n">
        <v>46261</v>
      </c>
      <c r="F583" t="inlineStr">
        <is>
          <t>VÄRMLANDS LÄN</t>
        </is>
      </c>
      <c r="G583" t="inlineStr">
        <is>
          <t>FILIPSTAD</t>
        </is>
      </c>
      <c r="I583" t="n">
        <v>27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46680-2024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45583</v>
      </c>
      <c r="E584" s="1" t="n">
        <v>46261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22830-2023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45072</v>
      </c>
      <c r="E585" s="1" t="n">
        <v>46261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62013-2024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45655</v>
      </c>
      <c r="E586" s="1" t="n">
        <v>46261</v>
      </c>
      <c r="F586" t="inlineStr">
        <is>
          <t>VÄRMLANDS LÄN</t>
        </is>
      </c>
      <c r="G586" t="inlineStr">
        <is>
          <t>FILIPSTAD</t>
        </is>
      </c>
      <c r="I586" t="n">
        <v>26.5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48040-2023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46261</v>
      </c>
      <c r="F587" t="inlineStr">
        <is>
          <t>VÄRMLANDS LÄN</t>
        </is>
      </c>
      <c r="G587" t="inlineStr">
        <is>
          <t>FILIPSTAD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48908-2023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45195</v>
      </c>
      <c r="E588" s="1" t="n">
        <v>46261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1042-2023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44935</v>
      </c>
      <c r="E589" s="1" t="n">
        <v>46261</v>
      </c>
      <c r="F589" t="inlineStr">
        <is>
          <t>VÄRMLANDS LÄN</t>
        </is>
      </c>
      <c r="G589" t="inlineStr">
        <is>
          <t>FILIPSTAD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45720</v>
      </c>
      <c r="E590" s="1" t="n">
        <v>46261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41075-2023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45173</v>
      </c>
      <c r="E591" s="1" t="n">
        <v>46261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14582-2025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45742</v>
      </c>
      <c r="E592" s="1" t="n">
        <v>46261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56840-2024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45628</v>
      </c>
      <c r="E593" s="1" t="n">
        <v>46261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8692-2025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45712</v>
      </c>
      <c r="E594" s="1" t="n">
        <v>46261</v>
      </c>
      <c r="F594" t="inlineStr">
        <is>
          <t>VÄRMLANDS LÄN</t>
        </is>
      </c>
      <c r="G594" t="inlineStr">
        <is>
          <t>FILIPSTAD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23618-2023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45077</v>
      </c>
      <c r="E595" s="1" t="n">
        <v>46261</v>
      </c>
      <c r="F595" t="inlineStr">
        <is>
          <t>VÄRMLANDS LÄN</t>
        </is>
      </c>
      <c r="G595" t="inlineStr">
        <is>
          <t>FILIPSTAD</t>
        </is>
      </c>
      <c r="I595" t="n">
        <v>15.8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60524-2024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45643</v>
      </c>
      <c r="E596" s="1" t="n">
        <v>46261</v>
      </c>
      <c r="F596" t="inlineStr">
        <is>
          <t>VÄRMLANDS LÄN</t>
        </is>
      </c>
      <c r="G596" t="inlineStr">
        <is>
          <t>FILIPSTAD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45740</v>
      </c>
      <c r="E597" s="1" t="n">
        <v>46261</v>
      </c>
      <c r="F597" t="inlineStr">
        <is>
          <t>VÄRMLANDS LÄN</t>
        </is>
      </c>
      <c r="G597" t="inlineStr">
        <is>
          <t>FILIPSTAD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15228-2025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45744</v>
      </c>
      <c r="E598" s="1" t="n">
        <v>46261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17.7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45436</v>
      </c>
      <c r="E599" s="1" t="n">
        <v>46261</v>
      </c>
      <c r="F599" t="inlineStr">
        <is>
          <t>VÄRMLANDS LÄN</t>
        </is>
      </c>
      <c r="G599" t="inlineStr">
        <is>
          <t>FILIPSTAD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46261</v>
      </c>
      <c r="F600" t="inlineStr">
        <is>
          <t>VÄRMLANDS LÄN</t>
        </is>
      </c>
      <c r="G600" t="inlineStr">
        <is>
          <t>FILIPSTAD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45299</v>
      </c>
      <c r="E601" s="1" t="n">
        <v>46261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45495</v>
      </c>
      <c r="E602" s="1" t="n">
        <v>46261</v>
      </c>
      <c r="F602" t="inlineStr">
        <is>
          <t>VÄRMLANDS LÄN</t>
        </is>
      </c>
      <c r="G602" t="inlineStr">
        <is>
          <t>FILIPSTAD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27139-2024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45471</v>
      </c>
      <c r="E603" s="1" t="n">
        <v>46261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17244-2024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45414</v>
      </c>
      <c r="E604" s="1" t="n">
        <v>46261</v>
      </c>
      <c r="F604" t="inlineStr">
        <is>
          <t>VÄRMLANDS LÄN</t>
        </is>
      </c>
      <c r="G604" t="inlineStr">
        <is>
          <t>FILIPSTAD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20875-2024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45439</v>
      </c>
      <c r="E605" s="1" t="n">
        <v>46261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45667</v>
      </c>
      <c r="E606" s="1" t="n">
        <v>46261</v>
      </c>
      <c r="F606" t="inlineStr">
        <is>
          <t>VÄRMLANDS LÄN</t>
        </is>
      </c>
      <c r="G606" t="inlineStr">
        <is>
          <t>FILIPSTAD</t>
        </is>
      </c>
      <c r="H606" t="inlineStr">
        <is>
          <t>Kommuner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46261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65167-2021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46261</v>
      </c>
      <c r="F608" t="inlineStr">
        <is>
          <t>VÄRMLANDS LÄN</t>
        </is>
      </c>
      <c r="G608" t="inlineStr">
        <is>
          <t>FILIPSTAD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46261</v>
      </c>
      <c r="F609" t="inlineStr">
        <is>
          <t>VÄRMLANDS LÄN</t>
        </is>
      </c>
      <c r="G609" t="inlineStr">
        <is>
          <t>FILIPSTAD</t>
        </is>
      </c>
      <c r="H609" t="inlineStr">
        <is>
          <t>Kyrkan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46261</v>
      </c>
      <c r="F610" t="inlineStr">
        <is>
          <t>VÄRMLANDS LÄN</t>
        </is>
      </c>
      <c r="G610" t="inlineStr">
        <is>
          <t>FILIPSTAD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46261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5757-2021</t>
        </is>
      </c>
      <c r="B612" t="inlineStr">
        <is>
          <t>samrådsanmälan</t>
        </is>
      </c>
      <c r="C612" t="inlineStr">
        <is>
          <t>Basväg</t>
        </is>
      </c>
      <c r="D612" s="1" t="n">
        <v>44438</v>
      </c>
      <c r="E612" s="1" t="n">
        <v>46261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1191-2021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44328</v>
      </c>
      <c r="E613" s="1" t="n">
        <v>46261</v>
      </c>
      <c r="F613" t="inlineStr">
        <is>
          <t>VÄRMLANDS LÄN</t>
        </is>
      </c>
      <c r="G613" t="inlineStr">
        <is>
          <t>FILIPSTAD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4134-2023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46261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4115-2023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45246</v>
      </c>
      <c r="E615" s="1" t="n">
        <v>46261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4137-2023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46261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4132-2023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46261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8.300000000000001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4130-2023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46261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4127-2023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46261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837-2023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46261</v>
      </c>
      <c r="F620" t="inlineStr">
        <is>
          <t>VÄRMLANDS LÄN</t>
        </is>
      </c>
      <c r="G620" t="inlineStr">
        <is>
          <t>FILIPSTAD</t>
        </is>
      </c>
      <c r="I620" t="n">
        <v>19.3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4129-2023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46261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3919-2023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45233</v>
      </c>
      <c r="E622" s="1" t="n">
        <v>46261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4135-2023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46261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6078-2021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44442</v>
      </c>
      <c r="E624" s="1" t="n">
        <v>46261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4126-2023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46261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294-2025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45687</v>
      </c>
      <c r="E626" s="1" t="n">
        <v>46261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186.4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4116-2023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45246</v>
      </c>
      <c r="E627" s="1" t="n">
        <v>46261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661-2025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45716</v>
      </c>
      <c r="E628" s="1" t="n">
        <v>46261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161.7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3429-2025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45995</v>
      </c>
      <c r="E629" s="1" t="n">
        <v>46261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3576-2025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46010</v>
      </c>
      <c r="E630" s="1" t="n">
        <v>46261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27.1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105-2026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46036</v>
      </c>
      <c r="E631" s="1" t="n">
        <v>46261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238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2026-08-27T01:52:38Z</dcterms:created>
  <dcterms:modified xmlns:dcterms="http://purl.org/dc/terms/" xmlns:xsi="http://www.w3.org/2001/XMLSchema-instance" xsi:type="dcterms:W3CDTF">2026-08-27T01:52:39Z</dcterms:modified>
</cp:coreProperties>
</file>