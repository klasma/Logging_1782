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46324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46324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46324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57471-2025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45980</v>
      </c>
      <c r="E5" s="1" t="n">
        <v>46324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14.4</v>
      </c>
      <c r="J5" t="n">
        <v>1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36</v>
      </c>
      <c r="U5" t="n">
        <v>0</v>
      </c>
      <c r="V5" s="2" t="inlineStr">
        <is>
          <t>Garnlav
Kattfotslav
Bollvitmossa
Vågbandad barkbock
Fläcknycklar</t>
        </is>
      </c>
      <c r="W5">
        <f>HYPERLINK("https://klasma.github.io/Logging_1782/artfynd/A 57471-2025 artfynd.xlsx", "A 57471-2025")</f>
        <v/>
      </c>
      <c r="X5">
        <f>HYPERLINK("https://klasma.github.io/Logging_1782/kartor/A 57471-2025 karta.png", "A 57471-2025")</f>
        <v/>
      </c>
      <c r="Y5">
        <f>HYPERLINK("https://klasma.github.io/Logging_1782/kartor_geotiff/A 57471-2025 georefererad karta.tif", "A 57471-2025")</f>
        <v/>
      </c>
      <c r="AA5">
        <f>HYPERLINK("https://klasma.github.io/Logging_1782/klagomål/A 57471-2025 FSC-klagomål.docx", "A 57471-2025")</f>
        <v/>
      </c>
      <c r="AB5">
        <f>HYPERLINK("https://klasma.github.io/Logging_1782/klagomålsmail/A 57471-2025 FSC-klagomål mail.docx", "A 57471-2025")</f>
        <v/>
      </c>
      <c r="AC5">
        <f>HYPERLINK("https://klasma.github.io/Logging_1782/tillsyn/A 57471-2025 tillsynsbegäran.docx", "A 57471-2025")</f>
        <v/>
      </c>
      <c r="AD5">
        <f>HYPERLINK("https://klasma.github.io/Logging_1782/tillsynsmail/A 57471-2025 tillsynsbegäran mail.docx", "A 57471-2025")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46324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46324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46324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46324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45714-2025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45923</v>
      </c>
      <c r="E11" s="1" t="n">
        <v>46324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5</v>
      </c>
      <c r="U11" t="n">
        <v>4</v>
      </c>
      <c r="V11" s="2" t="inlineStr">
        <is>
          <t>Brunklöver
Skuggblåslav
Bårdlav</t>
        </is>
      </c>
      <c r="W11">
        <f>HYPERLINK("https://klasma.github.io/Logging_1782/artfynd/A 45714-2025 artfynd.xlsx", "A 45714-2025")</f>
        <v/>
      </c>
      <c r="X11">
        <f>HYPERLINK("https://klasma.github.io/Logging_1782/kartor/A 45714-2025 karta.png", "A 45714-2025")</f>
        <v/>
      </c>
      <c r="Y11">
        <f>HYPERLINK("https://klasma.github.io/Logging_1782/kartor_geotiff/A 45714-2025 georefererad karta.tif", "A 45714-2025")</f>
        <v/>
      </c>
      <c r="AA11">
        <f>HYPERLINK("https://klasma.github.io/Logging_1782/klagomål/A 45714-2025 FSC-klagomål.docx", "A 45714-2025")</f>
        <v/>
      </c>
      <c r="AB11">
        <f>HYPERLINK("https://klasma.github.io/Logging_1782/klagomålsmail/A 45714-2025 FSC-klagomål mail.docx", "A 45714-2025")</f>
        <v/>
      </c>
      <c r="AC11">
        <f>HYPERLINK("https://klasma.github.io/Logging_1782/tillsyn/A 45714-2025 tillsynsbegäran.docx", "A 45714-2025")</f>
        <v/>
      </c>
      <c r="AD11">
        <f>HYPERLINK("https://klasma.github.io/Logging_1782/tillsynsmail/A 45714-2025 tillsynsbegäran mail.docx", "A 45714-2025")</f>
        <v/>
      </c>
    </row>
    <row r="12" ht="15" customHeight="1">
      <c r="A12" t="inlineStr">
        <is>
          <t>A 28915-2026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46324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12.3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11</v>
      </c>
      <c r="U12" t="n">
        <v>11</v>
      </c>
      <c r="V12" s="2" t="inlineStr">
        <is>
          <t>Plattlummer
Stjärnstarr
Fläcknycklar</t>
        </is>
      </c>
      <c r="W12">
        <f>HYPERLINK("https://klasma.github.io/Logging_1782/artfynd/A 28915-2026 artfynd.xlsx", "A 28915-2026")</f>
        <v/>
      </c>
      <c r="X12">
        <f>HYPERLINK("https://klasma.github.io/Logging_1782/kartor/A 28915-2026 karta.png", "A 28915-2026")</f>
        <v/>
      </c>
      <c r="Y12">
        <f>HYPERLINK("https://klasma.github.io/Logging_1782/kartor_geotiff/A 28915-2026 georefererad karta.tif", "A 28915-2026")</f>
        <v/>
      </c>
      <c r="AA12">
        <f>HYPERLINK("https://klasma.github.io/Logging_1782/klagomål/A 28915-2026 FSC-klagomål.docx", "A 28915-2026")</f>
        <v/>
      </c>
      <c r="AB12">
        <f>HYPERLINK("https://klasma.github.io/Logging_1782/klagomålsmail/A 28915-2026 FSC-klagomål mail.docx", "A 28915-2026")</f>
        <v/>
      </c>
      <c r="AC12">
        <f>HYPERLINK("https://klasma.github.io/Logging_1782/tillsyn/A 28915-2026 tillsynsbegäran.docx", "A 28915-2026")</f>
        <v/>
      </c>
      <c r="AD12">
        <f>HYPERLINK("https://klasma.github.io/Logging_1782/tillsynsmail/A 28915-2026 tillsynsbegäran mail.docx", "A 28915-2026")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46324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38667-2026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46283</v>
      </c>
      <c r="E14" s="1" t="n">
        <v>46324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10.7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t="n">
        <v>0</v>
      </c>
      <c r="V14" s="2" t="inlineStr">
        <is>
          <t>Brunklöver
Tvåblad
Fläcknycklar</t>
        </is>
      </c>
      <c r="W14">
        <f>HYPERLINK("https://klasma.github.io/Logging_1782/artfynd/A 38667-2026 artfynd.xlsx", "A 38667-2026")</f>
        <v/>
      </c>
      <c r="X14">
        <f>HYPERLINK("https://klasma.github.io/Logging_1782/kartor/A 38667-2026 karta.png", "A 38667-2026")</f>
        <v/>
      </c>
      <c r="Y14">
        <f>HYPERLINK("https://klasma.github.io/Logging_1782/kartor_geotiff/A 38667-2026 georefererad karta.tif", "A 38667-2026")</f>
        <v/>
      </c>
      <c r="AA14">
        <f>HYPERLINK("https://klasma.github.io/Logging_1782/klagomål/A 38667-2026 FSC-klagomål.docx", "A 38667-2026")</f>
        <v/>
      </c>
      <c r="AB14">
        <f>HYPERLINK("https://klasma.github.io/Logging_1782/klagomålsmail/A 38667-2026 FSC-klagomål mail.docx", "A 38667-2026")</f>
        <v/>
      </c>
      <c r="AC14">
        <f>HYPERLINK("https://klasma.github.io/Logging_1782/tillsyn/A 38667-2026 tillsynsbegäran.docx", "A 38667-2026")</f>
        <v/>
      </c>
      <c r="AD14">
        <f>HYPERLINK("https://klasma.github.io/Logging_1782/tillsynsmail/A 38667-2026 tillsynsbegäran mail.docx", "A 38667-2026")</f>
        <v/>
      </c>
    </row>
    <row r="15" ht="15" customHeight="1">
      <c r="A15" t="inlineStr">
        <is>
          <t>A 34684-2026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46324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7.2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Bårdlav
Stuplav
Fläcknycklar</t>
        </is>
      </c>
      <c r="W15">
        <f>HYPERLINK("https://klasma.github.io/Logging_1782/artfynd/A 34684-2026 artfynd.xlsx", "A 34684-2026")</f>
        <v/>
      </c>
      <c r="X15">
        <f>HYPERLINK("https://klasma.github.io/Logging_1782/kartor/A 34684-2026 karta.png", "A 34684-2026")</f>
        <v/>
      </c>
      <c r="Y15">
        <f>HYPERLINK("https://klasma.github.io/Logging_1782/kartor_geotiff/A 34684-2026 georefererad karta.tif", "A 34684-2026")</f>
        <v/>
      </c>
      <c r="AA15">
        <f>HYPERLINK("https://klasma.github.io/Logging_1782/klagomål/A 34684-2026 FSC-klagomål.docx", "A 34684-2026")</f>
        <v/>
      </c>
      <c r="AB15">
        <f>HYPERLINK("https://klasma.github.io/Logging_1782/klagomålsmail/A 34684-2026 FSC-klagomål mail.docx", "A 34684-2026")</f>
        <v/>
      </c>
      <c r="AC15">
        <f>HYPERLINK("https://klasma.github.io/Logging_1782/tillsyn/A 34684-2026 tillsynsbegäran.docx", "A 34684-2026")</f>
        <v/>
      </c>
      <c r="AD15">
        <f>HYPERLINK("https://klasma.github.io/Logging_1782/tillsynsmail/A 34684-2026 tillsynsbegäran mail.docx", "A 34684-2026")</f>
        <v/>
      </c>
    </row>
    <row r="16" ht="15" customHeight="1">
      <c r="A16" t="inlineStr">
        <is>
          <t>A 43333-2023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45183</v>
      </c>
      <c r="E16" s="1" t="n">
        <v>46324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19.4</v>
      </c>
      <c r="J16" t="n">
        <v>1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Norsk näverlav
Skuggblåslav
Grön sköldmossa</t>
        </is>
      </c>
      <c r="W16">
        <f>HYPERLINK("https://klasma.github.io/Logging_1782/artfynd/A 43333-2023 artfynd.xlsx", "A 43333-2023")</f>
        <v/>
      </c>
      <c r="X16">
        <f>HYPERLINK("https://klasma.github.io/Logging_1782/kartor/A 43333-2023 karta.png", "A 43333-2023")</f>
        <v/>
      </c>
      <c r="Y16">
        <f>HYPERLINK("https://klasma.github.io/Logging_1782/kartor_geotiff/A 43333-2023 georefererad karta.tif", "A 43333-2023")</f>
        <v/>
      </c>
      <c r="AA16">
        <f>HYPERLINK("https://klasma.github.io/Logging_1782/klagomål/A 43333-2023 FSC-klagomål.docx", "A 43333-2023")</f>
        <v/>
      </c>
      <c r="AB16">
        <f>HYPERLINK("https://klasma.github.io/Logging_1782/klagomålsmail/A 43333-2023 FSC-klagomål mail.docx", "A 43333-2023")</f>
        <v/>
      </c>
      <c r="AC16">
        <f>HYPERLINK("https://klasma.github.io/Logging_1782/tillsyn/A 43333-2023 tillsynsbegäran.docx", "A 43333-2023")</f>
        <v/>
      </c>
      <c r="AD16">
        <f>HYPERLINK("https://klasma.github.io/Logging_1782/tillsynsmail/A 43333-2023 tillsynsbegäran mail.docx", "A 43333-2023")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46324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46324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46324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16139-2025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45750</v>
      </c>
      <c r="E20" s="1" t="n">
        <v>46324</v>
      </c>
      <c r="F20" t="inlineStr">
        <is>
          <t>VÄRMLANDS LÄN</t>
        </is>
      </c>
      <c r="G20" t="inlineStr">
        <is>
          <t>FILIPSTAD</t>
        </is>
      </c>
      <c r="I20" t="n">
        <v>18.2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Bronshjon</t>
        </is>
      </c>
      <c r="W20">
        <f>HYPERLINK("https://klasma.github.io/Logging_1782/artfynd/A 16139-2025 artfynd.xlsx", "A 16139-2025")</f>
        <v/>
      </c>
      <c r="X20">
        <f>HYPERLINK("https://klasma.github.io/Logging_1782/kartor/A 16139-2025 karta.png", "A 16139-2025")</f>
        <v/>
      </c>
      <c r="Y20">
        <f>HYPERLINK("https://klasma.github.io/Logging_1782/kartor_geotiff/A 16139-2025 georefererad karta.tif", "A 16139-2025")</f>
        <v/>
      </c>
      <c r="AA20">
        <f>HYPERLINK("https://klasma.github.io/Logging_1782/klagomål/A 16139-2025 FSC-klagomål.docx", "A 16139-2025")</f>
        <v/>
      </c>
      <c r="AB20">
        <f>HYPERLINK("https://klasma.github.io/Logging_1782/klagomålsmail/A 16139-2025 FSC-klagomål mail.docx", "A 16139-2025")</f>
        <v/>
      </c>
      <c r="AC20">
        <f>HYPERLINK("https://klasma.github.io/Logging_1782/tillsyn/A 16139-2025 tillsynsbegäran.docx", "A 16139-2025")</f>
        <v/>
      </c>
      <c r="AD20">
        <f>HYPERLINK("https://klasma.github.io/Logging_1782/tillsynsmail/A 16139-2025 tillsynsbegäran mail.docx", "A 16139-2025")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46324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Igelkott
Fläcknycklar</t>
        </is>
      </c>
      <c r="W21">
        <f>HYPERLINK("https://klasma.github.io/Logging_1782/artfynd/A 29469-2026 artfynd.xlsx", "A 29469-2026")</f>
        <v/>
      </c>
      <c r="X21">
        <f>HYPERLINK("https://klasma.github.io/Logging_1782/kartor/A 29469-2026 karta.png", "A 29469-2026")</f>
        <v/>
      </c>
      <c r="Y21">
        <f>HYPERLINK("https://klasma.github.io/Logging_1782/kartor_geotiff/A 29469-2026 georefererad karta.tif", "A 29469-2026")</f>
        <v/>
      </c>
      <c r="AA21">
        <f>HYPERLINK("https://klasma.github.io/Logging_1782/klagomål/A 29469-2026 FSC-klagomål.docx", "A 29469-2026")</f>
        <v/>
      </c>
      <c r="AB21">
        <f>HYPERLINK("https://klasma.github.io/Logging_1782/klagomålsmail/A 29469-2026 FSC-klagomål mail.docx", "A 29469-2026")</f>
        <v/>
      </c>
      <c r="AC21">
        <f>HYPERLINK("https://klasma.github.io/Logging_1782/tillsyn/A 29469-2026 tillsynsbegäran.docx", "A 29469-2026")</f>
        <v/>
      </c>
      <c r="AD21">
        <f>HYPERLINK("https://klasma.github.io/Logging_1782/tillsynsmail/A 29469-2026 tillsynsbegäran mail.docx", "A 29469-2026")</f>
        <v/>
      </c>
    </row>
    <row r="22" ht="15" customHeight="1">
      <c r="A22" t="inlineStr">
        <is>
          <t>A 17274-2024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45414</v>
      </c>
      <c r="E22" s="1" t="n">
        <v>46324</v>
      </c>
      <c r="F22" t="inlineStr">
        <is>
          <t>VÄRMLANDS LÄN</t>
        </is>
      </c>
      <c r="G22" t="inlineStr">
        <is>
          <t>FILIPSTAD</t>
        </is>
      </c>
      <c r="H22" t="inlineStr">
        <is>
          <t>Kommuner</t>
        </is>
      </c>
      <c r="I22" t="n">
        <v>5.8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Dropptaggsvamp
Talltita</t>
        </is>
      </c>
      <c r="W22">
        <f>HYPERLINK("https://klasma.github.io/Logging_1782/artfynd/A 17274-2024 artfynd.xlsx", "A 17274-2024")</f>
        <v/>
      </c>
      <c r="X22">
        <f>HYPERLINK("https://klasma.github.io/Logging_1782/kartor/A 17274-2024 karta.png", "A 17274-2024")</f>
        <v/>
      </c>
      <c r="Y22">
        <f>HYPERLINK("https://klasma.github.io/Logging_1782/kartor_geotiff/A 17274-2024 georefererad karta.tif", "A 17274-2024")</f>
        <v/>
      </c>
      <c r="AA22">
        <f>HYPERLINK("https://klasma.github.io/Logging_1782/klagomål/A 17274-2024 FSC-klagomål.docx", "A 17274-2024")</f>
        <v/>
      </c>
      <c r="AB22">
        <f>HYPERLINK("https://klasma.github.io/Logging_1782/klagomålsmail/A 17274-2024 FSC-klagomål mail.docx", "A 17274-2024")</f>
        <v/>
      </c>
      <c r="AC22">
        <f>HYPERLINK("https://klasma.github.io/Logging_1782/tillsyn/A 17274-2024 tillsynsbegäran.docx", "A 17274-2024")</f>
        <v/>
      </c>
      <c r="AD22">
        <f>HYPERLINK("https://klasma.github.io/Logging_1782/tillsynsmail/A 17274-2024 tillsynsbegäran mail.docx", "A 17274-2024")</f>
        <v/>
      </c>
      <c r="AE22">
        <f>HYPERLINK("https://klasma.github.io/Logging_1782/fåglar/A 17274-2024 prioriterade fågelarter.docx", "A 17274-2024")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46324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46324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46324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46324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45523-2022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44845</v>
      </c>
      <c r="E27" s="1" t="n">
        <v>46324</v>
      </c>
      <c r="F27" t="inlineStr">
        <is>
          <t>VÄRMLANDS LÄN</t>
        </is>
      </c>
      <c r="G27" t="inlineStr">
        <is>
          <t>FILIPSTAD</t>
        </is>
      </c>
      <c r="I27" t="n">
        <v>7.7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Bronshjon
Korallblylav</t>
        </is>
      </c>
      <c r="W27">
        <f>HYPERLINK("https://klasma.github.io/Logging_1782/artfynd/A 45523-2022 artfynd.xlsx", "A 45523-2022")</f>
        <v/>
      </c>
      <c r="X27">
        <f>HYPERLINK("https://klasma.github.io/Logging_1782/kartor/A 45523-2022 karta.png", "A 45523-2022")</f>
        <v/>
      </c>
      <c r="Y27">
        <f>HYPERLINK("https://klasma.github.io/Logging_1782/kartor_geotiff/A 45523-2022 georefererad karta.tif", "A 45523-2022")</f>
        <v/>
      </c>
      <c r="AA27">
        <f>HYPERLINK("https://klasma.github.io/Logging_1782/klagomål/A 45523-2022 FSC-klagomål.docx", "A 45523-2022")</f>
        <v/>
      </c>
      <c r="AB27">
        <f>HYPERLINK("https://klasma.github.io/Logging_1782/klagomålsmail/A 45523-2022 FSC-klagomål mail.docx", "A 45523-2022")</f>
        <v/>
      </c>
      <c r="AC27">
        <f>HYPERLINK("https://klasma.github.io/Logging_1782/tillsyn/A 45523-2022 tillsynsbegäran.docx", "A 45523-2022")</f>
        <v/>
      </c>
      <c r="AD27">
        <f>HYPERLINK("https://klasma.github.io/Logging_1782/tillsynsmail/A 45523-2022 tillsynsbegäran mail.docx", "A 45523-2022")</f>
        <v/>
      </c>
    </row>
    <row r="28" ht="15" customHeight="1">
      <c r="A28" t="inlineStr">
        <is>
          <t>A 42542-2026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46308</v>
      </c>
      <c r="E28" s="1" t="n">
        <v>46324</v>
      </c>
      <c r="F28" t="inlineStr">
        <is>
          <t>VÄRMLANDS LÄN</t>
        </is>
      </c>
      <c r="G28" t="inlineStr">
        <is>
          <t>FILIPSTAD</t>
        </is>
      </c>
      <c r="I28" t="n">
        <v>3.2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Nattviol</t>
        </is>
      </c>
      <c r="W28">
        <f>HYPERLINK("https://klasma.github.io/Logging_1782/artfynd/A 42542-2026 artfynd.xlsx", "A 42542-2026")</f>
        <v/>
      </c>
      <c r="X28">
        <f>HYPERLINK("https://klasma.github.io/Logging_1782/kartor/A 42542-2026 karta.png", "A 42542-2026")</f>
        <v/>
      </c>
      <c r="Y28">
        <f>HYPERLINK("https://klasma.github.io/Logging_1782/kartor_geotiff/A 42542-2026 georefererad karta.tif", "A 42542-2026")</f>
        <v/>
      </c>
      <c r="AA28">
        <f>HYPERLINK("https://klasma.github.io/Logging_1782/klagomål/A 42542-2026 FSC-klagomål.docx", "A 42542-2026")</f>
        <v/>
      </c>
      <c r="AB28">
        <f>HYPERLINK("https://klasma.github.io/Logging_1782/klagomålsmail/A 42542-2026 FSC-klagomål mail.docx", "A 42542-2026")</f>
        <v/>
      </c>
      <c r="AC28">
        <f>HYPERLINK("https://klasma.github.io/Logging_1782/tillsyn/A 42542-2026 tillsynsbegäran.docx", "A 42542-2026")</f>
        <v/>
      </c>
      <c r="AD28">
        <f>HYPERLINK("https://klasma.github.io/Logging_1782/tillsynsmail/A 42542-2026 tillsynsbegäran mail.docx", "A 42542-2026")</f>
        <v/>
      </c>
    </row>
    <row r="29" ht="15" customHeight="1">
      <c r="A29" t="inlineStr">
        <is>
          <t>A 4620-2024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45328</v>
      </c>
      <c r="E29" s="1" t="n">
        <v>46324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2.9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Tvåblad
Brudsporre</t>
        </is>
      </c>
      <c r="W29">
        <f>HYPERLINK("https://klasma.github.io/Logging_1782/artfynd/A 4620-2024 artfynd.xlsx", "A 4620-2024")</f>
        <v/>
      </c>
      <c r="X29">
        <f>HYPERLINK("https://klasma.github.io/Logging_1782/kartor/A 4620-2024 karta.png", "A 4620-2024")</f>
        <v/>
      </c>
      <c r="Y29">
        <f>HYPERLINK("https://klasma.github.io/Logging_1782/kartor_geotiff/A 4620-2024 georefererad karta.tif", "A 4620-2024")</f>
        <v/>
      </c>
      <c r="AA29">
        <f>HYPERLINK("https://klasma.github.io/Logging_1782/klagomål/A 4620-2024 FSC-klagomål.docx", "A 4620-2024")</f>
        <v/>
      </c>
      <c r="AB29">
        <f>HYPERLINK("https://klasma.github.io/Logging_1782/klagomålsmail/A 4620-2024 FSC-klagomål mail.docx", "A 4620-2024")</f>
        <v/>
      </c>
      <c r="AC29">
        <f>HYPERLINK("https://klasma.github.io/Logging_1782/tillsyn/A 4620-2024 tillsynsbegäran.docx", "A 4620-2024")</f>
        <v/>
      </c>
      <c r="AD29">
        <f>HYPERLINK("https://klasma.github.io/Logging_1782/tillsynsmail/A 4620-2024 tillsynsbegäran mail.docx", "A 4620-2024")</f>
        <v/>
      </c>
    </row>
    <row r="30" ht="15" customHeight="1">
      <c r="A30" t="inlineStr">
        <is>
          <t>A 37534-2026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46276</v>
      </c>
      <c r="E30" s="1" t="n">
        <v>46324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2.8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8</v>
      </c>
      <c r="U30" t="n">
        <v>0</v>
      </c>
      <c r="V30" s="2" t="inlineStr">
        <is>
          <t>Garnlav
Spillkråka</t>
        </is>
      </c>
      <c r="W30">
        <f>HYPERLINK("https://klasma.github.io/Logging_1782/artfynd/A 37534-2026 artfynd.xlsx", "A 37534-2026")</f>
        <v/>
      </c>
      <c r="X30">
        <f>HYPERLINK("https://klasma.github.io/Logging_1782/kartor/A 37534-2026 karta.png", "A 37534-2026")</f>
        <v/>
      </c>
      <c r="Y30">
        <f>HYPERLINK("https://klasma.github.io/Logging_1782/kartor_geotiff/A 37534-2026 georefererad karta.tif", "A 37534-2026")</f>
        <v/>
      </c>
      <c r="AA30">
        <f>HYPERLINK("https://klasma.github.io/Logging_1782/klagomål/A 37534-2026 FSC-klagomål.docx", "A 37534-2026")</f>
        <v/>
      </c>
      <c r="AB30">
        <f>HYPERLINK("https://klasma.github.io/Logging_1782/klagomålsmail/A 37534-2026 FSC-klagomål mail.docx", "A 37534-2026")</f>
        <v/>
      </c>
      <c r="AC30">
        <f>HYPERLINK("https://klasma.github.io/Logging_1782/tillsyn/A 37534-2026 tillsynsbegäran.docx", "A 37534-2026")</f>
        <v/>
      </c>
      <c r="AD30">
        <f>HYPERLINK("https://klasma.github.io/Logging_1782/tillsynsmail/A 37534-2026 tillsynsbegäran mail.docx", "A 37534-2026")</f>
        <v/>
      </c>
      <c r="AE30">
        <f>HYPERLINK("https://klasma.github.io/Logging_1782/fåglar/A 37534-2026 prioriterade fågelarter.docx", "A 37534-2026")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46324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46324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46324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11453-2025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45726</v>
      </c>
      <c r="E34" s="1" t="n">
        <v>46324</v>
      </c>
      <c r="F34" t="inlineStr">
        <is>
          <t>VÄRMLANDS LÄN</t>
        </is>
      </c>
      <c r="G34" t="inlineStr">
        <is>
          <t>FILIPSTAD</t>
        </is>
      </c>
      <c r="I34" t="n">
        <v>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Purpurknipprot</t>
        </is>
      </c>
      <c r="W34">
        <f>HYPERLINK("https://klasma.github.io/Logging_1782/artfynd/A 11453-2025 artfynd.xlsx", "A 11453-2025")</f>
        <v/>
      </c>
      <c r="X34">
        <f>HYPERLINK("https://klasma.github.io/Logging_1782/kartor/A 11453-2025 karta.png", "A 11453-2025")</f>
        <v/>
      </c>
      <c r="Y34">
        <f>HYPERLINK("https://klasma.github.io/Logging_1782/kartor_geotiff/A 11453-2025 georefererad karta.tif", "A 11453-2025")</f>
        <v/>
      </c>
      <c r="AA34">
        <f>HYPERLINK("https://klasma.github.io/Logging_1782/klagomål/A 11453-2025 FSC-klagomål.docx", "A 11453-2025")</f>
        <v/>
      </c>
      <c r="AB34">
        <f>HYPERLINK("https://klasma.github.io/Logging_1782/klagomålsmail/A 11453-2025 FSC-klagomål mail.docx", "A 11453-2025")</f>
        <v/>
      </c>
      <c r="AC34">
        <f>HYPERLINK("https://klasma.github.io/Logging_1782/tillsyn/A 11453-2025 tillsynsbegäran.docx", "A 11453-2025")</f>
        <v/>
      </c>
      <c r="AD34">
        <f>HYPERLINK("https://klasma.github.io/Logging_1782/tillsynsmail/A 11453-2025 tillsynsbegäran mail.docx", "A 11453-2025")</f>
        <v/>
      </c>
    </row>
    <row r="35" ht="15" customHeight="1">
      <c r="A35" t="inlineStr">
        <is>
          <t>A 25916-2025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46324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26.4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HYPERLINK("https://klasma.github.io/Logging_1782/artfynd/A 25916-2025 artfynd.xlsx", "A 25916-2025")</f>
        <v/>
      </c>
      <c r="X35">
        <f>HYPERLINK("https://klasma.github.io/Logging_1782/kartor/A 25916-2025 karta.png", "A 25916-2025")</f>
        <v/>
      </c>
      <c r="Y35">
        <f>HYPERLINK("https://klasma.github.io/Logging_1782/kartor_geotiff/A 25916-2025 georefererad karta.tif", "A 25916-2025")</f>
        <v/>
      </c>
      <c r="AA35">
        <f>HYPERLINK("https://klasma.github.io/Logging_1782/klagomål/A 25916-2025 FSC-klagomål.docx", "A 25916-2025")</f>
        <v/>
      </c>
      <c r="AB35">
        <f>HYPERLINK("https://klasma.github.io/Logging_1782/klagomålsmail/A 25916-2025 FSC-klagomål mail.docx", "A 25916-2025")</f>
        <v/>
      </c>
      <c r="AC35">
        <f>HYPERLINK("https://klasma.github.io/Logging_1782/tillsyn/A 25916-2025 tillsynsbegäran.docx", "A 25916-2025")</f>
        <v/>
      </c>
      <c r="AD35">
        <f>HYPERLINK("https://klasma.github.io/Logging_1782/tillsynsmail/A 25916-2025 tillsynsbegäran mail.docx", "A 25916-2025")</f>
        <v/>
      </c>
    </row>
    <row r="36" ht="15" customHeight="1">
      <c r="A36" t="inlineStr">
        <is>
          <t>A 30652-2025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45831</v>
      </c>
      <c r="E36" s="1" t="n">
        <v>46324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4.3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HYPERLINK("https://klasma.github.io/Logging_1782/artfynd/A 30652-2025 artfynd.xlsx", "A 30652-2025")</f>
        <v/>
      </c>
      <c r="X36">
        <f>HYPERLINK("https://klasma.github.io/Logging_1782/kartor/A 30652-2025 karta.png", "A 30652-2025")</f>
        <v/>
      </c>
      <c r="Y36">
        <f>HYPERLINK("https://klasma.github.io/Logging_1782/kartor_geotiff/A 30652-2025 georefererad karta.tif", "A 30652-2025")</f>
        <v/>
      </c>
      <c r="AA36">
        <f>HYPERLINK("https://klasma.github.io/Logging_1782/klagomål/A 30652-2025 FSC-klagomål.docx", "A 30652-2025")</f>
        <v/>
      </c>
      <c r="AB36">
        <f>HYPERLINK("https://klasma.github.io/Logging_1782/klagomålsmail/A 30652-2025 FSC-klagomål mail.docx", "A 30652-2025")</f>
        <v/>
      </c>
      <c r="AC36">
        <f>HYPERLINK("https://klasma.github.io/Logging_1782/tillsyn/A 30652-2025 tillsynsbegäran.docx", "A 30652-2025")</f>
        <v/>
      </c>
      <c r="AD36">
        <f>HYPERLINK("https://klasma.github.io/Logging_1782/tillsynsmail/A 30652-2025 tillsynsbegäran mail.docx", "A 30652-2025")</f>
        <v/>
      </c>
      <c r="AE36">
        <f>HYPERLINK("https://klasma.github.io/Logging_1782/fåglar/A 30652-2025 prioriterade fågelarter.docx", "A 30652-2025")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46324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46324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5992-2023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44959</v>
      </c>
      <c r="E39" s="1" t="n">
        <v>46324</v>
      </c>
      <c r="F39" t="inlineStr">
        <is>
          <t>VÄRMLANDS LÄN</t>
        </is>
      </c>
      <c r="G39" t="inlineStr">
        <is>
          <t>FILIPSTAD</t>
        </is>
      </c>
      <c r="I39" t="n">
        <v>0.6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HYPERLINK("https://klasma.github.io/Logging_1782/artfynd/A 5992-2023 artfynd.xlsx", "A 5992-2023")</f>
        <v/>
      </c>
      <c r="X39">
        <f>HYPERLINK("https://klasma.github.io/Logging_1782/kartor/A 5992-2023 karta.png", "A 5992-2023")</f>
        <v/>
      </c>
      <c r="Y39">
        <f>HYPERLINK("https://klasma.github.io/Logging_1782/kartor_geotiff/A 5992-2023 georefererad karta.tif", "A 5992-2023")</f>
        <v/>
      </c>
      <c r="AA39">
        <f>HYPERLINK("https://klasma.github.io/Logging_1782/klagomål/A 5992-2023 FSC-klagomål.docx", "A 5992-2023")</f>
        <v/>
      </c>
      <c r="AB39">
        <f>HYPERLINK("https://klasma.github.io/Logging_1782/klagomålsmail/A 5992-2023 FSC-klagomål mail.docx", "A 5992-2023")</f>
        <v/>
      </c>
      <c r="AC39">
        <f>HYPERLINK("https://klasma.github.io/Logging_1782/tillsyn/A 5992-2023 tillsynsbegäran.docx", "A 5992-2023")</f>
        <v/>
      </c>
      <c r="AD39">
        <f>HYPERLINK("https://klasma.github.io/Logging_1782/tillsynsmail/A 5992-2023 tillsynsbegäran mail.docx", "A 5992-2023")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46324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HYPERLINK("https://klasma.github.io/Logging_1782/artfynd/A 51522-2022 artfynd.xlsx", "A 51522-2022")</f>
        <v/>
      </c>
      <c r="X40">
        <f>HYPERLINK("https://klasma.github.io/Logging_1782/kartor/A 51522-2022 karta.png", "A 51522-2022")</f>
        <v/>
      </c>
      <c r="Y40">
        <f>HYPERLINK("https://klasma.github.io/Logging_1782/kartor_geotiff/A 51522-2022 georefererad karta.tif", "A 51522-2022")</f>
        <v/>
      </c>
      <c r="AA40">
        <f>HYPERLINK("https://klasma.github.io/Logging_1782/klagomål/A 51522-2022 FSC-klagomål.docx", "A 51522-2022")</f>
        <v/>
      </c>
      <c r="AB40">
        <f>HYPERLINK("https://klasma.github.io/Logging_1782/klagomålsmail/A 51522-2022 FSC-klagomål mail.docx", "A 51522-2022")</f>
        <v/>
      </c>
      <c r="AC40">
        <f>HYPERLINK("https://klasma.github.io/Logging_1782/tillsyn/A 51522-2022 tillsynsbegäran.docx", "A 51522-2022")</f>
        <v/>
      </c>
      <c r="AD40">
        <f>HYPERLINK("https://klasma.github.io/Logging_1782/tillsynsmail/A 51522-2022 tillsynsbegäran mail.docx", "A 51522-2022")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46324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46324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18138-2022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44684</v>
      </c>
      <c r="E43" s="1" t="n">
        <v>46324</v>
      </c>
      <c r="F43" t="inlineStr">
        <is>
          <t>VÄRMLANDS LÄN</t>
        </is>
      </c>
      <c r="G43" t="inlineStr">
        <is>
          <t>FILIPSTAD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HYPERLINK("https://klasma.github.io/Logging_1782/artfynd/A 18138-2022 artfynd.xlsx", "A 18138-2022")</f>
        <v/>
      </c>
      <c r="X43">
        <f>HYPERLINK("https://klasma.github.io/Logging_1782/kartor/A 18138-2022 karta.png", "A 18138-2022")</f>
        <v/>
      </c>
      <c r="Y43">
        <f>HYPERLINK("https://klasma.github.io/Logging_1782/kartor_geotiff/A 18138-2022 georefererad karta.tif", "A 18138-2022")</f>
        <v/>
      </c>
      <c r="AA43">
        <f>HYPERLINK("https://klasma.github.io/Logging_1782/klagomål/A 18138-2022 FSC-klagomål.docx", "A 18138-2022")</f>
        <v/>
      </c>
      <c r="AB43">
        <f>HYPERLINK("https://klasma.github.io/Logging_1782/klagomålsmail/A 18138-2022 FSC-klagomål mail.docx", "A 18138-2022")</f>
        <v/>
      </c>
      <c r="AC43">
        <f>HYPERLINK("https://klasma.github.io/Logging_1782/tillsyn/A 18138-2022 tillsynsbegäran.docx", "A 18138-2022")</f>
        <v/>
      </c>
      <c r="AD43">
        <f>HYPERLINK("https://klasma.github.io/Logging_1782/tillsynsmail/A 18138-2022 tillsynsbegäran mail.docx", "A 18138-2022")</f>
        <v/>
      </c>
    </row>
    <row r="44" ht="15" customHeight="1">
      <c r="A44" t="inlineStr">
        <is>
          <t>A 23046-2023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45075</v>
      </c>
      <c r="E44" s="1" t="n">
        <v>46324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HYPERLINK("https://klasma.github.io/Logging_1782/artfynd/A 23046-2023 artfynd.xlsx", "A 23046-2023")</f>
        <v/>
      </c>
      <c r="X44">
        <f>HYPERLINK("https://klasma.github.io/Logging_1782/kartor/A 23046-2023 karta.png", "A 23046-2023")</f>
        <v/>
      </c>
      <c r="Y44">
        <f>HYPERLINK("https://klasma.github.io/Logging_1782/kartor_geotiff/A 23046-2023 georefererad karta.tif", "A 23046-2023")</f>
        <v/>
      </c>
      <c r="Z44">
        <f>HYPERLINK("https://klasma.github.io/Logging_1782/knärot/A 23046-2023 karta knärot.png", "A 23046-2023")</f>
        <v/>
      </c>
      <c r="AA44">
        <f>HYPERLINK("https://klasma.github.io/Logging_1782/klagomål/A 23046-2023 FSC-klagomål.docx", "A 23046-2023")</f>
        <v/>
      </c>
      <c r="AB44">
        <f>HYPERLINK("https://klasma.github.io/Logging_1782/klagomålsmail/A 23046-2023 FSC-klagomål mail.docx", "A 23046-2023")</f>
        <v/>
      </c>
      <c r="AC44">
        <f>HYPERLINK("https://klasma.github.io/Logging_1782/tillsyn/A 23046-2023 tillsynsbegäran.docx", "A 23046-2023")</f>
        <v/>
      </c>
      <c r="AD44">
        <f>HYPERLINK("https://klasma.github.io/Logging_1782/tillsynsmail/A 23046-2023 tillsynsbegäran mail.docx", "A 23046-2023")</f>
        <v/>
      </c>
    </row>
    <row r="45" ht="15" customHeight="1">
      <c r="A45" t="inlineStr">
        <is>
          <t>A 28989-2026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46324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7.2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28989-2026 artfynd.xlsx", "A 28989-2026")</f>
        <v/>
      </c>
      <c r="X45">
        <f>HYPERLINK("https://klasma.github.io/Logging_1782/kartor/A 28989-2026 karta.png", "A 28989-2026")</f>
        <v/>
      </c>
      <c r="Y45">
        <f>HYPERLINK("https://klasma.github.io/Logging_1782/kartor_geotiff/A 28989-2026 georefererad karta.tif", "A 28989-2026")</f>
        <v/>
      </c>
      <c r="AA45">
        <f>HYPERLINK("https://klasma.github.io/Logging_1782/klagomål/A 28989-2026 FSC-klagomål.docx", "A 28989-2026")</f>
        <v/>
      </c>
      <c r="AB45">
        <f>HYPERLINK("https://klasma.github.io/Logging_1782/klagomålsmail/A 28989-2026 FSC-klagomål mail.docx", "A 28989-2026")</f>
        <v/>
      </c>
      <c r="AC45">
        <f>HYPERLINK("https://klasma.github.io/Logging_1782/tillsyn/A 28989-2026 tillsynsbegäran.docx", "A 28989-2026")</f>
        <v/>
      </c>
      <c r="AD45">
        <f>HYPERLINK("https://klasma.github.io/Logging_1782/tillsynsmail/A 28989-2026 tillsynsbegäran mail.docx", "A 28989-2026")</f>
        <v/>
      </c>
    </row>
    <row r="46" ht="15" customHeight="1">
      <c r="A46" t="inlineStr">
        <is>
          <t>A 46978-2023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45195</v>
      </c>
      <c r="E46" s="1" t="n">
        <v>46324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Nattviol</t>
        </is>
      </c>
      <c r="W46">
        <f>HYPERLINK("https://klasma.github.io/Logging_1782/artfynd/A 46978-2023 artfynd.xlsx", "A 46978-2023")</f>
        <v/>
      </c>
      <c r="X46">
        <f>HYPERLINK("https://klasma.github.io/Logging_1782/kartor/A 46978-2023 karta.png", "A 46978-2023")</f>
        <v/>
      </c>
      <c r="Y46">
        <f>HYPERLINK("https://klasma.github.io/Logging_1782/kartor_geotiff/A 46978-2023 georefererad karta.tif", "A 46978-2023")</f>
        <v/>
      </c>
      <c r="AA46">
        <f>HYPERLINK("https://klasma.github.io/Logging_1782/klagomål/A 46978-2023 FSC-klagomål.docx", "A 46978-2023")</f>
        <v/>
      </c>
      <c r="AB46">
        <f>HYPERLINK("https://klasma.github.io/Logging_1782/klagomålsmail/A 46978-2023 FSC-klagomål mail.docx", "A 46978-2023")</f>
        <v/>
      </c>
      <c r="AC46">
        <f>HYPERLINK("https://klasma.github.io/Logging_1782/tillsyn/A 46978-2023 tillsynsbegäran.docx", "A 46978-2023")</f>
        <v/>
      </c>
      <c r="AD46">
        <f>HYPERLINK("https://klasma.github.io/Logging_1782/tillsynsmail/A 46978-2023 tillsynsbegäran mail.docx", "A 46978-2023")</f>
        <v/>
      </c>
    </row>
    <row r="47" ht="15" customHeight="1">
      <c r="A47" t="inlineStr">
        <is>
          <t>A 50776-2024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46324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15.5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Nattviol</t>
        </is>
      </c>
      <c r="W47">
        <f>HYPERLINK("https://klasma.github.io/Logging_1782/artfynd/A 50776-2024 artfynd.xlsx", "A 50776-2024")</f>
        <v/>
      </c>
      <c r="X47">
        <f>HYPERLINK("https://klasma.github.io/Logging_1782/kartor/A 50776-2024 karta.png", "A 50776-2024")</f>
        <v/>
      </c>
      <c r="Y47">
        <f>HYPERLINK("https://klasma.github.io/Logging_1782/kartor_geotiff/A 50776-2024 georefererad karta.tif", "A 50776-2024")</f>
        <v/>
      </c>
      <c r="AA47">
        <f>HYPERLINK("https://klasma.github.io/Logging_1782/klagomål/A 50776-2024 FSC-klagomål.docx", "A 50776-2024")</f>
        <v/>
      </c>
      <c r="AB47">
        <f>HYPERLINK("https://klasma.github.io/Logging_1782/klagomålsmail/A 50776-2024 FSC-klagomål mail.docx", "A 50776-2024")</f>
        <v/>
      </c>
      <c r="AC47">
        <f>HYPERLINK("https://klasma.github.io/Logging_1782/tillsyn/A 50776-2024 tillsynsbegäran.docx", "A 50776-2024")</f>
        <v/>
      </c>
      <c r="AD47">
        <f>HYPERLINK("https://klasma.github.io/Logging_1782/tillsynsmail/A 50776-2024 tillsynsbegäran mail.docx", "A 50776-2024")</f>
        <v/>
      </c>
    </row>
    <row r="48" ht="15" customHeight="1">
      <c r="A48" t="inlineStr">
        <is>
          <t>A 31257-2026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46324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10.2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Gräsull</t>
        </is>
      </c>
      <c r="W48">
        <f>HYPERLINK("https://klasma.github.io/Logging_1782/artfynd/A 31257-2026 artfynd.xlsx", "A 31257-2026")</f>
        <v/>
      </c>
      <c r="X48">
        <f>HYPERLINK("https://klasma.github.io/Logging_1782/kartor/A 31257-2026 karta.png", "A 31257-2026")</f>
        <v/>
      </c>
      <c r="Y48">
        <f>HYPERLINK("https://klasma.github.io/Logging_1782/kartor_geotiff/A 31257-2026 georefererad karta.tif", "A 31257-2026")</f>
        <v/>
      </c>
      <c r="AA48">
        <f>HYPERLINK("https://klasma.github.io/Logging_1782/klagomål/A 31257-2026 FSC-klagomål.docx", "A 31257-2026")</f>
        <v/>
      </c>
      <c r="AB48">
        <f>HYPERLINK("https://klasma.github.io/Logging_1782/klagomålsmail/A 31257-2026 FSC-klagomål mail.docx", "A 31257-2026")</f>
        <v/>
      </c>
      <c r="AC48">
        <f>HYPERLINK("https://klasma.github.io/Logging_1782/tillsyn/A 31257-2026 tillsynsbegäran.docx", "A 31257-2026")</f>
        <v/>
      </c>
      <c r="AD48">
        <f>HYPERLINK("https://klasma.github.io/Logging_1782/tillsynsmail/A 31257-2026 tillsynsbegäran mail.docx", "A 31257-2026")</f>
        <v/>
      </c>
    </row>
    <row r="49" ht="15" customHeight="1">
      <c r="A49" t="inlineStr">
        <is>
          <t>A 1346-2025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45667</v>
      </c>
      <c r="E49" s="1" t="n">
        <v>46324</v>
      </c>
      <c r="F49" t="inlineStr">
        <is>
          <t>VÄRMLANDS LÄN</t>
        </is>
      </c>
      <c r="G49" t="inlineStr">
        <is>
          <t>FILIPSTAD</t>
        </is>
      </c>
      <c r="H49" t="inlineStr">
        <is>
          <t>Kommuner</t>
        </is>
      </c>
      <c r="I49" t="n">
        <v>6.9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Fläcknycklar</t>
        </is>
      </c>
      <c r="W49">
        <f>HYPERLINK("https://klasma.github.io/Logging_1782/artfynd/A 1346-2025 artfynd.xlsx", "A 1346-2025")</f>
        <v/>
      </c>
      <c r="X49">
        <f>HYPERLINK("https://klasma.github.io/Logging_1782/kartor/A 1346-2025 karta.png", "A 1346-2025")</f>
        <v/>
      </c>
      <c r="Y49">
        <f>HYPERLINK("https://klasma.github.io/Logging_1782/kartor_geotiff/A 1346-2025 georefererad karta.tif", "A 1346-2025")</f>
        <v/>
      </c>
      <c r="AA49">
        <f>HYPERLINK("https://klasma.github.io/Logging_1782/klagomål/A 1346-2025 FSC-klagomål.docx", "A 1346-2025")</f>
        <v/>
      </c>
      <c r="AB49">
        <f>HYPERLINK("https://klasma.github.io/Logging_1782/klagomålsmail/A 1346-2025 FSC-klagomål mail.docx", "A 1346-2025")</f>
        <v/>
      </c>
      <c r="AC49">
        <f>HYPERLINK("https://klasma.github.io/Logging_1782/tillsyn/A 1346-2025 tillsynsbegäran.docx", "A 1346-2025")</f>
        <v/>
      </c>
      <c r="AD49">
        <f>HYPERLINK("https://klasma.github.io/Logging_1782/tillsynsmail/A 1346-2025 tillsynsbegäran mail.docx", "A 1346-2025")</f>
        <v/>
      </c>
    </row>
    <row r="50" ht="15" customHeight="1">
      <c r="A50" t="inlineStr">
        <is>
          <t>A 17529-2026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46324</v>
      </c>
      <c r="F50" t="inlineStr">
        <is>
          <t>VÄRMLANDS LÄN</t>
        </is>
      </c>
      <c r="G50" t="inlineStr">
        <is>
          <t>FILIPSTAD</t>
        </is>
      </c>
      <c r="I50" t="n">
        <v>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Ädellav</t>
        </is>
      </c>
      <c r="W50">
        <f>HYPERLINK("https://klasma.github.io/Logging_1782/artfynd/A 17529-2026 artfynd.xlsx", "A 17529-2026")</f>
        <v/>
      </c>
      <c r="X50">
        <f>HYPERLINK("https://klasma.github.io/Logging_1782/kartor/A 17529-2026 karta.png", "A 17529-2026")</f>
        <v/>
      </c>
      <c r="Y50">
        <f>HYPERLINK("https://klasma.github.io/Logging_1782/kartor_geotiff/A 17529-2026 georefererad karta.tif", "A 17529-2026")</f>
        <v/>
      </c>
      <c r="AA50">
        <f>HYPERLINK("https://klasma.github.io/Logging_1782/klagomål/A 17529-2026 FSC-klagomål.docx", "A 17529-2026")</f>
        <v/>
      </c>
      <c r="AB50">
        <f>HYPERLINK("https://klasma.github.io/Logging_1782/klagomålsmail/A 17529-2026 FSC-klagomål mail.docx", "A 17529-2026")</f>
        <v/>
      </c>
      <c r="AC50">
        <f>HYPERLINK("https://klasma.github.io/Logging_1782/tillsyn/A 17529-2026 tillsynsbegäran.docx", "A 17529-2026")</f>
        <v/>
      </c>
      <c r="AD50">
        <f>HYPERLINK("https://klasma.github.io/Logging_1782/tillsynsmail/A 17529-2026 tillsynsbegäran mail.docx", "A 17529-2026")</f>
        <v/>
      </c>
    </row>
    <row r="51" ht="15" customHeight="1">
      <c r="A51" t="inlineStr">
        <is>
          <t>A 30988-2026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46213</v>
      </c>
      <c r="E51" s="1" t="n">
        <v>46324</v>
      </c>
      <c r="F51" t="inlineStr">
        <is>
          <t>VÄRMLANDS LÄN</t>
        </is>
      </c>
      <c r="G51" t="inlineStr">
        <is>
          <t>FILIPSTAD</t>
        </is>
      </c>
      <c r="I51" t="n">
        <v>2.4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Skuggblåslav</t>
        </is>
      </c>
      <c r="W51">
        <f>HYPERLINK("https://klasma.github.io/Logging_1782/artfynd/A 30988-2026 artfynd.xlsx", "A 30988-2026")</f>
        <v/>
      </c>
      <c r="X51">
        <f>HYPERLINK("https://klasma.github.io/Logging_1782/kartor/A 30988-2026 karta.png", "A 30988-2026")</f>
        <v/>
      </c>
      <c r="Y51">
        <f>HYPERLINK("https://klasma.github.io/Logging_1782/kartor_geotiff/A 30988-2026 georefererad karta.tif", "A 30988-2026")</f>
        <v/>
      </c>
      <c r="AA51">
        <f>HYPERLINK("https://klasma.github.io/Logging_1782/klagomål/A 30988-2026 FSC-klagomål.docx", "A 30988-2026")</f>
        <v/>
      </c>
      <c r="AB51">
        <f>HYPERLINK("https://klasma.github.io/Logging_1782/klagomålsmail/A 30988-2026 FSC-klagomål mail.docx", "A 30988-2026")</f>
        <v/>
      </c>
      <c r="AC51">
        <f>HYPERLINK("https://klasma.github.io/Logging_1782/tillsyn/A 30988-2026 tillsynsbegäran.docx", "A 30988-2026")</f>
        <v/>
      </c>
      <c r="AD51">
        <f>HYPERLINK("https://klasma.github.io/Logging_1782/tillsynsmail/A 30988-2026 tillsynsbegäran mail.docx", "A 30988-2026")</f>
        <v/>
      </c>
    </row>
    <row r="52" ht="15" customHeight="1">
      <c r="A52" t="inlineStr">
        <is>
          <t>A 874-2025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45665</v>
      </c>
      <c r="E52" s="1" t="n">
        <v>46324</v>
      </c>
      <c r="F52" t="inlineStr">
        <is>
          <t>VÄRMLANDS LÄN</t>
        </is>
      </c>
      <c r="G52" t="inlineStr">
        <is>
          <t>FILIPSTAD</t>
        </is>
      </c>
      <c r="H52" t="inlineStr">
        <is>
          <t>Kyrkan</t>
        </is>
      </c>
      <c r="I52" t="n">
        <v>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Kamjordstjärna</t>
        </is>
      </c>
      <c r="W52">
        <f>HYPERLINK("https://klasma.github.io/Logging_1782/artfynd/A 874-2025 artfynd.xlsx", "A 874-2025")</f>
        <v/>
      </c>
      <c r="X52">
        <f>HYPERLINK("https://klasma.github.io/Logging_1782/kartor/A 874-2025 karta.png", "A 874-2025")</f>
        <v/>
      </c>
      <c r="Y52">
        <f>HYPERLINK("https://klasma.github.io/Logging_1782/kartor_geotiff/A 874-2025 georefererad karta.tif", "A 874-2025")</f>
        <v/>
      </c>
      <c r="AA52">
        <f>HYPERLINK("https://klasma.github.io/Logging_1782/klagomål/A 874-2025 FSC-klagomål.docx", "A 874-2025")</f>
        <v/>
      </c>
      <c r="AB52">
        <f>HYPERLINK("https://klasma.github.io/Logging_1782/klagomålsmail/A 874-2025 FSC-klagomål mail.docx", "A 874-2025")</f>
        <v/>
      </c>
      <c r="AC52">
        <f>HYPERLINK("https://klasma.github.io/Logging_1782/tillsyn/A 874-2025 tillsynsbegäran.docx", "A 874-2025")</f>
        <v/>
      </c>
      <c r="AD52">
        <f>HYPERLINK("https://klasma.github.io/Logging_1782/tillsynsmail/A 874-2025 tillsynsbegäran mail.docx", "A 874-2025")</f>
        <v/>
      </c>
    </row>
    <row r="53" ht="15" customHeight="1">
      <c r="A53" t="inlineStr">
        <is>
          <t>A 38140-2024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46324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Dropptaggsvamp</t>
        </is>
      </c>
      <c r="W53">
        <f>HYPERLINK("https://klasma.github.io/Logging_1782/artfynd/A 38140-2024 artfynd.xlsx", "A 38140-2024")</f>
        <v/>
      </c>
      <c r="X53">
        <f>HYPERLINK("https://klasma.github.io/Logging_1782/kartor/A 38140-2024 karta.png", "A 38140-2024")</f>
        <v/>
      </c>
      <c r="Y53">
        <f>HYPERLINK("https://klasma.github.io/Logging_1782/kartor_geotiff/A 38140-2024 georefererad karta.tif", "A 38140-2024")</f>
        <v/>
      </c>
      <c r="AA53">
        <f>HYPERLINK("https://klasma.github.io/Logging_1782/klagomål/A 38140-2024 FSC-klagomål.docx", "A 38140-2024")</f>
        <v/>
      </c>
      <c r="AB53">
        <f>HYPERLINK("https://klasma.github.io/Logging_1782/klagomålsmail/A 38140-2024 FSC-klagomål mail.docx", "A 38140-2024")</f>
        <v/>
      </c>
      <c r="AC53">
        <f>HYPERLINK("https://klasma.github.io/Logging_1782/tillsyn/A 38140-2024 tillsynsbegäran.docx", "A 38140-2024")</f>
        <v/>
      </c>
      <c r="AD53">
        <f>HYPERLINK("https://klasma.github.io/Logging_1782/tillsynsmail/A 38140-2024 tillsynsbegäran mail.docx", "A 38140-2024")</f>
        <v/>
      </c>
    </row>
    <row r="54" ht="15" customHeight="1">
      <c r="A54" t="inlineStr">
        <is>
          <t>S 264-2022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44578</v>
      </c>
      <c r="E54" s="1" t="n">
        <v>46324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398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Slaguggla</t>
        </is>
      </c>
      <c r="W54">
        <f>HYPERLINK("https://klasma.github.io/Logging_1782/artfynd/S 264-2022 artfynd.xlsx", "S 264-2022")</f>
        <v/>
      </c>
      <c r="X54">
        <f>HYPERLINK("https://klasma.github.io/Logging_1782/kartor/S 264-2022 karta.png", "S 264-2022")</f>
        <v/>
      </c>
      <c r="Y54">
        <f>HYPERLINK("https://klasma.github.io/Logging_1782/kartor_geotiff/S 264-2022 georefererad karta.tif", "S 264-2022")</f>
        <v/>
      </c>
      <c r="AA54">
        <f>HYPERLINK("https://klasma.github.io/Logging_1782/klagomål/S 264-2022 FSC-klagomål.docx", "S 264-2022")</f>
        <v/>
      </c>
      <c r="AB54">
        <f>HYPERLINK("https://klasma.github.io/Logging_1782/klagomålsmail/S 264-2022 FSC-klagomål mail.docx", "S 264-2022")</f>
        <v/>
      </c>
      <c r="AC54">
        <f>HYPERLINK("https://klasma.github.io/Logging_1782/tillsyn/S 264-2022 tillsynsbegäran.docx", "S 264-2022")</f>
        <v/>
      </c>
      <c r="AD54">
        <f>HYPERLINK("https://klasma.github.io/Logging_1782/tillsynsmail/S 264-2022 tillsynsbegäran mail.docx", "S 264-2022")</f>
        <v/>
      </c>
      <c r="AE54">
        <f>HYPERLINK("https://klasma.github.io/Logging_1782/fåglar/S 264-2022 prioriterade fågelarter.docx", "S 264-2022")</f>
        <v/>
      </c>
    </row>
    <row r="55" ht="15" customHeight="1">
      <c r="A55" t="inlineStr">
        <is>
          <t>S 383-2025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45691</v>
      </c>
      <c r="E55" s="1" t="n">
        <v>46324</v>
      </c>
      <c r="F55" t="inlineStr">
        <is>
          <t>VÄRMLANDS LÄN</t>
        </is>
      </c>
      <c r="G55" t="inlineStr">
        <is>
          <t>FILIPSTAD</t>
        </is>
      </c>
      <c r="I55" t="n">
        <v>18.6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HYPERLINK("https://klasma.github.io/Logging_1782/artfynd/S 383-2025 artfynd.xlsx", "S 383-2025")</f>
        <v/>
      </c>
      <c r="X55">
        <f>HYPERLINK("https://klasma.github.io/Logging_1782/kartor/S 383-2025 karta.png", "S 383-2025")</f>
        <v/>
      </c>
      <c r="Y55">
        <f>HYPERLINK("https://klasma.github.io/Logging_1782/kartor_geotiff/S 383-2025 georefererad karta.tif", "S 383-2025")</f>
        <v/>
      </c>
      <c r="AA55">
        <f>HYPERLINK("https://klasma.github.io/Logging_1782/klagomål/S 383-2025 FSC-klagomål.docx", "S 383-2025")</f>
        <v/>
      </c>
      <c r="AB55">
        <f>HYPERLINK("https://klasma.github.io/Logging_1782/klagomålsmail/S 383-2025 FSC-klagomål mail.docx", "S 383-2025")</f>
        <v/>
      </c>
      <c r="AC55">
        <f>HYPERLINK("https://klasma.github.io/Logging_1782/tillsyn/S 383-2025 tillsynsbegäran.docx", "S 383-2025")</f>
        <v/>
      </c>
      <c r="AD55">
        <f>HYPERLINK("https://klasma.github.io/Logging_1782/tillsynsmail/S 383-2025 tillsynsbegäran mail.docx", "S 383-2025")</f>
        <v/>
      </c>
    </row>
    <row r="56" ht="15" customHeight="1">
      <c r="A56" t="inlineStr">
        <is>
          <t>A 8482-2022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46324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44664</v>
      </c>
      <c r="E57" s="1" t="n">
        <v>46324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46324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46324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46324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30.7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44505</v>
      </c>
      <c r="E61" s="1" t="n">
        <v>46324</v>
      </c>
      <c r="F61" t="inlineStr">
        <is>
          <t>VÄRMLANDS LÄN</t>
        </is>
      </c>
      <c r="G61" t="inlineStr">
        <is>
          <t>FILIPSTAD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44651</v>
      </c>
      <c r="E62" s="1" t="n">
        <v>46324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18.7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46324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46324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22356-2022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44713</v>
      </c>
      <c r="E65" s="1" t="n">
        <v>46324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46324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46324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46324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46324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46324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46324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66376-2021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46324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45393</v>
      </c>
      <c r="E73" s="1" t="n">
        <v>46324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45012</v>
      </c>
      <c r="E74" s="1" t="n">
        <v>46324</v>
      </c>
      <c r="F74" t="inlineStr">
        <is>
          <t>VÄRMLANDS LÄN</t>
        </is>
      </c>
      <c r="G74" t="inlineStr">
        <is>
          <t>FILIPSTAD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46324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45428</v>
      </c>
      <c r="E76" s="1" t="n">
        <v>46324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36251-2022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44803</v>
      </c>
      <c r="E77" s="1" t="n">
        <v>46324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10136-2024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45364</v>
      </c>
      <c r="E78" s="1" t="n">
        <v>46324</v>
      </c>
      <c r="F78" t="inlineStr">
        <is>
          <t>VÄRMLANDS LÄN</t>
        </is>
      </c>
      <c r="G78" t="inlineStr">
        <is>
          <t>FILIPSTAD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45658</v>
      </c>
      <c r="E79" s="1" t="n">
        <v>46324</v>
      </c>
      <c r="F79" t="inlineStr">
        <is>
          <t>VÄRMLANDS LÄN</t>
        </is>
      </c>
      <c r="G79" t="inlineStr">
        <is>
          <t>FILIPSTAD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9270-2023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44980</v>
      </c>
      <c r="E80" s="1" t="n">
        <v>46324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44598</v>
      </c>
      <c r="E81" s="1" t="n">
        <v>46324</v>
      </c>
      <c r="F81" t="inlineStr">
        <is>
          <t>VÄRMLANDS LÄN</t>
        </is>
      </c>
      <c r="G81" t="inlineStr">
        <is>
          <t>FILIPSTAD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44511</v>
      </c>
      <c r="E82" s="1" t="n">
        <v>46324</v>
      </c>
      <c r="F82" t="inlineStr">
        <is>
          <t>VÄRMLANDS LÄN</t>
        </is>
      </c>
      <c r="G82" t="inlineStr">
        <is>
          <t>FILIPSTAD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45401</v>
      </c>
      <c r="E83" s="1" t="n">
        <v>46324</v>
      </c>
      <c r="F83" t="inlineStr">
        <is>
          <t>VÄRMLANDS LÄN</t>
        </is>
      </c>
      <c r="G83" t="inlineStr">
        <is>
          <t>FILIPSTAD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54735-2024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45618</v>
      </c>
      <c r="E84" s="1" t="n">
        <v>46324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45384</v>
      </c>
      <c r="E85" s="1" t="n">
        <v>46324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45793</v>
      </c>
      <c r="E86" s="1" t="n">
        <v>46324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23399-2025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45792</v>
      </c>
      <c r="E87" s="1" t="n">
        <v>46324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45355</v>
      </c>
      <c r="E88" s="1" t="n">
        <v>46324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54828-2023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45229</v>
      </c>
      <c r="E89" s="1" t="n">
        <v>46324</v>
      </c>
      <c r="F89" t="inlineStr">
        <is>
          <t>VÄRMLANDS LÄN</t>
        </is>
      </c>
      <c r="G89" t="inlineStr">
        <is>
          <t>FILIPSTAD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72118-2021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46324</v>
      </c>
      <c r="F90" t="inlineStr">
        <is>
          <t>VÄRMLANDS LÄN</t>
        </is>
      </c>
      <c r="G90" t="inlineStr">
        <is>
          <t>FILIPSTAD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45484</v>
      </c>
      <c r="E91" s="1" t="n">
        <v>46324</v>
      </c>
      <c r="F91" t="inlineStr">
        <is>
          <t>VÄRMLANDS LÄN</t>
        </is>
      </c>
      <c r="G91" t="inlineStr">
        <is>
          <t>FILIPSTAD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45327</v>
      </c>
      <c r="E92" s="1" t="n">
        <v>46324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46324</v>
      </c>
      <c r="F93" t="inlineStr">
        <is>
          <t>VÄRMLANDS LÄN</t>
        </is>
      </c>
      <c r="G93" t="inlineStr">
        <is>
          <t>FILIPSTAD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44515</v>
      </c>
      <c r="E94" s="1" t="n">
        <v>46324</v>
      </c>
      <c r="F94" t="inlineStr">
        <is>
          <t>VÄRMLANDS LÄN</t>
        </is>
      </c>
      <c r="G94" t="inlineStr">
        <is>
          <t>FILIPSTAD</t>
        </is>
      </c>
      <c r="I94" t="n">
        <v>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45796</v>
      </c>
      <c r="E95" s="1" t="n">
        <v>46324</v>
      </c>
      <c r="F95" t="inlineStr">
        <is>
          <t>VÄRMLANDS LÄN</t>
        </is>
      </c>
      <c r="G95" t="inlineStr">
        <is>
          <t>FILIPSTAD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46324</v>
      </c>
      <c r="F96" t="inlineStr">
        <is>
          <t>VÄRMLANDS LÄN</t>
        </is>
      </c>
      <c r="G96" t="inlineStr">
        <is>
          <t>FILIPSTAD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45439</v>
      </c>
      <c r="E97" s="1" t="n">
        <v>46324</v>
      </c>
      <c r="F97" t="inlineStr">
        <is>
          <t>VÄRMLANDS LÄN</t>
        </is>
      </c>
      <c r="G97" t="inlineStr">
        <is>
          <t>FILIPSTAD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46324</v>
      </c>
      <c r="F98" t="inlineStr">
        <is>
          <t>VÄRMLANDS LÄN</t>
        </is>
      </c>
      <c r="G98" t="inlineStr">
        <is>
          <t>FILIPSTAD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45322</v>
      </c>
      <c r="E99" s="1" t="n">
        <v>46324</v>
      </c>
      <c r="F99" t="inlineStr">
        <is>
          <t>VÄRMLANDS LÄN</t>
        </is>
      </c>
      <c r="G99" t="inlineStr">
        <is>
          <t>FILIPSTAD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46324</v>
      </c>
      <c r="F100" t="inlineStr">
        <is>
          <t>VÄRMLANDS LÄN</t>
        </is>
      </c>
      <c r="G100" t="inlineStr">
        <is>
          <t>FILIPSTAD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46324</v>
      </c>
      <c r="F101" t="inlineStr">
        <is>
          <t>VÄRMLANDS LÄN</t>
        </is>
      </c>
      <c r="G101" t="inlineStr">
        <is>
          <t>FILIPSTAD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44801</v>
      </c>
      <c r="E102" s="1" t="n">
        <v>46324</v>
      </c>
      <c r="F102" t="inlineStr">
        <is>
          <t>VÄRMLANDS LÄN</t>
        </is>
      </c>
      <c r="G102" t="inlineStr">
        <is>
          <t>FILIPSTAD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46324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45805</v>
      </c>
      <c r="E104" s="1" t="n">
        <v>46324</v>
      </c>
      <c r="F104" t="inlineStr">
        <is>
          <t>VÄRMLANDS LÄN</t>
        </is>
      </c>
      <c r="G104" t="inlineStr">
        <is>
          <t>FILIPSTAD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26123-2025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45805</v>
      </c>
      <c r="E105" s="1" t="n">
        <v>46324</v>
      </c>
      <c r="F105" t="inlineStr">
        <is>
          <t>VÄRMLANDS LÄN</t>
        </is>
      </c>
      <c r="G105" t="inlineStr">
        <is>
          <t>FILIPSTAD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46324</v>
      </c>
      <c r="F106" t="inlineStr">
        <is>
          <t>VÄRMLANDS LÄN</t>
        </is>
      </c>
      <c r="G106" t="inlineStr">
        <is>
          <t>FILIPSTAD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45588</v>
      </c>
      <c r="E107" s="1" t="n">
        <v>46324</v>
      </c>
      <c r="F107" t="inlineStr">
        <is>
          <t>VÄRMLANDS LÄN</t>
        </is>
      </c>
      <c r="G107" t="inlineStr">
        <is>
          <t>FILIPSTAD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45391</v>
      </c>
      <c r="E108" s="1" t="n">
        <v>46324</v>
      </c>
      <c r="F108" t="inlineStr">
        <is>
          <t>VÄRMLANDS LÄN</t>
        </is>
      </c>
      <c r="G108" t="inlineStr">
        <is>
          <t>FILIPSTAD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70405-2021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44536</v>
      </c>
      <c r="E109" s="1" t="n">
        <v>46324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46324</v>
      </c>
      <c r="F110" t="inlineStr">
        <is>
          <t>VÄRMLANDS LÄN</t>
        </is>
      </c>
      <c r="G110" t="inlineStr">
        <is>
          <t>FILIPSTAD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44805</v>
      </c>
      <c r="E111" s="1" t="n">
        <v>46324</v>
      </c>
      <c r="F111" t="inlineStr">
        <is>
          <t>VÄRMLANDS LÄN</t>
        </is>
      </c>
      <c r="G111" t="inlineStr">
        <is>
          <t>FILIPSTAD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46324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45470</v>
      </c>
      <c r="E113" s="1" t="n">
        <v>46324</v>
      </c>
      <c r="F113" t="inlineStr">
        <is>
          <t>VÄRMLANDS LÄN</t>
        </is>
      </c>
      <c r="G113" t="inlineStr">
        <is>
          <t>FILIPSTAD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26599-2024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45469</v>
      </c>
      <c r="E114" s="1" t="n">
        <v>46324</v>
      </c>
      <c r="F114" t="inlineStr">
        <is>
          <t>VÄRMLANDS LÄN</t>
        </is>
      </c>
      <c r="G114" t="inlineStr">
        <is>
          <t>FILIPSTAD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44911</v>
      </c>
      <c r="E115" s="1" t="n">
        <v>46324</v>
      </c>
      <c r="F115" t="inlineStr">
        <is>
          <t>VÄRMLANDS LÄN</t>
        </is>
      </c>
      <c r="G115" t="inlineStr">
        <is>
          <t>FILIPSTAD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46324</v>
      </c>
      <c r="F116" t="inlineStr">
        <is>
          <t>VÄRMLANDS LÄN</t>
        </is>
      </c>
      <c r="G116" t="inlineStr">
        <is>
          <t>FILIPSTAD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44637</v>
      </c>
      <c r="E117" s="1" t="n">
        <v>46324</v>
      </c>
      <c r="F117" t="inlineStr">
        <is>
          <t>VÄRMLANDS LÄN</t>
        </is>
      </c>
      <c r="G117" t="inlineStr">
        <is>
          <t>FILIPSTAD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25737-2023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45090</v>
      </c>
      <c r="E118" s="1" t="n">
        <v>46324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46324</v>
      </c>
      <c r="F119" t="inlineStr">
        <is>
          <t>VÄRMLANDS LÄN</t>
        </is>
      </c>
      <c r="G119" t="inlineStr">
        <is>
          <t>FILIPSTAD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33671-2022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46324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46324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46324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45133</v>
      </c>
      <c r="E123" s="1" t="n">
        <v>46324</v>
      </c>
      <c r="F123" t="inlineStr">
        <is>
          <t>VÄRMLANDS LÄN</t>
        </is>
      </c>
      <c r="G123" t="inlineStr">
        <is>
          <t>FILIPSTAD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46324</v>
      </c>
      <c r="F124" t="inlineStr">
        <is>
          <t>VÄRMLANDS LÄN</t>
        </is>
      </c>
      <c r="G124" t="inlineStr">
        <is>
          <t>FILIPSTAD</t>
        </is>
      </c>
      <c r="H124" t="inlineStr">
        <is>
          <t>Kyrkan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46324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46324</v>
      </c>
      <c r="F126" t="inlineStr">
        <is>
          <t>VÄRMLANDS LÄN</t>
        </is>
      </c>
      <c r="G126" t="inlineStr">
        <is>
          <t>FILIPSTAD</t>
        </is>
      </c>
      <c r="I126" t="n">
        <v>23.3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5803-2023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44963</v>
      </c>
      <c r="E127" s="1" t="n">
        <v>46324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46324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46324</v>
      </c>
      <c r="F129" t="inlineStr">
        <is>
          <t>VÄRMLANDS LÄN</t>
        </is>
      </c>
      <c r="G129" t="inlineStr">
        <is>
          <t>FILIPSTAD</t>
        </is>
      </c>
      <c r="H129" t="inlineStr">
        <is>
          <t>Kyrkan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46257-2022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44847</v>
      </c>
      <c r="E130" s="1" t="n">
        <v>46324</v>
      </c>
      <c r="F130" t="inlineStr">
        <is>
          <t>VÄRMLANDS LÄN</t>
        </is>
      </c>
      <c r="G130" t="inlineStr">
        <is>
          <t>FILIPSTAD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41718-2025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45902</v>
      </c>
      <c r="E131" s="1" t="n">
        <v>46324</v>
      </c>
      <c r="F131" t="inlineStr">
        <is>
          <t>VÄRMLANDS LÄN</t>
        </is>
      </c>
      <c r="G131" t="inlineStr">
        <is>
          <t>FILIPSTAD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45229</v>
      </c>
      <c r="E132" s="1" t="n">
        <v>46324</v>
      </c>
      <c r="F132" t="inlineStr">
        <is>
          <t>VÄRMLANDS LÄN</t>
        </is>
      </c>
      <c r="G132" t="inlineStr">
        <is>
          <t>FILIPSTAD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31172-2025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45832</v>
      </c>
      <c r="E133" s="1" t="n">
        <v>46324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46324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32032-2025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45835</v>
      </c>
      <c r="E135" s="1" t="n">
        <v>46324</v>
      </c>
      <c r="F135" t="inlineStr">
        <is>
          <t>VÄRMLANDS LÄN</t>
        </is>
      </c>
      <c r="G135" t="inlineStr">
        <is>
          <t>FILIPSTAD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45418</v>
      </c>
      <c r="E136" s="1" t="n">
        <v>46324</v>
      </c>
      <c r="F136" t="inlineStr">
        <is>
          <t>VÄRMLANDS LÄN</t>
        </is>
      </c>
      <c r="G136" t="inlineStr">
        <is>
          <t>FILIPSTAD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46324</v>
      </c>
      <c r="F137" t="inlineStr">
        <is>
          <t>VÄRMLANDS LÄN</t>
        </is>
      </c>
      <c r="G137" t="inlineStr">
        <is>
          <t>FILIPSTAD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45077</v>
      </c>
      <c r="E138" s="1" t="n">
        <v>46324</v>
      </c>
      <c r="F138" t="inlineStr">
        <is>
          <t>VÄRMLANDS LÄN</t>
        </is>
      </c>
      <c r="G138" t="inlineStr">
        <is>
          <t>FILIPSTAD</t>
        </is>
      </c>
      <c r="I138" t="n">
        <v>15.8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44960</v>
      </c>
      <c r="E139" s="1" t="n">
        <v>46324</v>
      </c>
      <c r="F139" t="inlineStr">
        <is>
          <t>VÄRMLANDS LÄN</t>
        </is>
      </c>
      <c r="G139" t="inlineStr">
        <is>
          <t>FILIPSTAD</t>
        </is>
      </c>
      <c r="H139" t="inlineStr">
        <is>
          <t>Kommuner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29473-2024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45484</v>
      </c>
      <c r="E140" s="1" t="n">
        <v>46324</v>
      </c>
      <c r="F140" t="inlineStr">
        <is>
          <t>VÄRMLANDS LÄN</t>
        </is>
      </c>
      <c r="G140" t="inlineStr">
        <is>
          <t>FILIPSTAD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44588</v>
      </c>
      <c r="E141" s="1" t="n">
        <v>46324</v>
      </c>
      <c r="F141" t="inlineStr">
        <is>
          <t>VÄRMLANDS LÄN</t>
        </is>
      </c>
      <c r="G141" t="inlineStr">
        <is>
          <t>FILIPSTAD</t>
        </is>
      </c>
      <c r="H141" t="inlineStr">
        <is>
          <t>Kommuner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46324</v>
      </c>
      <c r="F142" t="inlineStr">
        <is>
          <t>VÄRMLANDS LÄN</t>
        </is>
      </c>
      <c r="G142" t="inlineStr">
        <is>
          <t>FILIPSTAD</t>
        </is>
      </c>
      <c r="I142" t="n">
        <v>18.7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46324</v>
      </c>
      <c r="F143" t="inlineStr">
        <is>
          <t>VÄRMLANDS LÄN</t>
        </is>
      </c>
      <c r="G143" t="inlineStr">
        <is>
          <t>FILIPSTAD</t>
        </is>
      </c>
      <c r="H143" t="inlineStr">
        <is>
          <t>Kyrkan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46324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45688</v>
      </c>
      <c r="E145" s="1" t="n">
        <v>46324</v>
      </c>
      <c r="F145" t="inlineStr">
        <is>
          <t>VÄRMLANDS LÄN</t>
        </is>
      </c>
      <c r="G145" t="inlineStr">
        <is>
          <t>FILIPSTAD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45203</v>
      </c>
      <c r="E146" s="1" t="n">
        <v>46324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33407-2025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45841</v>
      </c>
      <c r="E147" s="1" t="n">
        <v>46324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45463</v>
      </c>
      <c r="E148" s="1" t="n">
        <v>46324</v>
      </c>
      <c r="F148" t="inlineStr">
        <is>
          <t>VÄRMLANDS LÄN</t>
        </is>
      </c>
      <c r="G148" t="inlineStr">
        <is>
          <t>FILIPSTAD</t>
        </is>
      </c>
      <c r="I148" t="n">
        <v>13.2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46324</v>
      </c>
      <c r="F149" t="inlineStr">
        <is>
          <t>VÄRMLANDS LÄN</t>
        </is>
      </c>
      <c r="G149" t="inlineStr">
        <is>
          <t>FILIPSTAD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44579</v>
      </c>
      <c r="E150" s="1" t="n">
        <v>46324</v>
      </c>
      <c r="F150" t="inlineStr">
        <is>
          <t>VÄRMLANDS LÄN</t>
        </is>
      </c>
      <c r="G150" t="inlineStr">
        <is>
          <t>FILIPSTAD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46324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46324</v>
      </c>
      <c r="F152" t="inlineStr">
        <is>
          <t>VÄRMLANDS LÄN</t>
        </is>
      </c>
      <c r="G152" t="inlineStr">
        <is>
          <t>FILIPSTAD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45578</v>
      </c>
      <c r="E153" s="1" t="n">
        <v>46324</v>
      </c>
      <c r="F153" t="inlineStr">
        <is>
          <t>VÄRMLANDS LÄN</t>
        </is>
      </c>
      <c r="G153" t="inlineStr">
        <is>
          <t>FILIPSTAD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46324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48103-2025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45933</v>
      </c>
      <c r="E155" s="1" t="n">
        <v>46324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45578</v>
      </c>
      <c r="E156" s="1" t="n">
        <v>46324</v>
      </c>
      <c r="F156" t="inlineStr">
        <is>
          <t>VÄRMLANDS LÄN</t>
        </is>
      </c>
      <c r="G156" t="inlineStr">
        <is>
          <t>FILIPSTAD</t>
        </is>
      </c>
      <c r="I156" t="n">
        <v>27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45120</v>
      </c>
      <c r="E157" s="1" t="n">
        <v>46324</v>
      </c>
      <c r="F157" t="inlineStr">
        <is>
          <t>VÄRMLANDS LÄN</t>
        </is>
      </c>
      <c r="G157" t="inlineStr">
        <is>
          <t>FILIPSTAD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46324</v>
      </c>
      <c r="F158" t="inlineStr">
        <is>
          <t>VÄRMLANDS LÄN</t>
        </is>
      </c>
      <c r="G158" t="inlineStr">
        <is>
          <t>FILIPSTAD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45870</v>
      </c>
      <c r="E159" s="1" t="n">
        <v>46324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46324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45418</v>
      </c>
      <c r="E161" s="1" t="n">
        <v>46324</v>
      </c>
      <c r="F161" t="inlineStr">
        <is>
          <t>VÄRMLANDS LÄN</t>
        </is>
      </c>
      <c r="G161" t="inlineStr">
        <is>
          <t>FILIPSTAD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46324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46324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45616</v>
      </c>
      <c r="E164" s="1" t="n">
        <v>46324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46324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46324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44887</v>
      </c>
      <c r="E167" s="1" t="n">
        <v>46324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45173</v>
      </c>
      <c r="E168" s="1" t="n">
        <v>46324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52329-2025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46324</v>
      </c>
      <c r="F169" t="inlineStr">
        <is>
          <t>VÄRMLANDS LÄN</t>
        </is>
      </c>
      <c r="G169" t="inlineStr">
        <is>
          <t>FILIPSTAD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46324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46324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45014</v>
      </c>
      <c r="E172" s="1" t="n">
        <v>46324</v>
      </c>
      <c r="F172" t="inlineStr">
        <is>
          <t>VÄRMLANDS LÄN</t>
        </is>
      </c>
      <c r="G172" t="inlineStr">
        <is>
          <t>FILIPSTAD</t>
        </is>
      </c>
      <c r="H172" t="inlineStr">
        <is>
          <t>Kyrkan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45959</v>
      </c>
      <c r="E173" s="1" t="n">
        <v>46324</v>
      </c>
      <c r="F173" t="inlineStr">
        <is>
          <t>VÄRMLANDS LÄN</t>
        </is>
      </c>
      <c r="G173" t="inlineStr">
        <is>
          <t>FILIPSTAD</t>
        </is>
      </c>
      <c r="H173" t="inlineStr">
        <is>
          <t>Kyrkan</t>
        </is>
      </c>
      <c r="I173" t="n">
        <v>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44957</v>
      </c>
      <c r="E174" s="1" t="n">
        <v>46324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46142</v>
      </c>
      <c r="E175" s="1" t="n">
        <v>46324</v>
      </c>
      <c r="F175" t="inlineStr">
        <is>
          <t>VÄRMLANDS LÄN</t>
        </is>
      </c>
      <c r="G175" t="inlineStr">
        <is>
          <t>FILIPSTAD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46142</v>
      </c>
      <c r="E176" s="1" t="n">
        <v>46324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46324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46324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46324</v>
      </c>
      <c r="F179" t="inlineStr">
        <is>
          <t>VÄRMLANDS LÄN</t>
        </is>
      </c>
      <c r="G179" t="inlineStr">
        <is>
          <t>FILIPSTAD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45511</v>
      </c>
      <c r="E180" s="1" t="n">
        <v>46324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46324</v>
      </c>
      <c r="F181" t="inlineStr">
        <is>
          <t>VÄRMLANDS LÄN</t>
        </is>
      </c>
      <c r="G181" t="inlineStr">
        <is>
          <t>FILIPSTAD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46324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45186</v>
      </c>
      <c r="E183" s="1" t="n">
        <v>46324</v>
      </c>
      <c r="F183" t="inlineStr">
        <is>
          <t>VÄRMLANDS LÄN</t>
        </is>
      </c>
      <c r="G183" t="inlineStr">
        <is>
          <t>FILIPSTAD</t>
        </is>
      </c>
      <c r="I183" t="n">
        <v>15.3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55173-2025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45968</v>
      </c>
      <c r="E184" s="1" t="n">
        <v>46324</v>
      </c>
      <c r="F184" t="inlineStr">
        <is>
          <t>VÄRMLANDS LÄN</t>
        </is>
      </c>
      <c r="G184" t="inlineStr">
        <is>
          <t>FILIPSTAD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46324</v>
      </c>
      <c r="F185" t="inlineStr">
        <is>
          <t>VÄRMLANDS LÄN</t>
        </is>
      </c>
      <c r="G185" t="inlineStr">
        <is>
          <t>FILIPSTAD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46324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46324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46324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46324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46324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9.199999999999999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46324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46324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22144-2026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46324</v>
      </c>
      <c r="F193" t="inlineStr">
        <is>
          <t>VÄRMLANDS LÄN</t>
        </is>
      </c>
      <c r="G193" t="inlineStr">
        <is>
          <t>FILIPSTAD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46324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46324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45972</v>
      </c>
      <c r="E196" s="1" t="n">
        <v>46324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45569</v>
      </c>
      <c r="E197" s="1" t="n">
        <v>46324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46324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46153</v>
      </c>
      <c r="E199" s="1" t="n">
        <v>46324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45114</v>
      </c>
      <c r="E200" s="1" t="n">
        <v>46324</v>
      </c>
      <c r="F200" t="inlineStr">
        <is>
          <t>VÄRMLANDS LÄN</t>
        </is>
      </c>
      <c r="G200" t="inlineStr">
        <is>
          <t>FILIPSTAD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46324</v>
      </c>
      <c r="F201" t="inlineStr">
        <is>
          <t>VÄRMLANDS LÄN</t>
        </is>
      </c>
      <c r="G201" t="inlineStr">
        <is>
          <t>FILIPSTAD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46153</v>
      </c>
      <c r="E202" s="1" t="n">
        <v>46324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46153</v>
      </c>
      <c r="E203" s="1" t="n">
        <v>46324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22152-2026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46153</v>
      </c>
      <c r="E204" s="1" t="n">
        <v>46324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46153</v>
      </c>
      <c r="E205" s="1" t="n">
        <v>46324</v>
      </c>
      <c r="F205" t="inlineStr">
        <is>
          <t>VÄRMLANDS LÄN</t>
        </is>
      </c>
      <c r="G205" t="inlineStr">
        <is>
          <t>FILIPSTAD</t>
        </is>
      </c>
      <c r="I205" t="n">
        <v>10.8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14582-2025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45742</v>
      </c>
      <c r="E206" s="1" t="n">
        <v>46324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22021-2026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46153</v>
      </c>
      <c r="E207" s="1" t="n">
        <v>46324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46324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46324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45583</v>
      </c>
      <c r="E210" s="1" t="n">
        <v>46324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22115-2026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46153</v>
      </c>
      <c r="E211" s="1" t="n">
        <v>46324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22138-2026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46153</v>
      </c>
      <c r="E212" s="1" t="n">
        <v>46324</v>
      </c>
      <c r="F212" t="inlineStr">
        <is>
          <t>VÄRMLANDS LÄN</t>
        </is>
      </c>
      <c r="G212" t="inlineStr">
        <is>
          <t>FILIPSTAD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56182-2025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46324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56184-2025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46324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46324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56167-2025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46324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44691</v>
      </c>
      <c r="E217" s="1" t="n">
        <v>46324</v>
      </c>
      <c r="F217" t="inlineStr">
        <is>
          <t>VÄRMLANDS LÄN</t>
        </is>
      </c>
      <c r="G217" t="inlineStr">
        <is>
          <t>FILIPSTAD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46153</v>
      </c>
      <c r="E218" s="1" t="n">
        <v>46324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46324</v>
      </c>
      <c r="F219" t="inlineStr">
        <is>
          <t>VÄRMLANDS LÄN</t>
        </is>
      </c>
      <c r="G219" t="inlineStr">
        <is>
          <t>FILIPSTAD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45195</v>
      </c>
      <c r="E220" s="1" t="n">
        <v>46324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46324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46324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45981</v>
      </c>
      <c r="E223" s="1" t="n">
        <v>46324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46324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46324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62013-2024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45655</v>
      </c>
      <c r="E226" s="1" t="n">
        <v>46324</v>
      </c>
      <c r="F226" t="inlineStr">
        <is>
          <t>VÄRMLANDS LÄN</t>
        </is>
      </c>
      <c r="G226" t="inlineStr">
        <is>
          <t>FILIPSTAD</t>
        </is>
      </c>
      <c r="I226" t="n">
        <v>26.5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45655</v>
      </c>
      <c r="E227" s="1" t="n">
        <v>46324</v>
      </c>
      <c r="F227" t="inlineStr">
        <is>
          <t>VÄRMLANDS LÄN</t>
        </is>
      </c>
      <c r="G227" t="inlineStr">
        <is>
          <t>FILIPSTAD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46324</v>
      </c>
      <c r="F228" t="inlineStr">
        <is>
          <t>VÄRMLANDS LÄN</t>
        </is>
      </c>
      <c r="G228" t="inlineStr">
        <is>
          <t>FILIPSTAD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46324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46324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46324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44935</v>
      </c>
      <c r="E232" s="1" t="n">
        <v>46324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46324</v>
      </c>
      <c r="F233" t="inlineStr">
        <is>
          <t>VÄRMLANDS LÄN</t>
        </is>
      </c>
      <c r="G233" t="inlineStr">
        <is>
          <t>FILIPSTAD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46324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23440-2026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46324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46324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46324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46324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45993</v>
      </c>
      <c r="E239" s="1" t="n">
        <v>46324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46163</v>
      </c>
      <c r="E240" s="1" t="n">
        <v>46324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46324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45995</v>
      </c>
      <c r="E242" s="1" t="n">
        <v>46324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46324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46324</v>
      </c>
      <c r="F244" t="inlineStr">
        <is>
          <t>VÄRMLANDS LÄN</t>
        </is>
      </c>
      <c r="G244" t="inlineStr">
        <is>
          <t>FILIPSTAD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46324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46324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45230</v>
      </c>
      <c r="E247" s="1" t="n">
        <v>46324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9.9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46324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23952-2026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46167</v>
      </c>
      <c r="E249" s="1" t="n">
        <v>46324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46324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9.1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46167</v>
      </c>
      <c r="E251" s="1" t="n">
        <v>46324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45996</v>
      </c>
      <c r="E252" s="1" t="n">
        <v>46324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46324</v>
      </c>
      <c r="F253" t="inlineStr">
        <is>
          <t>VÄRMLANDS LÄN</t>
        </is>
      </c>
      <c r="G253" t="inlineStr">
        <is>
          <t>FILIPSTAD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61492-2025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46001</v>
      </c>
      <c r="E254" s="1" t="n">
        <v>46324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46324</v>
      </c>
      <c r="F255" t="inlineStr">
        <is>
          <t>VÄRMLANDS LÄN</t>
        </is>
      </c>
      <c r="G255" t="inlineStr">
        <is>
          <t>FILIPSTAD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46324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24005-2026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46167</v>
      </c>
      <c r="E257" s="1" t="n">
        <v>46324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63411-2023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45274</v>
      </c>
      <c r="E258" s="1" t="n">
        <v>46324</v>
      </c>
      <c r="F258" t="inlineStr">
        <is>
          <t>VÄRMLANDS LÄN</t>
        </is>
      </c>
      <c r="G258" t="inlineStr">
        <is>
          <t>FILIPSTAD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46324</v>
      </c>
      <c r="F259" t="inlineStr">
        <is>
          <t>VÄRMLANDS LÄN</t>
        </is>
      </c>
      <c r="G259" t="inlineStr">
        <is>
          <t>FILIPSTAD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46324</v>
      </c>
      <c r="F260" t="inlineStr">
        <is>
          <t>VÄRMLANDS LÄN</t>
        </is>
      </c>
      <c r="G260" t="inlineStr">
        <is>
          <t>FILIPSTAD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23959-2026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46167</v>
      </c>
      <c r="E261" s="1" t="n">
        <v>46324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61417-2025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46001</v>
      </c>
      <c r="E262" s="1" t="n">
        <v>46324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46324</v>
      </c>
      <c r="F263" t="inlineStr">
        <is>
          <t>VÄRMLANDS LÄN</t>
        </is>
      </c>
      <c r="G263" t="inlineStr">
        <is>
          <t>FILIPSTAD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61327-2025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46001</v>
      </c>
      <c r="E264" s="1" t="n">
        <v>46324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61823-2025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46003</v>
      </c>
      <c r="E265" s="1" t="n">
        <v>46324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46324</v>
      </c>
      <c r="F266" t="inlineStr">
        <is>
          <t>VÄRMLANDS LÄN</t>
        </is>
      </c>
      <c r="G266" t="inlineStr">
        <is>
          <t>FILIPSTAD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46324</v>
      </c>
      <c r="F267" t="inlineStr">
        <is>
          <t>VÄRMLANDS LÄN</t>
        </is>
      </c>
      <c r="G267" t="inlineStr">
        <is>
          <t>FILIPSTAD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46169</v>
      </c>
      <c r="E268" s="1" t="n">
        <v>46324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46002</v>
      </c>
      <c r="E269" s="1" t="n">
        <v>46324</v>
      </c>
      <c r="F269" t="inlineStr">
        <is>
          <t>VÄRMLANDS LÄN</t>
        </is>
      </c>
      <c r="G269" t="inlineStr">
        <is>
          <t>FILIPSTAD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46324</v>
      </c>
      <c r="F270" t="inlineStr">
        <is>
          <t>VÄRMLANDS LÄN</t>
        </is>
      </c>
      <c r="G270" t="inlineStr">
        <is>
          <t>FILIPSTAD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24291-2026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46169</v>
      </c>
      <c r="E271" s="1" t="n">
        <v>46324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43484-2023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45184</v>
      </c>
      <c r="E272" s="1" t="n">
        <v>46324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46169</v>
      </c>
      <c r="E273" s="1" t="n">
        <v>46324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46002</v>
      </c>
      <c r="E274" s="1" t="n">
        <v>46324</v>
      </c>
      <c r="F274" t="inlineStr">
        <is>
          <t>VÄRMLANDS LÄN</t>
        </is>
      </c>
      <c r="G274" t="inlineStr">
        <is>
          <t>FILIPSTAD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49935-2025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45940</v>
      </c>
      <c r="E275" s="1" t="n">
        <v>46324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46324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46324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54127-2023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45232</v>
      </c>
      <c r="E278" s="1" t="n">
        <v>46324</v>
      </c>
      <c r="F278" t="inlineStr">
        <is>
          <t>VÄRMLANDS LÄN</t>
        </is>
      </c>
      <c r="G278" t="inlineStr">
        <is>
          <t>FILIPSTAD</t>
        </is>
      </c>
      <c r="I278" t="n">
        <v>15.5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62034-2025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46004</v>
      </c>
      <c r="E279" s="1" t="n">
        <v>46324</v>
      </c>
      <c r="F279" t="inlineStr">
        <is>
          <t>VÄRMLANDS LÄN</t>
        </is>
      </c>
      <c r="G279" t="inlineStr">
        <is>
          <t>FILIPSTAD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46324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46324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46324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46004</v>
      </c>
      <c r="E283" s="1" t="n">
        <v>46324</v>
      </c>
      <c r="F283" t="inlineStr">
        <is>
          <t>VÄRMLANDS LÄN</t>
        </is>
      </c>
      <c r="G283" t="inlineStr">
        <is>
          <t>FILIPSTAD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33973-2023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45124</v>
      </c>
      <c r="E284" s="1" t="n">
        <v>46324</v>
      </c>
      <c r="F284" t="inlineStr">
        <is>
          <t>VÄRMLANDS LÄN</t>
        </is>
      </c>
      <c r="G284" t="inlineStr">
        <is>
          <t>FILIPSTAD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46324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46324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46324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46324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46324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46324</v>
      </c>
      <c r="F290" t="inlineStr">
        <is>
          <t>VÄRMLANDS LÄN</t>
        </is>
      </c>
      <c r="G290" t="inlineStr">
        <is>
          <t>FILIPSTAD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46324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46324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46324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45592-2024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45579</v>
      </c>
      <c r="E294" s="1" t="n">
        <v>46324</v>
      </c>
      <c r="F294" t="inlineStr">
        <is>
          <t>VÄRMLANDS LÄN</t>
        </is>
      </c>
      <c r="G294" t="inlineStr">
        <is>
          <t>FILIPSTAD</t>
        </is>
      </c>
      <c r="H294" t="inlineStr">
        <is>
          <t>Kyrkan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43264-2024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45568</v>
      </c>
      <c r="E295" s="1" t="n">
        <v>46324</v>
      </c>
      <c r="F295" t="inlineStr">
        <is>
          <t>VÄRMLANDS LÄN</t>
        </is>
      </c>
      <c r="G295" t="inlineStr">
        <is>
          <t>FILIPSTAD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46171</v>
      </c>
      <c r="E296" s="1" t="n">
        <v>46324</v>
      </c>
      <c r="F296" t="inlineStr">
        <is>
          <t>VÄRMLANDS LÄN</t>
        </is>
      </c>
      <c r="G296" t="inlineStr">
        <is>
          <t>FILIPSTAD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32183-2025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46324</v>
      </c>
      <c r="F297" t="inlineStr">
        <is>
          <t>VÄRMLANDS LÄN</t>
        </is>
      </c>
      <c r="G297" t="inlineStr">
        <is>
          <t>FILIPSTAD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46014</v>
      </c>
      <c r="E298" s="1" t="n">
        <v>46324</v>
      </c>
      <c r="F298" t="inlineStr">
        <is>
          <t>VÄRMLANDS LÄN</t>
        </is>
      </c>
      <c r="G298" t="inlineStr">
        <is>
          <t>FILIPSTAD</t>
        </is>
      </c>
      <c r="I298" t="n">
        <v>9.9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46175</v>
      </c>
      <c r="E299" s="1" t="n">
        <v>46324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8.9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45342</v>
      </c>
      <c r="E300" s="1" t="n">
        <v>46324</v>
      </c>
      <c r="F300" t="inlineStr">
        <is>
          <t>VÄRMLANDS LÄN</t>
        </is>
      </c>
      <c r="G300" t="inlineStr">
        <is>
          <t>FILIPSTAD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46324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46175</v>
      </c>
      <c r="E302" s="1" t="n">
        <v>46324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46178</v>
      </c>
      <c r="E303" s="1" t="n">
        <v>46324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46324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58611-2025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45986</v>
      </c>
      <c r="E305" s="1" t="n">
        <v>46324</v>
      </c>
      <c r="F305" t="inlineStr">
        <is>
          <t>VÄRMLANDS LÄN</t>
        </is>
      </c>
      <c r="G305" t="inlineStr">
        <is>
          <t>FILIPSTAD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46182</v>
      </c>
      <c r="E306" s="1" t="n">
        <v>46324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46040</v>
      </c>
      <c r="E307" s="1" t="n">
        <v>46324</v>
      </c>
      <c r="F307" t="inlineStr">
        <is>
          <t>VÄRMLANDS LÄN</t>
        </is>
      </c>
      <c r="G307" t="inlineStr">
        <is>
          <t>FILIPSTAD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46324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26211-2026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46182</v>
      </c>
      <c r="E309" s="1" t="n">
        <v>46324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46182</v>
      </c>
      <c r="E310" s="1" t="n">
        <v>46324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46181</v>
      </c>
      <c r="E311" s="1" t="n">
        <v>46324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46324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46324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46324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46324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45567</v>
      </c>
      <c r="E316" s="1" t="n">
        <v>46324</v>
      </c>
      <c r="F316" t="inlineStr">
        <is>
          <t>VÄRMLANDS LÄN</t>
        </is>
      </c>
      <c r="G316" t="inlineStr">
        <is>
          <t>FILIPSTAD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46324</v>
      </c>
      <c r="F317" t="inlineStr">
        <is>
          <t>VÄRMLANDS LÄN</t>
        </is>
      </c>
      <c r="G317" t="inlineStr">
        <is>
          <t>FILIPSTAD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46187</v>
      </c>
      <c r="E318" s="1" t="n">
        <v>46324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27007-2026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46324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46324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45088</v>
      </c>
      <c r="E321" s="1" t="n">
        <v>46324</v>
      </c>
      <c r="F321" t="inlineStr">
        <is>
          <t>VÄRMLANDS LÄN</t>
        </is>
      </c>
      <c r="G321" t="inlineStr">
        <is>
          <t>FILIPSTAD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27079-2026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46186</v>
      </c>
      <c r="E322" s="1" t="n">
        <v>46324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46324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46324</v>
      </c>
      <c r="F324" t="inlineStr">
        <is>
          <t>VÄRMLANDS LÄN</t>
        </is>
      </c>
      <c r="G324" t="inlineStr">
        <is>
          <t>FILIPSTAD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6600-2026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46324</v>
      </c>
      <c r="F325" t="inlineStr">
        <is>
          <t>VÄRMLANDS LÄN</t>
        </is>
      </c>
      <c r="G325" t="inlineStr">
        <is>
          <t>FILIPSTAD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46324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69015-2021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44530</v>
      </c>
      <c r="E327" s="1" t="n">
        <v>46324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20966-2024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46324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44960</v>
      </c>
      <c r="E329" s="1" t="n">
        <v>46324</v>
      </c>
      <c r="F329" t="inlineStr">
        <is>
          <t>VÄRMLANDS LÄN</t>
        </is>
      </c>
      <c r="G329" t="inlineStr">
        <is>
          <t>FILIPSTAD</t>
        </is>
      </c>
      <c r="H329" t="inlineStr">
        <is>
          <t>Kommuner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27774-2026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46324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46191</v>
      </c>
      <c r="E331" s="1" t="n">
        <v>46324</v>
      </c>
      <c r="F331" t="inlineStr">
        <is>
          <t>VÄRMLANDS LÄN</t>
        </is>
      </c>
      <c r="G331" t="inlineStr">
        <is>
          <t>FILIPSTAD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46324</v>
      </c>
      <c r="F332" t="inlineStr">
        <is>
          <t>VÄRMLANDS LÄN</t>
        </is>
      </c>
      <c r="G332" t="inlineStr">
        <is>
          <t>FILIPSTAD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45436</v>
      </c>
      <c r="E333" s="1" t="n">
        <v>46324</v>
      </c>
      <c r="F333" t="inlineStr">
        <is>
          <t>VÄRMLANDS LÄN</t>
        </is>
      </c>
      <c r="G333" t="inlineStr">
        <is>
          <t>FILIPSTAD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53034-2022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44876</v>
      </c>
      <c r="E334" s="1" t="n">
        <v>46324</v>
      </c>
      <c r="F334" t="inlineStr">
        <is>
          <t>VÄRMLANDS LÄN</t>
        </is>
      </c>
      <c r="G334" t="inlineStr">
        <is>
          <t>FILIPSTAD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55978-2022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44889</v>
      </c>
      <c r="E335" s="1" t="n">
        <v>46324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51031-2025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45947</v>
      </c>
      <c r="E336" s="1" t="n">
        <v>46324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27968-2026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46324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53690-2022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44880</v>
      </c>
      <c r="E338" s="1" t="n">
        <v>46324</v>
      </c>
      <c r="F338" t="inlineStr">
        <is>
          <t>VÄRMLANDS LÄN</t>
        </is>
      </c>
      <c r="G338" t="inlineStr">
        <is>
          <t>FILIPSTAD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46324</v>
      </c>
      <c r="F339" t="inlineStr">
        <is>
          <t>VÄRMLANDS LÄN</t>
        </is>
      </c>
      <c r="G339" t="inlineStr">
        <is>
          <t>FILIPSTAD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45223</v>
      </c>
      <c r="E340" s="1" t="n">
        <v>46324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46324</v>
      </c>
      <c r="F341" t="inlineStr">
        <is>
          <t>VÄRMLANDS LÄN</t>
        </is>
      </c>
      <c r="G341" t="inlineStr">
        <is>
          <t>FILIPSTAD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45204</v>
      </c>
      <c r="E342" s="1" t="n">
        <v>46324</v>
      </c>
      <c r="F342" t="inlineStr">
        <is>
          <t>VÄRMLANDS LÄN</t>
        </is>
      </c>
      <c r="G342" t="inlineStr">
        <is>
          <t>FILIPSTAD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46197</v>
      </c>
      <c r="E343" s="1" t="n">
        <v>46324</v>
      </c>
      <c r="F343" t="inlineStr">
        <is>
          <t>VÄRMLANDS LÄN</t>
        </is>
      </c>
      <c r="G343" t="inlineStr">
        <is>
          <t>FILIPSTAD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16103-2025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45750</v>
      </c>
      <c r="E344" s="1" t="n">
        <v>46324</v>
      </c>
      <c r="F344" t="inlineStr">
        <is>
          <t>VÄRMLANDS LÄN</t>
        </is>
      </c>
      <c r="G344" t="inlineStr">
        <is>
          <t>FILIPSTAD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46197</v>
      </c>
      <c r="E345" s="1" t="n">
        <v>46324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45720</v>
      </c>
      <c r="E346" s="1" t="n">
        <v>46324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46202</v>
      </c>
      <c r="E347" s="1" t="n">
        <v>46324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44963</v>
      </c>
      <c r="E348" s="1" t="n">
        <v>46324</v>
      </c>
      <c r="F348" t="inlineStr">
        <is>
          <t>VÄRMLANDS LÄN</t>
        </is>
      </c>
      <c r="G348" t="inlineStr">
        <is>
          <t>FILIPSTAD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44872</v>
      </c>
      <c r="E349" s="1" t="n">
        <v>46324</v>
      </c>
      <c r="F349" t="inlineStr">
        <is>
          <t>VÄRMLANDS LÄN</t>
        </is>
      </c>
      <c r="G349" t="inlineStr">
        <is>
          <t>FILIPSTAD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46324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32786-2024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45516</v>
      </c>
      <c r="E351" s="1" t="n">
        <v>46324</v>
      </c>
      <c r="F351" t="inlineStr">
        <is>
          <t>VÄRMLANDS LÄN</t>
        </is>
      </c>
      <c r="G351" t="inlineStr">
        <is>
          <t>FILIPSTAD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46203</v>
      </c>
      <c r="E352" s="1" t="n">
        <v>46324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46090</v>
      </c>
      <c r="E353" s="1" t="n">
        <v>46324</v>
      </c>
      <c r="F353" t="inlineStr">
        <is>
          <t>VÄRMLANDS LÄN</t>
        </is>
      </c>
      <c r="G353" t="inlineStr">
        <is>
          <t>FILIPSTAD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12216-2026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46087</v>
      </c>
      <c r="E354" s="1" t="n">
        <v>46324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43059-2024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45567</v>
      </c>
      <c r="E355" s="1" t="n">
        <v>46324</v>
      </c>
      <c r="F355" t="inlineStr">
        <is>
          <t>VÄRMLANDS LÄN</t>
        </is>
      </c>
      <c r="G355" t="inlineStr">
        <is>
          <t>FILIPSTAD</t>
        </is>
      </c>
      <c r="H355" t="inlineStr">
        <is>
          <t>Kyrkan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29389-2026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46203</v>
      </c>
      <c r="E356" s="1" t="n">
        <v>46324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8.199999999999999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37611-2022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44809</v>
      </c>
      <c r="E357" s="1" t="n">
        <v>46324</v>
      </c>
      <c r="F357" t="inlineStr">
        <is>
          <t>VÄRMLANDS LÄN</t>
        </is>
      </c>
      <c r="G357" t="inlineStr">
        <is>
          <t>FILIPSTAD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46324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44672</v>
      </c>
      <c r="E359" s="1" t="n">
        <v>46324</v>
      </c>
      <c r="F359" t="inlineStr">
        <is>
          <t>VÄRMLANDS LÄN</t>
        </is>
      </c>
      <c r="G359" t="inlineStr">
        <is>
          <t>FILIPSTAD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46324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51945-2023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45223</v>
      </c>
      <c r="E361" s="1" t="n">
        <v>46324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46324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12160-2023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46324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46324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8.9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46205</v>
      </c>
      <c r="E365" s="1" t="n">
        <v>46324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29821-2026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46205</v>
      </c>
      <c r="E366" s="1" t="n">
        <v>46324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46324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46324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46324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46324</v>
      </c>
      <c r="F370" t="inlineStr">
        <is>
          <t>VÄRMLANDS LÄN</t>
        </is>
      </c>
      <c r="G370" t="inlineStr">
        <is>
          <t>FILIPSTAD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46324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46324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45741</v>
      </c>
      <c r="E373" s="1" t="n">
        <v>46324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45453</v>
      </c>
      <c r="E374" s="1" t="n">
        <v>46324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46324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47436-2024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45587</v>
      </c>
      <c r="E376" s="1" t="n">
        <v>46324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37945-2024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46324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14379-2026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46324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46210</v>
      </c>
      <c r="E379" s="1" t="n">
        <v>46324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36680-2023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45153</v>
      </c>
      <c r="E380" s="1" t="n">
        <v>46324</v>
      </c>
      <c r="F380" t="inlineStr">
        <is>
          <t>VÄRMLANDS LÄN</t>
        </is>
      </c>
      <c r="G380" t="inlineStr">
        <is>
          <t>FILIPSTAD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46324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46324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15619-2026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46324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46324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45208</v>
      </c>
      <c r="E385" s="1" t="n">
        <v>46324</v>
      </c>
      <c r="F385" t="inlineStr">
        <is>
          <t>VÄRMLANDS LÄN</t>
        </is>
      </c>
      <c r="G385" t="inlineStr">
        <is>
          <t>FILIPSTAD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46324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46324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46324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15889-2026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46324</v>
      </c>
      <c r="F389" t="inlineStr">
        <is>
          <t>VÄRMLANDS LÄN</t>
        </is>
      </c>
      <c r="G389" t="inlineStr">
        <is>
          <t>FILIPSTAD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46324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16040-2026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46108</v>
      </c>
      <c r="E391" s="1" t="n">
        <v>46324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46324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27139-2024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45471</v>
      </c>
      <c r="E393" s="1" t="n">
        <v>46324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31548-2026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46223</v>
      </c>
      <c r="E394" s="1" t="n">
        <v>46324</v>
      </c>
      <c r="F394" t="inlineStr">
        <is>
          <t>VÄRMLANDS LÄN</t>
        </is>
      </c>
      <c r="G394" t="inlineStr">
        <is>
          <t>FILIPSTAD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46114</v>
      </c>
      <c r="E395" s="1" t="n">
        <v>46324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17244-2024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45414</v>
      </c>
      <c r="E396" s="1" t="n">
        <v>46324</v>
      </c>
      <c r="F396" t="inlineStr">
        <is>
          <t>VÄRMLANDS LÄN</t>
        </is>
      </c>
      <c r="G396" t="inlineStr">
        <is>
          <t>FILIPSTAD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45586</v>
      </c>
      <c r="E397" s="1" t="n">
        <v>46324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45495</v>
      </c>
      <c r="E398" s="1" t="n">
        <v>46324</v>
      </c>
      <c r="F398" t="inlineStr">
        <is>
          <t>VÄRMLANDS LÄN</t>
        </is>
      </c>
      <c r="G398" t="inlineStr">
        <is>
          <t>FILIPSTAD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45439</v>
      </c>
      <c r="E399" s="1" t="n">
        <v>46324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46324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46324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46324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45177</v>
      </c>
      <c r="E403" s="1" t="n">
        <v>46324</v>
      </c>
      <c r="F403" t="inlineStr">
        <is>
          <t>VÄRMLANDS LÄN</t>
        </is>
      </c>
      <c r="G403" t="inlineStr">
        <is>
          <t>FILIPSTAD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46324</v>
      </c>
      <c r="F404" t="inlineStr">
        <is>
          <t>VÄRMLANDS LÄN</t>
        </is>
      </c>
      <c r="G404" t="inlineStr">
        <is>
          <t>FILIPSTAD</t>
        </is>
      </c>
      <c r="I404" t="n">
        <v>9.699999999999999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44935</v>
      </c>
      <c r="E405" s="1" t="n">
        <v>46324</v>
      </c>
      <c r="F405" t="inlineStr">
        <is>
          <t>VÄRMLANDS LÄN</t>
        </is>
      </c>
      <c r="G405" t="inlineStr">
        <is>
          <t>FILIPSTAD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46324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45686</v>
      </c>
      <c r="E407" s="1" t="n">
        <v>46324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31537-2026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46223</v>
      </c>
      <c r="E408" s="1" t="n">
        <v>46324</v>
      </c>
      <c r="F408" t="inlineStr">
        <is>
          <t>VÄRMLANDS LÄN</t>
        </is>
      </c>
      <c r="G408" t="inlineStr">
        <is>
          <t>FILIPSTAD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18022-2026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46125</v>
      </c>
      <c r="E409" s="1" t="n">
        <v>46324</v>
      </c>
      <c r="F409" t="inlineStr">
        <is>
          <t>VÄRMLANDS LÄN</t>
        </is>
      </c>
      <c r="G409" t="inlineStr">
        <is>
          <t>FILIPSTAD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46219</v>
      </c>
      <c r="E410" s="1" t="n">
        <v>46324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46324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65167-2021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44515</v>
      </c>
      <c r="E412" s="1" t="n">
        <v>46324</v>
      </c>
      <c r="F412" t="inlineStr">
        <is>
          <t>VÄRMLANDS LÄN</t>
        </is>
      </c>
      <c r="G412" t="inlineStr">
        <is>
          <t>FILIPSTAD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46225</v>
      </c>
      <c r="E413" s="1" t="n">
        <v>46324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46226</v>
      </c>
      <c r="E414" s="1" t="n">
        <v>46324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18969-2026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46129</v>
      </c>
      <c r="E415" s="1" t="n">
        <v>46324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31699-2026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46226</v>
      </c>
      <c r="E416" s="1" t="n">
        <v>46324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31706-2026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46226</v>
      </c>
      <c r="E417" s="1" t="n">
        <v>46324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46127</v>
      </c>
      <c r="E418" s="1" t="n">
        <v>46324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31746-2026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46227</v>
      </c>
      <c r="E419" s="1" t="n">
        <v>46324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31726-2026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46227</v>
      </c>
      <c r="E420" s="1" t="n">
        <v>46324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46127</v>
      </c>
      <c r="E421" s="1" t="n">
        <v>46324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36377-2023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45152</v>
      </c>
      <c r="E422" s="1" t="n">
        <v>46324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44951</v>
      </c>
      <c r="E423" s="1" t="n">
        <v>46324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46127</v>
      </c>
      <c r="E424" s="1" t="n">
        <v>46324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18533-2026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46127</v>
      </c>
      <c r="E425" s="1" t="n">
        <v>46324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46128</v>
      </c>
      <c r="E426" s="1" t="n">
        <v>46324</v>
      </c>
      <c r="F426" t="inlineStr">
        <is>
          <t>VÄRMLANDS LÄN</t>
        </is>
      </c>
      <c r="G426" t="inlineStr">
        <is>
          <t>FILIPSTAD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18507-2026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46127</v>
      </c>
      <c r="E427" s="1" t="n">
        <v>46324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19361-2026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46133</v>
      </c>
      <c r="E428" s="1" t="n">
        <v>46324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46186</v>
      </c>
      <c r="E429" s="1" t="n">
        <v>46324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46232</v>
      </c>
      <c r="E430" s="1" t="n">
        <v>46324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28357-2024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45477</v>
      </c>
      <c r="E431" s="1" t="n">
        <v>46324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35304-2024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45530</v>
      </c>
      <c r="E432" s="1" t="n">
        <v>46324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46231</v>
      </c>
      <c r="E433" s="1" t="n">
        <v>46324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31950-2026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46232</v>
      </c>
      <c r="E434" s="1" t="n">
        <v>46324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31963-2026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46232</v>
      </c>
      <c r="E435" s="1" t="n">
        <v>46324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8.699999999999999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23266-2025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46324</v>
      </c>
      <c r="F436" t="inlineStr">
        <is>
          <t>VÄRMLANDS LÄN</t>
        </is>
      </c>
      <c r="G436" t="inlineStr">
        <is>
          <t>FILIPSTAD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48702-2024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45593</v>
      </c>
      <c r="E437" s="1" t="n">
        <v>46324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46233</v>
      </c>
      <c r="E438" s="1" t="n">
        <v>46324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46234</v>
      </c>
      <c r="E439" s="1" t="n">
        <v>46324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46233</v>
      </c>
      <c r="E440" s="1" t="n">
        <v>46324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32248-2026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46237</v>
      </c>
      <c r="E441" s="1" t="n">
        <v>46324</v>
      </c>
      <c r="F441" t="inlineStr">
        <is>
          <t>VÄRMLANDS LÄN</t>
        </is>
      </c>
      <c r="G441" t="inlineStr">
        <is>
          <t>FILIPSTAD</t>
        </is>
      </c>
      <c r="I441" t="n">
        <v>13.4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32249-2026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46237</v>
      </c>
      <c r="E442" s="1" t="n">
        <v>46324</v>
      </c>
      <c r="F442" t="inlineStr">
        <is>
          <t>VÄRMLANDS LÄN</t>
        </is>
      </c>
      <c r="G442" t="inlineStr">
        <is>
          <t>FILIPSTAD</t>
        </is>
      </c>
      <c r="H442" t="inlineStr">
        <is>
          <t>Kommuner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46135</v>
      </c>
      <c r="E443" s="1" t="n">
        <v>46324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46233</v>
      </c>
      <c r="E444" s="1" t="n">
        <v>46324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22880-2025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45790</v>
      </c>
      <c r="E445" s="1" t="n">
        <v>46324</v>
      </c>
      <c r="F445" t="inlineStr">
        <is>
          <t>VÄRMLANDS LÄN</t>
        </is>
      </c>
      <c r="G445" t="inlineStr">
        <is>
          <t>FILIPSTAD</t>
        </is>
      </c>
      <c r="H445" t="inlineStr">
        <is>
          <t>Kyrkan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46134</v>
      </c>
      <c r="E446" s="1" t="n">
        <v>46324</v>
      </c>
      <c r="F446" t="inlineStr">
        <is>
          <t>VÄRMLANDS LÄN</t>
        </is>
      </c>
      <c r="G446" t="inlineStr">
        <is>
          <t>FILIPSTAD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46134</v>
      </c>
      <c r="E447" s="1" t="n">
        <v>46324</v>
      </c>
      <c r="F447" t="inlineStr">
        <is>
          <t>VÄRMLANDS LÄN</t>
        </is>
      </c>
      <c r="G447" t="inlineStr">
        <is>
          <t>FILIPSTAD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45667</v>
      </c>
      <c r="E448" s="1" t="n">
        <v>46324</v>
      </c>
      <c r="F448" t="inlineStr">
        <is>
          <t>VÄRMLANDS LÄN</t>
        </is>
      </c>
      <c r="G448" t="inlineStr">
        <is>
          <t>FILIPSTAD</t>
        </is>
      </c>
      <c r="H448" t="inlineStr">
        <is>
          <t>Kommuner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46240</v>
      </c>
      <c r="E449" s="1" t="n">
        <v>46324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46283</v>
      </c>
      <c r="E450" s="1" t="n">
        <v>46324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46282</v>
      </c>
      <c r="E451" s="1" t="n">
        <v>46324</v>
      </c>
      <c r="F451" t="inlineStr">
        <is>
          <t>VÄRMLANDS LÄN</t>
        </is>
      </c>
      <c r="G451" t="inlineStr">
        <is>
          <t>FILIPSTAD</t>
        </is>
      </c>
      <c r="H451" t="inlineStr">
        <is>
          <t>Kyrkan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32442-2026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46239</v>
      </c>
      <c r="E452" s="1" t="n">
        <v>46324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32572-2026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46239</v>
      </c>
      <c r="E453" s="1" t="n">
        <v>46324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46324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46324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54080-2025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45964</v>
      </c>
      <c r="E456" s="1" t="n">
        <v>46324</v>
      </c>
      <c r="F456" t="inlineStr">
        <is>
          <t>VÄRMLANDS LÄN</t>
        </is>
      </c>
      <c r="G456" t="inlineStr">
        <is>
          <t>FILIPSTAD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38575-2026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46283</v>
      </c>
      <c r="E457" s="1" t="n">
        <v>46324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45896</v>
      </c>
      <c r="E458" s="1" t="n">
        <v>46324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46324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46324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39080-2026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46287</v>
      </c>
      <c r="E461" s="1" t="n">
        <v>46324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38820-2026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46286</v>
      </c>
      <c r="E462" s="1" t="n">
        <v>46324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46129</v>
      </c>
      <c r="E463" s="1" t="n">
        <v>46324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24.9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20045-2026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46136</v>
      </c>
      <c r="E464" s="1" t="n">
        <v>46324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32852-2026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46244</v>
      </c>
      <c r="E465" s="1" t="n">
        <v>46324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46324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45420</v>
      </c>
      <c r="E467" s="1" t="n">
        <v>46324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46245</v>
      </c>
      <c r="E468" s="1" t="n">
        <v>46324</v>
      </c>
      <c r="F468" t="inlineStr">
        <is>
          <t>VÄRMLANDS LÄN</t>
        </is>
      </c>
      <c r="G468" t="inlineStr">
        <is>
          <t>FILIPSTAD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46241</v>
      </c>
      <c r="E469" s="1" t="n">
        <v>46324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50856-2022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44867</v>
      </c>
      <c r="E470" s="1" t="n">
        <v>46324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45841</v>
      </c>
      <c r="E471" s="1" t="n">
        <v>46324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46324</v>
      </c>
      <c r="F472" t="inlineStr">
        <is>
          <t>VÄRMLANDS LÄN</t>
        </is>
      </c>
      <c r="G472" t="inlineStr">
        <is>
          <t>FILIPSTAD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46283</v>
      </c>
      <c r="E473" s="1" t="n">
        <v>46324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46324</v>
      </c>
      <c r="F474" t="inlineStr">
        <is>
          <t>VÄRMLANDS LÄN</t>
        </is>
      </c>
      <c r="G474" t="inlineStr">
        <is>
          <t>FILIPSTAD</t>
        </is>
      </c>
      <c r="H474" t="inlineStr">
        <is>
          <t>Kyrkan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22843-2025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45790</v>
      </c>
      <c r="E475" s="1" t="n">
        <v>46324</v>
      </c>
      <c r="F475" t="inlineStr">
        <is>
          <t>VÄRMLANDS LÄN</t>
        </is>
      </c>
      <c r="G475" t="inlineStr">
        <is>
          <t>FILIPSTAD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46245</v>
      </c>
      <c r="E476" s="1" t="n">
        <v>46324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45901</v>
      </c>
      <c r="E477" s="1" t="n">
        <v>46324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39373-2026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46288</v>
      </c>
      <c r="E478" s="1" t="n">
        <v>46324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45835</v>
      </c>
      <c r="E479" s="1" t="n">
        <v>46324</v>
      </c>
      <c r="F479" t="inlineStr">
        <is>
          <t>VÄRMLANDS LÄN</t>
        </is>
      </c>
      <c r="G479" t="inlineStr">
        <is>
          <t>FILIPSTAD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20050-2026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46136</v>
      </c>
      <c r="E480" s="1" t="n">
        <v>46324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33324-2026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46246</v>
      </c>
      <c r="E481" s="1" t="n">
        <v>46324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20040-2026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46136</v>
      </c>
      <c r="E482" s="1" t="n">
        <v>46324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46324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22558-2025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45789</v>
      </c>
      <c r="E484" s="1" t="n">
        <v>46324</v>
      </c>
      <c r="F484" t="inlineStr">
        <is>
          <t>VÄRMLANDS LÄN</t>
        </is>
      </c>
      <c r="G484" t="inlineStr">
        <is>
          <t>FILIPSTAD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45841</v>
      </c>
      <c r="E485" s="1" t="n">
        <v>46324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46290</v>
      </c>
      <c r="E486" s="1" t="n">
        <v>46324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46324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46324</v>
      </c>
      <c r="F488" t="inlineStr">
        <is>
          <t>VÄRMLANDS LÄN</t>
        </is>
      </c>
      <c r="G488" t="inlineStr">
        <is>
          <t>FILIPSTAD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39896-2025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45891</v>
      </c>
      <c r="E489" s="1" t="n">
        <v>46324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28687-2025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45819</v>
      </c>
      <c r="E490" s="1" t="n">
        <v>46324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21608-2023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45063</v>
      </c>
      <c r="E491" s="1" t="n">
        <v>46324</v>
      </c>
      <c r="F491" t="inlineStr">
        <is>
          <t>VÄRMLANDS LÄN</t>
        </is>
      </c>
      <c r="G491" t="inlineStr">
        <is>
          <t>FILIPSTAD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71971-2021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46324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46324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49602-2025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45939</v>
      </c>
      <c r="E494" s="1" t="n">
        <v>46324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31676-2025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45834</v>
      </c>
      <c r="E495" s="1" t="n">
        <v>46324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46324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46324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16067-2026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46108</v>
      </c>
      <c r="E498" s="1" t="n">
        <v>46324</v>
      </c>
      <c r="F498" t="inlineStr">
        <is>
          <t>VÄRMLANDS LÄN</t>
        </is>
      </c>
      <c r="G498" t="inlineStr">
        <is>
          <t>FILIPSTAD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36272-2025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45867</v>
      </c>
      <c r="E499" s="1" t="n">
        <v>46324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46141</v>
      </c>
      <c r="E500" s="1" t="n">
        <v>46324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24139-2024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45456</v>
      </c>
      <c r="E501" s="1" t="n">
        <v>46324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46293</v>
      </c>
      <c r="E502" s="1" t="n">
        <v>46324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37733-2025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45880</v>
      </c>
      <c r="E503" s="1" t="n">
        <v>46324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40121-2026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46293</v>
      </c>
      <c r="E504" s="1" t="n">
        <v>46324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20554-2025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45775</v>
      </c>
      <c r="E505" s="1" t="n">
        <v>46324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40113-2026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46293</v>
      </c>
      <c r="E506" s="1" t="n">
        <v>46324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34053-2026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46324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33857-2026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46324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34054-2026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46252</v>
      </c>
      <c r="E509" s="1" t="n">
        <v>46324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40378-2026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46294</v>
      </c>
      <c r="E510" s="1" t="n">
        <v>46324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46251</v>
      </c>
      <c r="E511" s="1" t="n">
        <v>46324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40386-2026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46294</v>
      </c>
      <c r="E512" s="1" t="n">
        <v>46324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46324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33859-2026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46324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46324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60524-2024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45643</v>
      </c>
      <c r="E516" s="1" t="n">
        <v>46324</v>
      </c>
      <c r="F516" t="inlineStr">
        <is>
          <t>VÄRMLANDS LÄN</t>
        </is>
      </c>
      <c r="G516" t="inlineStr">
        <is>
          <t>FILIPSTAD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45106</v>
      </c>
      <c r="E517" s="1" t="n">
        <v>46324</v>
      </c>
      <c r="F517" t="inlineStr">
        <is>
          <t>VÄRMLANDS LÄN</t>
        </is>
      </c>
      <c r="G517" t="inlineStr">
        <is>
          <t>FILIPSTAD</t>
        </is>
      </c>
      <c r="H517" t="inlineStr">
        <is>
          <t>Kyrkan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32978-2026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46244</v>
      </c>
      <c r="E518" s="1" t="n">
        <v>46324</v>
      </c>
      <c r="F518" t="inlineStr">
        <is>
          <t>VÄRMLANDS LÄN</t>
        </is>
      </c>
      <c r="G518" t="inlineStr">
        <is>
          <t>FILIPSTAD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34442-2026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46254</v>
      </c>
      <c r="E519" s="1" t="n">
        <v>46324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46213</v>
      </c>
      <c r="E520" s="1" t="n">
        <v>46324</v>
      </c>
      <c r="F520" t="inlineStr">
        <is>
          <t>VÄRMLANDS LÄN</t>
        </is>
      </c>
      <c r="G520" t="inlineStr">
        <is>
          <t>FILIPSTAD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45720</v>
      </c>
      <c r="E521" s="1" t="n">
        <v>46324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33368-2022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44788</v>
      </c>
      <c r="E522" s="1" t="n">
        <v>46324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18999-2024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45427</v>
      </c>
      <c r="E523" s="1" t="n">
        <v>46324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45638</v>
      </c>
      <c r="E524" s="1" t="n">
        <v>46324</v>
      </c>
      <c r="F524" t="inlineStr">
        <is>
          <t>VÄRMLANDS LÄN</t>
        </is>
      </c>
      <c r="G524" t="inlineStr">
        <is>
          <t>FILIPSTAD</t>
        </is>
      </c>
      <c r="H524" t="inlineStr">
        <is>
          <t>Kyrkan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29825-2023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45107</v>
      </c>
      <c r="E525" s="1" t="n">
        <v>46324</v>
      </c>
      <c r="F525" t="inlineStr">
        <is>
          <t>VÄRMLANDS LÄN</t>
        </is>
      </c>
      <c r="G525" t="inlineStr">
        <is>
          <t>FILIPSTAD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46324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46324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19.2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31306-2023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45114</v>
      </c>
      <c r="E528" s="1" t="n">
        <v>46324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46297</v>
      </c>
      <c r="E529" s="1" t="n">
        <v>46324</v>
      </c>
      <c r="F529" t="inlineStr">
        <is>
          <t>VÄRMLANDS LÄN</t>
        </is>
      </c>
      <c r="G529" t="inlineStr">
        <is>
          <t>FILIPSTAD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8692-2025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45712</v>
      </c>
      <c r="E530" s="1" t="n">
        <v>46324</v>
      </c>
      <c r="F530" t="inlineStr">
        <is>
          <t>VÄRMLANDS LÄN</t>
        </is>
      </c>
      <c r="G530" t="inlineStr">
        <is>
          <t>FILIPSTAD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46324</v>
      </c>
      <c r="F531" t="inlineStr">
        <is>
          <t>VÄRMLANDS LÄN</t>
        </is>
      </c>
      <c r="G531" t="inlineStr">
        <is>
          <t>FILIPSTAD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57244-2023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45245</v>
      </c>
      <c r="E532" s="1" t="n">
        <v>46324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46259</v>
      </c>
      <c r="E533" s="1" t="n">
        <v>46324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46259</v>
      </c>
      <c r="E534" s="1" t="n">
        <v>46324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42117-2026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46304</v>
      </c>
      <c r="E535" s="1" t="n">
        <v>46324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35368-2026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46261</v>
      </c>
      <c r="E536" s="1" t="n">
        <v>46324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45180</v>
      </c>
      <c r="E537" s="1" t="n">
        <v>46324</v>
      </c>
      <c r="F537" t="inlineStr">
        <is>
          <t>VÄRMLANDS LÄN</t>
        </is>
      </c>
      <c r="G537" t="inlineStr">
        <is>
          <t>FILIPSTAD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22830-2023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45072</v>
      </c>
      <c r="E538" s="1" t="n">
        <v>46324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22866-2023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45072</v>
      </c>
      <c r="E539" s="1" t="n">
        <v>46324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46261</v>
      </c>
      <c r="E540" s="1" t="n">
        <v>46324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47566-2025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45931</v>
      </c>
      <c r="E541" s="1" t="n">
        <v>46324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46202</v>
      </c>
      <c r="E542" s="1" t="n">
        <v>46324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46261</v>
      </c>
      <c r="E543" s="1" t="n">
        <v>46324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62787-2023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45271</v>
      </c>
      <c r="E544" s="1" t="n">
        <v>46324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40244-2023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45169</v>
      </c>
      <c r="E545" s="1" t="n">
        <v>46324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56037-2025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45973</v>
      </c>
      <c r="E546" s="1" t="n">
        <v>46324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42123-2026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46304</v>
      </c>
      <c r="E547" s="1" t="n">
        <v>46324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16009-2026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46108</v>
      </c>
      <c r="E548" s="1" t="n">
        <v>46324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46261</v>
      </c>
      <c r="E549" s="1" t="n">
        <v>46324</v>
      </c>
      <c r="F549" t="inlineStr">
        <is>
          <t>VÄRMLANDS LÄN</t>
        </is>
      </c>
      <c r="G549" t="inlineStr">
        <is>
          <t>FILIPSTAD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50786-2024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45602</v>
      </c>
      <c r="E550" s="1" t="n">
        <v>46324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45664</v>
      </c>
      <c r="E551" s="1" t="n">
        <v>46324</v>
      </c>
      <c r="F551" t="inlineStr">
        <is>
          <t>VÄRMLANDS LÄN</t>
        </is>
      </c>
      <c r="G551" t="inlineStr">
        <is>
          <t>FILIPSTAD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35821-2026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46265</v>
      </c>
      <c r="E552" s="1" t="n">
        <v>46324</v>
      </c>
      <c r="F552" t="inlineStr">
        <is>
          <t>VÄRMLANDS LÄN</t>
        </is>
      </c>
      <c r="G552" t="inlineStr">
        <is>
          <t>FILIPSTAD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46266</v>
      </c>
      <c r="E553" s="1" t="n">
        <v>46324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46265</v>
      </c>
      <c r="E554" s="1" t="n">
        <v>46324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46264</v>
      </c>
      <c r="E555" s="1" t="n">
        <v>46324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35948-2026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46266</v>
      </c>
      <c r="E556" s="1" t="n">
        <v>46324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19351-2025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45769</v>
      </c>
      <c r="E557" s="1" t="n">
        <v>46324</v>
      </c>
      <c r="F557" t="inlineStr">
        <is>
          <t>VÄRMLANDS LÄN</t>
        </is>
      </c>
      <c r="G557" t="inlineStr">
        <is>
          <t>FILIPSTAD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35995-2026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46266</v>
      </c>
      <c r="E558" s="1" t="n">
        <v>46324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35945-2026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46266</v>
      </c>
      <c r="E559" s="1" t="n">
        <v>46324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35614-2026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46264</v>
      </c>
      <c r="E560" s="1" t="n">
        <v>46324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42582-2026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46308</v>
      </c>
      <c r="E561" s="1" t="n">
        <v>46324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57588-2023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45246</v>
      </c>
      <c r="E562" s="1" t="n">
        <v>46324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36297-2026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46324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45671</v>
      </c>
      <c r="E564" s="1" t="n">
        <v>46324</v>
      </c>
      <c r="F564" t="inlineStr">
        <is>
          <t>VÄRMLANDS LÄN</t>
        </is>
      </c>
      <c r="G564" t="inlineStr">
        <is>
          <t>FILIPSTAD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45299</v>
      </c>
      <c r="E565" s="1" t="n">
        <v>46324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43028-2026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46311</v>
      </c>
      <c r="E566" s="1" t="n">
        <v>46324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869-2025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45665</v>
      </c>
      <c r="E567" s="1" t="n">
        <v>46324</v>
      </c>
      <c r="F567" t="inlineStr">
        <is>
          <t>VÄRMLANDS LÄN</t>
        </is>
      </c>
      <c r="G567" t="inlineStr">
        <is>
          <t>FILIPSTAD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36455-2026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46269</v>
      </c>
      <c r="E568" s="1" t="n">
        <v>46324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33967-2023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45124</v>
      </c>
      <c r="E569" s="1" t="n">
        <v>46324</v>
      </c>
      <c r="F569" t="inlineStr">
        <is>
          <t>VÄRMLANDS LÄN</t>
        </is>
      </c>
      <c r="G569" t="inlineStr">
        <is>
          <t>FILIPSTAD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36490-2026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46269</v>
      </c>
      <c r="E570" s="1" t="n">
        <v>46324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46324</v>
      </c>
      <c r="F571" t="inlineStr">
        <is>
          <t>VÄRMLANDS LÄN</t>
        </is>
      </c>
      <c r="G571" t="inlineStr">
        <is>
          <t>FILIPSTAD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46324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46324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36458-2026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46269</v>
      </c>
      <c r="E574" s="1" t="n">
        <v>46324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36819-2026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46272</v>
      </c>
      <c r="E575" s="1" t="n">
        <v>46324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36508-2026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46269</v>
      </c>
      <c r="E576" s="1" t="n">
        <v>46324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18.6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36456-2026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46269</v>
      </c>
      <c r="E577" s="1" t="n">
        <v>46324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46324</v>
      </c>
      <c r="F578" t="inlineStr">
        <is>
          <t>VÄRMLANDS LÄN</t>
        </is>
      </c>
      <c r="G578" t="inlineStr">
        <is>
          <t>FILIPSTAD</t>
        </is>
      </c>
      <c r="I578" t="n">
        <v>11.6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46324</v>
      </c>
      <c r="F579" t="inlineStr">
        <is>
          <t>VÄRMLANDS LÄN</t>
        </is>
      </c>
      <c r="G579" t="inlineStr">
        <is>
          <t>FILIPSTAD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62540-2023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45267</v>
      </c>
      <c r="E580" s="1" t="n">
        <v>46324</v>
      </c>
      <c r="F580" t="inlineStr">
        <is>
          <t>VÄRMLANDS LÄN</t>
        </is>
      </c>
      <c r="G580" t="inlineStr">
        <is>
          <t>FILIPSTAD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63482-2021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44508</v>
      </c>
      <c r="E581" s="1" t="n">
        <v>46324</v>
      </c>
      <c r="F581" t="inlineStr">
        <is>
          <t>VÄRMLANDS LÄN</t>
        </is>
      </c>
      <c r="G581" t="inlineStr">
        <is>
          <t>FILIPSTAD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37249-2026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46274</v>
      </c>
      <c r="E582" s="1" t="n">
        <v>46324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15228-2025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45744</v>
      </c>
      <c r="E583" s="1" t="n">
        <v>46324</v>
      </c>
      <c r="F583" t="inlineStr">
        <is>
          <t>VÄRMLANDS LÄN</t>
        </is>
      </c>
      <c r="G583" t="inlineStr">
        <is>
          <t>FILIPSTAD</t>
        </is>
      </c>
      <c r="H583" t="inlineStr">
        <is>
          <t>Kommuner</t>
        </is>
      </c>
      <c r="I583" t="n">
        <v>17.7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45253</v>
      </c>
      <c r="E584" s="1" t="n">
        <v>46324</v>
      </c>
      <c r="F584" t="inlineStr">
        <is>
          <t>VÄRMLANDS LÄN</t>
        </is>
      </c>
      <c r="G584" t="inlineStr">
        <is>
          <t>FILIPSTAD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56840-2024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45628</v>
      </c>
      <c r="E585" s="1" t="n">
        <v>46324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16584-2024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45408</v>
      </c>
      <c r="E586" s="1" t="n">
        <v>46324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46273</v>
      </c>
      <c r="E587" s="1" t="n">
        <v>46324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46199</v>
      </c>
      <c r="E588" s="1" t="n">
        <v>46324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45995</v>
      </c>
      <c r="E589" s="1" t="n">
        <v>46324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25338-2023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45087</v>
      </c>
      <c r="E590" s="1" t="n">
        <v>46324</v>
      </c>
      <c r="F590" t="inlineStr">
        <is>
          <t>VÄRMLANDS LÄN</t>
        </is>
      </c>
      <c r="G590" t="inlineStr">
        <is>
          <t>FILIPSTAD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25375-2023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45088</v>
      </c>
      <c r="E591" s="1" t="n">
        <v>46324</v>
      </c>
      <c r="F591" t="inlineStr">
        <is>
          <t>VÄRMLANDS LÄN</t>
        </is>
      </c>
      <c r="G591" t="inlineStr">
        <is>
          <t>FILIPSTAD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46324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24026-2026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46167</v>
      </c>
      <c r="E593" s="1" t="n">
        <v>46324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46324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46134</v>
      </c>
      <c r="E595" s="1" t="n">
        <v>46324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27426-2026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46189</v>
      </c>
      <c r="E596" s="1" t="n">
        <v>46324</v>
      </c>
      <c r="F596" t="inlineStr">
        <is>
          <t>VÄRMLANDS LÄN</t>
        </is>
      </c>
      <c r="G596" t="inlineStr">
        <is>
          <t>FILIPSTAD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13520-2026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46324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21593-2023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45063</v>
      </c>
      <c r="E598" s="1" t="n">
        <v>46324</v>
      </c>
      <c r="F598" t="inlineStr">
        <is>
          <t>VÄRMLANDS LÄN</t>
        </is>
      </c>
      <c r="G598" t="inlineStr">
        <is>
          <t>FILIPSTAD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37519-2026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46276</v>
      </c>
      <c r="E599" s="1" t="n">
        <v>46324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26323-2026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46324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23922-2026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46167</v>
      </c>
      <c r="E601" s="1" t="n">
        <v>46324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29385-2026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46324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27300-2026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46324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16100-2025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45750</v>
      </c>
      <c r="E604" s="1" t="n">
        <v>46324</v>
      </c>
      <c r="F604" t="inlineStr">
        <is>
          <t>VÄRMLANDS LÄN</t>
        </is>
      </c>
      <c r="G604" t="inlineStr">
        <is>
          <t>FILIPSTAD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44739-2026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46322</v>
      </c>
      <c r="E605" s="1" t="n">
        <v>46324</v>
      </c>
      <c r="F605" t="inlineStr">
        <is>
          <t>VÄRMLANDS LÄN</t>
        </is>
      </c>
      <c r="G605" t="inlineStr">
        <is>
          <t>FILIPSTAD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44906-2026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46323</v>
      </c>
      <c r="E606" s="1" t="n">
        <v>46324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39633-2023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45167</v>
      </c>
      <c r="E607" s="1" t="n">
        <v>46324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46323</v>
      </c>
      <c r="E608" s="1" t="n">
        <v>46324</v>
      </c>
      <c r="F608" t="inlineStr">
        <is>
          <t>VÄRMLANDS LÄN</t>
        </is>
      </c>
      <c r="G608" t="inlineStr">
        <is>
          <t>FILIPSTAD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61741-2022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44911</v>
      </c>
      <c r="E609" s="1" t="n">
        <v>46324</v>
      </c>
      <c r="F609" t="inlineStr">
        <is>
          <t>VÄRMLANDS LÄN</t>
        </is>
      </c>
      <c r="G609" t="inlineStr">
        <is>
          <t>FILIPSTAD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44672-2026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46322</v>
      </c>
      <c r="E610" s="1" t="n">
        <v>46324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38228-2026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46281</v>
      </c>
      <c r="E611" s="1" t="n">
        <v>46324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46324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60296-2023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45257</v>
      </c>
      <c r="E613" s="1" t="n">
        <v>46324</v>
      </c>
      <c r="F613" t="inlineStr">
        <is>
          <t>VÄRMLANDS LÄN</t>
        </is>
      </c>
      <c r="G613" t="inlineStr">
        <is>
          <t>FILIPSTAD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44909-2026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46323</v>
      </c>
      <c r="E614" s="1" t="n">
        <v>46324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28161-2023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45093</v>
      </c>
      <c r="E615" s="1" t="n">
        <v>46324</v>
      </c>
      <c r="F615" t="inlineStr">
        <is>
          <t>VÄRMLANDS LÄN</t>
        </is>
      </c>
      <c r="G615" t="inlineStr">
        <is>
          <t>FILIPSTAD</t>
        </is>
      </c>
      <c r="H615" t="inlineStr">
        <is>
          <t>Kommuner</t>
        </is>
      </c>
      <c r="I615" t="n">
        <v>15.4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44883-2026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46323</v>
      </c>
      <c r="E616" s="1" t="n">
        <v>46324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20663-2024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45436</v>
      </c>
      <c r="E617" s="1" t="n">
        <v>46324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17795-2024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45418</v>
      </c>
      <c r="E618" s="1" t="n">
        <v>46324</v>
      </c>
      <c r="F618" t="inlineStr">
        <is>
          <t>VÄRMLANDS LÄN</t>
        </is>
      </c>
      <c r="G618" t="inlineStr">
        <is>
          <t>FILIPSTAD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44460-2026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46321</v>
      </c>
      <c r="E619" s="1" t="n">
        <v>46324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44456-2026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46321</v>
      </c>
      <c r="E620" s="1" t="n">
        <v>46324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9.300000000000001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5757-2021</t>
        </is>
      </c>
      <c r="B621" t="inlineStr">
        <is>
          <t>samrådsanmälan</t>
        </is>
      </c>
      <c r="C621" t="inlineStr">
        <is>
          <t>Basväg</t>
        </is>
      </c>
      <c r="D621" s="1" t="n">
        <v>44438</v>
      </c>
      <c r="E621" s="1" t="n">
        <v>46324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1191-2021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44328</v>
      </c>
      <c r="E622" s="1" t="n">
        <v>46324</v>
      </c>
      <c r="F622" t="inlineStr">
        <is>
          <t>VÄRMLANDS LÄN</t>
        </is>
      </c>
      <c r="G622" t="inlineStr">
        <is>
          <t>FILIPSTAD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4134-2023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46324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4115-2023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45246</v>
      </c>
      <c r="E624" s="1" t="n">
        <v>46324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4137-2023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46324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16.5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4132-2023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46324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8.300000000000001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4130-2023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46324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4127-2023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46324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837-2023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44991</v>
      </c>
      <c r="E629" s="1" t="n">
        <v>46324</v>
      </c>
      <c r="F629" t="inlineStr">
        <is>
          <t>VÄRMLANDS LÄN</t>
        </is>
      </c>
      <c r="G629" t="inlineStr">
        <is>
          <t>FILIPSTAD</t>
        </is>
      </c>
      <c r="I629" t="n">
        <v>19.3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4129-2023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46324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3919-2023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45233</v>
      </c>
      <c r="E631" s="1" t="n">
        <v>46324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4135-2023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46324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18.9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4126-2023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46324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20.4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294-2025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45687</v>
      </c>
      <c r="E634" s="1" t="n">
        <v>46324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186.4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4116-2023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45246</v>
      </c>
      <c r="E635" s="1" t="n">
        <v>46324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6.4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661-2025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45716</v>
      </c>
      <c r="E636" s="1" t="n">
        <v>46324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3429-2025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45995</v>
      </c>
      <c r="E637" s="1" t="n">
        <v>46324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3576-2025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46010</v>
      </c>
      <c r="E638" s="1" t="n">
        <v>46324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27.1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105-2026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46036</v>
      </c>
      <c r="E639" s="1" t="n">
        <v>46324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238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2026-10-29T03:12:34Z</dcterms:created>
  <dcterms:modified xmlns:dcterms="http://purl.org/dc/terms/" xmlns:xsi="http://www.w3.org/2001/XMLSchema-instance" xsi:type="dcterms:W3CDTF">2026-10-29T03:12:35Z</dcterms:modified>
</cp:coreProperties>
</file>