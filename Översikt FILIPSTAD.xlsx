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46297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46297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46297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46297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46297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46297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46297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46297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46297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46297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46297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46297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46297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46297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46297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4620-2024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45328</v>
      </c>
      <c r="E27" s="1" t="n">
        <v>46297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2.9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Tvåblad
Brudsporre</t>
        </is>
      </c>
      <c r="W27">
        <f>HYPERLINK("https://klasma.github.io/Logging_1782/artfynd/A 4620-2024 artfynd.xlsx", "A 4620-2024")</f>
        <v/>
      </c>
      <c r="X27">
        <f>HYPERLINK("https://klasma.github.io/Logging_1782/kartor/A 4620-2024 karta.png", "A 4620-2024")</f>
        <v/>
      </c>
      <c r="Y27">
        <f>HYPERLINK("https://klasma.github.io/Logging_1782/kartor_geotiff/A 4620-2024 georefererad karta.tif", "A 4620-2024")</f>
        <v/>
      </c>
      <c r="AA27">
        <f>HYPERLINK("https://klasma.github.io/Logging_1782/klagomål/A 4620-2024 FSC-klagomål.docx", "A 4620-2024")</f>
        <v/>
      </c>
      <c r="AB27">
        <f>HYPERLINK("https://klasma.github.io/Logging_1782/klagomålsmail/A 4620-2024 FSC-klagomål mail.docx", "A 4620-2024")</f>
        <v/>
      </c>
      <c r="AC27">
        <f>HYPERLINK("https://klasma.github.io/Logging_1782/tillsyn/A 4620-2024 tillsynsbegäran.docx", "A 4620-2024")</f>
        <v/>
      </c>
      <c r="AD27">
        <f>HYPERLINK("https://klasma.github.io/Logging_1782/tillsynsmail/A 4620-2024 tillsynsbegäran mail.docx", "A 4620-2024")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46297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32438-2026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46239</v>
      </c>
      <c r="E29" s="1" t="n">
        <v>46297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Dubbelnycklar
Ängsnycklar</t>
        </is>
      </c>
      <c r="W29">
        <f>HYPERLINK("https://klasma.github.io/Logging_1782/artfynd/A 32438-2026 artfynd.xlsx", "A 32438-2026")</f>
        <v/>
      </c>
      <c r="X29">
        <f>HYPERLINK("https://klasma.github.io/Logging_1782/kartor/A 32438-2026 karta.png", "A 32438-2026")</f>
        <v/>
      </c>
      <c r="Y29">
        <f>HYPERLINK("https://klasma.github.io/Logging_1782/kartor_geotiff/A 32438-2026 georefererad karta.tif", "A 32438-2026")</f>
        <v/>
      </c>
      <c r="AA29">
        <f>HYPERLINK("https://klasma.github.io/Logging_1782/klagomål/A 32438-2026 FSC-klagomål.docx", "A 32438-2026")</f>
        <v/>
      </c>
      <c r="AB29">
        <f>HYPERLINK("https://klasma.github.io/Logging_1782/klagomålsmail/A 32438-2026 FSC-klagomål mail.docx", "A 32438-2026")</f>
        <v/>
      </c>
      <c r="AC29">
        <f>HYPERLINK("https://klasma.github.io/Logging_1782/tillsyn/A 32438-2026 tillsynsbegäran.docx", "A 32438-2026")</f>
        <v/>
      </c>
      <c r="AD29">
        <f>HYPERLINK("https://klasma.github.io/Logging_1782/tillsynsmail/A 32438-2026 tillsynsbegäran mail.docx", "A 32438-2026")</f>
        <v/>
      </c>
    </row>
    <row r="30" ht="15" customHeight="1">
      <c r="A30" t="inlineStr">
        <is>
          <t>A 33583-2026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46248</v>
      </c>
      <c r="E30" s="1" t="n">
        <v>46297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16.4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Bårdlav
Stuplav</t>
        </is>
      </c>
      <c r="W30">
        <f>HYPERLINK("https://klasma.github.io/Logging_1782/artfynd/A 33583-2026 artfynd.xlsx", "A 33583-2026")</f>
        <v/>
      </c>
      <c r="X30">
        <f>HYPERLINK("https://klasma.github.io/Logging_1782/kartor/A 33583-2026 karta.png", "A 33583-2026")</f>
        <v/>
      </c>
      <c r="Y30">
        <f>HYPERLINK("https://klasma.github.io/Logging_1782/kartor_geotiff/A 33583-2026 georefererad karta.tif", "A 33583-2026")</f>
        <v/>
      </c>
      <c r="AA30">
        <f>HYPERLINK("https://klasma.github.io/Logging_1782/klagomål/A 33583-2026 FSC-klagomål.docx", "A 33583-2026")</f>
        <v/>
      </c>
      <c r="AB30">
        <f>HYPERLINK("https://klasma.github.io/Logging_1782/klagomålsmail/A 33583-2026 FSC-klagomål mail.docx", "A 33583-2026")</f>
        <v/>
      </c>
      <c r="AC30">
        <f>HYPERLINK("https://klasma.github.io/Logging_1782/tillsyn/A 33583-2026 tillsynsbegäran.docx", "A 33583-2026")</f>
        <v/>
      </c>
      <c r="AD30">
        <f>HYPERLINK("https://klasma.github.io/Logging_1782/tillsynsmail/A 33583-2026 tillsynsbegäran mail.docx", "A 33583-2026")</f>
        <v/>
      </c>
    </row>
    <row r="31" ht="15" customHeight="1">
      <c r="A31" t="inlineStr">
        <is>
          <t>A 16139-2025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45750</v>
      </c>
      <c r="E31" s="1" t="n">
        <v>46297</v>
      </c>
      <c r="F31" t="inlineStr">
        <is>
          <t>VÄRMLANDS LÄN</t>
        </is>
      </c>
      <c r="G31" t="inlineStr">
        <is>
          <t>FILIPSTAD</t>
        </is>
      </c>
      <c r="I31" t="n">
        <v>18.2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Bronshjon</t>
        </is>
      </c>
      <c r="W31">
        <f>HYPERLINK("https://klasma.github.io/Logging_1782/artfynd/A 16139-2025 artfynd.xlsx", "A 16139-2025")</f>
        <v/>
      </c>
      <c r="X31">
        <f>HYPERLINK("https://klasma.github.io/Logging_1782/kartor/A 16139-2025 karta.png", "A 16139-2025")</f>
        <v/>
      </c>
      <c r="Y31">
        <f>HYPERLINK("https://klasma.github.io/Logging_1782/kartor_geotiff/A 16139-2025 georefererad karta.tif", "A 16139-2025")</f>
        <v/>
      </c>
      <c r="AA31">
        <f>HYPERLINK("https://klasma.github.io/Logging_1782/klagomål/A 16139-2025 FSC-klagomål.docx", "A 16139-2025")</f>
        <v/>
      </c>
      <c r="AB31">
        <f>HYPERLINK("https://klasma.github.io/Logging_1782/klagomålsmail/A 16139-2025 FSC-klagomål mail.docx", "A 16139-2025")</f>
        <v/>
      </c>
      <c r="AC31">
        <f>HYPERLINK("https://klasma.github.io/Logging_1782/tillsyn/A 16139-2025 tillsynsbegäran.docx", "A 16139-2025")</f>
        <v/>
      </c>
      <c r="AD31">
        <f>HYPERLINK("https://klasma.github.io/Logging_1782/tillsynsmail/A 16139-2025 tillsynsbegäran mail.docx", "A 16139-2025")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46297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46297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46297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4560-2025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46297</v>
      </c>
      <c r="F36" t="inlineStr">
        <is>
          <t>VÄRMLANDS LÄN</t>
        </is>
      </c>
      <c r="G36" t="inlineStr">
        <is>
          <t>FILIPSTAD</t>
        </is>
      </c>
      <c r="I36" t="n">
        <v>13.6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Skrovlig taggsvamp</t>
        </is>
      </c>
      <c r="W36">
        <f>HYPERLINK("https://klasma.github.io/Logging_1782/artfynd/A 4560-2025 artfynd.xlsx", "A 4560-2025")</f>
        <v/>
      </c>
      <c r="X36">
        <f>HYPERLINK("https://klasma.github.io/Logging_1782/kartor/A 4560-2025 karta.png", "A 4560-2025")</f>
        <v/>
      </c>
      <c r="Y36">
        <f>HYPERLINK("https://klasma.github.io/Logging_1782/kartor_geotiff/A 4560-2025 georefererad karta.tif", "A 4560-2025")</f>
        <v/>
      </c>
      <c r="AA36">
        <f>HYPERLINK("https://klasma.github.io/Logging_1782/klagomål/A 4560-2025 FSC-klagomål.docx", "A 4560-2025")</f>
        <v/>
      </c>
      <c r="AB36">
        <f>HYPERLINK("https://klasma.github.io/Logging_1782/klagomålsmail/A 4560-2025 FSC-klagomål mail.docx", "A 4560-2025")</f>
        <v/>
      </c>
      <c r="AC36">
        <f>HYPERLINK("https://klasma.github.io/Logging_1782/tillsyn/A 4560-2025 tillsynsbegäran.docx", "A 4560-2025")</f>
        <v/>
      </c>
      <c r="AD36">
        <f>HYPERLINK("https://klasma.github.io/Logging_1782/tillsynsmail/A 4560-2025 tillsynsbegäran mail.docx", "A 4560-2025")</f>
        <v/>
      </c>
    </row>
    <row r="37" ht="15" customHeight="1">
      <c r="A37" t="inlineStr">
        <is>
          <t>A 11453-2025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45726</v>
      </c>
      <c r="E37" s="1" t="n">
        <v>46297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Purpurknipprot</t>
        </is>
      </c>
      <c r="W37">
        <f>HYPERLINK("https://klasma.github.io/Logging_1782/artfynd/A 11453-2025 artfynd.xlsx", "A 11453-2025")</f>
        <v/>
      </c>
      <c r="X37">
        <f>HYPERLINK("https://klasma.github.io/Logging_1782/kartor/A 11453-2025 karta.png", "A 11453-2025")</f>
        <v/>
      </c>
      <c r="Y37">
        <f>HYPERLINK("https://klasma.github.io/Logging_1782/kartor_geotiff/A 11453-2025 georefererad karta.tif", "A 11453-2025")</f>
        <v/>
      </c>
      <c r="AA37">
        <f>HYPERLINK("https://klasma.github.io/Logging_1782/klagomål/A 11453-2025 FSC-klagomål.docx", "A 11453-2025")</f>
        <v/>
      </c>
      <c r="AB37">
        <f>HYPERLINK("https://klasma.github.io/Logging_1782/klagomålsmail/A 11453-2025 FSC-klagomål mail.docx", "A 11453-2025")</f>
        <v/>
      </c>
      <c r="AC37">
        <f>HYPERLINK("https://klasma.github.io/Logging_1782/tillsyn/A 11453-2025 tillsynsbegäran.docx", "A 11453-2025")</f>
        <v/>
      </c>
      <c r="AD37">
        <f>HYPERLINK("https://klasma.github.io/Logging_1782/tillsynsmail/A 11453-2025 tillsynsbegäran mail.docx", "A 11453-2025")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46297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23046-2023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46297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HYPERLINK("https://klasma.github.io/Logging_1782/artfynd/A 23046-2023 artfynd.xlsx", "A 23046-2023")</f>
        <v/>
      </c>
      <c r="X39">
        <f>HYPERLINK("https://klasma.github.io/Logging_1782/kartor/A 23046-2023 karta.png", "A 23046-2023")</f>
        <v/>
      </c>
      <c r="Y39">
        <f>HYPERLINK("https://klasma.github.io/Logging_1782/kartor_geotiff/A 23046-2023 georefererad karta.tif", "A 23046-2023")</f>
        <v/>
      </c>
      <c r="Z39">
        <f>HYPERLINK("https://klasma.github.io/Logging_1782/knärot/A 23046-2023 karta knärot.png", "A 23046-2023")</f>
        <v/>
      </c>
      <c r="AA39">
        <f>HYPERLINK("https://klasma.github.io/Logging_1782/klagomål/A 23046-2023 FSC-klagomål.docx", "A 23046-2023")</f>
        <v/>
      </c>
      <c r="AB39">
        <f>HYPERLINK("https://klasma.github.io/Logging_1782/klagomålsmail/A 23046-2023 FSC-klagomål mail.docx", "A 23046-2023")</f>
        <v/>
      </c>
      <c r="AC39">
        <f>HYPERLINK("https://klasma.github.io/Logging_1782/tillsyn/A 23046-2023 tillsynsbegäran.docx", "A 23046-2023")</f>
        <v/>
      </c>
      <c r="AD39">
        <f>HYPERLINK("https://klasma.github.io/Logging_1782/tillsynsmail/A 23046-2023 tillsynsbegäran mail.docx", "A 23046-2023")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46297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46297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46297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46297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46978-2023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45195</v>
      </c>
      <c r="E44" s="1" t="n">
        <v>46297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HYPERLINK("https://klasma.github.io/Logging_1782/artfynd/A 46978-2023 artfynd.xlsx", "A 46978-2023")</f>
        <v/>
      </c>
      <c r="X44">
        <f>HYPERLINK("https://klasma.github.io/Logging_1782/kartor/A 46978-2023 karta.png", "A 46978-2023")</f>
        <v/>
      </c>
      <c r="Y44">
        <f>HYPERLINK("https://klasma.github.io/Logging_1782/kartor_geotiff/A 46978-2023 georefererad karta.tif", "A 46978-2023")</f>
        <v/>
      </c>
      <c r="AA44">
        <f>HYPERLINK("https://klasma.github.io/Logging_1782/klagomål/A 46978-2023 FSC-klagomål.docx", "A 46978-2023")</f>
        <v/>
      </c>
      <c r="AB44">
        <f>HYPERLINK("https://klasma.github.io/Logging_1782/klagomålsmail/A 46978-2023 FSC-klagomål mail.docx", "A 46978-2023")</f>
        <v/>
      </c>
      <c r="AC44">
        <f>HYPERLINK("https://klasma.github.io/Logging_1782/tillsyn/A 46978-2023 tillsynsbegäran.docx", "A 46978-2023")</f>
        <v/>
      </c>
      <c r="AD44">
        <f>HYPERLINK("https://klasma.github.io/Logging_1782/tillsynsmail/A 46978-2023 tillsynsbegäran mail.docx", "A 46978-2023")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46297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A 18138-2022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46297</v>
      </c>
      <c r="F46" t="inlineStr">
        <is>
          <t>VÄRMLANDS LÄN</t>
        </is>
      </c>
      <c r="G46" t="inlineStr">
        <is>
          <t>FILIPSTAD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18138-2022 artfynd.xlsx", "A 18138-2022")</f>
        <v/>
      </c>
      <c r="X46">
        <f>HYPERLINK("https://klasma.github.io/Logging_1782/kartor/A 18138-2022 karta.png", "A 18138-2022")</f>
        <v/>
      </c>
      <c r="Y46">
        <f>HYPERLINK("https://klasma.github.io/Logging_1782/kartor_geotiff/A 18138-2022 georefererad karta.tif", "A 18138-2022")</f>
        <v/>
      </c>
      <c r="AA46">
        <f>HYPERLINK("https://klasma.github.io/Logging_1782/klagomål/A 18138-2022 FSC-klagomål.docx", "A 18138-2022")</f>
        <v/>
      </c>
      <c r="AB46">
        <f>HYPERLINK("https://klasma.github.io/Logging_1782/klagomålsmail/A 18138-2022 FSC-klagomål mail.docx", "A 18138-2022")</f>
        <v/>
      </c>
      <c r="AC46">
        <f>HYPERLINK("https://klasma.github.io/Logging_1782/tillsyn/A 18138-2022 tillsynsbegäran.docx", "A 18138-2022")</f>
        <v/>
      </c>
      <c r="AD46">
        <f>HYPERLINK("https://klasma.github.io/Logging_1782/tillsynsmail/A 18138-2022 tillsynsbegäran mail.docx", "A 18138-2022")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46297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46297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874-2025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45665</v>
      </c>
      <c r="E49" s="1" t="n">
        <v>46297</v>
      </c>
      <c r="F49" t="inlineStr">
        <is>
          <t>VÄRMLANDS LÄN</t>
        </is>
      </c>
      <c r="G49" t="inlineStr">
        <is>
          <t>FILIPSTAD</t>
        </is>
      </c>
      <c r="H49" t="inlineStr">
        <is>
          <t>Kyrkan</t>
        </is>
      </c>
      <c r="I49" t="n">
        <v>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Kamjordstjärna</t>
        </is>
      </c>
      <c r="W49">
        <f>HYPERLINK("https://klasma.github.io/Logging_1782/artfynd/A 874-2025 artfynd.xlsx", "A 874-2025")</f>
        <v/>
      </c>
      <c r="X49">
        <f>HYPERLINK("https://klasma.github.io/Logging_1782/kartor/A 874-2025 karta.png", "A 874-2025")</f>
        <v/>
      </c>
      <c r="Y49">
        <f>HYPERLINK("https://klasma.github.io/Logging_1782/kartor_geotiff/A 874-2025 georefererad karta.tif", "A 874-2025")</f>
        <v/>
      </c>
      <c r="AA49">
        <f>HYPERLINK("https://klasma.github.io/Logging_1782/klagomål/A 874-2025 FSC-klagomål.docx", "A 874-2025")</f>
        <v/>
      </c>
      <c r="AB49">
        <f>HYPERLINK("https://klasma.github.io/Logging_1782/klagomålsmail/A 874-2025 FSC-klagomål mail.docx", "A 874-2025")</f>
        <v/>
      </c>
      <c r="AC49">
        <f>HYPERLINK("https://klasma.github.io/Logging_1782/tillsyn/A 874-2025 tillsynsbegäran.docx", "A 874-2025")</f>
        <v/>
      </c>
      <c r="AD49">
        <f>HYPERLINK("https://klasma.github.io/Logging_1782/tillsynsmail/A 874-2025 tillsynsbegäran mail.docx", "A 874-2025")</f>
        <v/>
      </c>
    </row>
    <row r="50" ht="15" customHeight="1">
      <c r="A50" t="inlineStr">
        <is>
          <t>A 31257-2026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46297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10.2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Gräsull</t>
        </is>
      </c>
      <c r="W50">
        <f>HYPERLINK("https://klasma.github.io/Logging_1782/artfynd/A 31257-2026 artfynd.xlsx", "A 31257-2026")</f>
        <v/>
      </c>
      <c r="X50">
        <f>HYPERLINK("https://klasma.github.io/Logging_1782/kartor/A 31257-2026 karta.png", "A 31257-2026")</f>
        <v/>
      </c>
      <c r="Y50">
        <f>HYPERLINK("https://klasma.github.io/Logging_1782/kartor_geotiff/A 31257-2026 georefererad karta.tif", "A 31257-2026")</f>
        <v/>
      </c>
      <c r="AA50">
        <f>HYPERLINK("https://klasma.github.io/Logging_1782/klagomål/A 31257-2026 FSC-klagomål.docx", "A 31257-2026")</f>
        <v/>
      </c>
      <c r="AB50">
        <f>HYPERLINK("https://klasma.github.io/Logging_1782/klagomålsmail/A 31257-2026 FSC-klagomål mail.docx", "A 31257-2026")</f>
        <v/>
      </c>
      <c r="AC50">
        <f>HYPERLINK("https://klasma.github.io/Logging_1782/tillsyn/A 31257-2026 tillsynsbegäran.docx", "A 31257-2026")</f>
        <v/>
      </c>
      <c r="AD50">
        <f>HYPERLINK("https://klasma.github.io/Logging_1782/tillsynsmail/A 31257-2026 tillsynsbegäran mail.docx", "A 31257-2026")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46297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50776-2024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46297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15.5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HYPERLINK("https://klasma.github.io/Logging_1782/artfynd/A 50776-2024 artfynd.xlsx", "A 50776-2024")</f>
        <v/>
      </c>
      <c r="X52">
        <f>HYPERLINK("https://klasma.github.io/Logging_1782/kartor/A 50776-2024 karta.png", "A 50776-2024")</f>
        <v/>
      </c>
      <c r="Y52">
        <f>HYPERLINK("https://klasma.github.io/Logging_1782/kartor_geotiff/A 50776-2024 georefererad karta.tif", "A 50776-2024")</f>
        <v/>
      </c>
      <c r="AA52">
        <f>HYPERLINK("https://klasma.github.io/Logging_1782/klagomål/A 50776-2024 FSC-klagomål.docx", "A 50776-2024")</f>
        <v/>
      </c>
      <c r="AB52">
        <f>HYPERLINK("https://klasma.github.io/Logging_1782/klagomålsmail/A 50776-2024 FSC-klagomål mail.docx", "A 50776-2024")</f>
        <v/>
      </c>
      <c r="AC52">
        <f>HYPERLINK("https://klasma.github.io/Logging_1782/tillsyn/A 50776-2024 tillsynsbegäran.docx", "A 50776-2024")</f>
        <v/>
      </c>
      <c r="AD52">
        <f>HYPERLINK("https://klasma.github.io/Logging_1782/tillsynsmail/A 50776-2024 tillsynsbegäran mail.docx", "A 50776-2024")</f>
        <v/>
      </c>
    </row>
    <row r="53" ht="15" customHeight="1">
      <c r="A53" t="inlineStr">
        <is>
          <t>A 5992-2023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44959</v>
      </c>
      <c r="E53" s="1" t="n">
        <v>46297</v>
      </c>
      <c r="F53" t="inlineStr">
        <is>
          <t>VÄRMLANDS LÄN</t>
        </is>
      </c>
      <c r="G53" t="inlineStr">
        <is>
          <t>FILIPSTAD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5992-2023 artfynd.xlsx", "A 5992-2023")</f>
        <v/>
      </c>
      <c r="X53">
        <f>HYPERLINK("https://klasma.github.io/Logging_1782/kartor/A 5992-2023 karta.png", "A 5992-2023")</f>
        <v/>
      </c>
      <c r="Y53">
        <f>HYPERLINK("https://klasma.github.io/Logging_1782/kartor_geotiff/A 5992-2023 georefererad karta.tif", "A 5992-2023")</f>
        <v/>
      </c>
      <c r="AA53">
        <f>HYPERLINK("https://klasma.github.io/Logging_1782/klagomål/A 5992-2023 FSC-klagomål.docx", "A 5992-2023")</f>
        <v/>
      </c>
      <c r="AB53">
        <f>HYPERLINK("https://klasma.github.io/Logging_1782/klagomålsmail/A 5992-2023 FSC-klagomål mail.docx", "A 5992-2023")</f>
        <v/>
      </c>
      <c r="AC53">
        <f>HYPERLINK("https://klasma.github.io/Logging_1782/tillsyn/A 5992-2023 tillsynsbegäran.docx", "A 5992-2023")</f>
        <v/>
      </c>
      <c r="AD53">
        <f>HYPERLINK("https://klasma.github.io/Logging_1782/tillsynsmail/A 5992-2023 tillsynsbegäran mail.docx", "A 5992-2023")</f>
        <v/>
      </c>
    </row>
    <row r="54" ht="15" customHeight="1">
      <c r="A54" t="inlineStr">
        <is>
          <t>A 30988-2026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46213</v>
      </c>
      <c r="E54" s="1" t="n">
        <v>46297</v>
      </c>
      <c r="F54" t="inlineStr">
        <is>
          <t>VÄRMLANDS LÄN</t>
        </is>
      </c>
      <c r="G54" t="inlineStr">
        <is>
          <t>FILIPSTAD</t>
        </is>
      </c>
      <c r="I54" t="n">
        <v>2.4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Skuggblåslav</t>
        </is>
      </c>
      <c r="W54">
        <f>HYPERLINK("https://klasma.github.io/Logging_1782/artfynd/A 30988-2026 artfynd.xlsx", "A 30988-2026")</f>
        <v/>
      </c>
      <c r="X54">
        <f>HYPERLINK("https://klasma.github.io/Logging_1782/kartor/A 30988-2026 karta.png", "A 30988-2026")</f>
        <v/>
      </c>
      <c r="Y54">
        <f>HYPERLINK("https://klasma.github.io/Logging_1782/kartor_geotiff/A 30988-2026 georefererad karta.tif", "A 30988-2026")</f>
        <v/>
      </c>
      <c r="AA54">
        <f>HYPERLINK("https://klasma.github.io/Logging_1782/klagomål/A 30988-2026 FSC-klagomål.docx", "A 30988-2026")</f>
        <v/>
      </c>
      <c r="AB54">
        <f>HYPERLINK("https://klasma.github.io/Logging_1782/klagomålsmail/A 30988-2026 FSC-klagomål mail.docx", "A 30988-2026")</f>
        <v/>
      </c>
      <c r="AC54">
        <f>HYPERLINK("https://klasma.github.io/Logging_1782/tillsyn/A 30988-2026 tillsynsbegäran.docx", "A 30988-2026")</f>
        <v/>
      </c>
      <c r="AD54">
        <f>HYPERLINK("https://klasma.github.io/Logging_1782/tillsynsmail/A 30988-2026 tillsynsbegäran mail.docx", "A 30988-2026")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46297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46297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46297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46297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46297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46297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46297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46297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46297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46297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46297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46297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46297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46297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46297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46297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46297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46297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46297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46297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46297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46297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46297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45230</v>
      </c>
      <c r="E80" s="1" t="n">
        <v>46297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9.9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46297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46297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46297</v>
      </c>
      <c r="F83" t="inlineStr">
        <is>
          <t>VÄRMLANDS LÄN</t>
        </is>
      </c>
      <c r="G83" t="inlineStr">
        <is>
          <t>FILIPSTAD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46297</v>
      </c>
      <c r="F84" t="inlineStr">
        <is>
          <t>VÄRMLANDS LÄN</t>
        </is>
      </c>
      <c r="G84" t="inlineStr">
        <is>
          <t>FILIPSTAD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45208</v>
      </c>
      <c r="E85" s="1" t="n">
        <v>46297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45391</v>
      </c>
      <c r="E86" s="1" t="n">
        <v>46297</v>
      </c>
      <c r="F86" t="inlineStr">
        <is>
          <t>VÄRMLANDS LÄN</t>
        </is>
      </c>
      <c r="G86" t="inlineStr">
        <is>
          <t>FILIPSTAD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45453</v>
      </c>
      <c r="E87" s="1" t="n">
        <v>46297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46297</v>
      </c>
      <c r="F88" t="inlineStr">
        <is>
          <t>VÄRMLANDS LÄN</t>
        </is>
      </c>
      <c r="G88" t="inlineStr">
        <is>
          <t>FILIPSTAD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45428</v>
      </c>
      <c r="E89" s="1" t="n">
        <v>46297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45223</v>
      </c>
      <c r="E90" s="1" t="n">
        <v>46297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46297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45408</v>
      </c>
      <c r="E92" s="1" t="n">
        <v>46297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12837-2024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46297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46297</v>
      </c>
      <c r="F94" t="inlineStr">
        <is>
          <t>VÄRMLANDS LÄN</t>
        </is>
      </c>
      <c r="G94" t="inlineStr">
        <is>
          <t>FILIPSTAD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46297</v>
      </c>
      <c r="F95" t="inlineStr">
        <is>
          <t>VÄRMLANDS LÄN</t>
        </is>
      </c>
      <c r="G95" t="inlineStr">
        <is>
          <t>FILIPSTAD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46297</v>
      </c>
      <c r="F96" t="inlineStr">
        <is>
          <t>VÄRMLANDS LÄN</t>
        </is>
      </c>
      <c r="G96" t="inlineStr">
        <is>
          <t>FILIPSTAD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46297</v>
      </c>
      <c r="F97" t="inlineStr">
        <is>
          <t>VÄRMLANDS LÄN</t>
        </is>
      </c>
      <c r="G97" t="inlineStr">
        <is>
          <t>FILIPSTAD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46297</v>
      </c>
      <c r="F98" t="inlineStr">
        <is>
          <t>VÄRMLANDS LÄN</t>
        </is>
      </c>
      <c r="G98" t="inlineStr">
        <is>
          <t>FILIPSTAD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46297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45593</v>
      </c>
      <c r="E100" s="1" t="n">
        <v>46297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46297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13.1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45530</v>
      </c>
      <c r="E102" s="1" t="n">
        <v>46297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23399-2025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45792</v>
      </c>
      <c r="E103" s="1" t="n">
        <v>46297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46297</v>
      </c>
      <c r="F104" t="inlineStr">
        <is>
          <t>VÄRMLANDS LÄN</t>
        </is>
      </c>
      <c r="G104" t="inlineStr">
        <is>
          <t>FILIPSTAD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45439</v>
      </c>
      <c r="E105" s="1" t="n">
        <v>46297</v>
      </c>
      <c r="F105" t="inlineStr">
        <is>
          <t>VÄRMLANDS LÄN</t>
        </is>
      </c>
      <c r="G105" t="inlineStr">
        <is>
          <t>FILIPSTAD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45322</v>
      </c>
      <c r="E106" s="1" t="n">
        <v>46297</v>
      </c>
      <c r="F106" t="inlineStr">
        <is>
          <t>VÄRMLANDS LÄN</t>
        </is>
      </c>
      <c r="G106" t="inlineStr">
        <is>
          <t>FILIPSTAD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72118-2021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44543</v>
      </c>
      <c r="E107" s="1" t="n">
        <v>46297</v>
      </c>
      <c r="F107" t="inlineStr">
        <is>
          <t>VÄRMLANDS LÄN</t>
        </is>
      </c>
      <c r="G107" t="inlineStr">
        <is>
          <t>FILIPSTAD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46297</v>
      </c>
      <c r="F108" t="inlineStr">
        <is>
          <t>VÄRMLANDS LÄN</t>
        </is>
      </c>
      <c r="G108" t="inlineStr">
        <is>
          <t>FILIPSTAD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46297</v>
      </c>
      <c r="F109" t="inlineStr">
        <is>
          <t>VÄRMLANDS LÄN</t>
        </is>
      </c>
      <c r="G109" t="inlineStr">
        <is>
          <t>FILIPSTAD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46297</v>
      </c>
      <c r="F110" t="inlineStr">
        <is>
          <t>VÄRMLANDS LÄN</t>
        </is>
      </c>
      <c r="G110" t="inlineStr">
        <is>
          <t>FILIPSTAD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46297</v>
      </c>
      <c r="F111" t="inlineStr">
        <is>
          <t>VÄRMLANDS LÄN</t>
        </is>
      </c>
      <c r="G111" t="inlineStr">
        <is>
          <t>FILIPSTAD</t>
        </is>
      </c>
      <c r="I111" t="n">
        <v>13.2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46297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58611-2025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45986</v>
      </c>
      <c r="E113" s="1" t="n">
        <v>46297</v>
      </c>
      <c r="F113" t="inlineStr">
        <is>
          <t>VÄRMLANDS LÄN</t>
        </is>
      </c>
      <c r="G113" t="inlineStr">
        <is>
          <t>FILIPSTAD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45511</v>
      </c>
      <c r="E114" s="1" t="n">
        <v>46297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46297</v>
      </c>
      <c r="F115" t="inlineStr">
        <is>
          <t>VÄRMLANDS LÄN</t>
        </is>
      </c>
      <c r="G115" t="inlineStr">
        <is>
          <t>FILIPSTAD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65174-2021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44515</v>
      </c>
      <c r="E116" s="1" t="n">
        <v>46297</v>
      </c>
      <c r="F116" t="inlineStr">
        <is>
          <t>VÄRMLANDS LÄN</t>
        </is>
      </c>
      <c r="G116" t="inlineStr">
        <is>
          <t>FILIPSTAD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46040</v>
      </c>
      <c r="E117" s="1" t="n">
        <v>46297</v>
      </c>
      <c r="F117" t="inlineStr">
        <is>
          <t>VÄRMLANDS LÄN</t>
        </is>
      </c>
      <c r="G117" t="inlineStr">
        <is>
          <t>FILIPSTAD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45120</v>
      </c>
      <c r="E118" s="1" t="n">
        <v>46297</v>
      </c>
      <c r="F118" t="inlineStr">
        <is>
          <t>VÄRMLANDS LÄN</t>
        </is>
      </c>
      <c r="G118" t="inlineStr">
        <is>
          <t>FILIPSTAD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46297</v>
      </c>
      <c r="F119" t="inlineStr">
        <is>
          <t>VÄRMLANDS LÄN</t>
        </is>
      </c>
      <c r="G119" t="inlineStr">
        <is>
          <t>FILIPSTAD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46297</v>
      </c>
      <c r="F120" t="inlineStr">
        <is>
          <t>VÄRMLANDS LÄN</t>
        </is>
      </c>
      <c r="G120" t="inlineStr">
        <is>
          <t>FILIPSTAD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41718-2025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45902</v>
      </c>
      <c r="E121" s="1" t="n">
        <v>46297</v>
      </c>
      <c r="F121" t="inlineStr">
        <is>
          <t>VÄRMLANDS LÄN</t>
        </is>
      </c>
      <c r="G121" t="inlineStr">
        <is>
          <t>FILIPSTAD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46297</v>
      </c>
      <c r="F122" t="inlineStr">
        <is>
          <t>VÄRMLANDS LÄN</t>
        </is>
      </c>
      <c r="G122" t="inlineStr">
        <is>
          <t>FILIPSTAD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46297</v>
      </c>
      <c r="F123" t="inlineStr">
        <is>
          <t>VÄRMLANDS LÄN</t>
        </is>
      </c>
      <c r="G123" t="inlineStr">
        <is>
          <t>FILIPSTAD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45393</v>
      </c>
      <c r="E124" s="1" t="n">
        <v>46297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44801</v>
      </c>
      <c r="E125" s="1" t="n">
        <v>46297</v>
      </c>
      <c r="F125" t="inlineStr">
        <is>
          <t>VÄRMLANDS LÄN</t>
        </is>
      </c>
      <c r="G125" t="inlineStr">
        <is>
          <t>FILIPSTAD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46297</v>
      </c>
      <c r="F126" t="inlineStr">
        <is>
          <t>VÄRMLANDS LÄN</t>
        </is>
      </c>
      <c r="G126" t="inlineStr">
        <is>
          <t>FILIPSTAD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46297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46297</v>
      </c>
      <c r="F128" t="inlineStr">
        <is>
          <t>VÄRMLANDS LÄN</t>
        </is>
      </c>
      <c r="G128" t="inlineStr">
        <is>
          <t>FILIPSTAD</t>
        </is>
      </c>
      <c r="H128" t="inlineStr">
        <is>
          <t>Kommuner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46297</v>
      </c>
      <c r="F129" t="inlineStr">
        <is>
          <t>VÄRMLANDS LÄN</t>
        </is>
      </c>
      <c r="G129" t="inlineStr">
        <is>
          <t>FILIPSTAD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8139-2026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46297</v>
      </c>
      <c r="F130" t="inlineStr">
        <is>
          <t>VÄRMLANDS LÄN</t>
        </is>
      </c>
      <c r="G130" t="inlineStr">
        <is>
          <t>FILIPSTAD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45674</v>
      </c>
      <c r="E131" s="1" t="n">
        <v>46297</v>
      </c>
      <c r="F131" t="inlineStr">
        <is>
          <t>VÄRMLANDS LÄN</t>
        </is>
      </c>
      <c r="G131" t="inlineStr">
        <is>
          <t>FILIPSTAD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47261-2024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46297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46297</v>
      </c>
      <c r="F133" t="inlineStr">
        <is>
          <t>VÄRMLANDS LÄN</t>
        </is>
      </c>
      <c r="G133" t="inlineStr">
        <is>
          <t>FILIPSTAD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46297</v>
      </c>
      <c r="F134" t="inlineStr">
        <is>
          <t>VÄRMLANDS LÄN</t>
        </is>
      </c>
      <c r="G134" t="inlineStr">
        <is>
          <t>FILIPSTAD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46297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46297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45664</v>
      </c>
      <c r="E137" s="1" t="n">
        <v>46297</v>
      </c>
      <c r="F137" t="inlineStr">
        <is>
          <t>VÄRMLANDS LÄN</t>
        </is>
      </c>
      <c r="G137" t="inlineStr">
        <is>
          <t>FILIPSTAD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45418</v>
      </c>
      <c r="E138" s="1" t="n">
        <v>46297</v>
      </c>
      <c r="F138" t="inlineStr">
        <is>
          <t>VÄRMLANDS LÄN</t>
        </is>
      </c>
      <c r="G138" t="inlineStr">
        <is>
          <t>FILIPSTAD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46297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26123-2025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45805</v>
      </c>
      <c r="E140" s="1" t="n">
        <v>46297</v>
      </c>
      <c r="F140" t="inlineStr">
        <is>
          <t>VÄRMLANDS LÄN</t>
        </is>
      </c>
      <c r="G140" t="inlineStr">
        <is>
          <t>FILIPSTAD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48103-2025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45933</v>
      </c>
      <c r="E141" s="1" t="n">
        <v>46297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46297</v>
      </c>
      <c r="F142" t="inlineStr">
        <is>
          <t>VÄRMLANDS LÄN</t>
        </is>
      </c>
      <c r="G142" t="inlineStr">
        <is>
          <t>FILIPSTAD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46297</v>
      </c>
      <c r="F143" t="inlineStr">
        <is>
          <t>VÄRMLANDS LÄN</t>
        </is>
      </c>
      <c r="G143" t="inlineStr">
        <is>
          <t>FILIPSTAD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26116-2025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45805</v>
      </c>
      <c r="E144" s="1" t="n">
        <v>46297</v>
      </c>
      <c r="F144" t="inlineStr">
        <is>
          <t>VÄRMLANDS LÄN</t>
        </is>
      </c>
      <c r="G144" t="inlineStr">
        <is>
          <t>FILIPSTAD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46297</v>
      </c>
      <c r="F145" t="inlineStr">
        <is>
          <t>VÄRMLANDS LÄN</t>
        </is>
      </c>
      <c r="G145" t="inlineStr">
        <is>
          <t>FILIPSTAD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46297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46297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69015-2021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46297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46297</v>
      </c>
      <c r="F149" t="inlineStr">
        <is>
          <t>VÄRMLANDS LÄN</t>
        </is>
      </c>
      <c r="G149" t="inlineStr">
        <is>
          <t>FILIPSTAD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46297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46297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46092</v>
      </c>
      <c r="E152" s="1" t="n">
        <v>46297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45587</v>
      </c>
      <c r="E153" s="1" t="n">
        <v>46297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46297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46297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46297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46297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46297</v>
      </c>
      <c r="F158" t="inlineStr">
        <is>
          <t>VÄRMLANDS LÄN</t>
        </is>
      </c>
      <c r="G158" t="inlineStr">
        <is>
          <t>FILIPSTAD</t>
        </is>
      </c>
      <c r="H158" t="inlineStr">
        <is>
          <t>Kyrkan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46297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46098</v>
      </c>
      <c r="E160" s="1" t="n">
        <v>46297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46098</v>
      </c>
      <c r="E161" s="1" t="n">
        <v>46297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46297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44935</v>
      </c>
      <c r="E163" s="1" t="n">
        <v>46297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46297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46297</v>
      </c>
      <c r="F165" t="inlineStr">
        <is>
          <t>VÄRMLANDS LÄN</t>
        </is>
      </c>
      <c r="G165" t="inlineStr">
        <is>
          <t>FILIPSTAD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46297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46297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46297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46297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26599-2024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45469</v>
      </c>
      <c r="E170" s="1" t="n">
        <v>46297</v>
      </c>
      <c r="F170" t="inlineStr">
        <is>
          <t>VÄRMLANDS LÄN</t>
        </is>
      </c>
      <c r="G170" t="inlineStr">
        <is>
          <t>FILIPSTAD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15848-2026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46297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46297</v>
      </c>
      <c r="F172" t="inlineStr">
        <is>
          <t>VÄRMLANDS LÄN</t>
        </is>
      </c>
      <c r="G172" t="inlineStr">
        <is>
          <t>FILIPSTAD</t>
        </is>
      </c>
      <c r="H172" t="inlineStr">
        <is>
          <t>Kyrkan</t>
        </is>
      </c>
      <c r="I172" t="n">
        <v>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45364</v>
      </c>
      <c r="E173" s="1" t="n">
        <v>46297</v>
      </c>
      <c r="F173" t="inlineStr">
        <is>
          <t>VÄRMLANDS LÄN</t>
        </is>
      </c>
      <c r="G173" t="inlineStr">
        <is>
          <t>FILIPSTAD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46297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46297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46107</v>
      </c>
      <c r="E176" s="1" t="n">
        <v>46297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46107</v>
      </c>
      <c r="E177" s="1" t="n">
        <v>46297</v>
      </c>
      <c r="F177" t="inlineStr">
        <is>
          <t>VÄRMLANDS LÄN</t>
        </is>
      </c>
      <c r="G177" t="inlineStr">
        <is>
          <t>FILIPSTAD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46297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46297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46108</v>
      </c>
      <c r="E180" s="1" t="n">
        <v>46297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16040-2026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46108</v>
      </c>
      <c r="E181" s="1" t="n">
        <v>46297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46297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46297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46297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44788</v>
      </c>
      <c r="E185" s="1" t="n">
        <v>46297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45968</v>
      </c>
      <c r="E186" s="1" t="n">
        <v>46297</v>
      </c>
      <c r="F186" t="inlineStr">
        <is>
          <t>VÄRMLANDS LÄN</t>
        </is>
      </c>
      <c r="G186" t="inlineStr">
        <is>
          <t>FILIPSTAD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46297</v>
      </c>
      <c r="F187" t="inlineStr">
        <is>
          <t>VÄRMLANDS LÄN</t>
        </is>
      </c>
      <c r="G187" t="inlineStr">
        <is>
          <t>FILIPSTAD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46114</v>
      </c>
      <c r="E188" s="1" t="n">
        <v>46297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46297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46297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45972</v>
      </c>
      <c r="E191" s="1" t="n">
        <v>46297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46297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46297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46297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46119</v>
      </c>
      <c r="E195" s="1" t="n">
        <v>46297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46297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46297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46297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46297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46297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46297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17531-2026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46297</v>
      </c>
      <c r="F202" t="inlineStr">
        <is>
          <t>VÄRMLANDS LÄN</t>
        </is>
      </c>
      <c r="G202" t="inlineStr">
        <is>
          <t>FILIPSTAD</t>
        </is>
      </c>
      <c r="I202" t="n">
        <v>9.699999999999999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46297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46297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46122</v>
      </c>
      <c r="E205" s="1" t="n">
        <v>46297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46122</v>
      </c>
      <c r="E206" s="1" t="n">
        <v>46297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46125</v>
      </c>
      <c r="E207" s="1" t="n">
        <v>46297</v>
      </c>
      <c r="F207" t="inlineStr">
        <is>
          <t>VÄRMLANDS LÄN</t>
        </is>
      </c>
      <c r="G207" t="inlineStr">
        <is>
          <t>FILIPSTAD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46297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46297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46297</v>
      </c>
      <c r="F210" t="inlineStr">
        <is>
          <t>VÄRMLANDS LÄN</t>
        </is>
      </c>
      <c r="G210" t="inlineStr">
        <is>
          <t>FILIPSTAD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46297</v>
      </c>
      <c r="F211" t="inlineStr">
        <is>
          <t>VÄRMLANDS LÄN</t>
        </is>
      </c>
      <c r="G211" t="inlineStr">
        <is>
          <t>FILIPSTAD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46127</v>
      </c>
      <c r="E212" s="1" t="n">
        <v>46297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46297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46297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46297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46297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46297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46126</v>
      </c>
      <c r="E218" s="1" t="n">
        <v>46297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45152</v>
      </c>
      <c r="E219" s="1" t="n">
        <v>46297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46297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46128</v>
      </c>
      <c r="E221" s="1" t="n">
        <v>46297</v>
      </c>
      <c r="F221" t="inlineStr">
        <is>
          <t>VÄRMLANDS LÄN</t>
        </is>
      </c>
      <c r="G221" t="inlineStr">
        <is>
          <t>FILIPSTAD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46297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46297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46297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19435-2026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46133</v>
      </c>
      <c r="E225" s="1" t="n">
        <v>46297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19676-2026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46134</v>
      </c>
      <c r="E226" s="1" t="n">
        <v>46297</v>
      </c>
      <c r="F226" t="inlineStr">
        <is>
          <t>VÄRMLANDS LÄN</t>
        </is>
      </c>
      <c r="G226" t="inlineStr">
        <is>
          <t>FILIPSTAD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46133</v>
      </c>
      <c r="E227" s="1" t="n">
        <v>46297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46134</v>
      </c>
      <c r="E228" s="1" t="n">
        <v>46297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46297</v>
      </c>
      <c r="F229" t="inlineStr">
        <is>
          <t>VÄRMLANDS LÄN</t>
        </is>
      </c>
      <c r="G229" t="inlineStr">
        <is>
          <t>FILIPSTAD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46297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46297</v>
      </c>
      <c r="F231" t="inlineStr">
        <is>
          <t>VÄRMLANDS LÄN</t>
        </is>
      </c>
      <c r="G231" t="inlineStr">
        <is>
          <t>FILIPSTAD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46297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46297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46297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46297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46297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46297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46297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46297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46297</v>
      </c>
      <c r="F240" t="inlineStr">
        <is>
          <t>VÄRMLANDS LÄN</t>
        </is>
      </c>
      <c r="G240" t="inlineStr">
        <is>
          <t>FILIPSTAD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46297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45989</v>
      </c>
      <c r="E242" s="1" t="n">
        <v>46297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46297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46297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18210-2024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45420</v>
      </c>
      <c r="E245" s="1" t="n">
        <v>46297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46297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46297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45996</v>
      </c>
      <c r="E248" s="1" t="n">
        <v>46297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46297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60550-2025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45995</v>
      </c>
      <c r="E250" s="1" t="n">
        <v>46297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46297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46297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46297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46297</v>
      </c>
      <c r="F254" t="inlineStr">
        <is>
          <t>VÄRMLANDS LÄN</t>
        </is>
      </c>
      <c r="G254" t="inlineStr">
        <is>
          <t>FILIPSTAD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45790</v>
      </c>
      <c r="E255" s="1" t="n">
        <v>46297</v>
      </c>
      <c r="F255" t="inlineStr">
        <is>
          <t>VÄRMLANDS LÄN</t>
        </is>
      </c>
      <c r="G255" t="inlineStr">
        <is>
          <t>FILIPSTAD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46297</v>
      </c>
      <c r="F256" t="inlineStr">
        <is>
          <t>VÄRMLANDS LÄN</t>
        </is>
      </c>
      <c r="G256" t="inlineStr">
        <is>
          <t>FILIPSTAD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61327-2025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46297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46297</v>
      </c>
      <c r="F258" t="inlineStr">
        <is>
          <t>VÄRMLANDS LÄN</t>
        </is>
      </c>
      <c r="G258" t="inlineStr">
        <is>
          <t>FILIPSTAD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46297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46297</v>
      </c>
      <c r="F260" t="inlineStr">
        <is>
          <t>VÄRMLANDS LÄN</t>
        </is>
      </c>
      <c r="G260" t="inlineStr">
        <is>
          <t>FILIPSTAD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46297</v>
      </c>
      <c r="F261" t="inlineStr">
        <is>
          <t>VÄRMLANDS LÄN</t>
        </is>
      </c>
      <c r="G261" t="inlineStr">
        <is>
          <t>FILIPSTAD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61417-2025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46001</v>
      </c>
      <c r="E262" s="1" t="n">
        <v>46297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46297</v>
      </c>
      <c r="F263" t="inlineStr">
        <is>
          <t>VÄRMLANDS LÄN</t>
        </is>
      </c>
      <c r="G263" t="inlineStr">
        <is>
          <t>FILIPSTAD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46140</v>
      </c>
      <c r="E264" s="1" t="n">
        <v>46297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46297</v>
      </c>
      <c r="F265" t="inlineStr">
        <is>
          <t>VÄRMLANDS LÄN</t>
        </is>
      </c>
      <c r="G265" t="inlineStr">
        <is>
          <t>FILIPSTAD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46297</v>
      </c>
      <c r="F266" t="inlineStr">
        <is>
          <t>VÄRMLANDS LÄN</t>
        </is>
      </c>
      <c r="G266" t="inlineStr">
        <is>
          <t>FILIPSTAD</t>
        </is>
      </c>
      <c r="H266" t="inlineStr">
        <is>
          <t>Kyrkan</t>
        </is>
      </c>
      <c r="I266" t="n">
        <v>9.199999999999999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46002</v>
      </c>
      <c r="E267" s="1" t="n">
        <v>46297</v>
      </c>
      <c r="F267" t="inlineStr">
        <is>
          <t>VÄRMLANDS LÄN</t>
        </is>
      </c>
      <c r="G267" t="inlineStr">
        <is>
          <t>FILIPSTAD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22866-2023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45072</v>
      </c>
      <c r="E268" s="1" t="n">
        <v>46297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61492-2025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46001</v>
      </c>
      <c r="E269" s="1" t="n">
        <v>46297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46297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46297</v>
      </c>
      <c r="F271" t="inlineStr">
        <is>
          <t>VÄRMLANDS LÄN</t>
        </is>
      </c>
      <c r="G271" t="inlineStr">
        <is>
          <t>FILIPSTAD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29473-2024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45484</v>
      </c>
      <c r="E272" s="1" t="n">
        <v>46297</v>
      </c>
      <c r="F272" t="inlineStr">
        <is>
          <t>VÄRMLANDS LÄN</t>
        </is>
      </c>
      <c r="G272" t="inlineStr">
        <is>
          <t>FILIPSTAD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45825</v>
      </c>
      <c r="E273" s="1" t="n">
        <v>46297</v>
      </c>
      <c r="F273" t="inlineStr">
        <is>
          <t>VÄRMLANDS LÄN</t>
        </is>
      </c>
      <c r="G273" t="inlineStr">
        <is>
          <t>FILIPSTAD</t>
        </is>
      </c>
      <c r="I273" t="n">
        <v>23.3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46004</v>
      </c>
      <c r="E274" s="1" t="n">
        <v>46297</v>
      </c>
      <c r="F274" t="inlineStr">
        <is>
          <t>VÄRMLANDS LÄN</t>
        </is>
      </c>
      <c r="G274" t="inlineStr">
        <is>
          <t>FILIPSTAD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45789</v>
      </c>
      <c r="E275" s="1" t="n">
        <v>46297</v>
      </c>
      <c r="F275" t="inlineStr">
        <is>
          <t>VÄRMLANDS LÄN</t>
        </is>
      </c>
      <c r="G275" t="inlineStr">
        <is>
          <t>FILIPSTAD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46297</v>
      </c>
      <c r="F276" t="inlineStr">
        <is>
          <t>VÄRMLANDS LÄN</t>
        </is>
      </c>
      <c r="G276" t="inlineStr">
        <is>
          <t>FILIPSTAD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46004</v>
      </c>
      <c r="E277" s="1" t="n">
        <v>46297</v>
      </c>
      <c r="F277" t="inlineStr">
        <is>
          <t>VÄRMLANDS LÄN</t>
        </is>
      </c>
      <c r="G277" t="inlineStr">
        <is>
          <t>FILIPSTAD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46297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61823-2025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46003</v>
      </c>
      <c r="E279" s="1" t="n">
        <v>46297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46297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62243-2025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46297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46297</v>
      </c>
      <c r="F282" t="inlineStr">
        <is>
          <t>VÄRMLANDS LÄN</t>
        </is>
      </c>
      <c r="G282" t="inlineStr">
        <is>
          <t>FILIPSTAD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46297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46297</v>
      </c>
      <c r="F284" t="inlineStr">
        <is>
          <t>VÄRMLANDS LÄN</t>
        </is>
      </c>
      <c r="G284" t="inlineStr">
        <is>
          <t>FILIPSTAD</t>
        </is>
      </c>
      <c r="I284" t="n">
        <v>15.5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46297</v>
      </c>
      <c r="F285" t="inlineStr">
        <is>
          <t>VÄRMLANDS LÄN</t>
        </is>
      </c>
      <c r="G285" t="inlineStr">
        <is>
          <t>FILIPSTAD</t>
        </is>
      </c>
      <c r="H285" t="inlineStr">
        <is>
          <t>Kyrkan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46297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31172-2025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45832</v>
      </c>
      <c r="E287" s="1" t="n">
        <v>46297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46010</v>
      </c>
      <c r="E288" s="1" t="n">
        <v>46297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46297</v>
      </c>
      <c r="F289" t="inlineStr">
        <is>
          <t>VÄRMLANDS LÄN</t>
        </is>
      </c>
      <c r="G289" t="inlineStr">
        <is>
          <t>FILIPSTAD</t>
        </is>
      </c>
      <c r="I289" t="n">
        <v>18.7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32032-2025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45835</v>
      </c>
      <c r="E290" s="1" t="n">
        <v>46297</v>
      </c>
      <c r="F290" t="inlineStr">
        <is>
          <t>VÄRMLANDS LÄN</t>
        </is>
      </c>
      <c r="G290" t="inlineStr">
        <is>
          <t>FILIPSTAD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30165-2025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45827</v>
      </c>
      <c r="E291" s="1" t="n">
        <v>46297</v>
      </c>
      <c r="F291" t="inlineStr">
        <is>
          <t>VÄRMLANDS LÄN</t>
        </is>
      </c>
      <c r="G291" t="inlineStr">
        <is>
          <t>FILIPSTAD</t>
        </is>
      </c>
      <c r="H291" t="inlineStr">
        <is>
          <t>Kyrkan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45688</v>
      </c>
      <c r="E292" s="1" t="n">
        <v>46297</v>
      </c>
      <c r="F292" t="inlineStr">
        <is>
          <t>VÄRMLANDS LÄN</t>
        </is>
      </c>
      <c r="G292" t="inlineStr">
        <is>
          <t>FILIPSTAD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37733-2025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45880</v>
      </c>
      <c r="E293" s="1" t="n">
        <v>46297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33407-2025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45841</v>
      </c>
      <c r="E294" s="1" t="n">
        <v>46297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63678-2025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46014</v>
      </c>
      <c r="E295" s="1" t="n">
        <v>46297</v>
      </c>
      <c r="F295" t="inlineStr">
        <is>
          <t>VÄRMLANDS LÄN</t>
        </is>
      </c>
      <c r="G295" t="inlineStr">
        <is>
          <t>FILIPSTAD</t>
        </is>
      </c>
      <c r="I295" t="n">
        <v>9.9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33449-2025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46297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46297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44579</v>
      </c>
      <c r="E298" s="1" t="n">
        <v>46297</v>
      </c>
      <c r="F298" t="inlineStr">
        <is>
          <t>VÄRMLANDS LÄN</t>
        </is>
      </c>
      <c r="G298" t="inlineStr">
        <is>
          <t>FILIPSTAD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45771</v>
      </c>
      <c r="E299" s="1" t="n">
        <v>46297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45870</v>
      </c>
      <c r="E300" s="1" t="n">
        <v>46297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46297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45229</v>
      </c>
      <c r="E302" s="1" t="n">
        <v>46297</v>
      </c>
      <c r="F302" t="inlineStr">
        <is>
          <t>VÄRMLANDS LÄN</t>
        </is>
      </c>
      <c r="G302" t="inlineStr">
        <is>
          <t>FILIPSTAD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46297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46297</v>
      </c>
      <c r="F304" t="inlineStr">
        <is>
          <t>VÄRMLANDS LÄN</t>
        </is>
      </c>
      <c r="G304" t="inlineStr">
        <is>
          <t>FILIPSTAD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46297</v>
      </c>
      <c r="F305" t="inlineStr">
        <is>
          <t>VÄRMLANDS LÄN</t>
        </is>
      </c>
      <c r="G305" t="inlineStr">
        <is>
          <t>FILIPSTAD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46297</v>
      </c>
      <c r="F306" t="inlineStr">
        <is>
          <t>VÄRMLANDS LÄN</t>
        </is>
      </c>
      <c r="G306" t="inlineStr">
        <is>
          <t>FILIPSTAD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46297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46297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45012</v>
      </c>
      <c r="E309" s="1" t="n">
        <v>46297</v>
      </c>
      <c r="F309" t="inlineStr">
        <is>
          <t>VÄRMLANDS LÄN</t>
        </is>
      </c>
      <c r="G309" t="inlineStr">
        <is>
          <t>FILIPSTAD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20554-2025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45775</v>
      </c>
      <c r="E310" s="1" t="n">
        <v>46297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46297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46142</v>
      </c>
      <c r="E312" s="1" t="n">
        <v>46297</v>
      </c>
      <c r="F312" t="inlineStr">
        <is>
          <t>VÄRMLANDS LÄN</t>
        </is>
      </c>
      <c r="G312" t="inlineStr">
        <is>
          <t>FILIPSTAD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45867</v>
      </c>
      <c r="E313" s="1" t="n">
        <v>46297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31676-2025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46297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46142</v>
      </c>
      <c r="E315" s="1" t="n">
        <v>46297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46297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46297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46297</v>
      </c>
      <c r="F318" t="inlineStr">
        <is>
          <t>VÄRMLANDS LÄN</t>
        </is>
      </c>
      <c r="G318" t="inlineStr">
        <is>
          <t>FILIPSTAD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45882</v>
      </c>
      <c r="E319" s="1" t="n">
        <v>46297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45014</v>
      </c>
      <c r="E320" s="1" t="n">
        <v>46297</v>
      </c>
      <c r="F320" t="inlineStr">
        <is>
          <t>VÄRMLANDS LÄN</t>
        </is>
      </c>
      <c r="G320" t="inlineStr">
        <is>
          <t>FILIPSTAD</t>
        </is>
      </c>
      <c r="H320" t="inlineStr">
        <is>
          <t>Kyrkan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45427</v>
      </c>
      <c r="E321" s="1" t="n">
        <v>46297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46148</v>
      </c>
      <c r="E322" s="1" t="n">
        <v>46297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45088</v>
      </c>
      <c r="E323" s="1" t="n">
        <v>46297</v>
      </c>
      <c r="F323" t="inlineStr">
        <is>
          <t>VÄRMLANDS LÄN</t>
        </is>
      </c>
      <c r="G323" t="inlineStr">
        <is>
          <t>FILIPSTAD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45167</v>
      </c>
      <c r="E324" s="1" t="n">
        <v>46297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19351-2025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45769</v>
      </c>
      <c r="E325" s="1" t="n">
        <v>46297</v>
      </c>
      <c r="F325" t="inlineStr">
        <is>
          <t>VÄRMLANDS LÄN</t>
        </is>
      </c>
      <c r="G325" t="inlineStr">
        <is>
          <t>FILIPSTAD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25376-2023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45088</v>
      </c>
      <c r="E326" s="1" t="n">
        <v>46297</v>
      </c>
      <c r="F326" t="inlineStr">
        <is>
          <t>VÄRMLANDS LÄN</t>
        </is>
      </c>
      <c r="G326" t="inlineStr">
        <is>
          <t>FILIPSTAD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46297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46297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46297</v>
      </c>
      <c r="F329" t="inlineStr">
        <is>
          <t>VÄRMLANDS LÄN</t>
        </is>
      </c>
      <c r="G329" t="inlineStr">
        <is>
          <t>FILIPSTAD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45063</v>
      </c>
      <c r="E330" s="1" t="n">
        <v>46297</v>
      </c>
      <c r="F330" t="inlineStr">
        <is>
          <t>VÄRMLANDS LÄN</t>
        </is>
      </c>
      <c r="G330" t="inlineStr">
        <is>
          <t>FILIPSTAD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46297</v>
      </c>
      <c r="F331" t="inlineStr">
        <is>
          <t>VÄRMLANDS LÄN</t>
        </is>
      </c>
      <c r="G331" t="inlineStr">
        <is>
          <t>FILIPSTAD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22201-2026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46297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46297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46297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46297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46297</v>
      </c>
      <c r="F336" t="inlineStr">
        <is>
          <t>VÄRMLANDS LÄN</t>
        </is>
      </c>
      <c r="G336" t="inlineStr">
        <is>
          <t>FILIPSTAD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46297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46297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46297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46297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46297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46297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46297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46297</v>
      </c>
      <c r="F344" t="inlineStr">
        <is>
          <t>VÄRMLANDS LÄN</t>
        </is>
      </c>
      <c r="G344" t="inlineStr">
        <is>
          <t>FILIPSTAD</t>
        </is>
      </c>
      <c r="H344" t="inlineStr">
        <is>
          <t>Kyrkan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23620-2023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45077</v>
      </c>
      <c r="E345" s="1" t="n">
        <v>46297</v>
      </c>
      <c r="F345" t="inlineStr">
        <is>
          <t>VÄRMLANDS LÄN</t>
        </is>
      </c>
      <c r="G345" t="inlineStr">
        <is>
          <t>FILIPSTAD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62787-2023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46297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23602-2026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46297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46297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17.9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45741</v>
      </c>
      <c r="E349" s="1" t="n">
        <v>46297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46297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20.3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46297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46297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23500-2026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46297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34512-2023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45133</v>
      </c>
      <c r="E354" s="1" t="n">
        <v>46297</v>
      </c>
      <c r="F354" t="inlineStr">
        <is>
          <t>VÄRMLANDS LÄN</t>
        </is>
      </c>
      <c r="G354" t="inlineStr">
        <is>
          <t>FILIPSTAD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46297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49935-2025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45940</v>
      </c>
      <c r="E356" s="1" t="n">
        <v>46297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46297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46297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44960</v>
      </c>
      <c r="E359" s="1" t="n">
        <v>46297</v>
      </c>
      <c r="F359" t="inlineStr">
        <is>
          <t>VÄRMLANDS LÄN</t>
        </is>
      </c>
      <c r="G359" t="inlineStr">
        <is>
          <t>FILIPSTAD</t>
        </is>
      </c>
      <c r="H359" t="inlineStr">
        <is>
          <t>Kommuner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4819-2023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44957</v>
      </c>
      <c r="E360" s="1" t="n">
        <v>46297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45393</v>
      </c>
      <c r="E361" s="1" t="n">
        <v>46297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46297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9270-2023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44980</v>
      </c>
      <c r="E363" s="1" t="n">
        <v>46297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23952-2026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46297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46297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46297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46297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9.1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46297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24026-2026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46297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46297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46297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46297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46297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9.300000000000001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46169</v>
      </c>
      <c r="E374" s="1" t="n">
        <v>46297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24260-2026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46297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46297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46297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46297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46297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46297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46297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46297</v>
      </c>
      <c r="F382" t="inlineStr">
        <is>
          <t>VÄRMLANDS LÄN</t>
        </is>
      </c>
      <c r="G382" t="inlineStr">
        <is>
          <t>FILIPSTAD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46297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46297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46171</v>
      </c>
      <c r="E385" s="1" t="n">
        <v>46297</v>
      </c>
      <c r="F385" t="inlineStr">
        <is>
          <t>VÄRMLANDS LÄN</t>
        </is>
      </c>
      <c r="G385" t="inlineStr">
        <is>
          <t>FILIPSTAD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43059-2024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45567</v>
      </c>
      <c r="E386" s="1" t="n">
        <v>46297</v>
      </c>
      <c r="F386" t="inlineStr">
        <is>
          <t>VÄRMLANDS LÄN</t>
        </is>
      </c>
      <c r="G386" t="inlineStr">
        <is>
          <t>FILIPSTAD</t>
        </is>
      </c>
      <c r="H386" t="inlineStr">
        <is>
          <t>Kyrkan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45616</v>
      </c>
      <c r="E387" s="1" t="n">
        <v>46297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46297</v>
      </c>
      <c r="F388" t="inlineStr">
        <is>
          <t>VÄRMLANDS LÄN</t>
        </is>
      </c>
      <c r="G388" t="inlineStr">
        <is>
          <t>FILIPSTAD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45749</v>
      </c>
      <c r="E389" s="1" t="n">
        <v>46297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45418</v>
      </c>
      <c r="E390" s="1" t="n">
        <v>46297</v>
      </c>
      <c r="F390" t="inlineStr">
        <is>
          <t>VÄRMLANDS LÄN</t>
        </is>
      </c>
      <c r="G390" t="inlineStr">
        <is>
          <t>FILIPSTAD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45588</v>
      </c>
      <c r="E391" s="1" t="n">
        <v>46297</v>
      </c>
      <c r="F391" t="inlineStr">
        <is>
          <t>VÄRMLANDS LÄN</t>
        </is>
      </c>
      <c r="G391" t="inlineStr">
        <is>
          <t>FILIPSTAD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46297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44637</v>
      </c>
      <c r="E393" s="1" t="n">
        <v>46297</v>
      </c>
      <c r="F393" t="inlineStr">
        <is>
          <t>VÄRMLANDS LÄN</t>
        </is>
      </c>
      <c r="G393" t="inlineStr">
        <is>
          <t>FILIPSTAD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20966-2024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45439</v>
      </c>
      <c r="E394" s="1" t="n">
        <v>46297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46297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46297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24941-2026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46297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45671</v>
      </c>
      <c r="E398" s="1" t="n">
        <v>46297</v>
      </c>
      <c r="F398" t="inlineStr">
        <is>
          <t>VÄRMLANDS LÄN</t>
        </is>
      </c>
      <c r="G398" t="inlineStr">
        <is>
          <t>FILIPSTAD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25869-2026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46178</v>
      </c>
      <c r="E399" s="1" t="n">
        <v>46297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63411-2023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45274</v>
      </c>
      <c r="E400" s="1" t="n">
        <v>46297</v>
      </c>
      <c r="F400" t="inlineStr">
        <is>
          <t>VÄRMLANDS LÄN</t>
        </is>
      </c>
      <c r="G400" t="inlineStr">
        <is>
          <t>FILIPSTAD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29474-2024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45484</v>
      </c>
      <c r="E401" s="1" t="n">
        <v>46297</v>
      </c>
      <c r="F401" t="inlineStr">
        <is>
          <t>VÄRMLANDS LÄN</t>
        </is>
      </c>
      <c r="G401" t="inlineStr">
        <is>
          <t>FILIPSTAD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63482-2021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44508</v>
      </c>
      <c r="E402" s="1" t="n">
        <v>46297</v>
      </c>
      <c r="F402" t="inlineStr">
        <is>
          <t>VÄRMLANDS LÄN</t>
        </is>
      </c>
      <c r="G402" t="inlineStr">
        <is>
          <t>FILIPSTAD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45665</v>
      </c>
      <c r="E403" s="1" t="n">
        <v>46297</v>
      </c>
      <c r="F403" t="inlineStr">
        <is>
          <t>VÄRMLANDS LÄN</t>
        </is>
      </c>
      <c r="G403" t="inlineStr">
        <is>
          <t>FILIPSTAD</t>
        </is>
      </c>
      <c r="I403" t="n">
        <v>11.7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70405-2021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44536</v>
      </c>
      <c r="E404" s="1" t="n">
        <v>46297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44596</v>
      </c>
      <c r="E405" s="1" t="n">
        <v>46297</v>
      </c>
      <c r="F405" t="inlineStr">
        <is>
          <t>VÄRMLANDS LÄN</t>
        </is>
      </c>
      <c r="G405" t="inlineStr">
        <is>
          <t>FILIPSTAD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26107-2026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46297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46297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54735-2024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45618</v>
      </c>
      <c r="E408" s="1" t="n">
        <v>46297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46297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46297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46297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46297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46297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46297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46297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46297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46297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46297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46185</v>
      </c>
      <c r="E419" s="1" t="n">
        <v>46297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45658</v>
      </c>
      <c r="E420" s="1" t="n">
        <v>46297</v>
      </c>
      <c r="F420" t="inlineStr">
        <is>
          <t>VÄRMLANDS LÄN</t>
        </is>
      </c>
      <c r="G420" t="inlineStr">
        <is>
          <t>FILIPSTAD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46187</v>
      </c>
      <c r="E421" s="1" t="n">
        <v>46297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46297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46186</v>
      </c>
      <c r="E423" s="1" t="n">
        <v>46297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46297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45063</v>
      </c>
      <c r="E425" s="1" t="n">
        <v>46297</v>
      </c>
      <c r="F425" t="inlineStr">
        <is>
          <t>VÄRMLANDS LÄN</t>
        </is>
      </c>
      <c r="G425" t="inlineStr">
        <is>
          <t>FILIPSTAD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27372-2026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46297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59436-2024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45638</v>
      </c>
      <c r="E427" s="1" t="n">
        <v>46297</v>
      </c>
      <c r="F427" t="inlineStr">
        <is>
          <t>VÄRMLANDS LÄN</t>
        </is>
      </c>
      <c r="G427" t="inlineStr">
        <is>
          <t>FILIPSTAD</t>
        </is>
      </c>
      <c r="H427" t="inlineStr">
        <is>
          <t>Kyrkan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27774-2026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46297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46297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27867-2026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46191</v>
      </c>
      <c r="E430" s="1" t="n">
        <v>46297</v>
      </c>
      <c r="F430" t="inlineStr">
        <is>
          <t>VÄRMLANDS LÄN</t>
        </is>
      </c>
      <c r="G430" t="inlineStr">
        <is>
          <t>FILIPSTAD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46297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46297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45229</v>
      </c>
      <c r="E433" s="1" t="n">
        <v>46297</v>
      </c>
      <c r="F433" t="inlineStr">
        <is>
          <t>VÄRMLANDS LÄN</t>
        </is>
      </c>
      <c r="G433" t="inlineStr">
        <is>
          <t>FILIPSTAD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45947</v>
      </c>
      <c r="E434" s="1" t="n">
        <v>46297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46297</v>
      </c>
      <c r="F435" t="inlineStr">
        <is>
          <t>VÄRMLANDS LÄN</t>
        </is>
      </c>
      <c r="G435" t="inlineStr">
        <is>
          <t>FILIPSTAD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28419-2026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46297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46199</v>
      </c>
      <c r="E437" s="1" t="n">
        <v>46297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29825-2023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45107</v>
      </c>
      <c r="E438" s="1" t="n">
        <v>46297</v>
      </c>
      <c r="F438" t="inlineStr">
        <is>
          <t>VÄRMLANDS LÄN</t>
        </is>
      </c>
      <c r="G438" t="inlineStr">
        <is>
          <t>FILIPSTAD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46203</v>
      </c>
      <c r="E440" s="1" t="n">
        <v>46297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29127-2026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46202</v>
      </c>
      <c r="E441" s="1" t="n">
        <v>46297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46297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46297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27789-2022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44743</v>
      </c>
      <c r="E444" s="1" t="n">
        <v>46297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46297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45184</v>
      </c>
      <c r="E446" s="1" t="n">
        <v>46297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29821-2026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46297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46203</v>
      </c>
      <c r="E448" s="1" t="n">
        <v>46297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46297</v>
      </c>
      <c r="F449" t="inlineStr">
        <is>
          <t>VÄRMLANDS LÄN</t>
        </is>
      </c>
      <c r="G449" t="inlineStr">
        <is>
          <t>FILIPSTAD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28161-2023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45093</v>
      </c>
      <c r="E450" s="1" t="n">
        <v>46297</v>
      </c>
      <c r="F450" t="inlineStr">
        <is>
          <t>VÄRMLANDS LÄN</t>
        </is>
      </c>
      <c r="G450" t="inlineStr">
        <is>
          <t>FILIPSTAD</t>
        </is>
      </c>
      <c r="H450" t="inlineStr">
        <is>
          <t>Kommuner</t>
        </is>
      </c>
      <c r="I450" t="n">
        <v>15.4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46297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46203</v>
      </c>
      <c r="E452" s="1" t="n">
        <v>46297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24054-2024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45456</v>
      </c>
      <c r="E453" s="1" t="n">
        <v>46297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46297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26.6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46090</v>
      </c>
      <c r="E455" s="1" t="n">
        <v>46297</v>
      </c>
      <c r="F455" t="inlineStr">
        <is>
          <t>VÄRMLANDS LÄN</t>
        </is>
      </c>
      <c r="G455" t="inlineStr">
        <is>
          <t>FILIPSTAD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46297</v>
      </c>
      <c r="F456" t="inlineStr">
        <is>
          <t>VÄRMLANDS LÄN</t>
        </is>
      </c>
      <c r="G456" t="inlineStr">
        <is>
          <t>FILIPSTAD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19030-2022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44691</v>
      </c>
      <c r="E457" s="1" t="n">
        <v>46297</v>
      </c>
      <c r="F457" t="inlineStr">
        <is>
          <t>VÄRMLANDS LÄN</t>
        </is>
      </c>
      <c r="G457" t="inlineStr">
        <is>
          <t>FILIPSTAD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46206</v>
      </c>
      <c r="E458" s="1" t="n">
        <v>46297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37577-2023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45159</v>
      </c>
      <c r="E459" s="1" t="n">
        <v>46297</v>
      </c>
      <c r="F459" t="inlineStr">
        <is>
          <t>VÄRMLANDS LÄN</t>
        </is>
      </c>
      <c r="G459" t="inlineStr">
        <is>
          <t>FILIPSTAD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45180</v>
      </c>
      <c r="E460" s="1" t="n">
        <v>46297</v>
      </c>
      <c r="F460" t="inlineStr">
        <is>
          <t>VÄRMLANDS LÄN</t>
        </is>
      </c>
      <c r="G460" t="inlineStr">
        <is>
          <t>FILIPSTAD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30540-2026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46210</v>
      </c>
      <c r="E461" s="1" t="n">
        <v>46297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46255</v>
      </c>
      <c r="E462" s="1" t="n">
        <v>46297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19.2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46255</v>
      </c>
      <c r="E463" s="1" t="n">
        <v>46297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53210-2023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45222</v>
      </c>
      <c r="E464" s="1" t="n">
        <v>46297</v>
      </c>
      <c r="F464" t="inlineStr">
        <is>
          <t>VÄRMLANDS LÄN</t>
        </is>
      </c>
      <c r="G464" t="inlineStr">
        <is>
          <t>FILIPSTAD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30799-2026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46297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45167</v>
      </c>
      <c r="E466" s="1" t="n">
        <v>46297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43635-2023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45186</v>
      </c>
      <c r="E467" s="1" t="n">
        <v>46297</v>
      </c>
      <c r="F467" t="inlineStr">
        <is>
          <t>VÄRMLANDS LÄN</t>
        </is>
      </c>
      <c r="G467" t="inlineStr">
        <is>
          <t>FILIPSTAD</t>
        </is>
      </c>
      <c r="I467" t="n">
        <v>15.3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16103-2025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45750</v>
      </c>
      <c r="E468" s="1" t="n">
        <v>46297</v>
      </c>
      <c r="F468" t="inlineStr">
        <is>
          <t>VÄRMLANDS LÄN</t>
        </is>
      </c>
      <c r="G468" t="inlineStr">
        <is>
          <t>FILIPSTAD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46259</v>
      </c>
      <c r="E469" s="1" t="n">
        <v>46297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46297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36251-2022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44803</v>
      </c>
      <c r="E471" s="1" t="n">
        <v>46297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46261</v>
      </c>
      <c r="E472" s="1" t="n">
        <v>46297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46297</v>
      </c>
      <c r="F473" t="inlineStr">
        <is>
          <t>VÄRMLANDS LÄN</t>
        </is>
      </c>
      <c r="G473" t="inlineStr">
        <is>
          <t>FILIPSTAD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33671-2022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44789</v>
      </c>
      <c r="E474" s="1" t="n">
        <v>46297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46219</v>
      </c>
      <c r="E475" s="1" t="n">
        <v>46297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46257-2022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44847</v>
      </c>
      <c r="E476" s="1" t="n">
        <v>46297</v>
      </c>
      <c r="F476" t="inlineStr">
        <is>
          <t>VÄRMLANDS LÄN</t>
        </is>
      </c>
      <c r="G476" t="inlineStr">
        <is>
          <t>FILIPSTAD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36827-2022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44805</v>
      </c>
      <c r="E477" s="1" t="n">
        <v>46297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46261</v>
      </c>
      <c r="E478" s="1" t="n">
        <v>46297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37611-2022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44809</v>
      </c>
      <c r="E479" s="1" t="n">
        <v>46297</v>
      </c>
      <c r="F479" t="inlineStr">
        <is>
          <t>VÄRMLANDS LÄN</t>
        </is>
      </c>
      <c r="G479" t="inlineStr">
        <is>
          <t>FILIPSTAD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31283-2026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46218</v>
      </c>
      <c r="E480" s="1" t="n">
        <v>46297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46261</v>
      </c>
      <c r="E481" s="1" t="n">
        <v>46297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35927-2026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46266</v>
      </c>
      <c r="E482" s="1" t="n">
        <v>46297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46264</v>
      </c>
      <c r="E483" s="1" t="n">
        <v>46297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45245</v>
      </c>
      <c r="E484" s="1" t="n">
        <v>46297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46297</v>
      </c>
      <c r="F485" t="inlineStr">
        <is>
          <t>VÄRMLANDS LÄN</t>
        </is>
      </c>
      <c r="G485" t="inlineStr">
        <is>
          <t>FILIPSTAD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31548-2026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46223</v>
      </c>
      <c r="E486" s="1" t="n">
        <v>46297</v>
      </c>
      <c r="F486" t="inlineStr">
        <is>
          <t>VÄRMLANDS LÄN</t>
        </is>
      </c>
      <c r="G486" t="inlineStr">
        <is>
          <t>FILIPSTAD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35821-2026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46265</v>
      </c>
      <c r="E487" s="1" t="n">
        <v>46297</v>
      </c>
      <c r="F487" t="inlineStr">
        <is>
          <t>VÄRMLANDS LÄN</t>
        </is>
      </c>
      <c r="G487" t="inlineStr">
        <is>
          <t>FILIPSTAD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46266</v>
      </c>
      <c r="E488" s="1" t="n">
        <v>46297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46265</v>
      </c>
      <c r="E489" s="1" t="n">
        <v>46297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46264</v>
      </c>
      <c r="E490" s="1" t="n">
        <v>46297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46266</v>
      </c>
      <c r="E491" s="1" t="n">
        <v>46297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31537-2026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46223</v>
      </c>
      <c r="E492" s="1" t="n">
        <v>46297</v>
      </c>
      <c r="F492" t="inlineStr">
        <is>
          <t>VÄRMLANDS LÄN</t>
        </is>
      </c>
      <c r="G492" t="inlineStr">
        <is>
          <t>FILIPSTAD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46297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46225</v>
      </c>
      <c r="E494" s="1" t="n">
        <v>46297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25338-2023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45087</v>
      </c>
      <c r="E495" s="1" t="n">
        <v>46297</v>
      </c>
      <c r="F495" t="inlineStr">
        <is>
          <t>VÄRMLANDS LÄN</t>
        </is>
      </c>
      <c r="G495" t="inlineStr">
        <is>
          <t>FILIPSTAD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36297-2026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46268</v>
      </c>
      <c r="E496" s="1" t="n">
        <v>46297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46226</v>
      </c>
      <c r="E497" s="1" t="n">
        <v>46297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46226</v>
      </c>
      <c r="E498" s="1" t="n">
        <v>46297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20.1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46226</v>
      </c>
      <c r="E499" s="1" t="n">
        <v>46297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46227</v>
      </c>
      <c r="E500" s="1" t="n">
        <v>46297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46227</v>
      </c>
      <c r="E501" s="1" t="n">
        <v>46297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46272</v>
      </c>
      <c r="E502" s="1" t="n">
        <v>46297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46297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41983-2023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45177</v>
      </c>
      <c r="E504" s="1" t="n">
        <v>46297</v>
      </c>
      <c r="F504" t="inlineStr">
        <is>
          <t>VÄRMLANDS LÄN</t>
        </is>
      </c>
      <c r="G504" t="inlineStr">
        <is>
          <t>FILIPSTAD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36456-2026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46297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46297</v>
      </c>
      <c r="F506" t="inlineStr">
        <is>
          <t>VÄRMLANDS LÄN</t>
        </is>
      </c>
      <c r="G506" t="inlineStr">
        <is>
          <t>FILIPSTAD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36508-2026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46269</v>
      </c>
      <c r="E507" s="1" t="n">
        <v>46297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18.6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46272</v>
      </c>
      <c r="E508" s="1" t="n">
        <v>46297</v>
      </c>
      <c r="F508" t="inlineStr">
        <is>
          <t>VÄRMLANDS LÄN</t>
        </is>
      </c>
      <c r="G508" t="inlineStr">
        <is>
          <t>FILIPSTAD</t>
        </is>
      </c>
      <c r="I508" t="n">
        <v>11.6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46269</v>
      </c>
      <c r="E509" s="1" t="n">
        <v>46297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46297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46186</v>
      </c>
      <c r="E511" s="1" t="n">
        <v>46297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46231</v>
      </c>
      <c r="E512" s="1" t="n">
        <v>46297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37249-2026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46274</v>
      </c>
      <c r="E513" s="1" t="n">
        <v>46297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53034-2022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44876</v>
      </c>
      <c r="E514" s="1" t="n">
        <v>46297</v>
      </c>
      <c r="F514" t="inlineStr">
        <is>
          <t>VÄRMLANDS LÄN</t>
        </is>
      </c>
      <c r="G514" t="inlineStr">
        <is>
          <t>FILIPSTAD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46273</v>
      </c>
      <c r="E515" s="1" t="n">
        <v>46297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45229</v>
      </c>
      <c r="E516" s="1" t="n">
        <v>46297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46297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32008-2026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46233</v>
      </c>
      <c r="E518" s="1" t="n">
        <v>46297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46297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50904-2023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46297</v>
      </c>
      <c r="F520" t="inlineStr">
        <is>
          <t>VÄRMLANDS LÄN</t>
        </is>
      </c>
      <c r="G520" t="inlineStr">
        <is>
          <t>FILIPSTAD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55397-2022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44887</v>
      </c>
      <c r="E521" s="1" t="n">
        <v>46297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6520-2023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44960</v>
      </c>
      <c r="E522" s="1" t="n">
        <v>46297</v>
      </c>
      <c r="F522" t="inlineStr">
        <is>
          <t>VÄRMLANDS LÄN</t>
        </is>
      </c>
      <c r="G522" t="inlineStr">
        <is>
          <t>FILIPSTAD</t>
        </is>
      </c>
      <c r="H522" t="inlineStr">
        <is>
          <t>Kommuner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55978-2022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44889</v>
      </c>
      <c r="E523" s="1" t="n">
        <v>46297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50856-2022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44867</v>
      </c>
      <c r="E524" s="1" t="n">
        <v>46297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61628-2022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46297</v>
      </c>
      <c r="F525" t="inlineStr">
        <is>
          <t>VÄRMLANDS LÄN</t>
        </is>
      </c>
      <c r="G525" t="inlineStr">
        <is>
          <t>FILIPSTAD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46232</v>
      </c>
      <c r="E526" s="1" t="n">
        <v>46297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31957-2026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46232</v>
      </c>
      <c r="E527" s="1" t="n">
        <v>46297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46297</v>
      </c>
      <c r="F528" t="inlineStr">
        <is>
          <t>VÄRMLANDS LÄN</t>
        </is>
      </c>
      <c r="G528" t="inlineStr">
        <is>
          <t>FILIPSTAD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46232</v>
      </c>
      <c r="E529" s="1" t="n">
        <v>46297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45253</v>
      </c>
      <c r="E530" s="1" t="n">
        <v>46297</v>
      </c>
      <c r="F530" t="inlineStr">
        <is>
          <t>VÄRMLANDS LÄN</t>
        </is>
      </c>
      <c r="G530" t="inlineStr">
        <is>
          <t>FILIPSTAD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46233</v>
      </c>
      <c r="E531" s="1" t="n">
        <v>46297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37519-2026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46276</v>
      </c>
      <c r="E532" s="1" t="n">
        <v>46297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32249-2026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46237</v>
      </c>
      <c r="E533" s="1" t="n">
        <v>46297</v>
      </c>
      <c r="F533" t="inlineStr">
        <is>
          <t>VÄRMLANDS LÄN</t>
        </is>
      </c>
      <c r="G533" t="inlineStr">
        <is>
          <t>FILIPSTAD</t>
        </is>
      </c>
      <c r="H533" t="inlineStr">
        <is>
          <t>Kommuner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46234</v>
      </c>
      <c r="E534" s="1" t="n">
        <v>46297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46279</v>
      </c>
      <c r="E535" s="1" t="n">
        <v>46297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46237</v>
      </c>
      <c r="E536" s="1" t="n">
        <v>46297</v>
      </c>
      <c r="F536" t="inlineStr">
        <is>
          <t>VÄRMLANDS LÄN</t>
        </is>
      </c>
      <c r="G536" t="inlineStr">
        <is>
          <t>FILIPSTAD</t>
        </is>
      </c>
      <c r="I536" t="n">
        <v>13.4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46233</v>
      </c>
      <c r="E537" s="1" t="n">
        <v>46297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44994</v>
      </c>
      <c r="E538" s="1" t="n">
        <v>46297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36680-2023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45153</v>
      </c>
      <c r="E539" s="1" t="n">
        <v>46297</v>
      </c>
      <c r="F539" t="inlineStr">
        <is>
          <t>VÄRMLANDS LÄN</t>
        </is>
      </c>
      <c r="G539" t="inlineStr">
        <is>
          <t>FILIPSTAD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5803-2023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44963</v>
      </c>
      <c r="E540" s="1" t="n">
        <v>46297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32563-2026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46239</v>
      </c>
      <c r="E541" s="1" t="n">
        <v>46297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46297</v>
      </c>
      <c r="F542" t="inlineStr">
        <is>
          <t>VÄRMLANDS LÄN</t>
        </is>
      </c>
      <c r="G542" t="inlineStr">
        <is>
          <t>FILIPSTAD</t>
        </is>
      </c>
      <c r="H542" t="inlineStr">
        <is>
          <t>Kyrkan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46239</v>
      </c>
      <c r="E543" s="1" t="n">
        <v>46297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38228-2026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46281</v>
      </c>
      <c r="E544" s="1" t="n">
        <v>46297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46239</v>
      </c>
      <c r="E545" s="1" t="n">
        <v>46297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51618-2022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44872</v>
      </c>
      <c r="E546" s="1" t="n">
        <v>46297</v>
      </c>
      <c r="F546" t="inlineStr">
        <is>
          <t>VÄRMLANDS LÄN</t>
        </is>
      </c>
      <c r="G546" t="inlineStr">
        <is>
          <t>FILIPSTAD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32588-2026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46240</v>
      </c>
      <c r="E547" s="1" t="n">
        <v>46297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46240</v>
      </c>
      <c r="E548" s="1" t="n">
        <v>46297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46297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46286</v>
      </c>
      <c r="E550" s="1" t="n">
        <v>46297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46283</v>
      </c>
      <c r="E551" s="1" t="n">
        <v>46297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46241</v>
      </c>
      <c r="E552" s="1" t="n">
        <v>46297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71971-2021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44544</v>
      </c>
      <c r="E553" s="1" t="n">
        <v>46297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46240</v>
      </c>
      <c r="E554" s="1" t="n">
        <v>46297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45114</v>
      </c>
      <c r="E555" s="1" t="n">
        <v>46297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38575-2026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46297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46283</v>
      </c>
      <c r="E557" s="1" t="n">
        <v>46297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46297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39373-2026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46297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33092-2026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46297</v>
      </c>
      <c r="F560" t="inlineStr">
        <is>
          <t>VÄRMLANDS LÄN</t>
        </is>
      </c>
      <c r="G560" t="inlineStr">
        <is>
          <t>FILIPSTAD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46297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9370-2023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44981</v>
      </c>
      <c r="E562" s="1" t="n">
        <v>46297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8.1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46129</v>
      </c>
      <c r="E563" s="1" t="n">
        <v>46297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24.9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46297</v>
      </c>
      <c r="F564" t="inlineStr">
        <is>
          <t>VÄRMLANDS LÄN</t>
        </is>
      </c>
      <c r="G564" t="inlineStr">
        <is>
          <t>FILIPSTAD</t>
        </is>
      </c>
      <c r="I564" t="n">
        <v>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39080-2026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46297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19.1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39333-2026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46288</v>
      </c>
      <c r="E566" s="1" t="n">
        <v>46297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46297</v>
      </c>
      <c r="F567" t="inlineStr">
        <is>
          <t>VÄRMLANDS LÄN</t>
        </is>
      </c>
      <c r="G567" t="inlineStr">
        <is>
          <t>FILIPSTAD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50786-2024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45602</v>
      </c>
      <c r="E568" s="1" t="n">
        <v>46297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44963</v>
      </c>
      <c r="E569" s="1" t="n">
        <v>46297</v>
      </c>
      <c r="F569" t="inlineStr">
        <is>
          <t>VÄRMLANDS LÄN</t>
        </is>
      </c>
      <c r="G569" t="inlineStr">
        <is>
          <t>FILIPSTAD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32972-2026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46297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36809-2022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44805</v>
      </c>
      <c r="E571" s="1" t="n">
        <v>46297</v>
      </c>
      <c r="F571" t="inlineStr">
        <is>
          <t>VÄRMLANDS LÄN</t>
        </is>
      </c>
      <c r="G571" t="inlineStr">
        <is>
          <t>FILIPSTAD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33967-2023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45124</v>
      </c>
      <c r="E572" s="1" t="n">
        <v>46297</v>
      </c>
      <c r="F572" t="inlineStr">
        <is>
          <t>VÄRMLANDS LÄN</t>
        </is>
      </c>
      <c r="G572" t="inlineStr">
        <is>
          <t>FILIPSTAD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45124</v>
      </c>
      <c r="E573" s="1" t="n">
        <v>46297</v>
      </c>
      <c r="F573" t="inlineStr">
        <is>
          <t>VÄRMLANDS LÄN</t>
        </is>
      </c>
      <c r="G573" t="inlineStr">
        <is>
          <t>FILIPSTAD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61741-2022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44911</v>
      </c>
      <c r="E574" s="1" t="n">
        <v>46297</v>
      </c>
      <c r="F574" t="inlineStr">
        <is>
          <t>VÄRMLANDS LÄN</t>
        </is>
      </c>
      <c r="G574" t="inlineStr">
        <is>
          <t>FILIPSTAD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46297</v>
      </c>
      <c r="F575" t="inlineStr">
        <is>
          <t>VÄRMLANDS LÄN</t>
        </is>
      </c>
      <c r="G575" t="inlineStr">
        <is>
          <t>FILIPSTAD</t>
        </is>
      </c>
      <c r="H575" t="inlineStr">
        <is>
          <t>Kyrkan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35945-2026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46266</v>
      </c>
      <c r="E576" s="1" t="n">
        <v>46297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46297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23.8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25737-2023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45090</v>
      </c>
      <c r="E578" s="1" t="n">
        <v>46297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33468-2026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46297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2443-2022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44579</v>
      </c>
      <c r="E580" s="1" t="n">
        <v>46297</v>
      </c>
      <c r="F580" t="inlineStr">
        <is>
          <t>VÄRMLANDS LÄN</t>
        </is>
      </c>
      <c r="G580" t="inlineStr">
        <is>
          <t>FILIPSTAD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46290</v>
      </c>
      <c r="E581" s="1" t="n">
        <v>46297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46297</v>
      </c>
      <c r="F582" t="inlineStr">
        <is>
          <t>VÄRMLANDS LÄN</t>
        </is>
      </c>
      <c r="G582" t="inlineStr">
        <is>
          <t>FILIPSTAD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45401</v>
      </c>
      <c r="E583" s="1" t="n">
        <v>46297</v>
      </c>
      <c r="F583" t="inlineStr">
        <is>
          <t>VÄRMLANDS LÄN</t>
        </is>
      </c>
      <c r="G583" t="inlineStr">
        <is>
          <t>FILIPSTAD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46297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46293</v>
      </c>
      <c r="E585" s="1" t="n">
        <v>46297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32786-2024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45516</v>
      </c>
      <c r="E586" s="1" t="n">
        <v>46297</v>
      </c>
      <c r="F586" t="inlineStr">
        <is>
          <t>VÄRMLANDS LÄN</t>
        </is>
      </c>
      <c r="G586" t="inlineStr">
        <is>
          <t>FILIPSTAD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40092-2026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46293</v>
      </c>
      <c r="E587" s="1" t="n">
        <v>46297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62014-2024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45655</v>
      </c>
      <c r="E588" s="1" t="n">
        <v>46297</v>
      </c>
      <c r="F588" t="inlineStr">
        <is>
          <t>VÄRMLANDS LÄN</t>
        </is>
      </c>
      <c r="G588" t="inlineStr">
        <is>
          <t>FILIPSTAD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17686-2023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45037</v>
      </c>
      <c r="E589" s="1" t="n">
        <v>46297</v>
      </c>
      <c r="F589" t="inlineStr">
        <is>
          <t>VÄRMLANDS LÄN</t>
        </is>
      </c>
      <c r="G589" t="inlineStr">
        <is>
          <t>FILIPSTAD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4418-2024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45327</v>
      </c>
      <c r="E590" s="1" t="n">
        <v>46297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46213</v>
      </c>
      <c r="E591" s="1" t="n">
        <v>46297</v>
      </c>
      <c r="F591" t="inlineStr">
        <is>
          <t>VÄRMLANDS LÄN</t>
        </is>
      </c>
      <c r="G591" t="inlineStr">
        <is>
          <t>FILIPSTAD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45578</v>
      </c>
      <c r="E592" s="1" t="n">
        <v>46297</v>
      </c>
      <c r="F592" t="inlineStr">
        <is>
          <t>VÄRMLANDS LÄN</t>
        </is>
      </c>
      <c r="G592" t="inlineStr">
        <is>
          <t>FILIPSTAD</t>
        </is>
      </c>
      <c r="I592" t="n">
        <v>27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46680-2024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45583</v>
      </c>
      <c r="E593" s="1" t="n">
        <v>46297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22830-2023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45072</v>
      </c>
      <c r="E594" s="1" t="n">
        <v>46297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46297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33855-2026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46297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46297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36871-2026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46272</v>
      </c>
      <c r="E598" s="1" t="n">
        <v>46297</v>
      </c>
      <c r="F598" t="inlineStr">
        <is>
          <t>VÄRMLANDS LÄN</t>
        </is>
      </c>
      <c r="G598" t="inlineStr">
        <is>
          <t>FILIPSTAD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33866-2026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46251</v>
      </c>
      <c r="E599" s="1" t="n">
        <v>46297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34054-2026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46252</v>
      </c>
      <c r="E600" s="1" t="n">
        <v>46297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40378-2026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46294</v>
      </c>
      <c r="E601" s="1" t="n">
        <v>46297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40386-2026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46294</v>
      </c>
      <c r="E602" s="1" t="n">
        <v>46297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46251</v>
      </c>
      <c r="E603" s="1" t="n">
        <v>46297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62013-2024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45655</v>
      </c>
      <c r="E604" s="1" t="n">
        <v>46297</v>
      </c>
      <c r="F604" t="inlineStr">
        <is>
          <t>VÄRMLANDS LÄN</t>
        </is>
      </c>
      <c r="G604" t="inlineStr">
        <is>
          <t>FILIPSTAD</t>
        </is>
      </c>
      <c r="I604" t="n">
        <v>26.5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46297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34053-2026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46297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20.2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48040-2023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45204</v>
      </c>
      <c r="E607" s="1" t="n">
        <v>46297</v>
      </c>
      <c r="F607" t="inlineStr">
        <is>
          <t>VÄRMLANDS LÄN</t>
        </is>
      </c>
      <c r="G607" t="inlineStr">
        <is>
          <t>FILIPSTAD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48908-2023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45195</v>
      </c>
      <c r="E608" s="1" t="n">
        <v>46297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44935</v>
      </c>
      <c r="E609" s="1" t="n">
        <v>46297</v>
      </c>
      <c r="F609" t="inlineStr">
        <is>
          <t>VÄRMLANDS LÄN</t>
        </is>
      </c>
      <c r="G609" t="inlineStr">
        <is>
          <t>FILIPSTAD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10306-2025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45720</v>
      </c>
      <c r="E610" s="1" t="n">
        <v>46297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41075-2023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45173</v>
      </c>
      <c r="E611" s="1" t="n">
        <v>46297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14582-2025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45742</v>
      </c>
      <c r="E612" s="1" t="n">
        <v>46297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56840-2024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45628</v>
      </c>
      <c r="E613" s="1" t="n">
        <v>46297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45712</v>
      </c>
      <c r="E614" s="1" t="n">
        <v>46297</v>
      </c>
      <c r="F614" t="inlineStr">
        <is>
          <t>VÄRMLANDS LÄN</t>
        </is>
      </c>
      <c r="G614" t="inlineStr">
        <is>
          <t>FILIPSTAD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23618-2023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45077</v>
      </c>
      <c r="E615" s="1" t="n">
        <v>46297</v>
      </c>
      <c r="F615" t="inlineStr">
        <is>
          <t>VÄRMLANDS LÄN</t>
        </is>
      </c>
      <c r="G615" t="inlineStr">
        <is>
          <t>FILIPSTAD</t>
        </is>
      </c>
      <c r="I615" t="n">
        <v>15.8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45643</v>
      </c>
      <c r="E616" s="1" t="n">
        <v>46297</v>
      </c>
      <c r="F616" t="inlineStr">
        <is>
          <t>VÄRMLANDS LÄN</t>
        </is>
      </c>
      <c r="G616" t="inlineStr">
        <is>
          <t>FILIPSTAD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14328-2025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45740</v>
      </c>
      <c r="E617" s="1" t="n">
        <v>46297</v>
      </c>
      <c r="F617" t="inlineStr">
        <is>
          <t>VÄRMLANDS LÄN</t>
        </is>
      </c>
      <c r="G617" t="inlineStr">
        <is>
          <t>FILIPSTAD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45744</v>
      </c>
      <c r="E618" s="1" t="n">
        <v>46297</v>
      </c>
      <c r="F618" t="inlineStr">
        <is>
          <t>VÄRMLANDS LÄN</t>
        </is>
      </c>
      <c r="G618" t="inlineStr">
        <is>
          <t>FILIPSTAD</t>
        </is>
      </c>
      <c r="H618" t="inlineStr">
        <is>
          <t>Kommuner</t>
        </is>
      </c>
      <c r="I618" t="n">
        <v>17.7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20661-2024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45436</v>
      </c>
      <c r="E619" s="1" t="n">
        <v>46297</v>
      </c>
      <c r="F619" t="inlineStr">
        <is>
          <t>VÄRMLANDS LÄN</t>
        </is>
      </c>
      <c r="G619" t="inlineStr">
        <is>
          <t>FILIPSTAD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34262-2024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45524</v>
      </c>
      <c r="E620" s="1" t="n">
        <v>46297</v>
      </c>
      <c r="F620" t="inlineStr">
        <is>
          <t>VÄRMLANDS LÄN</t>
        </is>
      </c>
      <c r="G620" t="inlineStr">
        <is>
          <t>FILIPSTAD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45299</v>
      </c>
      <c r="E621" s="1" t="n">
        <v>46297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30646-2024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45495</v>
      </c>
      <c r="E622" s="1" t="n">
        <v>46297</v>
      </c>
      <c r="F622" t="inlineStr">
        <is>
          <t>VÄRMLANDS LÄN</t>
        </is>
      </c>
      <c r="G622" t="inlineStr">
        <is>
          <t>FILIPSTAD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27139-2024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45471</v>
      </c>
      <c r="E623" s="1" t="n">
        <v>46297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17244-2024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45414</v>
      </c>
      <c r="E624" s="1" t="n">
        <v>46297</v>
      </c>
      <c r="F624" t="inlineStr">
        <is>
          <t>VÄRMLANDS LÄN</t>
        </is>
      </c>
      <c r="G624" t="inlineStr">
        <is>
          <t>FILIPSTAD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45439</v>
      </c>
      <c r="E625" s="1" t="n">
        <v>46297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6.8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47002-2024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45586</v>
      </c>
      <c r="E626" s="1" t="n">
        <v>46297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65167-2021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44515</v>
      </c>
      <c r="E627" s="1" t="n">
        <v>46297</v>
      </c>
      <c r="F627" t="inlineStr">
        <is>
          <t>VÄRMLANDS LÄN</t>
        </is>
      </c>
      <c r="G627" t="inlineStr">
        <is>
          <t>FILIPSTAD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22880-2025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45790</v>
      </c>
      <c r="E628" s="1" t="n">
        <v>46297</v>
      </c>
      <c r="F628" t="inlineStr">
        <is>
          <t>VÄRMLANDS LÄN</t>
        </is>
      </c>
      <c r="G628" t="inlineStr">
        <is>
          <t>FILIPSTAD</t>
        </is>
      </c>
      <c r="H628" t="inlineStr">
        <is>
          <t>Kyrkan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5757-2021</t>
        </is>
      </c>
      <c r="B629" t="inlineStr">
        <is>
          <t>samrådsanmälan</t>
        </is>
      </c>
      <c r="C629" t="inlineStr">
        <is>
          <t>Basväg</t>
        </is>
      </c>
      <c r="D629" s="1" t="n">
        <v>44438</v>
      </c>
      <c r="E629" s="1" t="n">
        <v>46297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1191-2021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44328</v>
      </c>
      <c r="E630" s="1" t="n">
        <v>46297</v>
      </c>
      <c r="F630" t="inlineStr">
        <is>
          <t>VÄRMLANDS LÄN</t>
        </is>
      </c>
      <c r="G630" t="inlineStr">
        <is>
          <t>FILIPSTAD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4134-2023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46297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46297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46297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4132-2023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46297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4130-2023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46297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46297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56.4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837-2023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44991</v>
      </c>
      <c r="E637" s="1" t="n">
        <v>46297</v>
      </c>
      <c r="F637" t="inlineStr">
        <is>
          <t>VÄRMLANDS LÄN</t>
        </is>
      </c>
      <c r="G637" t="inlineStr">
        <is>
          <t>FILIPSTAD</t>
        </is>
      </c>
      <c r="I637" t="n">
        <v>19.3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46297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3919-2023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45233</v>
      </c>
      <c r="E639" s="1" t="n">
        <v>46297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4135-2023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46297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46297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294-2025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45687</v>
      </c>
      <c r="E642" s="1" t="n">
        <v>46297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4116-2023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45246</v>
      </c>
      <c r="E643" s="1" t="n">
        <v>46297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661-2025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45716</v>
      </c>
      <c r="E644" s="1" t="n">
        <v>46297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3429-2025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45995</v>
      </c>
      <c r="E645" s="1" t="n">
        <v>46297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3576-2025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46010</v>
      </c>
      <c r="E646" s="1" t="n">
        <v>46297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105-2026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46036</v>
      </c>
      <c r="E647" s="1" t="n">
        <v>46297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238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2026-10-02T02:00:52Z</dcterms:created>
  <dcterms:modified xmlns:dcterms="http://purl.org/dc/terms/" xmlns:xsi="http://www.w3.org/2001/XMLSchema-instance" xsi:type="dcterms:W3CDTF">2026-10-02T02:00:53Z</dcterms:modified>
</cp:coreProperties>
</file>