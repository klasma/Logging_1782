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46252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46252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46252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46252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46252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62116-2025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46252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Tjäder
Orre
Fläcknycklar</t>
        </is>
      </c>
      <c r="W13">
        <f>HYPERLINK("https://klasma.github.io/Logging_1782/artfynd/A 62116-2025 artfynd.xlsx", "A 62116-2025")</f>
        <v/>
      </c>
      <c r="X13">
        <f>HYPERLINK("https://klasma.github.io/Logging_1782/kartor/A 62116-2025 karta.png", "A 62116-2025")</f>
        <v/>
      </c>
      <c r="Y13">
        <f>HYPERLINK("https://klasma.github.io/Logging_1782/kartor_geotiff/A 62116-2025 georefererad karta.tif", "A 62116-2025")</f>
        <v/>
      </c>
      <c r="AA13">
        <f>HYPERLINK("https://klasma.github.io/Logging_1782/klagomål/A 62116-2025 FSC-klagomål.docx", "A 62116-2025")</f>
        <v/>
      </c>
      <c r="AB13">
        <f>HYPERLINK("https://klasma.github.io/Logging_1782/klagomålsmail/A 62116-2025 FSC-klagomål mail.docx", "A 62116-2025")</f>
        <v/>
      </c>
      <c r="AC13">
        <f>HYPERLINK("https://klasma.github.io/Logging_1782/tillsyn/A 62116-2025 tillsynsbegäran.docx", "A 62116-2025")</f>
        <v/>
      </c>
      <c r="AD13">
        <f>HYPERLINK("https://klasma.github.io/Logging_1782/tillsynsmail/A 62116-2025 tillsynsbegäran mail.docx", "A 62116-2025")</f>
        <v/>
      </c>
      <c r="AE13">
        <f>HYPERLINK("https://klasma.github.io/Logging_1782/fåglar/A 62116-2025 prioriterade fågelarter.docx", "A 62116-2025")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46252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46252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46252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46252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16139-2025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45750</v>
      </c>
      <c r="E18" s="1" t="n">
        <v>46252</v>
      </c>
      <c r="F18" t="inlineStr">
        <is>
          <t>VÄRMLANDS LÄN</t>
        </is>
      </c>
      <c r="G18" t="inlineStr">
        <is>
          <t>FILIPSTAD</t>
        </is>
      </c>
      <c r="I18" t="n">
        <v>18.2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Bronshjon</t>
        </is>
      </c>
      <c r="W18">
        <f>HYPERLINK("https://klasma.github.io/Logging_1782/artfynd/A 16139-2025 artfynd.xlsx", "A 16139-2025")</f>
        <v/>
      </c>
      <c r="X18">
        <f>HYPERLINK("https://klasma.github.io/Logging_1782/kartor/A 16139-2025 karta.png", "A 16139-2025")</f>
        <v/>
      </c>
      <c r="Y18">
        <f>HYPERLINK("https://klasma.github.io/Logging_1782/kartor_geotiff/A 16139-2025 georefererad karta.tif", "A 16139-2025")</f>
        <v/>
      </c>
      <c r="AA18">
        <f>HYPERLINK("https://klasma.github.io/Logging_1782/klagomål/A 16139-2025 FSC-klagomål.docx", "A 16139-2025")</f>
        <v/>
      </c>
      <c r="AB18">
        <f>HYPERLINK("https://klasma.github.io/Logging_1782/klagomålsmail/A 16139-2025 FSC-klagomål mail.docx", "A 16139-2025")</f>
        <v/>
      </c>
      <c r="AC18">
        <f>HYPERLINK("https://klasma.github.io/Logging_1782/tillsyn/A 16139-2025 tillsynsbegäran.docx", "A 16139-2025")</f>
        <v/>
      </c>
      <c r="AD18">
        <f>HYPERLINK("https://klasma.github.io/Logging_1782/tillsynsmail/A 16139-2025 tillsynsbegäran mail.docx", "A 16139-2025")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46252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38132-2024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46252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Bronshjon
Fläcknycklar</t>
        </is>
      </c>
      <c r="W20">
        <f>HYPERLINK("https://klasma.github.io/Logging_1782/artfynd/A 38132-2024 artfynd.xlsx", "A 38132-2024")</f>
        <v/>
      </c>
      <c r="X20">
        <f>HYPERLINK("https://klasma.github.io/Logging_1782/kartor/A 38132-2024 karta.png", "A 38132-2024")</f>
        <v/>
      </c>
      <c r="Y20">
        <f>HYPERLINK("https://klasma.github.io/Logging_1782/kartor_geotiff/A 38132-2024 georefererad karta.tif", "A 38132-2024")</f>
        <v/>
      </c>
      <c r="AA20">
        <f>HYPERLINK("https://klasma.github.io/Logging_1782/klagomål/A 38132-2024 FSC-klagomål.docx", "A 38132-2024")</f>
        <v/>
      </c>
      <c r="AB20">
        <f>HYPERLINK("https://klasma.github.io/Logging_1782/klagomålsmail/A 38132-2024 FSC-klagomål mail.docx", "A 38132-2024")</f>
        <v/>
      </c>
      <c r="AC20">
        <f>HYPERLINK("https://klasma.github.io/Logging_1782/tillsyn/A 38132-2024 tillsynsbegäran.docx", "A 38132-2024")</f>
        <v/>
      </c>
      <c r="AD20">
        <f>HYPERLINK("https://klasma.github.io/Logging_1782/tillsynsmail/A 38132-2024 tillsynsbegäran mail.docx", "A 38132-2024")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46252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46252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46252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33583-2026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46248</v>
      </c>
      <c r="E24" s="1" t="n">
        <v>46252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16.4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Bårdlav
Stuplav</t>
        </is>
      </c>
      <c r="W24">
        <f>HYPERLINK("https://klasma.github.io/Logging_1782/artfynd/A 33583-2026 artfynd.xlsx", "A 33583-2026")</f>
        <v/>
      </c>
      <c r="X24">
        <f>HYPERLINK("https://klasma.github.io/Logging_1782/kartor/A 33583-2026 karta.png", "A 33583-2026")</f>
        <v/>
      </c>
      <c r="Y24">
        <f>HYPERLINK("https://klasma.github.io/Logging_1782/kartor_geotiff/A 33583-2026 georefererad karta.tif", "A 33583-2026")</f>
        <v/>
      </c>
      <c r="AA24">
        <f>HYPERLINK("https://klasma.github.io/Logging_1782/klagomål/A 33583-2026 FSC-klagomål.docx", "A 33583-2026")</f>
        <v/>
      </c>
      <c r="AB24">
        <f>HYPERLINK("https://klasma.github.io/Logging_1782/klagomålsmail/A 33583-2026 FSC-klagomål mail.docx", "A 33583-2026")</f>
        <v/>
      </c>
      <c r="AC24">
        <f>HYPERLINK("https://klasma.github.io/Logging_1782/tillsyn/A 33583-2026 tillsynsbegäran.docx", "A 33583-2026")</f>
        <v/>
      </c>
      <c r="AD24">
        <f>HYPERLINK("https://klasma.github.io/Logging_1782/tillsynsmail/A 33583-2026 tillsynsbegäran mail.docx", "A 33583-2026")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46252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19945-2023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46252</v>
      </c>
      <c r="F26" t="inlineStr">
        <is>
          <t>VÄRMLANDS LÄN</t>
        </is>
      </c>
      <c r="G26" t="inlineStr">
        <is>
          <t>FILIPSTAD</t>
        </is>
      </c>
      <c r="I26" t="n">
        <v>3.3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3</v>
      </c>
      <c r="V26" s="2" t="inlineStr">
        <is>
          <t>Guckusko
Kransrams</t>
        </is>
      </c>
      <c r="W26">
        <f>HYPERLINK("https://klasma.github.io/Logging_1782/artfynd/A 19945-2023 artfynd.xlsx", "A 19945-2023")</f>
        <v/>
      </c>
      <c r="X26">
        <f>HYPERLINK("https://klasma.github.io/Logging_1782/kartor/A 19945-2023 karta.png", "A 19945-2023")</f>
        <v/>
      </c>
      <c r="Y26">
        <f>HYPERLINK("https://klasma.github.io/Logging_1782/kartor_geotiff/A 19945-2023 georefererad karta.tif", "A 19945-2023")</f>
        <v/>
      </c>
      <c r="AA26">
        <f>HYPERLINK("https://klasma.github.io/Logging_1782/klagomål/A 19945-2023 FSC-klagomål.docx", "A 19945-2023")</f>
        <v/>
      </c>
      <c r="AB26">
        <f>HYPERLINK("https://klasma.github.io/Logging_1782/klagomålsmail/A 19945-2023 FSC-klagomål mail.docx", "A 19945-2023")</f>
        <v/>
      </c>
      <c r="AC26">
        <f>HYPERLINK("https://klasma.github.io/Logging_1782/tillsyn/A 19945-2023 tillsynsbegäran.docx", "A 19945-2023")</f>
        <v/>
      </c>
      <c r="AD26">
        <f>HYPERLINK("https://klasma.github.io/Logging_1782/tillsynsmail/A 19945-2023 tillsynsbegäran mail.docx", "A 19945-2023")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46252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46252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46252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46252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30652-2025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45831</v>
      </c>
      <c r="E31" s="1" t="n">
        <v>46252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HYPERLINK("https://klasma.github.io/Logging_1782/artfynd/A 30652-2025 artfynd.xlsx", "A 30652-2025")</f>
        <v/>
      </c>
      <c r="X31">
        <f>HYPERLINK("https://klasma.github.io/Logging_1782/kartor/A 30652-2025 karta.png", "A 30652-2025")</f>
        <v/>
      </c>
      <c r="Y31">
        <f>HYPERLINK("https://klasma.github.io/Logging_1782/kartor_geotiff/A 30652-2025 georefererad karta.tif", "A 30652-2025")</f>
        <v/>
      </c>
      <c r="AA31">
        <f>HYPERLINK("https://klasma.github.io/Logging_1782/klagomål/A 30652-2025 FSC-klagomål.docx", "A 30652-2025")</f>
        <v/>
      </c>
      <c r="AB31">
        <f>HYPERLINK("https://klasma.github.io/Logging_1782/klagomålsmail/A 30652-2025 FSC-klagomål mail.docx", "A 30652-2025")</f>
        <v/>
      </c>
      <c r="AC31">
        <f>HYPERLINK("https://klasma.github.io/Logging_1782/tillsyn/A 30652-2025 tillsynsbegäran.docx", "A 30652-2025")</f>
        <v/>
      </c>
      <c r="AD31">
        <f>HYPERLINK("https://klasma.github.io/Logging_1782/tillsynsmail/A 30652-2025 tillsynsbegäran mail.docx", "A 30652-2025")</f>
        <v/>
      </c>
      <c r="AE31">
        <f>HYPERLINK("https://klasma.github.io/Logging_1782/fåglar/A 30652-2025 prioriterade fågelarter.docx", "A 30652-2025")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46252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Brunklöver</t>
        </is>
      </c>
      <c r="W32">
        <f>HYPERLINK("https://klasma.github.io/Logging_1782/artfynd/A 45781-2025 artfynd.xlsx", "A 45781-2025")</f>
        <v/>
      </c>
      <c r="X32">
        <f>HYPERLINK("https://klasma.github.io/Logging_1782/kartor/A 45781-2025 karta.png", "A 45781-2025")</f>
        <v/>
      </c>
      <c r="Y32">
        <f>HYPERLINK("https://klasma.github.io/Logging_1782/kartor_geotiff/A 45781-2025 georefererad karta.tif", "A 45781-2025")</f>
        <v/>
      </c>
      <c r="AA32">
        <f>HYPERLINK("https://klasma.github.io/Logging_1782/klagomål/A 45781-2025 FSC-klagomål.docx", "A 45781-2025")</f>
        <v/>
      </c>
      <c r="AB32">
        <f>HYPERLINK("https://klasma.github.io/Logging_1782/klagomålsmail/A 45781-2025 FSC-klagomål mail.docx", "A 45781-2025")</f>
        <v/>
      </c>
      <c r="AC32">
        <f>HYPERLINK("https://klasma.github.io/Logging_1782/tillsyn/A 45781-2025 tillsynsbegäran.docx", "A 45781-2025")</f>
        <v/>
      </c>
      <c r="AD32">
        <f>HYPERLINK("https://klasma.github.io/Logging_1782/tillsynsmail/A 45781-2025 tillsynsbegäran mail.docx", "A 45781-2025")</f>
        <v/>
      </c>
    </row>
    <row r="33" ht="15" customHeight="1">
      <c r="A33" t="inlineStr">
        <is>
          <t>A 58734-2025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45986</v>
      </c>
      <c r="E33" s="1" t="n">
        <v>46252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18.2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Tretåig hackspett</t>
        </is>
      </c>
      <c r="W33">
        <f>HYPERLINK("https://klasma.github.io/Logging_1782/artfynd/A 58734-2025 artfynd.xlsx", "A 58734-2025")</f>
        <v/>
      </c>
      <c r="X33">
        <f>HYPERLINK("https://klasma.github.io/Logging_1782/kartor/A 58734-2025 karta.png", "A 58734-2025")</f>
        <v/>
      </c>
      <c r="Y33">
        <f>HYPERLINK("https://klasma.github.io/Logging_1782/kartor_geotiff/A 58734-2025 georefererad karta.tif", "A 58734-2025")</f>
        <v/>
      </c>
      <c r="AA33">
        <f>HYPERLINK("https://klasma.github.io/Logging_1782/klagomål/A 58734-2025 FSC-klagomål.docx", "A 58734-2025")</f>
        <v/>
      </c>
      <c r="AB33">
        <f>HYPERLINK("https://klasma.github.io/Logging_1782/klagomålsmail/A 58734-2025 FSC-klagomål mail.docx", "A 58734-2025")</f>
        <v/>
      </c>
      <c r="AC33">
        <f>HYPERLINK("https://klasma.github.io/Logging_1782/tillsyn/A 58734-2025 tillsynsbegäran.docx", "A 58734-2025")</f>
        <v/>
      </c>
      <c r="AD33">
        <f>HYPERLINK("https://klasma.github.io/Logging_1782/tillsynsmail/A 58734-2025 tillsynsbegäran mail.docx", "A 58734-2025")</f>
        <v/>
      </c>
      <c r="AE33">
        <f>HYPERLINK("https://klasma.github.io/Logging_1782/fåglar/A 58734-2025 prioriterade fågelarter.docx", "A 58734-2025")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46252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4560-2025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46252</v>
      </c>
      <c r="F35" t="inlineStr">
        <is>
          <t>VÄRMLANDS LÄN</t>
        </is>
      </c>
      <c r="G35" t="inlineStr">
        <is>
          <t>FILIPSTAD</t>
        </is>
      </c>
      <c r="I35" t="n">
        <v>13.6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Skrovlig taggsvamp</t>
        </is>
      </c>
      <c r="W35">
        <f>HYPERLINK("https://klasma.github.io/Logging_1782/artfynd/A 4560-2025 artfynd.xlsx", "A 4560-2025")</f>
        <v/>
      </c>
      <c r="X35">
        <f>HYPERLINK("https://klasma.github.io/Logging_1782/kartor/A 4560-2025 karta.png", "A 4560-2025")</f>
        <v/>
      </c>
      <c r="Y35">
        <f>HYPERLINK("https://klasma.github.io/Logging_1782/kartor_geotiff/A 4560-2025 georefererad karta.tif", "A 4560-2025")</f>
        <v/>
      </c>
      <c r="AA35">
        <f>HYPERLINK("https://klasma.github.io/Logging_1782/klagomål/A 4560-2025 FSC-klagomål.docx", "A 4560-2025")</f>
        <v/>
      </c>
      <c r="AB35">
        <f>HYPERLINK("https://klasma.github.io/Logging_1782/klagomålsmail/A 4560-2025 FSC-klagomål mail.docx", "A 4560-2025")</f>
        <v/>
      </c>
      <c r="AC35">
        <f>HYPERLINK("https://klasma.github.io/Logging_1782/tillsyn/A 4560-2025 tillsynsbegäran.docx", "A 4560-2025")</f>
        <v/>
      </c>
      <c r="AD35">
        <f>HYPERLINK("https://klasma.github.io/Logging_1782/tillsynsmail/A 4560-2025 tillsynsbegäran mail.docx", "A 4560-2025")</f>
        <v/>
      </c>
    </row>
    <row r="36" ht="15" customHeight="1">
      <c r="A36" t="inlineStr">
        <is>
          <t>A 10138-2024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45364</v>
      </c>
      <c r="E36" s="1" t="n">
        <v>46252</v>
      </c>
      <c r="F36" t="inlineStr">
        <is>
          <t>VÄRMLANDS LÄN</t>
        </is>
      </c>
      <c r="G36" t="inlineStr">
        <is>
          <t>FILIPSTAD</t>
        </is>
      </c>
      <c r="H36" t="inlineStr">
        <is>
          <t>Kommuner</t>
        </is>
      </c>
      <c r="I36" t="n">
        <v>6.8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Purpurknipprot</t>
        </is>
      </c>
      <c r="W36">
        <f>HYPERLINK("https://klasma.github.io/Logging_1782/artfynd/A 10138-2024 artfynd.xlsx", "A 10138-2024")</f>
        <v/>
      </c>
      <c r="X36">
        <f>HYPERLINK("https://klasma.github.io/Logging_1782/kartor/A 10138-2024 karta.png", "A 10138-2024")</f>
        <v/>
      </c>
      <c r="Y36">
        <f>HYPERLINK("https://klasma.github.io/Logging_1782/kartor_geotiff/A 10138-2024 georefererad karta.tif", "A 10138-2024")</f>
        <v/>
      </c>
      <c r="AA36">
        <f>HYPERLINK("https://klasma.github.io/Logging_1782/klagomål/A 10138-2024 FSC-klagomål.docx", "A 10138-2024")</f>
        <v/>
      </c>
      <c r="AB36">
        <f>HYPERLINK("https://klasma.github.io/Logging_1782/klagomålsmail/A 10138-2024 FSC-klagomål mail.docx", "A 10138-2024")</f>
        <v/>
      </c>
      <c r="AC36">
        <f>HYPERLINK("https://klasma.github.io/Logging_1782/tillsyn/A 10138-2024 tillsynsbegäran.docx", "A 10138-2024")</f>
        <v/>
      </c>
      <c r="AD36">
        <f>HYPERLINK("https://klasma.github.io/Logging_1782/tillsynsmail/A 10138-2024 tillsynsbegäran mail.docx", "A 10138-2024")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46252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25862-2026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46178</v>
      </c>
      <c r="E38" s="1" t="n">
        <v>46252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Talltaggsvamp</t>
        </is>
      </c>
      <c r="W38">
        <f>HYPERLINK("https://klasma.github.io/Logging_1782/artfynd/A 25862-2026 artfynd.xlsx", "A 25862-2026")</f>
        <v/>
      </c>
      <c r="X38">
        <f>HYPERLINK("https://klasma.github.io/Logging_1782/kartor/A 25862-2026 karta.png", "A 25862-2026")</f>
        <v/>
      </c>
      <c r="Y38">
        <f>HYPERLINK("https://klasma.github.io/Logging_1782/kartor_geotiff/A 25862-2026 georefererad karta.tif", "A 25862-2026")</f>
        <v/>
      </c>
      <c r="AA38">
        <f>HYPERLINK("https://klasma.github.io/Logging_1782/klagomål/A 25862-2026 FSC-klagomål.docx", "A 25862-2026")</f>
        <v/>
      </c>
      <c r="AB38">
        <f>HYPERLINK("https://klasma.github.io/Logging_1782/klagomålsmail/A 25862-2026 FSC-klagomål mail.docx", "A 25862-2026")</f>
        <v/>
      </c>
      <c r="AC38">
        <f>HYPERLINK("https://klasma.github.io/Logging_1782/tillsyn/A 25862-2026 tillsynsbegäran.docx", "A 25862-2026")</f>
        <v/>
      </c>
      <c r="AD38">
        <f>HYPERLINK("https://klasma.github.io/Logging_1782/tillsynsmail/A 25862-2026 tillsynsbegäran mail.docx", "A 25862-2026")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46252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17529-2026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46252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Ädellav</t>
        </is>
      </c>
      <c r="W40">
        <f>HYPERLINK("https://klasma.github.io/Logging_1782/artfynd/A 17529-2026 artfynd.xlsx", "A 17529-2026")</f>
        <v/>
      </c>
      <c r="X40">
        <f>HYPERLINK("https://klasma.github.io/Logging_1782/kartor/A 17529-2026 karta.png", "A 17529-2026")</f>
        <v/>
      </c>
      <c r="Y40">
        <f>HYPERLINK("https://klasma.github.io/Logging_1782/kartor_geotiff/A 17529-2026 georefererad karta.tif", "A 17529-2026")</f>
        <v/>
      </c>
      <c r="AA40">
        <f>HYPERLINK("https://klasma.github.io/Logging_1782/klagomål/A 17529-2026 FSC-klagomål.docx", "A 17529-2026")</f>
        <v/>
      </c>
      <c r="AB40">
        <f>HYPERLINK("https://klasma.github.io/Logging_1782/klagomålsmail/A 17529-2026 FSC-klagomål mail.docx", "A 17529-2026")</f>
        <v/>
      </c>
      <c r="AC40">
        <f>HYPERLINK("https://klasma.github.io/Logging_1782/tillsyn/A 17529-2026 tillsynsbegäran.docx", "A 17529-2026")</f>
        <v/>
      </c>
      <c r="AD40">
        <f>HYPERLINK("https://klasma.github.io/Logging_1782/tillsynsmail/A 17529-2026 tillsynsbegäran mail.docx", "A 17529-2026")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46252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46252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46252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25916-2025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46252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26.4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HYPERLINK("https://klasma.github.io/Logging_1782/artfynd/A 25916-2025 artfynd.xlsx", "A 25916-2025")</f>
        <v/>
      </c>
      <c r="X44">
        <f>HYPERLINK("https://klasma.github.io/Logging_1782/kartor/A 25916-2025 karta.png", "A 25916-2025")</f>
        <v/>
      </c>
      <c r="Y44">
        <f>HYPERLINK("https://klasma.github.io/Logging_1782/kartor_geotiff/A 25916-2025 georefererad karta.tif", "A 25916-2025")</f>
        <v/>
      </c>
      <c r="AA44">
        <f>HYPERLINK("https://klasma.github.io/Logging_1782/klagomål/A 25916-2025 FSC-klagomål.docx", "A 25916-2025")</f>
        <v/>
      </c>
      <c r="AB44">
        <f>HYPERLINK("https://klasma.github.io/Logging_1782/klagomålsmail/A 25916-2025 FSC-klagomål mail.docx", "A 25916-2025")</f>
        <v/>
      </c>
      <c r="AC44">
        <f>HYPERLINK("https://klasma.github.io/Logging_1782/tillsyn/A 25916-2025 tillsynsbegäran.docx", "A 25916-2025")</f>
        <v/>
      </c>
      <c r="AD44">
        <f>HYPERLINK("https://klasma.github.io/Logging_1782/tillsynsmail/A 25916-2025 tillsynsbegäran mail.docx", "A 25916-2025")</f>
        <v/>
      </c>
    </row>
    <row r="45" ht="15" customHeight="1">
      <c r="A45" t="inlineStr">
        <is>
          <t>A 31257-2026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46252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10.2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Gräsull</t>
        </is>
      </c>
      <c r="W45">
        <f>HYPERLINK("https://klasma.github.io/Logging_1782/artfynd/A 31257-2026 artfynd.xlsx", "A 31257-2026")</f>
        <v/>
      </c>
      <c r="X45">
        <f>HYPERLINK("https://klasma.github.io/Logging_1782/kartor/A 31257-2026 karta.png", "A 31257-2026")</f>
        <v/>
      </c>
      <c r="Y45">
        <f>HYPERLINK("https://klasma.github.io/Logging_1782/kartor_geotiff/A 31257-2026 georefererad karta.tif", "A 31257-2026")</f>
        <v/>
      </c>
      <c r="AA45">
        <f>HYPERLINK("https://klasma.github.io/Logging_1782/klagomål/A 31257-2026 FSC-klagomål.docx", "A 31257-2026")</f>
        <v/>
      </c>
      <c r="AB45">
        <f>HYPERLINK("https://klasma.github.io/Logging_1782/klagomålsmail/A 31257-2026 FSC-klagomål mail.docx", "A 31257-2026")</f>
        <v/>
      </c>
      <c r="AC45">
        <f>HYPERLINK("https://klasma.github.io/Logging_1782/tillsyn/A 31257-2026 tillsynsbegäran.docx", "A 31257-2026")</f>
        <v/>
      </c>
      <c r="AD45">
        <f>HYPERLINK("https://klasma.github.io/Logging_1782/tillsynsmail/A 31257-2026 tillsynsbegäran mail.docx", "A 31257-2026")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46252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46252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46252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46252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46252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46252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46252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46252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46252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46252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46252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46252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46252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46252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46252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46252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46252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46252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46252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46252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46252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46252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46252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46252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45810</v>
      </c>
      <c r="E74" s="1" t="n">
        <v>46252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46252</v>
      </c>
      <c r="F75" t="inlineStr">
        <is>
          <t>VÄRMLANDS LÄN</t>
        </is>
      </c>
      <c r="G75" t="inlineStr">
        <is>
          <t>FILIPSTAD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26599-2024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46252</v>
      </c>
      <c r="F76" t="inlineStr">
        <is>
          <t>VÄRMLANDS LÄN</t>
        </is>
      </c>
      <c r="G76" t="inlineStr">
        <is>
          <t>FILIPSTAD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46252</v>
      </c>
      <c r="F77" t="inlineStr">
        <is>
          <t>VÄRMLANDS LÄN</t>
        </is>
      </c>
      <c r="G77" t="inlineStr">
        <is>
          <t>FILIPSTAD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46252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46252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46252</v>
      </c>
      <c r="F80" t="inlineStr">
        <is>
          <t>VÄRMLANDS LÄN</t>
        </is>
      </c>
      <c r="G80" t="inlineStr">
        <is>
          <t>FILIPSTAD</t>
        </is>
      </c>
      <c r="H80" t="inlineStr">
        <is>
          <t>Kyrkan</t>
        </is>
      </c>
      <c r="I80" t="n">
        <v>9.199999999999999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46252</v>
      </c>
      <c r="F81" t="inlineStr">
        <is>
          <t>VÄRMLANDS LÄN</t>
        </is>
      </c>
      <c r="G81" t="inlineStr">
        <is>
          <t>FILIPSTAD</t>
        </is>
      </c>
      <c r="I81" t="n">
        <v>23.3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45826</v>
      </c>
      <c r="E82" s="1" t="n">
        <v>46252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46252</v>
      </c>
      <c r="F83" t="inlineStr">
        <is>
          <t>VÄRMLANDS LÄN</t>
        </is>
      </c>
      <c r="G83" t="inlineStr">
        <is>
          <t>FILIPSTAD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57588-2023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46252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45826</v>
      </c>
      <c r="E85" s="1" t="n">
        <v>46252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46252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46252</v>
      </c>
      <c r="F87" t="inlineStr">
        <is>
          <t>VÄRMLANDS LÄN</t>
        </is>
      </c>
      <c r="G87" t="inlineStr">
        <is>
          <t>FILIPSTAD</t>
        </is>
      </c>
      <c r="H87" t="inlineStr">
        <is>
          <t>Kyrkan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45671</v>
      </c>
      <c r="E88" s="1" t="n">
        <v>46252</v>
      </c>
      <c r="F88" t="inlineStr">
        <is>
          <t>VÄRMLANDS LÄN</t>
        </is>
      </c>
      <c r="G88" t="inlineStr">
        <is>
          <t>FILIPSTAD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45299</v>
      </c>
      <c r="E89" s="1" t="n">
        <v>46252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31172-2025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45832</v>
      </c>
      <c r="E90" s="1" t="n">
        <v>46252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44980</v>
      </c>
      <c r="E91" s="1" t="n">
        <v>46252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45407</v>
      </c>
      <c r="E92" s="1" t="n">
        <v>46252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45665</v>
      </c>
      <c r="E93" s="1" t="n">
        <v>46252</v>
      </c>
      <c r="F93" t="inlineStr">
        <is>
          <t>VÄRMLANDS LÄN</t>
        </is>
      </c>
      <c r="G93" t="inlineStr">
        <is>
          <t>FILIPSTAD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45124</v>
      </c>
      <c r="E94" s="1" t="n">
        <v>46252</v>
      </c>
      <c r="F94" t="inlineStr">
        <is>
          <t>VÄRMLANDS LÄN</t>
        </is>
      </c>
      <c r="G94" t="inlineStr">
        <is>
          <t>FILIPSTAD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45674</v>
      </c>
      <c r="E95" s="1" t="n">
        <v>46252</v>
      </c>
      <c r="F95" t="inlineStr">
        <is>
          <t>VÄRMLANDS LÄN</t>
        </is>
      </c>
      <c r="G95" t="inlineStr">
        <is>
          <t>FILIPSTAD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32032-2025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45835</v>
      </c>
      <c r="E96" s="1" t="n">
        <v>46252</v>
      </c>
      <c r="F96" t="inlineStr">
        <is>
          <t>VÄRMLANDS LÄN</t>
        </is>
      </c>
      <c r="G96" t="inlineStr">
        <is>
          <t>FILIPSTAD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46252</v>
      </c>
      <c r="F97" t="inlineStr">
        <is>
          <t>VÄRMLANDS LÄN</t>
        </is>
      </c>
      <c r="G97" t="inlineStr">
        <is>
          <t>FILIPSTAD</t>
        </is>
      </c>
      <c r="I97" t="n">
        <v>18.7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46252</v>
      </c>
      <c r="F98" t="inlineStr">
        <is>
          <t>VÄRMLANDS LÄN</t>
        </is>
      </c>
      <c r="G98" t="inlineStr">
        <is>
          <t>FILIPSTAD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63482-2021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46252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41718-2025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45902</v>
      </c>
      <c r="E100" s="1" t="n">
        <v>46252</v>
      </c>
      <c r="F100" t="inlineStr">
        <is>
          <t>VÄRMLANDS LÄN</t>
        </is>
      </c>
      <c r="G100" t="inlineStr">
        <is>
          <t>FILIPSTAD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46252</v>
      </c>
      <c r="F101" t="inlineStr">
        <is>
          <t>VÄRMLANDS LÄN</t>
        </is>
      </c>
      <c r="G101" t="inlineStr">
        <is>
          <t>FILIPSTAD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45744</v>
      </c>
      <c r="E102" s="1" t="n">
        <v>46252</v>
      </c>
      <c r="F102" t="inlineStr">
        <is>
          <t>VÄRMLANDS LÄN</t>
        </is>
      </c>
      <c r="G102" t="inlineStr">
        <is>
          <t>FILIPSTAD</t>
        </is>
      </c>
      <c r="H102" t="inlineStr">
        <is>
          <t>Kommuner</t>
        </is>
      </c>
      <c r="I102" t="n">
        <v>17.7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46252</v>
      </c>
      <c r="F103" t="inlineStr">
        <is>
          <t>VÄRMLANDS LÄN</t>
        </is>
      </c>
      <c r="G103" t="inlineStr">
        <is>
          <t>FILIPSTAD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44805</v>
      </c>
      <c r="E104" s="1" t="n">
        <v>46252</v>
      </c>
      <c r="F104" t="inlineStr">
        <is>
          <t>VÄRMLANDS LÄN</t>
        </is>
      </c>
      <c r="G104" t="inlineStr">
        <is>
          <t>FILIPSTAD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56840-2024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45628</v>
      </c>
      <c r="E105" s="1" t="n">
        <v>46252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45408</v>
      </c>
      <c r="E106" s="1" t="n">
        <v>46252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46252</v>
      </c>
      <c r="F107" t="inlineStr">
        <is>
          <t>VÄRMLANDS LÄN</t>
        </is>
      </c>
      <c r="G107" t="inlineStr">
        <is>
          <t>FILIPSTAD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46252</v>
      </c>
      <c r="F108" t="inlineStr">
        <is>
          <t>VÄRMLANDS LÄN</t>
        </is>
      </c>
      <c r="G108" t="inlineStr">
        <is>
          <t>FILIPSTAD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45218</v>
      </c>
      <c r="E109" s="1" t="n">
        <v>46252</v>
      </c>
      <c r="F109" t="inlineStr">
        <is>
          <t>VÄRMLANDS LÄN</t>
        </is>
      </c>
      <c r="G109" t="inlineStr">
        <is>
          <t>FILIPSTAD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46252</v>
      </c>
      <c r="F110" t="inlineStr">
        <is>
          <t>VÄRMLANDS LÄN</t>
        </is>
      </c>
      <c r="G110" t="inlineStr">
        <is>
          <t>FILIPSTAD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25338-2023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45087</v>
      </c>
      <c r="E111" s="1" t="n">
        <v>46252</v>
      </c>
      <c r="F111" t="inlineStr">
        <is>
          <t>VÄRMLANDS LÄN</t>
        </is>
      </c>
      <c r="G111" t="inlineStr">
        <is>
          <t>FILIPSTAD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25375-2023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45088</v>
      </c>
      <c r="E112" s="1" t="n">
        <v>46252</v>
      </c>
      <c r="F112" t="inlineStr">
        <is>
          <t>VÄRMLANDS LÄN</t>
        </is>
      </c>
      <c r="G112" t="inlineStr">
        <is>
          <t>FILIPSTAD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25737-2023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45090</v>
      </c>
      <c r="E113" s="1" t="n">
        <v>46252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46252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46252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45688</v>
      </c>
      <c r="E116" s="1" t="n">
        <v>46252</v>
      </c>
      <c r="F116" t="inlineStr">
        <is>
          <t>VÄRMLANDS LÄN</t>
        </is>
      </c>
      <c r="G116" t="inlineStr">
        <is>
          <t>FILIPSTAD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33407-2025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45841</v>
      </c>
      <c r="E117" s="1" t="n">
        <v>46252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5803-2023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44963</v>
      </c>
      <c r="E118" s="1" t="n">
        <v>46252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45750</v>
      </c>
      <c r="E119" s="1" t="n">
        <v>46252</v>
      </c>
      <c r="F119" t="inlineStr">
        <is>
          <t>VÄRMLANDS LÄN</t>
        </is>
      </c>
      <c r="G119" t="inlineStr">
        <is>
          <t>FILIPSTAD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46252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46252</v>
      </c>
      <c r="F121" t="inlineStr">
        <is>
          <t>VÄRMLANDS LÄN</t>
        </is>
      </c>
      <c r="G121" t="inlineStr">
        <is>
          <t>FILIPSTAD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45418</v>
      </c>
      <c r="E122" s="1" t="n">
        <v>46252</v>
      </c>
      <c r="F122" t="inlineStr">
        <is>
          <t>VÄRMLANDS LÄN</t>
        </is>
      </c>
      <c r="G122" t="inlineStr">
        <is>
          <t>FILIPSTAD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46252</v>
      </c>
      <c r="F123" t="inlineStr">
        <is>
          <t>VÄRMLANDS LÄN</t>
        </is>
      </c>
      <c r="G123" t="inlineStr">
        <is>
          <t>FILIPSTAD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46252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45257</v>
      </c>
      <c r="E125" s="1" t="n">
        <v>46252</v>
      </c>
      <c r="F125" t="inlineStr">
        <is>
          <t>VÄRMLANDS LÄN</t>
        </is>
      </c>
      <c r="G125" t="inlineStr">
        <is>
          <t>FILIPSTAD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45578</v>
      </c>
      <c r="E126" s="1" t="n">
        <v>46252</v>
      </c>
      <c r="F126" t="inlineStr">
        <is>
          <t>VÄRMLANDS LÄN</t>
        </is>
      </c>
      <c r="G126" t="inlineStr">
        <is>
          <t>FILIPSTAD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46252</v>
      </c>
      <c r="F127" t="inlineStr">
        <is>
          <t>VÄRMLANDS LÄN</t>
        </is>
      </c>
      <c r="G127" t="inlineStr">
        <is>
          <t>FILIPSTAD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28161-2023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45093</v>
      </c>
      <c r="E128" s="1" t="n">
        <v>46252</v>
      </c>
      <c r="F128" t="inlineStr">
        <is>
          <t>VÄRMLANDS LÄN</t>
        </is>
      </c>
      <c r="G128" t="inlineStr">
        <is>
          <t>FILIPSTAD</t>
        </is>
      </c>
      <c r="H128" t="inlineStr">
        <is>
          <t>Kommuner</t>
        </is>
      </c>
      <c r="I128" t="n">
        <v>15.4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45826</v>
      </c>
      <c r="E129" s="1" t="n">
        <v>46252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46252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46252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46252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45436</v>
      </c>
      <c r="E133" s="1" t="n">
        <v>46252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45418</v>
      </c>
      <c r="E134" s="1" t="n">
        <v>46252</v>
      </c>
      <c r="F134" t="inlineStr">
        <is>
          <t>VÄRMLANDS LÄN</t>
        </is>
      </c>
      <c r="G134" t="inlineStr">
        <is>
          <t>FILIPSTAD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44384-2021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46252</v>
      </c>
      <c r="F135" t="inlineStr">
        <is>
          <t>VÄRMLANDS LÄN</t>
        </is>
      </c>
      <c r="G135" t="inlineStr">
        <is>
          <t>FILIPSTAD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46252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46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48103-2025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45933</v>
      </c>
      <c r="E137" s="1" t="n">
        <v>46252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14582-2025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45742</v>
      </c>
      <c r="E138" s="1" t="n">
        <v>46252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46252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46252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46252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46252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46252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46252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46252</v>
      </c>
      <c r="F145" t="inlineStr">
        <is>
          <t>VÄRMLANDS LÄN</t>
        </is>
      </c>
      <c r="G145" t="inlineStr">
        <is>
          <t>FILIPSTAD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46252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45870</v>
      </c>
      <c r="E147" s="1" t="n">
        <v>46252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46252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36251-2022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44803</v>
      </c>
      <c r="E149" s="1" t="n">
        <v>46252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46252</v>
      </c>
      <c r="F150" t="inlineStr">
        <is>
          <t>VÄRMLANDS LÄN</t>
        </is>
      </c>
      <c r="G150" t="inlineStr">
        <is>
          <t>FILIPSTAD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45658</v>
      </c>
      <c r="E151" s="1" t="n">
        <v>46252</v>
      </c>
      <c r="F151" t="inlineStr">
        <is>
          <t>VÄRMLANDS LÄN</t>
        </is>
      </c>
      <c r="G151" t="inlineStr">
        <is>
          <t>FILIPSTAD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45401</v>
      </c>
      <c r="E152" s="1" t="n">
        <v>46252</v>
      </c>
      <c r="F152" t="inlineStr">
        <is>
          <t>VÄRMLANDS LÄN</t>
        </is>
      </c>
      <c r="G152" t="inlineStr">
        <is>
          <t>FILIPSTAD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45618</v>
      </c>
      <c r="E153" s="1" t="n">
        <v>46252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45384</v>
      </c>
      <c r="E154" s="1" t="n">
        <v>46252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53034-2022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44876</v>
      </c>
      <c r="E155" s="1" t="n">
        <v>46252</v>
      </c>
      <c r="F155" t="inlineStr">
        <is>
          <t>VÄRMLANDS LÄN</t>
        </is>
      </c>
      <c r="G155" t="inlineStr">
        <is>
          <t>FILIPSTAD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55978-2022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44889</v>
      </c>
      <c r="E156" s="1" t="n">
        <v>46252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46252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46252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46252</v>
      </c>
      <c r="F159" t="inlineStr">
        <is>
          <t>VÄRMLANDS LÄN</t>
        </is>
      </c>
      <c r="G159" t="inlineStr">
        <is>
          <t>FILIPSTAD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45327</v>
      </c>
      <c r="E160" s="1" t="n">
        <v>46252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9.300000000000001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46252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45223</v>
      </c>
      <c r="E162" s="1" t="n">
        <v>46252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46252</v>
      </c>
      <c r="F163" t="inlineStr">
        <is>
          <t>VÄRMLANDS LÄN</t>
        </is>
      </c>
      <c r="G163" t="inlineStr">
        <is>
          <t>FILIPSTAD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45750</v>
      </c>
      <c r="E164" s="1" t="n">
        <v>46252</v>
      </c>
      <c r="F164" t="inlineStr">
        <is>
          <t>VÄRMLANDS LÄN</t>
        </is>
      </c>
      <c r="G164" t="inlineStr">
        <is>
          <t>FILIPSTAD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46252</v>
      </c>
      <c r="F165" t="inlineStr">
        <is>
          <t>VÄRMLANDS LÄN</t>
        </is>
      </c>
      <c r="G165" t="inlineStr">
        <is>
          <t>FILIPSTAD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46252</v>
      </c>
      <c r="F166" t="inlineStr">
        <is>
          <t>VÄRMLANDS LÄN</t>
        </is>
      </c>
      <c r="G166" t="inlineStr">
        <is>
          <t>FILIPSTAD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46252</v>
      </c>
      <c r="F167" t="inlineStr">
        <is>
          <t>VÄRMLANDS LÄN</t>
        </is>
      </c>
      <c r="G167" t="inlineStr">
        <is>
          <t>FILIPSTAD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46252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46252</v>
      </c>
      <c r="F169" t="inlineStr">
        <is>
          <t>VÄRMLANDS LÄN</t>
        </is>
      </c>
      <c r="G169" t="inlineStr">
        <is>
          <t>FILIPSTAD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46252</v>
      </c>
      <c r="F170" t="inlineStr">
        <is>
          <t>VÄRMLANDS LÄN</t>
        </is>
      </c>
      <c r="G170" t="inlineStr">
        <is>
          <t>FILIPSTAD</t>
        </is>
      </c>
      <c r="H170" t="inlineStr">
        <is>
          <t>Kyrkan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46252</v>
      </c>
      <c r="F171" t="inlineStr">
        <is>
          <t>VÄRMLANDS LÄN</t>
        </is>
      </c>
      <c r="G171" t="inlineStr">
        <is>
          <t>FILIPSTAD</t>
        </is>
      </c>
      <c r="H171" t="inlineStr">
        <is>
          <t>Kyrkan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46252</v>
      </c>
      <c r="F172" t="inlineStr">
        <is>
          <t>VÄRMLANDS LÄN</t>
        </is>
      </c>
      <c r="G172" t="inlineStr">
        <is>
          <t>FILIPSTAD</t>
        </is>
      </c>
      <c r="H172" t="inlineStr">
        <is>
          <t>Kyrkan</t>
        </is>
      </c>
      <c r="I172" t="n">
        <v>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46252</v>
      </c>
      <c r="F173" t="inlineStr">
        <is>
          <t>VÄRMLANDS LÄN</t>
        </is>
      </c>
      <c r="G173" t="inlineStr">
        <is>
          <t>FILIPSTAD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45223</v>
      </c>
      <c r="E174" s="1" t="n">
        <v>46252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46252</v>
      </c>
      <c r="F175" t="inlineStr">
        <is>
          <t>VÄRMLANDS LÄN</t>
        </is>
      </c>
      <c r="G175" t="inlineStr">
        <is>
          <t>FILIPSTAD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46252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46252</v>
      </c>
      <c r="F177" t="inlineStr">
        <is>
          <t>VÄRMLANDS LÄN</t>
        </is>
      </c>
      <c r="G177" t="inlineStr">
        <is>
          <t>FILIPSTAD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46252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46252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46252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46252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46252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46252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45882</v>
      </c>
      <c r="E184" s="1" t="n">
        <v>46252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36680-2023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45153</v>
      </c>
      <c r="E185" s="1" t="n">
        <v>46252</v>
      </c>
      <c r="F185" t="inlineStr">
        <is>
          <t>VÄRMLANDS LÄN</t>
        </is>
      </c>
      <c r="G185" t="inlineStr">
        <is>
          <t>FILIPSTAD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46252</v>
      </c>
      <c r="F186" t="inlineStr">
        <is>
          <t>VÄRMLANDS LÄN</t>
        </is>
      </c>
      <c r="G186" t="inlineStr">
        <is>
          <t>FILIPSTAD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46252</v>
      </c>
      <c r="F187" t="inlineStr">
        <is>
          <t>VÄRMLANDS LÄN</t>
        </is>
      </c>
      <c r="G187" t="inlineStr">
        <is>
          <t>FILIPSTAD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46252</v>
      </c>
      <c r="F188" t="inlineStr">
        <is>
          <t>VÄRMLANDS LÄN</t>
        </is>
      </c>
      <c r="G188" t="inlineStr">
        <is>
          <t>FILIPSTAD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46252</v>
      </c>
      <c r="F189" t="inlineStr">
        <is>
          <t>VÄRMLANDS LÄN</t>
        </is>
      </c>
      <c r="G189" t="inlineStr">
        <is>
          <t>FILIPSTAD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45391</v>
      </c>
      <c r="E190" s="1" t="n">
        <v>46252</v>
      </c>
      <c r="F190" t="inlineStr">
        <is>
          <t>VÄRMLANDS LÄN</t>
        </is>
      </c>
      <c r="G190" t="inlineStr">
        <is>
          <t>FILIPSTAD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70405-2021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44536</v>
      </c>
      <c r="E191" s="1" t="n">
        <v>46252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46252</v>
      </c>
      <c r="F192" t="inlineStr">
        <is>
          <t>VÄRMLANDS LÄN</t>
        </is>
      </c>
      <c r="G192" t="inlineStr">
        <is>
          <t>FILIPSTAD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46252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46252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46252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46252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46252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46252</v>
      </c>
      <c r="F202" t="inlineStr">
        <is>
          <t>VÄRMLANDS LÄN</t>
        </is>
      </c>
      <c r="G202" t="inlineStr">
        <is>
          <t>FILIPSTAD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46252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46252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45177</v>
      </c>
      <c r="E206" s="1" t="n">
        <v>46252</v>
      </c>
      <c r="F206" t="inlineStr">
        <is>
          <t>VÄRMLANDS LÄN</t>
        </is>
      </c>
      <c r="G206" t="inlineStr">
        <is>
          <t>FILIPSTAD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46252</v>
      </c>
      <c r="F207" t="inlineStr">
        <is>
          <t>VÄRMLANDS LÄN</t>
        </is>
      </c>
      <c r="G207" t="inlineStr">
        <is>
          <t>FILIPSTAD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45686</v>
      </c>
      <c r="E208" s="1" t="n">
        <v>46252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46252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46252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46252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46252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46252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18.8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45139-2021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44439</v>
      </c>
      <c r="E215" s="1" t="n">
        <v>46252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46252</v>
      </c>
      <c r="F216" t="inlineStr">
        <is>
          <t>VÄRMLANDS LÄN</t>
        </is>
      </c>
      <c r="G216" t="inlineStr">
        <is>
          <t>FILIPSTAD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44789</v>
      </c>
      <c r="E217" s="1" t="n">
        <v>46252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36827-2022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46252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46252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46252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46252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46252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45133</v>
      </c>
      <c r="E224" s="1" t="n">
        <v>46252</v>
      </c>
      <c r="F224" t="inlineStr">
        <is>
          <t>VÄRMLANDS LÄN</t>
        </is>
      </c>
      <c r="G224" t="inlineStr">
        <is>
          <t>FILIPSTAD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50856-2022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44867</v>
      </c>
      <c r="E225" s="1" t="n">
        <v>46252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45456</v>
      </c>
      <c r="E226" s="1" t="n">
        <v>46252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54008-2021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44470</v>
      </c>
      <c r="E227" s="1" t="n">
        <v>46252</v>
      </c>
      <c r="F227" t="inlineStr">
        <is>
          <t>VÄRMLANDS LÄN</t>
        </is>
      </c>
      <c r="G227" t="inlineStr">
        <is>
          <t>FILIPSTAD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46252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46252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46252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46252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46252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46252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46252</v>
      </c>
      <c r="F234" t="inlineStr">
        <is>
          <t>VÄRMLANDS LÄN</t>
        </is>
      </c>
      <c r="G234" t="inlineStr">
        <is>
          <t>FILIPSTAD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46252</v>
      </c>
      <c r="F235" t="inlineStr">
        <is>
          <t>VÄRMLANDS LÄN</t>
        </is>
      </c>
      <c r="G235" t="inlineStr">
        <is>
          <t>FILIPSTAD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71971-2021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46252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46252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46257-2022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44847</v>
      </c>
      <c r="E238" s="1" t="n">
        <v>46252</v>
      </c>
      <c r="F238" t="inlineStr">
        <is>
          <t>VÄRMLANDS LÄN</t>
        </is>
      </c>
      <c r="G238" t="inlineStr">
        <is>
          <t>FILIPSTAD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46252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46252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46252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46252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45229</v>
      </c>
      <c r="E243" s="1" t="n">
        <v>46252</v>
      </c>
      <c r="F243" t="inlineStr">
        <is>
          <t>VÄRMLANDS LÄN</t>
        </is>
      </c>
      <c r="G243" t="inlineStr">
        <is>
          <t>FILIPSTAD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46252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45995</v>
      </c>
      <c r="E245" s="1" t="n">
        <v>46252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46252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60653-2025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45996</v>
      </c>
      <c r="E247" s="1" t="n">
        <v>46252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46252</v>
      </c>
      <c r="F248" t="inlineStr">
        <is>
          <t>VÄRMLANDS LÄN</t>
        </is>
      </c>
      <c r="G248" t="inlineStr">
        <is>
          <t>FILIPSTAD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46252</v>
      </c>
      <c r="F249" t="inlineStr">
        <is>
          <t>VÄRMLANDS LÄN</t>
        </is>
      </c>
      <c r="G249" t="inlineStr">
        <is>
          <t>FILIPSTAD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61492-2025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46001</v>
      </c>
      <c r="E250" s="1" t="n">
        <v>46252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46252</v>
      </c>
      <c r="F251" t="inlineStr">
        <is>
          <t>VÄRMLANDS LÄN</t>
        </is>
      </c>
      <c r="G251" t="inlineStr">
        <is>
          <t>FILIPSTAD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44960</v>
      </c>
      <c r="E252" s="1" t="n">
        <v>46252</v>
      </c>
      <c r="F252" t="inlineStr">
        <is>
          <t>VÄRMLANDS LÄN</t>
        </is>
      </c>
      <c r="G252" t="inlineStr">
        <is>
          <t>FILIPSTAD</t>
        </is>
      </c>
      <c r="H252" t="inlineStr">
        <is>
          <t>Kommuner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29473-2024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45484</v>
      </c>
      <c r="E253" s="1" t="n">
        <v>46252</v>
      </c>
      <c r="F253" t="inlineStr">
        <is>
          <t>VÄRMLANDS LÄN</t>
        </is>
      </c>
      <c r="G253" t="inlineStr">
        <is>
          <t>FILIPSTAD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46252</v>
      </c>
      <c r="F254" t="inlineStr">
        <is>
          <t>VÄRMLANDS LÄN</t>
        </is>
      </c>
      <c r="G254" t="inlineStr">
        <is>
          <t>FILIPSTAD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46252</v>
      </c>
      <c r="F255" t="inlineStr">
        <is>
          <t>VÄRMLANDS LÄN</t>
        </is>
      </c>
      <c r="G255" t="inlineStr">
        <is>
          <t>FILIPSTAD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61417-2025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46001</v>
      </c>
      <c r="E256" s="1" t="n">
        <v>46252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46252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44588</v>
      </c>
      <c r="E258" s="1" t="n">
        <v>46252</v>
      </c>
      <c r="F258" t="inlineStr">
        <is>
          <t>VÄRMLANDS LÄN</t>
        </is>
      </c>
      <c r="G258" t="inlineStr">
        <is>
          <t>FILIPSTAD</t>
        </is>
      </c>
      <c r="H258" t="inlineStr">
        <is>
          <t>Kommuner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61327-2025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46001</v>
      </c>
      <c r="E259" s="1" t="n">
        <v>46252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45643</v>
      </c>
      <c r="E260" s="1" t="n">
        <v>46252</v>
      </c>
      <c r="F260" t="inlineStr">
        <is>
          <t>VÄRMLANDS LÄN</t>
        </is>
      </c>
      <c r="G260" t="inlineStr">
        <is>
          <t>FILIPSTAD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61823-2025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46003</v>
      </c>
      <c r="E261" s="1" t="n">
        <v>46252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46252</v>
      </c>
      <c r="F262" t="inlineStr">
        <is>
          <t>VÄRMLANDS LÄN</t>
        </is>
      </c>
      <c r="G262" t="inlineStr">
        <is>
          <t>FILIPSTAD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46252</v>
      </c>
      <c r="F263" t="inlineStr">
        <is>
          <t>VÄRMLANDS LÄN</t>
        </is>
      </c>
      <c r="G263" t="inlineStr">
        <is>
          <t>FILIPSTAD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45106</v>
      </c>
      <c r="E264" s="1" t="n">
        <v>46252</v>
      </c>
      <c r="F264" t="inlineStr">
        <is>
          <t>VÄRMLANDS LÄN</t>
        </is>
      </c>
      <c r="G264" t="inlineStr">
        <is>
          <t>FILIPSTAD</t>
        </is>
      </c>
      <c r="H264" t="inlineStr">
        <is>
          <t>Kyrkan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46252</v>
      </c>
      <c r="F265" t="inlineStr">
        <is>
          <t>VÄRMLANDS LÄN</t>
        </is>
      </c>
      <c r="G265" t="inlineStr">
        <is>
          <t>FILIPSTAD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46002</v>
      </c>
      <c r="E266" s="1" t="n">
        <v>46252</v>
      </c>
      <c r="F266" t="inlineStr">
        <is>
          <t>VÄRMLANDS LÄN</t>
        </is>
      </c>
      <c r="G266" t="inlineStr">
        <is>
          <t>FILIPSTAD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46252</v>
      </c>
      <c r="F267" t="inlineStr">
        <is>
          <t>VÄRMLANDS LÄN</t>
        </is>
      </c>
      <c r="G267" t="inlineStr">
        <is>
          <t>FILIPSTAD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46252</v>
      </c>
      <c r="F268" t="inlineStr">
        <is>
          <t>VÄRMLANDS LÄN</t>
        </is>
      </c>
      <c r="G268" t="inlineStr">
        <is>
          <t>FILIPSTAD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46252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31537-2026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46223</v>
      </c>
      <c r="E270" s="1" t="n">
        <v>46252</v>
      </c>
      <c r="F270" t="inlineStr">
        <is>
          <t>VÄRMLANDS LÄN</t>
        </is>
      </c>
      <c r="G270" t="inlineStr">
        <is>
          <t>FILIPSTAD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46252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46252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45232</v>
      </c>
      <c r="E273" s="1" t="n">
        <v>46252</v>
      </c>
      <c r="F273" t="inlineStr">
        <is>
          <t>VÄRMLANDS LÄN</t>
        </is>
      </c>
      <c r="G273" t="inlineStr">
        <is>
          <t>FILIPSTAD</t>
        </is>
      </c>
      <c r="I273" t="n">
        <v>15.5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46004</v>
      </c>
      <c r="E274" s="1" t="n">
        <v>46252</v>
      </c>
      <c r="F274" t="inlineStr">
        <is>
          <t>VÄRMLANDS LÄN</t>
        </is>
      </c>
      <c r="G274" t="inlineStr">
        <is>
          <t>FILIPSTAD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45203</v>
      </c>
      <c r="E275" s="1" t="n">
        <v>46252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46252</v>
      </c>
      <c r="F276" t="inlineStr">
        <is>
          <t>VÄRMLANDS LÄN</t>
        </is>
      </c>
      <c r="G276" t="inlineStr">
        <is>
          <t>FILIPSTAD</t>
        </is>
      </c>
      <c r="I276" t="n">
        <v>13.2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46004</v>
      </c>
      <c r="E277" s="1" t="n">
        <v>46252</v>
      </c>
      <c r="F277" t="inlineStr">
        <is>
          <t>VÄRMLANDS LÄN</t>
        </is>
      </c>
      <c r="G277" t="inlineStr">
        <is>
          <t>FILIPSTAD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44579</v>
      </c>
      <c r="E278" s="1" t="n">
        <v>46252</v>
      </c>
      <c r="F278" t="inlineStr">
        <is>
          <t>VÄRMLANDS LÄN</t>
        </is>
      </c>
      <c r="G278" t="inlineStr">
        <is>
          <t>FILIPSTAD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46223</v>
      </c>
      <c r="E279" s="1" t="n">
        <v>46252</v>
      </c>
      <c r="F279" t="inlineStr">
        <is>
          <t>VÄRMLANDS LÄN</t>
        </is>
      </c>
      <c r="G279" t="inlineStr">
        <is>
          <t>FILIPSTAD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46252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46252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44788</v>
      </c>
      <c r="E282" s="1" t="n">
        <v>46252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45427</v>
      </c>
      <c r="E283" s="1" t="n">
        <v>46252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45638</v>
      </c>
      <c r="E284" s="1" t="n">
        <v>46252</v>
      </c>
      <c r="F284" t="inlineStr">
        <is>
          <t>VÄRMLANDS LÄN</t>
        </is>
      </c>
      <c r="G284" t="inlineStr">
        <is>
          <t>FILIPSTAD</t>
        </is>
      </c>
      <c r="H284" t="inlineStr">
        <is>
          <t>Kyrkan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63629-2025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46014</v>
      </c>
      <c r="E285" s="1" t="n">
        <v>46252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29825-2023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45107</v>
      </c>
      <c r="E286" s="1" t="n">
        <v>46252</v>
      </c>
      <c r="F286" t="inlineStr">
        <is>
          <t>VÄRMLANDS LÄN</t>
        </is>
      </c>
      <c r="G286" t="inlineStr">
        <is>
          <t>FILIPSTAD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46252</v>
      </c>
      <c r="F287" t="inlineStr">
        <is>
          <t>VÄRMLANDS LÄN</t>
        </is>
      </c>
      <c r="G287" t="inlineStr">
        <is>
          <t>FILIPSTAD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46252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46252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45578</v>
      </c>
      <c r="E290" s="1" t="n">
        <v>46252</v>
      </c>
      <c r="F290" t="inlineStr">
        <is>
          <t>VÄRMLANDS LÄN</t>
        </is>
      </c>
      <c r="G290" t="inlineStr">
        <is>
          <t>FILIPSTAD</t>
        </is>
      </c>
      <c r="I290" t="n">
        <v>27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46252</v>
      </c>
      <c r="F291" t="inlineStr">
        <is>
          <t>VÄRMLANDS LÄN</t>
        </is>
      </c>
      <c r="G291" t="inlineStr">
        <is>
          <t>FILIPSTAD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56151-2023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45240</v>
      </c>
      <c r="E292" s="1" t="n">
        <v>46252</v>
      </c>
      <c r="F292" t="inlineStr">
        <is>
          <t>VÄRMLANDS LÄN</t>
        </is>
      </c>
      <c r="G292" t="inlineStr">
        <is>
          <t>FILIPSTAD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46252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45712</v>
      </c>
      <c r="E294" s="1" t="n">
        <v>46252</v>
      </c>
      <c r="F294" t="inlineStr">
        <is>
          <t>VÄRMLANDS LÄN</t>
        </is>
      </c>
      <c r="G294" t="inlineStr">
        <is>
          <t>FILIPSTAD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45202</v>
      </c>
      <c r="E295" s="1" t="n">
        <v>46252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45986</v>
      </c>
      <c r="E296" s="1" t="n">
        <v>46252</v>
      </c>
      <c r="F296" t="inlineStr">
        <is>
          <t>VÄRMLANDS LÄN</t>
        </is>
      </c>
      <c r="G296" t="inlineStr">
        <is>
          <t>FILIPSTAD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46252</v>
      </c>
      <c r="F297" t="inlineStr">
        <is>
          <t>VÄRMLANDS LÄN</t>
        </is>
      </c>
      <c r="G297" t="inlineStr">
        <is>
          <t>FILIPSTAD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45547</v>
      </c>
      <c r="E298" s="1" t="n">
        <v>46252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45418</v>
      </c>
      <c r="E299" s="1" t="n">
        <v>46252</v>
      </c>
      <c r="F299" t="inlineStr">
        <is>
          <t>VÄRMLANDS LÄN</t>
        </is>
      </c>
      <c r="G299" t="inlineStr">
        <is>
          <t>FILIPSTAD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46252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46040</v>
      </c>
      <c r="E301" s="1" t="n">
        <v>46252</v>
      </c>
      <c r="F301" t="inlineStr">
        <is>
          <t>VÄRMLANDS LÄN</t>
        </is>
      </c>
      <c r="G301" t="inlineStr">
        <is>
          <t>FILIPSTAD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46252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46252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46225</v>
      </c>
      <c r="E304" s="1" t="n">
        <v>46252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45616</v>
      </c>
      <c r="E305" s="1" t="n">
        <v>46252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55397-2022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44887</v>
      </c>
      <c r="E306" s="1" t="n">
        <v>46252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43233-2023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46252</v>
      </c>
      <c r="F307" t="inlineStr">
        <is>
          <t>VÄRMLANDS LÄN</t>
        </is>
      </c>
      <c r="G307" t="inlineStr">
        <is>
          <t>FILIPSTAD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22830-2023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45072</v>
      </c>
      <c r="E308" s="1" t="n">
        <v>46252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22866-2023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45072</v>
      </c>
      <c r="E309" s="1" t="n">
        <v>46252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45173</v>
      </c>
      <c r="E310" s="1" t="n">
        <v>46252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26227-2026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46252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26211-2026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46182</v>
      </c>
      <c r="E312" s="1" t="n">
        <v>46252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45271</v>
      </c>
      <c r="E313" s="1" t="n">
        <v>46252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46182</v>
      </c>
      <c r="E314" s="1" t="n">
        <v>46252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45169</v>
      </c>
      <c r="E315" s="1" t="n">
        <v>46252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45014</v>
      </c>
      <c r="E316" s="1" t="n">
        <v>46252</v>
      </c>
      <c r="F316" t="inlineStr">
        <is>
          <t>VÄRMLANDS LÄN</t>
        </is>
      </c>
      <c r="G316" t="inlineStr">
        <is>
          <t>FILIPSTAD</t>
        </is>
      </c>
      <c r="H316" t="inlineStr">
        <is>
          <t>Kyrkan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4819-2023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44957</v>
      </c>
      <c r="E317" s="1" t="n">
        <v>46252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46252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46252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26107-2026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46252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45474</v>
      </c>
      <c r="E321" s="1" t="n">
        <v>46252</v>
      </c>
      <c r="F321" t="inlineStr">
        <is>
          <t>VÄRMLANDS LÄN</t>
        </is>
      </c>
      <c r="G321" t="inlineStr">
        <is>
          <t>FILIPSTAD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46252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46226</v>
      </c>
      <c r="E323" s="1" t="n">
        <v>46252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46226</v>
      </c>
      <c r="E324" s="1" t="n">
        <v>46252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46252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46252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46252</v>
      </c>
      <c r="F327" t="inlineStr">
        <is>
          <t>VÄRMLANDS LÄN</t>
        </is>
      </c>
      <c r="G327" t="inlineStr">
        <is>
          <t>FILIPSTAD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46056</v>
      </c>
      <c r="E328" s="1" t="n">
        <v>46252</v>
      </c>
      <c r="F328" t="inlineStr">
        <is>
          <t>VÄRMLANDS LÄN</t>
        </is>
      </c>
      <c r="G328" t="inlineStr">
        <is>
          <t>FILIPSTAD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46252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46252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46227</v>
      </c>
      <c r="E331" s="1" t="n">
        <v>46252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46226</v>
      </c>
      <c r="E332" s="1" t="n">
        <v>46252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46227</v>
      </c>
      <c r="E333" s="1" t="n">
        <v>46252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45511</v>
      </c>
      <c r="E334" s="1" t="n">
        <v>46252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44596</v>
      </c>
      <c r="E335" s="1" t="n">
        <v>46252</v>
      </c>
      <c r="F335" t="inlineStr">
        <is>
          <t>VÄRMLANDS LÄN</t>
        </is>
      </c>
      <c r="G335" t="inlineStr">
        <is>
          <t>FILIPSTAD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46252</v>
      </c>
      <c r="F336" t="inlineStr">
        <is>
          <t>VÄRMLANDS LÄN</t>
        </is>
      </c>
      <c r="G336" t="inlineStr">
        <is>
          <t>FILIPSTAD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45186</v>
      </c>
      <c r="E337" s="1" t="n">
        <v>46252</v>
      </c>
      <c r="F337" t="inlineStr">
        <is>
          <t>VÄRMLANDS LÄN</t>
        </is>
      </c>
      <c r="G337" t="inlineStr">
        <is>
          <t>FILIPSTAD</t>
        </is>
      </c>
      <c r="I337" t="n">
        <v>15.3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46252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45569</v>
      </c>
      <c r="E339" s="1" t="n">
        <v>46252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46252</v>
      </c>
      <c r="F340" t="inlineStr">
        <is>
          <t>VÄRMLANDS LÄN</t>
        </is>
      </c>
      <c r="G340" t="inlineStr">
        <is>
          <t>FILIPSTAD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45244</v>
      </c>
      <c r="E341" s="1" t="n">
        <v>46252</v>
      </c>
      <c r="F341" t="inlineStr">
        <is>
          <t>VÄRMLANDS LÄN</t>
        </is>
      </c>
      <c r="G341" t="inlineStr">
        <is>
          <t>FILIPSTAD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46680-2024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45583</v>
      </c>
      <c r="E342" s="1" t="n">
        <v>46252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46187</v>
      </c>
      <c r="E343" s="1" t="n">
        <v>46252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46252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19030-2022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44691</v>
      </c>
      <c r="E345" s="1" t="n">
        <v>46252</v>
      </c>
      <c r="F345" t="inlineStr">
        <is>
          <t>VÄRMLANDS LÄN</t>
        </is>
      </c>
      <c r="G345" t="inlineStr">
        <is>
          <t>FILIPSTAD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46252</v>
      </c>
      <c r="F346" t="inlineStr">
        <is>
          <t>VÄRMLANDS LÄN</t>
        </is>
      </c>
      <c r="G346" t="inlineStr">
        <is>
          <t>FILIPSTAD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46231</v>
      </c>
      <c r="E347" s="1" t="n">
        <v>46252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45096</v>
      </c>
      <c r="E348" s="1" t="n">
        <v>46252</v>
      </c>
      <c r="F348" t="inlineStr">
        <is>
          <t>VÄRMLANDS LÄN</t>
        </is>
      </c>
      <c r="G348" t="inlineStr">
        <is>
          <t>FILIPSTAD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45195</v>
      </c>
      <c r="E349" s="1" t="n">
        <v>46252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27372-2026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46252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45655</v>
      </c>
      <c r="E351" s="1" t="n">
        <v>46252</v>
      </c>
      <c r="F351" t="inlineStr">
        <is>
          <t>VÄRMLANDS LÄN</t>
        </is>
      </c>
      <c r="G351" t="inlineStr">
        <is>
          <t>FILIPSTAD</t>
        </is>
      </c>
      <c r="I351" t="n">
        <v>26.5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45655</v>
      </c>
      <c r="E352" s="1" t="n">
        <v>46252</v>
      </c>
      <c r="F352" t="inlineStr">
        <is>
          <t>VÄRMLANDS LÄN</t>
        </is>
      </c>
      <c r="G352" t="inlineStr">
        <is>
          <t>FILIPSTAD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46090</v>
      </c>
      <c r="E353" s="1" t="n">
        <v>46252</v>
      </c>
      <c r="F353" t="inlineStr">
        <is>
          <t>VÄRMLANDS LÄN</t>
        </is>
      </c>
      <c r="G353" t="inlineStr">
        <is>
          <t>FILIPSTAD</t>
        </is>
      </c>
      <c r="I353" t="n">
        <v>8.6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27078-2026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46186</v>
      </c>
      <c r="E354" s="1" t="n">
        <v>46252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46186</v>
      </c>
      <c r="E355" s="1" t="n">
        <v>46252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46087</v>
      </c>
      <c r="E356" s="1" t="n">
        <v>46252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46252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46233</v>
      </c>
      <c r="E358" s="1" t="n">
        <v>46252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46233</v>
      </c>
      <c r="E359" s="1" t="n">
        <v>46252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44935</v>
      </c>
      <c r="E360" s="1" t="n">
        <v>46252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46252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46252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44959</v>
      </c>
      <c r="E363" s="1" t="n">
        <v>46252</v>
      </c>
      <c r="F363" t="inlineStr">
        <is>
          <t>VÄRMLANDS LÄN</t>
        </is>
      </c>
      <c r="G363" t="inlineStr">
        <is>
          <t>FILIPSTAD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31950-2026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46232</v>
      </c>
      <c r="E364" s="1" t="n">
        <v>46252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46252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46252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46252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46252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46252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46252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46252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46252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14315-2026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46252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46252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31963-2026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46232</v>
      </c>
      <c r="E375" s="1" t="n">
        <v>46252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46233</v>
      </c>
      <c r="E376" s="1" t="n">
        <v>46252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46232</v>
      </c>
      <c r="E377" s="1" t="n">
        <v>46252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45274</v>
      </c>
      <c r="E378" s="1" t="n">
        <v>46252</v>
      </c>
      <c r="F378" t="inlineStr">
        <is>
          <t>VÄRMLANDS LÄN</t>
        </is>
      </c>
      <c r="G378" t="inlineStr">
        <is>
          <t>FILIPSTAD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46252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46252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46252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46252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46191</v>
      </c>
      <c r="E383" s="1" t="n">
        <v>46252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46252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46252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46252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45124</v>
      </c>
      <c r="E387" s="1" t="n">
        <v>46252</v>
      </c>
      <c r="F387" t="inlineStr">
        <is>
          <t>VÄRMLANDS LÄN</t>
        </is>
      </c>
      <c r="G387" t="inlineStr">
        <is>
          <t>FILIPSTAD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46252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46252</v>
      </c>
      <c r="F389" t="inlineStr">
        <is>
          <t>VÄRMLANDS LÄN</t>
        </is>
      </c>
      <c r="G389" t="inlineStr">
        <is>
          <t>FILIPSTAD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46252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16040-2026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46108</v>
      </c>
      <c r="E391" s="1" t="n">
        <v>46252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45524</v>
      </c>
      <c r="E392" s="1" t="n">
        <v>46252</v>
      </c>
      <c r="F392" t="inlineStr">
        <is>
          <t>VÄRMLANDS LÄN</t>
        </is>
      </c>
      <c r="G392" t="inlineStr">
        <is>
          <t>FILIPSTAD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46237</v>
      </c>
      <c r="E393" s="1" t="n">
        <v>46252</v>
      </c>
      <c r="F393" t="inlineStr">
        <is>
          <t>VÄRMLANDS LÄN</t>
        </is>
      </c>
      <c r="G393" t="inlineStr">
        <is>
          <t>FILIPSTAD</t>
        </is>
      </c>
      <c r="H393" t="inlineStr">
        <is>
          <t>Kommuner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46252</v>
      </c>
      <c r="F394" t="inlineStr">
        <is>
          <t>VÄRMLANDS LÄN</t>
        </is>
      </c>
      <c r="G394" t="inlineStr">
        <is>
          <t>FILIPSTAD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46234</v>
      </c>
      <c r="E395" s="1" t="n">
        <v>46252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45947</v>
      </c>
      <c r="E396" s="1" t="n">
        <v>46252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46252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32248-2026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46237</v>
      </c>
      <c r="E398" s="1" t="n">
        <v>46252</v>
      </c>
      <c r="F398" t="inlineStr">
        <is>
          <t>VÄRMLANDS LÄN</t>
        </is>
      </c>
      <c r="G398" t="inlineStr">
        <is>
          <t>FILIPSTAD</t>
        </is>
      </c>
      <c r="I398" t="n">
        <v>13.4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45579</v>
      </c>
      <c r="E399" s="1" t="n">
        <v>46252</v>
      </c>
      <c r="F399" t="inlineStr">
        <is>
          <t>VÄRMLANDS LÄN</t>
        </is>
      </c>
      <c r="G399" t="inlineStr">
        <is>
          <t>FILIPSTAD</t>
        </is>
      </c>
      <c r="H399" t="inlineStr">
        <is>
          <t>Kyrkan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45568</v>
      </c>
      <c r="E400" s="1" t="n">
        <v>46252</v>
      </c>
      <c r="F400" t="inlineStr">
        <is>
          <t>VÄRMLANDS LÄN</t>
        </is>
      </c>
      <c r="G400" t="inlineStr">
        <is>
          <t>FILIPSTAD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46252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46252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46252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46252</v>
      </c>
      <c r="F404" t="inlineStr">
        <is>
          <t>VÄRMLANDS LÄN</t>
        </is>
      </c>
      <c r="G404" t="inlineStr">
        <is>
          <t>FILIPSTAD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46252</v>
      </c>
      <c r="F405" t="inlineStr">
        <is>
          <t>VÄRMLANDS LÄN</t>
        </is>
      </c>
      <c r="G405" t="inlineStr">
        <is>
          <t>FILIPSTAD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46252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17900-2026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46252</v>
      </c>
      <c r="F407" t="inlineStr">
        <is>
          <t>VÄRMLANDS LÄN</t>
        </is>
      </c>
      <c r="G407" t="inlineStr">
        <is>
          <t>FILIPSTAD</t>
        </is>
      </c>
      <c r="H407" t="inlineStr">
        <is>
          <t>Kommuner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46252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46252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46252</v>
      </c>
      <c r="F410" t="inlineStr">
        <is>
          <t>VÄRMLANDS LÄN</t>
        </is>
      </c>
      <c r="G410" t="inlineStr">
        <is>
          <t>FILIPSTAD</t>
        </is>
      </c>
      <c r="H410" t="inlineStr">
        <is>
          <t>Kommuner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46125</v>
      </c>
      <c r="E411" s="1" t="n">
        <v>46252</v>
      </c>
      <c r="F411" t="inlineStr">
        <is>
          <t>VÄRMLANDS LÄN</t>
        </is>
      </c>
      <c r="G411" t="inlineStr">
        <is>
          <t>FILIPSTAD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46252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46252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46239</v>
      </c>
      <c r="E414" s="1" t="n">
        <v>46252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46239</v>
      </c>
      <c r="E415" s="1" t="n">
        <v>46252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46239</v>
      </c>
      <c r="E416" s="1" t="n">
        <v>46252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46252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46127</v>
      </c>
      <c r="E418" s="1" t="n">
        <v>46252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46252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46127</v>
      </c>
      <c r="E420" s="1" t="n">
        <v>46252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45152</v>
      </c>
      <c r="E421" s="1" t="n">
        <v>46252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46252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46252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18533-2026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46252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46128</v>
      </c>
      <c r="E425" s="1" t="n">
        <v>46252</v>
      </c>
      <c r="F425" t="inlineStr">
        <is>
          <t>VÄRMLANDS LÄN</t>
        </is>
      </c>
      <c r="G425" t="inlineStr">
        <is>
          <t>FILIPSTAD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46127</v>
      </c>
      <c r="E426" s="1" t="n">
        <v>46252</v>
      </c>
      <c r="F426" t="inlineStr">
        <is>
          <t>VÄRMLANDS LÄN</t>
        </is>
      </c>
      <c r="G426" t="inlineStr">
        <is>
          <t>FILIPSTAD</t>
        </is>
      </c>
      <c r="H426" t="inlineStr">
        <is>
          <t>Kommuner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18507-2026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46252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19361-2026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46252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46133</v>
      </c>
      <c r="E429" s="1" t="n">
        <v>46252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46240</v>
      </c>
      <c r="E430" s="1" t="n">
        <v>46252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46252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8.800000000000001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46252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46240</v>
      </c>
      <c r="E433" s="1" t="n">
        <v>46252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46252</v>
      </c>
      <c r="F434" t="inlineStr">
        <is>
          <t>VÄRMLANDS LÄN</t>
        </is>
      </c>
      <c r="G434" t="inlineStr">
        <is>
          <t>FILIPSTAD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46252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46252</v>
      </c>
      <c r="F436" t="inlineStr">
        <is>
          <t>VÄRMLANDS LÄN</t>
        </is>
      </c>
      <c r="G436" t="inlineStr">
        <is>
          <t>FILIPSTAD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46252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46252</v>
      </c>
      <c r="F438" t="inlineStr">
        <is>
          <t>VÄRMLANDS LÄN</t>
        </is>
      </c>
      <c r="G438" t="inlineStr">
        <is>
          <t>FILIPSTAD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32783-2026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46241</v>
      </c>
      <c r="E439" s="1" t="n">
        <v>46252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46252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45567</v>
      </c>
      <c r="E441" s="1" t="n">
        <v>46252</v>
      </c>
      <c r="F441" t="inlineStr">
        <is>
          <t>VÄRMLANDS LÄN</t>
        </is>
      </c>
      <c r="G441" t="inlineStr">
        <is>
          <t>FILIPSTAD</t>
        </is>
      </c>
      <c r="H441" t="inlineStr">
        <is>
          <t>Kyrkan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46252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45964</v>
      </c>
      <c r="E443" s="1" t="n">
        <v>46252</v>
      </c>
      <c r="F443" t="inlineStr">
        <is>
          <t>VÄRMLANDS LÄN</t>
        </is>
      </c>
      <c r="G443" t="inlineStr">
        <is>
          <t>FILIPSTAD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45882</v>
      </c>
      <c r="E444" s="1" t="n">
        <v>46252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57456-2022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46252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46252</v>
      </c>
      <c r="F446" t="inlineStr">
        <is>
          <t>VÄRMLANDS LÄN</t>
        </is>
      </c>
      <c r="G446" t="inlineStr">
        <is>
          <t>FILIPSTAD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45896</v>
      </c>
      <c r="E447" s="1" t="n">
        <v>46252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46252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45088</v>
      </c>
      <c r="E449" s="1" t="n">
        <v>46252</v>
      </c>
      <c r="F449" t="inlineStr">
        <is>
          <t>VÄRMLANDS LÄN</t>
        </is>
      </c>
      <c r="G449" t="inlineStr">
        <is>
          <t>FILIPSTAD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46252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69015-2021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44530</v>
      </c>
      <c r="E451" s="1" t="n">
        <v>46252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20966-2024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45439</v>
      </c>
      <c r="E452" s="1" t="n">
        <v>46252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6520-2023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44960</v>
      </c>
      <c r="E453" s="1" t="n">
        <v>46252</v>
      </c>
      <c r="F453" t="inlineStr">
        <is>
          <t>VÄRMLANDS LÄN</t>
        </is>
      </c>
      <c r="G453" t="inlineStr">
        <is>
          <t>FILIPSTAD</t>
        </is>
      </c>
      <c r="H453" t="inlineStr">
        <is>
          <t>Kommuner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20045-2026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46136</v>
      </c>
      <c r="E454" s="1" t="n">
        <v>46252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43634-2021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44433</v>
      </c>
      <c r="E455" s="1" t="n">
        <v>46252</v>
      </c>
      <c r="F455" t="inlineStr">
        <is>
          <t>VÄRMLANDS LÄN</t>
        </is>
      </c>
      <c r="G455" t="inlineStr">
        <is>
          <t>FILIPSTAD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33092-2026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46245</v>
      </c>
      <c r="E456" s="1" t="n">
        <v>46252</v>
      </c>
      <c r="F456" t="inlineStr">
        <is>
          <t>VÄRMLANDS LÄN</t>
        </is>
      </c>
      <c r="G456" t="inlineStr">
        <is>
          <t>FILIPSTAD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46245</v>
      </c>
      <c r="E457" s="1" t="n">
        <v>46252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45420</v>
      </c>
      <c r="E458" s="1" t="n">
        <v>46252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45436</v>
      </c>
      <c r="E459" s="1" t="n">
        <v>46252</v>
      </c>
      <c r="F459" t="inlineStr">
        <is>
          <t>VÄRMLANDS LÄN</t>
        </is>
      </c>
      <c r="G459" t="inlineStr">
        <is>
          <t>FILIPSTAD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46244</v>
      </c>
      <c r="E461" s="1" t="n">
        <v>46252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46252</v>
      </c>
      <c r="F462" t="inlineStr">
        <is>
          <t>VÄRMLANDS LÄN</t>
        </is>
      </c>
      <c r="G462" t="inlineStr">
        <is>
          <t>FILIPSTAD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46252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46244</v>
      </c>
      <c r="E464" s="1" t="n">
        <v>46252</v>
      </c>
      <c r="F464" t="inlineStr">
        <is>
          <t>VÄRMLANDS LÄN</t>
        </is>
      </c>
      <c r="G464" t="inlineStr">
        <is>
          <t>FILIPSTAD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33449-2025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46252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46252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46252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46252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29417-2026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46252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46252</v>
      </c>
      <c r="F470" t="inlineStr">
        <is>
          <t>VÄRMLANDS LÄN</t>
        </is>
      </c>
      <c r="G470" t="inlineStr">
        <is>
          <t>FILIPSTAD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45790</v>
      </c>
      <c r="E471" s="1" t="n">
        <v>46252</v>
      </c>
      <c r="F471" t="inlineStr">
        <is>
          <t>VÄRMLANDS LÄN</t>
        </is>
      </c>
      <c r="G471" t="inlineStr">
        <is>
          <t>FILIPSTAD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53690-2022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44880</v>
      </c>
      <c r="E472" s="1" t="n">
        <v>46252</v>
      </c>
      <c r="F472" t="inlineStr">
        <is>
          <t>VÄRMLANDS LÄN</t>
        </is>
      </c>
      <c r="G472" t="inlineStr">
        <is>
          <t>FILIPSTAD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45901</v>
      </c>
      <c r="E473" s="1" t="n">
        <v>46252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46247</v>
      </c>
      <c r="E474" s="1" t="n">
        <v>46252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45700</v>
      </c>
      <c r="E475" s="1" t="n">
        <v>46252</v>
      </c>
      <c r="F475" t="inlineStr">
        <is>
          <t>VÄRMLANDS LÄN</t>
        </is>
      </c>
      <c r="G475" t="inlineStr">
        <is>
          <t>FILIPSTAD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45835</v>
      </c>
      <c r="E476" s="1" t="n">
        <v>46252</v>
      </c>
      <c r="F476" t="inlineStr">
        <is>
          <t>VÄRMLANDS LÄN</t>
        </is>
      </c>
      <c r="G476" t="inlineStr">
        <is>
          <t>FILIPSTAD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46252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46252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46136</v>
      </c>
      <c r="E479" s="1" t="n">
        <v>46252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22558-2025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45789</v>
      </c>
      <c r="E480" s="1" t="n">
        <v>46252</v>
      </c>
      <c r="F480" t="inlineStr">
        <is>
          <t>VÄRMLANDS LÄN</t>
        </is>
      </c>
      <c r="G480" t="inlineStr">
        <is>
          <t>FILIPSTAD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48040-2023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46252</v>
      </c>
      <c r="F481" t="inlineStr">
        <is>
          <t>VÄRMLANDS LÄN</t>
        </is>
      </c>
      <c r="G481" t="inlineStr">
        <is>
          <t>FILIPSTAD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46252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52981-2021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44467</v>
      </c>
      <c r="E483" s="1" t="n">
        <v>46252</v>
      </c>
      <c r="F483" t="inlineStr">
        <is>
          <t>VÄRMLANDS LÄN</t>
        </is>
      </c>
      <c r="G483" t="inlineStr">
        <is>
          <t>FILIPSTAD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46252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45841</v>
      </c>
      <c r="E485" s="1" t="n">
        <v>46252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46252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46252</v>
      </c>
      <c r="F487" t="inlineStr">
        <is>
          <t>VÄRMLANDS LÄN</t>
        </is>
      </c>
      <c r="G487" t="inlineStr">
        <is>
          <t>FILIPSTAD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10306-2025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45720</v>
      </c>
      <c r="E488" s="1" t="n">
        <v>46252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39896-2025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45891</v>
      </c>
      <c r="E489" s="1" t="n">
        <v>46252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28687-2025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45819</v>
      </c>
      <c r="E490" s="1" t="n">
        <v>46252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33324-2026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46246</v>
      </c>
      <c r="E491" s="1" t="n">
        <v>46252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46252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49602-2025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45939</v>
      </c>
      <c r="E493" s="1" t="n">
        <v>46252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31676-2025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45834</v>
      </c>
      <c r="E494" s="1" t="n">
        <v>46252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51266-2021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44461</v>
      </c>
      <c r="E495" s="1" t="n">
        <v>46252</v>
      </c>
      <c r="F495" t="inlineStr">
        <is>
          <t>VÄRMLANDS LÄN</t>
        </is>
      </c>
      <c r="G495" t="inlineStr">
        <is>
          <t>FILIPSTAD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46252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16067-2026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46108</v>
      </c>
      <c r="E497" s="1" t="n">
        <v>46252</v>
      </c>
      <c r="F497" t="inlineStr">
        <is>
          <t>VÄRMLANDS LÄN</t>
        </is>
      </c>
      <c r="G497" t="inlineStr">
        <is>
          <t>FILIPSTAD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33837-2026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46252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51618-2022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44872</v>
      </c>
      <c r="E499" s="1" t="n">
        <v>46252</v>
      </c>
      <c r="F499" t="inlineStr">
        <is>
          <t>VÄRMLANDS LÄN</t>
        </is>
      </c>
      <c r="G499" t="inlineStr">
        <is>
          <t>FILIPSTAD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46252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45516</v>
      </c>
      <c r="E501" s="1" t="n">
        <v>46252</v>
      </c>
      <c r="F501" t="inlineStr">
        <is>
          <t>VÄRMLANDS LÄN</t>
        </is>
      </c>
      <c r="G501" t="inlineStr">
        <is>
          <t>FILIPSTAD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45867</v>
      </c>
      <c r="E503" s="1" t="n">
        <v>46252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20661-2026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46252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37611-2022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44809</v>
      </c>
      <c r="E505" s="1" t="n">
        <v>46252</v>
      </c>
      <c r="F505" t="inlineStr">
        <is>
          <t>VÄRMLANDS LÄN</t>
        </is>
      </c>
      <c r="G505" t="inlineStr">
        <is>
          <t>FILIPSTAD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46252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24139-2024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45456</v>
      </c>
      <c r="E507" s="1" t="n">
        <v>46252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16591-2022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44672</v>
      </c>
      <c r="E508" s="1" t="n">
        <v>46252</v>
      </c>
      <c r="F508" t="inlineStr">
        <is>
          <t>VÄRMLANDS LÄN</t>
        </is>
      </c>
      <c r="G508" t="inlineStr">
        <is>
          <t>FILIPSTAD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33857-2026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46251</v>
      </c>
      <c r="E509" s="1" t="n">
        <v>46252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37733-2025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45880</v>
      </c>
      <c r="E510" s="1" t="n">
        <v>46252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44998</v>
      </c>
      <c r="E511" s="1" t="n">
        <v>46252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45195</v>
      </c>
      <c r="E512" s="1" t="n">
        <v>46252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20554-2025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45775</v>
      </c>
      <c r="E513" s="1" t="n">
        <v>46252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20801-2026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46252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14432-2025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45741</v>
      </c>
      <c r="E515" s="1" t="n">
        <v>46252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46252</v>
      </c>
      <c r="F516" t="inlineStr">
        <is>
          <t>VÄRMLANDS LÄN</t>
        </is>
      </c>
      <c r="G516" t="inlineStr">
        <is>
          <t>FILIPSTAD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46252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46148</v>
      </c>
      <c r="E518" s="1" t="n">
        <v>46252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46252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22045-2026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46252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46252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46252</v>
      </c>
      <c r="F522" t="inlineStr">
        <is>
          <t>VÄRMLANDS LÄN</t>
        </is>
      </c>
      <c r="G522" t="inlineStr">
        <is>
          <t>FILIPSTAD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22144-2026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46252</v>
      </c>
      <c r="F523" t="inlineStr">
        <is>
          <t>VÄRMLANDS LÄN</t>
        </is>
      </c>
      <c r="G523" t="inlineStr">
        <is>
          <t>FILIPSTAD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46252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22201-2026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46252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22220-2026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46252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45471</v>
      </c>
      <c r="E527" s="1" t="n">
        <v>46252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46252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46252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46252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46252</v>
      </c>
      <c r="F531" t="inlineStr">
        <is>
          <t>VÄRMLANDS LÄN</t>
        </is>
      </c>
      <c r="G531" t="inlineStr">
        <is>
          <t>FILIPSTAD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46252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46252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46252</v>
      </c>
      <c r="F534" t="inlineStr">
        <is>
          <t>VÄRMLANDS LÄN</t>
        </is>
      </c>
      <c r="G534" t="inlineStr">
        <is>
          <t>FILIPSTAD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45414</v>
      </c>
      <c r="E535" s="1" t="n">
        <v>46252</v>
      </c>
      <c r="F535" t="inlineStr">
        <is>
          <t>VÄRMLANDS LÄN</t>
        </is>
      </c>
      <c r="G535" t="inlineStr">
        <is>
          <t>FILIPSTAD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47002-2024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45586</v>
      </c>
      <c r="E536" s="1" t="n">
        <v>46252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30646-2024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45495</v>
      </c>
      <c r="E537" s="1" t="n">
        <v>46252</v>
      </c>
      <c r="F537" t="inlineStr">
        <is>
          <t>VÄRMLANDS LÄN</t>
        </is>
      </c>
      <c r="G537" t="inlineStr">
        <is>
          <t>FILIPSTAD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45667</v>
      </c>
      <c r="E538" s="1" t="n">
        <v>46252</v>
      </c>
      <c r="F538" t="inlineStr">
        <is>
          <t>VÄRMLANDS LÄN</t>
        </is>
      </c>
      <c r="G538" t="inlineStr">
        <is>
          <t>FILIPSTAD</t>
        </is>
      </c>
      <c r="H538" t="inlineStr">
        <is>
          <t>Kommuner</t>
        </is>
      </c>
      <c r="I538" t="n">
        <v>6.9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20875-2024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45439</v>
      </c>
      <c r="E539" s="1" t="n">
        <v>46252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46251</v>
      </c>
      <c r="E540" s="1" t="n">
        <v>46252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46252</v>
      </c>
      <c r="F541" t="inlineStr">
        <is>
          <t>VÄRMLANDS LÄN</t>
        </is>
      </c>
      <c r="G541" t="inlineStr">
        <is>
          <t>FILIPSTAD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46252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22229-2026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46252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46252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65167-2021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44515</v>
      </c>
      <c r="E545" s="1" t="n">
        <v>46252</v>
      </c>
      <c r="F545" t="inlineStr">
        <is>
          <t>VÄRMLANDS LÄN</t>
        </is>
      </c>
      <c r="G545" t="inlineStr">
        <is>
          <t>FILIPSTAD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28357-2024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45477</v>
      </c>
      <c r="E546" s="1" t="n">
        <v>46252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45530</v>
      </c>
      <c r="E547" s="1" t="n">
        <v>46252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23266-2025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45791</v>
      </c>
      <c r="E548" s="1" t="n">
        <v>46252</v>
      </c>
      <c r="F548" t="inlineStr">
        <is>
          <t>VÄRMLANDS LÄN</t>
        </is>
      </c>
      <c r="G548" t="inlineStr">
        <is>
          <t>FILIPSTAD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48702-2024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45593</v>
      </c>
      <c r="E549" s="1" t="n">
        <v>46252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46252</v>
      </c>
      <c r="F550" t="inlineStr">
        <is>
          <t>VÄRMLANDS LÄN</t>
        </is>
      </c>
      <c r="G550" t="inlineStr">
        <is>
          <t>FILIPSTAD</t>
        </is>
      </c>
      <c r="H550" t="inlineStr">
        <is>
          <t>Kyrkan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46252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23500-2026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46252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23514-2026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46252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23555-2026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46252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46252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8.699999999999999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45077</v>
      </c>
      <c r="E556" s="1" t="n">
        <v>46252</v>
      </c>
      <c r="F556" t="inlineStr">
        <is>
          <t>VÄRMLANDS LÄN</t>
        </is>
      </c>
      <c r="G556" t="inlineStr">
        <is>
          <t>FILIPSTAD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23576-2026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46252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17.9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23529-2026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46252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23943-2026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46252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46252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46167</v>
      </c>
      <c r="E561" s="1" t="n">
        <v>46252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9.1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45667</v>
      </c>
      <c r="E562" s="1" t="n">
        <v>46252</v>
      </c>
      <c r="F562" t="inlineStr">
        <is>
          <t>VÄRMLANDS LÄN</t>
        </is>
      </c>
      <c r="G562" t="inlineStr">
        <is>
          <t>FILIPSTAD</t>
        </is>
      </c>
      <c r="H562" t="inlineStr">
        <is>
          <t>Kommuner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23886-2026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46167</v>
      </c>
      <c r="E563" s="1" t="n">
        <v>46252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45793</v>
      </c>
      <c r="E564" s="1" t="n">
        <v>46252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23399-2025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45792</v>
      </c>
      <c r="E565" s="1" t="n">
        <v>46252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45792</v>
      </c>
      <c r="E566" s="1" t="n">
        <v>46252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8712-2024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45355</v>
      </c>
      <c r="E567" s="1" t="n">
        <v>46252</v>
      </c>
      <c r="F567" t="inlineStr">
        <is>
          <t>VÄRMLANDS LÄN</t>
        </is>
      </c>
      <c r="G567" t="inlineStr">
        <is>
          <t>FILIPSTAD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24026-2026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46252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72118-2021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44543</v>
      </c>
      <c r="E569" s="1" t="n">
        <v>46252</v>
      </c>
      <c r="F569" t="inlineStr">
        <is>
          <t>VÄRMLANDS LÄN</t>
        </is>
      </c>
      <c r="G569" t="inlineStr">
        <is>
          <t>FILIPSTAD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15396-2025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46252</v>
      </c>
      <c r="F570" t="inlineStr">
        <is>
          <t>VÄRMLANDS LÄN</t>
        </is>
      </c>
      <c r="G570" t="inlineStr">
        <is>
          <t>FILIPSTAD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46252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46252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46252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65174-2021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44515</v>
      </c>
      <c r="E574" s="1" t="n">
        <v>46252</v>
      </c>
      <c r="F574" t="inlineStr">
        <is>
          <t>VÄRMLANDS LÄN</t>
        </is>
      </c>
      <c r="G574" t="inlineStr">
        <is>
          <t>FILIPSTAD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23922-2026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46252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24008-2026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46252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46252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23934-2026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46167</v>
      </c>
      <c r="E578" s="1" t="n">
        <v>46252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23959-2026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46252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45796</v>
      </c>
      <c r="E580" s="1" t="n">
        <v>46252</v>
      </c>
      <c r="F580" t="inlineStr">
        <is>
          <t>VÄRMLANDS LÄN</t>
        </is>
      </c>
      <c r="G580" t="inlineStr">
        <is>
          <t>FILIPSTAD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30540-2026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46210</v>
      </c>
      <c r="E581" s="1" t="n">
        <v>46252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46252</v>
      </c>
      <c r="F582" t="inlineStr">
        <is>
          <t>VÄRMLANDS LÄN</t>
        </is>
      </c>
      <c r="G582" t="inlineStr">
        <is>
          <t>FILIPSTAD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3979-2024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45322</v>
      </c>
      <c r="E583" s="1" t="n">
        <v>46252</v>
      </c>
      <c r="F583" t="inlineStr">
        <is>
          <t>VÄRMLANDS LÄN</t>
        </is>
      </c>
      <c r="G583" t="inlineStr">
        <is>
          <t>FILIPSTAD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46169</v>
      </c>
      <c r="E584" s="1" t="n">
        <v>46252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46252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46169</v>
      </c>
      <c r="E586" s="1" t="n">
        <v>46252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46252</v>
      </c>
      <c r="F587" t="inlineStr">
        <is>
          <t>VÄRMLANDS LÄN</t>
        </is>
      </c>
      <c r="G587" t="inlineStr">
        <is>
          <t>FILIPSTAD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49935-2025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45940</v>
      </c>
      <c r="E588" s="1" t="n">
        <v>46252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44801</v>
      </c>
      <c r="E589" s="1" t="n">
        <v>46252</v>
      </c>
      <c r="F589" t="inlineStr">
        <is>
          <t>VÄRMLANDS LÄN</t>
        </is>
      </c>
      <c r="G589" t="inlineStr">
        <is>
          <t>FILIPSTAD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46170</v>
      </c>
      <c r="E590" s="1" t="n">
        <v>46252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24519-2026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46252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46252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47261-2024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45586</v>
      </c>
      <c r="E593" s="1" t="n">
        <v>46252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46252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46252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46170</v>
      </c>
      <c r="E596" s="1" t="n">
        <v>46252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24452-2026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46252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24453-2026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46252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24941-2026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46252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8.5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26116-2025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45805</v>
      </c>
      <c r="E600" s="1" t="n">
        <v>46252</v>
      </c>
      <c r="F600" t="inlineStr">
        <is>
          <t>VÄRMLANDS LÄN</t>
        </is>
      </c>
      <c r="G600" t="inlineStr">
        <is>
          <t>FILIPSTAD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26123-2025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45805</v>
      </c>
      <c r="E601" s="1" t="n">
        <v>46252</v>
      </c>
      <c r="F601" t="inlineStr">
        <is>
          <t>VÄRMLANDS LÄN</t>
        </is>
      </c>
      <c r="G601" t="inlineStr">
        <is>
          <t>FILIPSTAD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24886-2026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46174</v>
      </c>
      <c r="E602" s="1" t="n">
        <v>46252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16063-2025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45749</v>
      </c>
      <c r="E603" s="1" t="n">
        <v>46252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24745-2026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46252</v>
      </c>
      <c r="F604" t="inlineStr">
        <is>
          <t>VÄRMLANDS LÄN</t>
        </is>
      </c>
      <c r="G604" t="inlineStr">
        <is>
          <t>FILIPSTAD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32183-2025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45835</v>
      </c>
      <c r="E605" s="1" t="n">
        <v>46252</v>
      </c>
      <c r="F605" t="inlineStr">
        <is>
          <t>VÄRMLANDS LÄN</t>
        </is>
      </c>
      <c r="G605" t="inlineStr">
        <is>
          <t>FILIPSTAD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25203-2026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46175</v>
      </c>
      <c r="E606" s="1" t="n">
        <v>46252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8.9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46252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25205-2026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46252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46218</v>
      </c>
      <c r="E609" s="1" t="n">
        <v>46252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5757-2021</t>
        </is>
      </c>
      <c r="B610" t="inlineStr">
        <is>
          <t>samrådsanmälan</t>
        </is>
      </c>
      <c r="C610" t="inlineStr">
        <is>
          <t>Basväg</t>
        </is>
      </c>
      <c r="D610" s="1" t="n">
        <v>44438</v>
      </c>
      <c r="E610" s="1" t="n">
        <v>46252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1191-2021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44328</v>
      </c>
      <c r="E611" s="1" t="n">
        <v>46252</v>
      </c>
      <c r="F611" t="inlineStr">
        <is>
          <t>VÄRMLANDS LÄN</t>
        </is>
      </c>
      <c r="G611" t="inlineStr">
        <is>
          <t>FILIPSTAD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4134-2023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45247</v>
      </c>
      <c r="E612" s="1" t="n">
        <v>46252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4115-2023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45246</v>
      </c>
      <c r="E613" s="1" t="n">
        <v>46252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4137-2023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46252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4132-2023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46252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4130-2023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46252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4127-2023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46252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56.4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837-2023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46252</v>
      </c>
      <c r="F618" t="inlineStr">
        <is>
          <t>VÄRMLANDS LÄN</t>
        </is>
      </c>
      <c r="G618" t="inlineStr">
        <is>
          <t>FILIPSTAD</t>
        </is>
      </c>
      <c r="I618" t="n">
        <v>19.3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4129-2023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46252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3919-2023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45233</v>
      </c>
      <c r="E620" s="1" t="n">
        <v>46252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4135-2023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46252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18.9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6078-2021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44442</v>
      </c>
      <c r="E622" s="1" t="n">
        <v>46252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4126-2023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46252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294-2025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45687</v>
      </c>
      <c r="E624" s="1" t="n">
        <v>46252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4116-2023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45246</v>
      </c>
      <c r="E625" s="1" t="n">
        <v>46252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661-2025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45716</v>
      </c>
      <c r="E626" s="1" t="n">
        <v>46252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161.7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3429-2025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45995</v>
      </c>
      <c r="E627" s="1" t="n">
        <v>46252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3576-2025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46010</v>
      </c>
      <c r="E628" s="1" t="n">
        <v>46252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27.1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105-2026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46036</v>
      </c>
      <c r="E629" s="1" t="n">
        <v>46252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238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2026-08-18T01:47:00Z</dcterms:created>
  <dcterms:modified xmlns:dcterms="http://purl.org/dc/terms/" xmlns:xsi="http://www.w3.org/2001/XMLSchema-instance" xsi:type="dcterms:W3CDTF">2026-08-18T01:47:00Z</dcterms:modified>
</cp:coreProperties>
</file>