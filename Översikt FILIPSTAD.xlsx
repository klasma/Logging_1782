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45842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45842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45842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45842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45842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45842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45842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Garnlav
Ullticka
Vedtrappmossa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42882-2020</t>
        </is>
      </c>
      <c r="B9" s="1" t="n">
        <v>44078</v>
      </c>
      <c r="C9" s="1" t="n">
        <v>45842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2.2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Lunglav
Spillkråka
Stjärntagging
Vedticka
Fläcknycklar</t>
        </is>
      </c>
      <c r="S9">
        <f>HYPERLINK("https://klasma.github.io/Logging_1782/artfynd/A 42882-2020 artfynd.xlsx", "A 42882-2020")</f>
        <v/>
      </c>
      <c r="T9">
        <f>HYPERLINK("https://klasma.github.io/Logging_1782/kartor/A 42882-2020 karta.png", "A 42882-2020")</f>
        <v/>
      </c>
      <c r="V9">
        <f>HYPERLINK("https://klasma.github.io/Logging_1782/klagomål/A 42882-2020 FSC-klagomål.docx", "A 42882-2020")</f>
        <v/>
      </c>
      <c r="W9">
        <f>HYPERLINK("https://klasma.github.io/Logging_1782/klagomålsmail/A 42882-2020 FSC-klagomål mail.docx", "A 42882-2020")</f>
        <v/>
      </c>
      <c r="X9">
        <f>HYPERLINK("https://klasma.github.io/Logging_1782/tillsyn/A 42882-2020 tillsynsbegäran.docx", "A 42882-2020")</f>
        <v/>
      </c>
      <c r="Y9">
        <f>HYPERLINK("https://klasma.github.io/Logging_1782/tillsynsmail/A 42882-2020 tillsynsbegäran mail.docx", "A 42882-2020")</f>
        <v/>
      </c>
      <c r="Z9">
        <f>HYPERLINK("https://klasma.github.io/Logging_1782/fåglar/A 42882-2020 prioriterade fågelarter.docx", "A 42882-2020")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45842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45842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45842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45842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45842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45842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45842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45842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45842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45842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45842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45842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45842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45842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45842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45842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45842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45842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45842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45842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45842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45842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56861-2020</t>
        </is>
      </c>
      <c r="B32" s="1" t="n">
        <v>44138</v>
      </c>
      <c r="C32" s="1" t="n">
        <v>45842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HYPERLINK("https://klasma.github.io/Logging_1782/artfynd/A 56861-2020 artfynd.xlsx", "A 56861-2020")</f>
        <v/>
      </c>
      <c r="T32">
        <f>HYPERLINK("https://klasma.github.io/Logging_1782/kartor/A 56861-2020 karta.png", "A 56861-2020")</f>
        <v/>
      </c>
      <c r="V32">
        <f>HYPERLINK("https://klasma.github.io/Logging_1782/klagomål/A 56861-2020 FSC-klagomål.docx", "A 56861-2020")</f>
        <v/>
      </c>
      <c r="W32">
        <f>HYPERLINK("https://klasma.github.io/Logging_1782/klagomålsmail/A 56861-2020 FSC-klagomål mail.docx", "A 56861-2020")</f>
        <v/>
      </c>
      <c r="X32">
        <f>HYPERLINK("https://klasma.github.io/Logging_1782/tillsyn/A 56861-2020 tillsynsbegäran.docx", "A 56861-2020")</f>
        <v/>
      </c>
      <c r="Y32">
        <f>HYPERLINK("https://klasma.github.io/Logging_1782/tillsynsmail/A 56861-2020 tillsynsbegäran mail.docx", "A 56861-2020")</f>
        <v/>
      </c>
    </row>
    <row r="33" ht="15" customHeight="1">
      <c r="A33" t="inlineStr">
        <is>
          <t>A 62572-2021</t>
        </is>
      </c>
      <c r="B33" s="1" t="n">
        <v>44503</v>
      </c>
      <c r="C33" s="1" t="n">
        <v>45842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62572-2021 artfynd.xlsx", "A 62572-2021")</f>
        <v/>
      </c>
      <c r="T33">
        <f>HYPERLINK("https://klasma.github.io/Logging_1782/kartor/A 62572-2021 karta.png", "A 62572-2021")</f>
        <v/>
      </c>
      <c r="V33">
        <f>HYPERLINK("https://klasma.github.io/Logging_1782/klagomål/A 62572-2021 FSC-klagomål.docx", "A 62572-2021")</f>
        <v/>
      </c>
      <c r="W33">
        <f>HYPERLINK("https://klasma.github.io/Logging_1782/klagomålsmail/A 62572-2021 FSC-klagomål mail.docx", "A 62572-2021")</f>
        <v/>
      </c>
      <c r="X33">
        <f>HYPERLINK("https://klasma.github.io/Logging_1782/tillsyn/A 62572-2021 tillsynsbegäran.docx", "A 62572-2021")</f>
        <v/>
      </c>
      <c r="Y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s="1" t="n">
        <v>44701</v>
      </c>
      <c r="C34" s="1" t="n">
        <v>45842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20754-2022 artfynd.xlsx", "A 20754-2022")</f>
        <v/>
      </c>
      <c r="T34">
        <f>HYPERLINK("https://klasma.github.io/Logging_1782/kartor/A 20754-2022 karta.png", "A 20754-2022")</f>
        <v/>
      </c>
      <c r="V34">
        <f>HYPERLINK("https://klasma.github.io/Logging_1782/klagomål/A 20754-2022 FSC-klagomål.docx", "A 20754-2022")</f>
        <v/>
      </c>
      <c r="W34">
        <f>HYPERLINK("https://klasma.github.io/Logging_1782/klagomålsmail/A 20754-2022 FSC-klagomål mail.docx", "A 20754-2022")</f>
        <v/>
      </c>
      <c r="X34">
        <f>HYPERLINK("https://klasma.github.io/Logging_1782/tillsyn/A 20754-2022 tillsynsbegäran.docx", "A 20754-2022")</f>
        <v/>
      </c>
      <c r="Y34">
        <f>HYPERLINK("https://klasma.github.io/Logging_1782/tillsynsmail/A 20754-2022 tillsynsbegäran mail.docx", "A 20754-2022")</f>
        <v/>
      </c>
    </row>
    <row r="35" ht="15" customHeight="1">
      <c r="A35" t="inlineStr">
        <is>
          <t>A 27105-2022</t>
        </is>
      </c>
      <c r="B35" s="1" t="n">
        <v>44741</v>
      </c>
      <c r="C35" s="1" t="n">
        <v>45842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HYPERLINK("https://klasma.github.io/Logging_1782/artfynd/A 27105-2022 artfynd.xlsx", "A 27105-2022")</f>
        <v/>
      </c>
      <c r="T35">
        <f>HYPERLINK("https://klasma.github.io/Logging_1782/kartor/A 27105-2022 karta.png", "A 27105-2022")</f>
        <v/>
      </c>
      <c r="V35">
        <f>HYPERLINK("https://klasma.github.io/Logging_1782/klagomål/A 27105-2022 FSC-klagomål.docx", "A 27105-2022")</f>
        <v/>
      </c>
      <c r="W35">
        <f>HYPERLINK("https://klasma.github.io/Logging_1782/klagomålsmail/A 27105-2022 FSC-klagomål mail.docx", "A 27105-2022")</f>
        <v/>
      </c>
      <c r="X35">
        <f>HYPERLINK("https://klasma.github.io/Logging_1782/tillsyn/A 27105-2022 tillsynsbegäran.docx", "A 27105-2022")</f>
        <v/>
      </c>
      <c r="Y35">
        <f>HYPERLINK("https://klasma.github.io/Logging_1782/tillsynsmail/A 27105-2022 tillsynsbegäran mail.docx", "A 27105-2022")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45842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37427-2023</t>
        </is>
      </c>
      <c r="B37" s="1" t="n">
        <v>45156</v>
      </c>
      <c r="C37" s="1" t="n">
        <v>45842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37427-2023 artfynd.xlsx", "A 37427-2023")</f>
        <v/>
      </c>
      <c r="T37">
        <f>HYPERLINK("https://klasma.github.io/Logging_1782/kartor/A 37427-2023 karta.png", "A 37427-2023")</f>
        <v/>
      </c>
      <c r="V37">
        <f>HYPERLINK("https://klasma.github.io/Logging_1782/klagomål/A 37427-2023 FSC-klagomål.docx", "A 37427-2023")</f>
        <v/>
      </c>
      <c r="W37">
        <f>HYPERLINK("https://klasma.github.io/Logging_1782/klagomålsmail/A 37427-2023 FSC-klagomål mail.docx", "A 37427-2023")</f>
        <v/>
      </c>
      <c r="X37">
        <f>HYPERLINK("https://klasma.github.io/Logging_1782/tillsyn/A 37427-2023 tillsynsbegäran.docx", "A 37427-2023")</f>
        <v/>
      </c>
      <c r="Y37">
        <f>HYPERLINK("https://klasma.github.io/Logging_1782/tillsynsmail/A 37427-2023 tillsynsbegäran mail.docx", "A 37427-2023")</f>
        <v/>
      </c>
    </row>
    <row r="38" ht="15" customHeight="1">
      <c r="A38" t="inlineStr">
        <is>
          <t>A 43333-2023</t>
        </is>
      </c>
      <c r="B38" s="1" t="n">
        <v>45183</v>
      </c>
      <c r="C38" s="1" t="n">
        <v>45842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19.4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HYPERLINK("https://klasma.github.io/Logging_1782/artfynd/A 43333-2023 artfynd.xlsx", "A 43333-2023")</f>
        <v/>
      </c>
      <c r="T38">
        <f>HYPERLINK("https://klasma.github.io/Logging_1782/kartor/A 43333-2023 karta.png", "A 43333-2023")</f>
        <v/>
      </c>
      <c r="V38">
        <f>HYPERLINK("https://klasma.github.io/Logging_1782/klagomål/A 43333-2023 FSC-klagomål.docx", "A 43333-2023")</f>
        <v/>
      </c>
      <c r="W38">
        <f>HYPERLINK("https://klasma.github.io/Logging_1782/klagomålsmail/A 43333-2023 FSC-klagomål mail.docx", "A 43333-2023")</f>
        <v/>
      </c>
      <c r="X38">
        <f>HYPERLINK("https://klasma.github.io/Logging_1782/tillsyn/A 43333-2023 tillsynsbegäran.docx", "A 43333-2023")</f>
        <v/>
      </c>
      <c r="Y38">
        <f>HYPERLINK("https://klasma.github.io/Logging_1782/tillsynsmail/A 43333-2023 tillsynsbegäran mail.docx", "A 43333-2023")</f>
        <v/>
      </c>
    </row>
    <row r="39" ht="15" customHeight="1">
      <c r="A39" t="inlineStr">
        <is>
          <t>A 61939-2023</t>
        </is>
      </c>
      <c r="B39" s="1" t="n">
        <v>45266</v>
      </c>
      <c r="C39" s="1" t="n">
        <v>45842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HYPERLINK("https://klasma.github.io/Logging_1782/artfynd/A 61939-2023 artfynd.xlsx", "A 61939-2023")</f>
        <v/>
      </c>
      <c r="T39">
        <f>HYPERLINK("https://klasma.github.io/Logging_1782/kartor/A 61939-2023 karta.png", "A 61939-2023")</f>
        <v/>
      </c>
      <c r="V39">
        <f>HYPERLINK("https://klasma.github.io/Logging_1782/klagomål/A 61939-2023 FSC-klagomål.docx", "A 61939-2023")</f>
        <v/>
      </c>
      <c r="W39">
        <f>HYPERLINK("https://klasma.github.io/Logging_1782/klagomålsmail/A 61939-2023 FSC-klagomål mail.docx", "A 61939-2023")</f>
        <v/>
      </c>
      <c r="X39">
        <f>HYPERLINK("https://klasma.github.io/Logging_1782/tillsyn/A 61939-2023 tillsynsbegäran.docx", "A 61939-2023")</f>
        <v/>
      </c>
      <c r="Y39">
        <f>HYPERLINK("https://klasma.github.io/Logging_1782/tillsynsmail/A 61939-2023 tillsynsbegäran mail.docx", "A 61939-2023")</f>
        <v/>
      </c>
    </row>
    <row r="40" ht="15" customHeight="1">
      <c r="A40" t="inlineStr">
        <is>
          <t>A 10812-2024</t>
        </is>
      </c>
      <c r="B40" s="1" t="n">
        <v>45369</v>
      </c>
      <c r="C40" s="1" t="n">
        <v>45842</v>
      </c>
      <c r="D40" t="inlineStr">
        <is>
          <t>VÄRMLANDS LÄN</t>
        </is>
      </c>
      <c r="E40" t="inlineStr">
        <is>
          <t>FILIPSTAD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HYPERLINK("https://klasma.github.io/Logging_1782/artfynd/A 10812-2024 artfynd.xlsx", "A 10812-2024")</f>
        <v/>
      </c>
      <c r="T40">
        <f>HYPERLINK("https://klasma.github.io/Logging_1782/kartor/A 10812-2024 karta.png", "A 10812-2024")</f>
        <v/>
      </c>
      <c r="V40">
        <f>HYPERLINK("https://klasma.github.io/Logging_1782/klagomål/A 10812-2024 FSC-klagomål.docx", "A 10812-2024")</f>
        <v/>
      </c>
      <c r="W40">
        <f>HYPERLINK("https://klasma.github.io/Logging_1782/klagomålsmail/A 10812-2024 FSC-klagomål mail.docx", "A 10812-2024")</f>
        <v/>
      </c>
      <c r="X40">
        <f>HYPERLINK("https://klasma.github.io/Logging_1782/tillsyn/A 10812-2024 tillsynsbegäran.docx", "A 10812-2024")</f>
        <v/>
      </c>
      <c r="Y40">
        <f>HYPERLINK("https://klasma.github.io/Logging_1782/tillsynsmail/A 10812-2024 tillsynsbegäran mail.docx", "A 10812-2024")</f>
        <v/>
      </c>
    </row>
    <row r="41" ht="15" customHeight="1">
      <c r="A41" t="inlineStr">
        <is>
          <t>A 11921-2024</t>
        </is>
      </c>
      <c r="B41" s="1" t="n">
        <v>45376</v>
      </c>
      <c r="C41" s="1" t="n">
        <v>45842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HYPERLINK("https://klasma.github.io/Logging_1782/artfynd/A 11921-2024 artfynd.xlsx", "A 11921-2024")</f>
        <v/>
      </c>
      <c r="T41">
        <f>HYPERLINK("https://klasma.github.io/Logging_1782/kartor/A 11921-2024 karta.png", "A 11921-2024")</f>
        <v/>
      </c>
      <c r="V41">
        <f>HYPERLINK("https://klasma.github.io/Logging_1782/klagomål/A 11921-2024 FSC-klagomål.docx", "A 11921-2024")</f>
        <v/>
      </c>
      <c r="W41">
        <f>HYPERLINK("https://klasma.github.io/Logging_1782/klagomålsmail/A 11921-2024 FSC-klagomål mail.docx", "A 11921-2024")</f>
        <v/>
      </c>
      <c r="X41">
        <f>HYPERLINK("https://klasma.github.io/Logging_1782/tillsyn/A 11921-2024 tillsynsbegäran.docx", "A 11921-2024")</f>
        <v/>
      </c>
      <c r="Y41">
        <f>HYPERLINK("https://klasma.github.io/Logging_1782/tillsynsmail/A 11921-2024 tillsynsbegäran mail.docx", "A 11921-2024")</f>
        <v/>
      </c>
    </row>
    <row r="42" ht="15" customHeight="1">
      <c r="A42" t="inlineStr">
        <is>
          <t>A 16317-2024</t>
        </is>
      </c>
      <c r="B42" s="1" t="n">
        <v>45407</v>
      </c>
      <c r="C42" s="1" t="n">
        <v>45842</v>
      </c>
      <c r="D42" t="inlineStr">
        <is>
          <t>VÄRMLANDS LÄN</t>
        </is>
      </c>
      <c r="E42" t="inlineStr">
        <is>
          <t>FILIPSTAD</t>
        </is>
      </c>
      <c r="G42" t="n">
        <v>6.8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Skuggblåslav</t>
        </is>
      </c>
      <c r="S42">
        <f>HYPERLINK("https://klasma.github.io/Logging_1782/artfynd/A 16317-2024 artfynd.xlsx", "A 16317-2024")</f>
        <v/>
      </c>
      <c r="T42">
        <f>HYPERLINK("https://klasma.github.io/Logging_1782/kartor/A 16317-2024 karta.png", "A 16317-2024")</f>
        <v/>
      </c>
      <c r="V42">
        <f>HYPERLINK("https://klasma.github.io/Logging_1782/klagomål/A 16317-2024 FSC-klagomål.docx", "A 16317-2024")</f>
        <v/>
      </c>
      <c r="W42">
        <f>HYPERLINK("https://klasma.github.io/Logging_1782/klagomålsmail/A 16317-2024 FSC-klagomål mail.docx", "A 16317-2024")</f>
        <v/>
      </c>
      <c r="X42">
        <f>HYPERLINK("https://klasma.github.io/Logging_1782/tillsyn/A 16317-2024 tillsynsbegäran.docx", "A 16317-2024")</f>
        <v/>
      </c>
      <c r="Y42">
        <f>HYPERLINK("https://klasma.github.io/Logging_1782/tillsynsmail/A 16317-2024 tillsynsbegäran mail.docx", "A 16317-2024")</f>
        <v/>
      </c>
    </row>
    <row r="43" ht="15" customHeight="1">
      <c r="A43" t="inlineStr">
        <is>
          <t>A 23377-2024</t>
        </is>
      </c>
      <c r="B43" s="1" t="n">
        <v>45453</v>
      </c>
      <c r="C43" s="1" t="n">
        <v>45842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Tallbit</t>
        </is>
      </c>
      <c r="S43">
        <f>HYPERLINK("https://klasma.github.io/Logging_1782/artfynd/A 23377-2024 artfynd.xlsx", "A 23377-2024")</f>
        <v/>
      </c>
      <c r="T43">
        <f>HYPERLINK("https://klasma.github.io/Logging_1782/kartor/A 23377-2024 karta.png", "A 23377-2024")</f>
        <v/>
      </c>
      <c r="V43">
        <f>HYPERLINK("https://klasma.github.io/Logging_1782/klagomål/A 23377-2024 FSC-klagomål.docx", "A 23377-2024")</f>
        <v/>
      </c>
      <c r="W43">
        <f>HYPERLINK("https://klasma.github.io/Logging_1782/klagomålsmail/A 23377-2024 FSC-klagomål mail.docx", "A 23377-2024")</f>
        <v/>
      </c>
      <c r="X43">
        <f>HYPERLINK("https://klasma.github.io/Logging_1782/tillsyn/A 23377-2024 tillsynsbegäran.docx", "A 23377-2024")</f>
        <v/>
      </c>
      <c r="Y43">
        <f>HYPERLINK("https://klasma.github.io/Logging_1782/tillsynsmail/A 23377-2024 tillsynsbegäran mail.docx", "A 23377-2024")</f>
        <v/>
      </c>
      <c r="Z43">
        <f>HYPERLINK("https://klasma.github.io/Logging_1782/fåglar/A 23377-2024 prioriterade fågelarter.docx", "A 23377-2024")</f>
        <v/>
      </c>
    </row>
    <row r="44" ht="15" customHeight="1">
      <c r="A44" t="inlineStr">
        <is>
          <t>A 874-2025</t>
        </is>
      </c>
      <c r="B44" s="1" t="n">
        <v>45665</v>
      </c>
      <c r="C44" s="1" t="n">
        <v>45842</v>
      </c>
      <c r="D44" t="inlineStr">
        <is>
          <t>VÄRMLANDS LÄN</t>
        </is>
      </c>
      <c r="E44" t="inlineStr">
        <is>
          <t>FILIPSTAD</t>
        </is>
      </c>
      <c r="F44" t="inlineStr">
        <is>
          <t>Kyrkan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HYPERLINK("https://klasma.github.io/Logging_1782/artfynd/A 874-2025 artfynd.xlsx", "A 874-2025")</f>
        <v/>
      </c>
      <c r="T44">
        <f>HYPERLINK("https://klasma.github.io/Logging_1782/kartor/A 874-2025 karta.png", "A 874-2025")</f>
        <v/>
      </c>
      <c r="V44">
        <f>HYPERLINK("https://klasma.github.io/Logging_1782/klagomål/A 874-2025 FSC-klagomål.docx", "A 874-2025")</f>
        <v/>
      </c>
      <c r="W44">
        <f>HYPERLINK("https://klasma.github.io/Logging_1782/klagomålsmail/A 874-2025 FSC-klagomål mail.docx", "A 874-2025")</f>
        <v/>
      </c>
      <c r="X44">
        <f>HYPERLINK("https://klasma.github.io/Logging_1782/tillsyn/A 874-2025 tillsynsbegäran.docx", "A 874-2025")</f>
        <v/>
      </c>
      <c r="Y44">
        <f>HYPERLINK("https://klasma.github.io/Logging_1782/tillsynsmail/A 874-2025 tillsynsbegäran mail.docx", "A 874-2025")</f>
        <v/>
      </c>
    </row>
    <row r="45" ht="15" customHeight="1">
      <c r="A45" t="inlineStr">
        <is>
          <t>A 25916-2025</t>
        </is>
      </c>
      <c r="B45" s="1" t="n">
        <v>45804</v>
      </c>
      <c r="C45" s="1" t="n">
        <v>45842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HYPERLINK("https://klasma.github.io/Logging_171782/artfynd/A 25916-2025 artfynd.xlsx", "A 25916-2025")</f>
        <v/>
      </c>
      <c r="T45">
        <f>HYPERLINK("https://klasma.github.io/Logging_171782/kartor/A 25916-2025 karta.png", "A 25916-2025")</f>
        <v/>
      </c>
      <c r="V45">
        <f>HYPERLINK("https://klasma.github.io/Logging_171782/klagomål/A 25916-2025 FSC-klagomål.docx", "A 25916-2025")</f>
        <v/>
      </c>
      <c r="W45">
        <f>HYPERLINK("https://klasma.github.io/Logging_171782/klagomålsmail/A 25916-2025 FSC-klagomål mail.docx", "A 25916-2025")</f>
        <v/>
      </c>
      <c r="X45">
        <f>HYPERLINK("https://klasma.github.io/Logging_171782/tillsyn/A 25916-2025 tillsynsbegäran.docx", "A 25916-2025")</f>
        <v/>
      </c>
      <c r="Y45">
        <f>HYPERLINK("https://klasma.github.io/Logging_171782/tillsynsmail/A 25916-2025 tillsynsbegäran mail.docx", "A 25916-2025")</f>
        <v/>
      </c>
    </row>
    <row r="46" ht="15" customHeight="1">
      <c r="A46" t="inlineStr">
        <is>
          <t>A 27421-2025</t>
        </is>
      </c>
      <c r="B46" s="1" t="n">
        <v>45812</v>
      </c>
      <c r="C46" s="1" t="n">
        <v>45842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HYPERLINK("https://klasma.github.io/Logging_171782/artfynd/A 27421-2025 artfynd.xlsx", "A 27421-2025")</f>
        <v/>
      </c>
      <c r="T46">
        <f>HYPERLINK("https://klasma.github.io/Logging_171782/kartor/A 27421-2025 karta.png", "A 27421-2025")</f>
        <v/>
      </c>
      <c r="V46">
        <f>HYPERLINK("https://klasma.github.io/Logging_171782/klagomål/A 27421-2025 FSC-klagomål.docx", "A 27421-2025")</f>
        <v/>
      </c>
      <c r="W46">
        <f>HYPERLINK("https://klasma.github.io/Logging_171782/klagomålsmail/A 27421-2025 FSC-klagomål mail.docx", "A 27421-2025")</f>
        <v/>
      </c>
      <c r="X46">
        <f>HYPERLINK("https://klasma.github.io/Logging_171782/tillsyn/A 27421-2025 tillsynsbegäran.docx", "A 27421-2025")</f>
        <v/>
      </c>
      <c r="Y46">
        <f>HYPERLINK("https://klasma.github.io/Logging_171782/tillsynsmail/A 27421-2025 tillsynsbegäran mail.docx", "A 27421-2025")</f>
        <v/>
      </c>
    </row>
    <row r="47" ht="15" customHeight="1">
      <c r="A47" t="inlineStr">
        <is>
          <t>A 19491-2019</t>
        </is>
      </c>
      <c r="B47" s="1" t="n">
        <v>43565</v>
      </c>
      <c r="C47" s="1" t="n">
        <v>45842</v>
      </c>
      <c r="D47" t="inlineStr">
        <is>
          <t>VÄRMLANDS LÄN</t>
        </is>
      </c>
      <c r="E47" t="inlineStr">
        <is>
          <t>FILIPSTAD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20047-2019</t>
        </is>
      </c>
      <c r="B48" s="1" t="n">
        <v>43570</v>
      </c>
      <c r="C48" s="1" t="n">
        <v>45842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20045-2019</t>
        </is>
      </c>
      <c r="B49" s="1" t="n">
        <v>43570</v>
      </c>
      <c r="C49" s="1" t="n">
        <v>45842</v>
      </c>
      <c r="D49" t="inlineStr">
        <is>
          <t>VÄRMLANDS LÄN</t>
        </is>
      </c>
      <c r="E49" t="inlineStr">
        <is>
          <t>FILIPSTAD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21222-2019</t>
        </is>
      </c>
      <c r="B50" s="1" t="n">
        <v>43579</v>
      </c>
      <c r="C50" s="1" t="n">
        <v>45842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23023-2019</t>
        </is>
      </c>
      <c r="B51" s="1" t="n">
        <v>43591</v>
      </c>
      <c r="C51" s="1" t="n">
        <v>45842</v>
      </c>
      <c r="D51" t="inlineStr">
        <is>
          <t>VÄRMLANDS LÄN</t>
        </is>
      </c>
      <c r="E51" t="inlineStr">
        <is>
          <t>FILIPSTAD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24902-2019</t>
        </is>
      </c>
      <c r="B52" s="1" t="n">
        <v>43602</v>
      </c>
      <c r="C52" s="1" t="n">
        <v>45842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25041-2019</t>
        </is>
      </c>
      <c r="B53" s="1" t="n">
        <v>43603</v>
      </c>
      <c r="C53" s="1" t="n">
        <v>45842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26274-2019</t>
        </is>
      </c>
      <c r="B54" s="1" t="n">
        <v>43611</v>
      </c>
      <c r="C54" s="1" t="n">
        <v>45842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26289-2019</t>
        </is>
      </c>
      <c r="B55" s="1" t="n">
        <v>43611</v>
      </c>
      <c r="C55" s="1" t="n">
        <v>45842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26280-2019</t>
        </is>
      </c>
      <c r="B56" s="1" t="n">
        <v>43611</v>
      </c>
      <c r="C56" s="1" t="n">
        <v>45842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26287-2019</t>
        </is>
      </c>
      <c r="B57" s="1" t="n">
        <v>43611</v>
      </c>
      <c r="C57" s="1" t="n">
        <v>45842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27199-2019</t>
        </is>
      </c>
      <c r="B58" s="1" t="n">
        <v>43614</v>
      </c>
      <c r="C58" s="1" t="n">
        <v>45842</v>
      </c>
      <c r="D58" t="inlineStr">
        <is>
          <t>VÄRMLANDS LÄN</t>
        </is>
      </c>
      <c r="E58" t="inlineStr">
        <is>
          <t>FILIPSTAD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27388-2019</t>
        </is>
      </c>
      <c r="B59" s="1" t="n">
        <v>43616</v>
      </c>
      <c r="C59" s="1" t="n">
        <v>45842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27430-2019</t>
        </is>
      </c>
      <c r="B60" s="1" t="n">
        <v>43617</v>
      </c>
      <c r="C60" s="1" t="n">
        <v>45842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30777-2019</t>
        </is>
      </c>
      <c r="B61" s="1" t="n">
        <v>43636</v>
      </c>
      <c r="C61" s="1" t="n">
        <v>45842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31121-2019</t>
        </is>
      </c>
      <c r="B62" s="1" t="n">
        <v>43640</v>
      </c>
      <c r="C62" s="1" t="n">
        <v>45842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31122-2019</t>
        </is>
      </c>
      <c r="B63" s="1" t="n">
        <v>43640</v>
      </c>
      <c r="C63" s="1" t="n">
        <v>45842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31120-2019</t>
        </is>
      </c>
      <c r="B64" s="1" t="n">
        <v>43640</v>
      </c>
      <c r="C64" s="1" t="n">
        <v>45842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31664-2019</t>
        </is>
      </c>
      <c r="B65" s="1" t="n">
        <v>43640</v>
      </c>
      <c r="C65" s="1" t="n">
        <v>45842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31650-2019</t>
        </is>
      </c>
      <c r="B66" s="1" t="n">
        <v>43640</v>
      </c>
      <c r="C66" s="1" t="n">
        <v>45842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32562-2019</t>
        </is>
      </c>
      <c r="B67" s="1" t="n">
        <v>43647</v>
      </c>
      <c r="C67" s="1" t="n">
        <v>45842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34513-2019</t>
        </is>
      </c>
      <c r="B68" s="1" t="n">
        <v>43657</v>
      </c>
      <c r="C68" s="1" t="n">
        <v>45842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35422-2019</t>
        </is>
      </c>
      <c r="B69" s="1" t="n">
        <v>43663</v>
      </c>
      <c r="C69" s="1" t="n">
        <v>45842</v>
      </c>
      <c r="D69" t="inlineStr">
        <is>
          <t>VÄRMLANDS LÄN</t>
        </is>
      </c>
      <c r="E69" t="inlineStr">
        <is>
          <t>FILIPSTAD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37216-2019</t>
        </is>
      </c>
      <c r="B70" s="1" t="n">
        <v>43677</v>
      </c>
      <c r="C70" s="1" t="n">
        <v>45842</v>
      </c>
      <c r="D70" t="inlineStr">
        <is>
          <t>VÄRMLANDS LÄN</t>
        </is>
      </c>
      <c r="E70" t="inlineStr">
        <is>
          <t>FILIPSTAD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37833-2019</t>
        </is>
      </c>
      <c r="B71" s="1" t="n">
        <v>43682</v>
      </c>
      <c r="C71" s="1" t="n">
        <v>45842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37867-2019</t>
        </is>
      </c>
      <c r="B72" s="1" t="n">
        <v>43682</v>
      </c>
      <c r="C72" s="1" t="n">
        <v>45842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37856-2019</t>
        </is>
      </c>
      <c r="B73" s="1" t="n">
        <v>43682</v>
      </c>
      <c r="C73" s="1" t="n">
        <v>45842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41821-2019</t>
        </is>
      </c>
      <c r="B74" s="1" t="n">
        <v>43700</v>
      </c>
      <c r="C74" s="1" t="n">
        <v>45842</v>
      </c>
      <c r="D74" t="inlineStr">
        <is>
          <t>VÄRMLANDS LÄN</t>
        </is>
      </c>
      <c r="E74" t="inlineStr">
        <is>
          <t>FILIPSTAD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42033-2019</t>
        </is>
      </c>
      <c r="B75" s="1" t="n">
        <v>43700</v>
      </c>
      <c r="C75" s="1" t="n">
        <v>45842</v>
      </c>
      <c r="D75" t="inlineStr">
        <is>
          <t>VÄRMLANDS LÄN</t>
        </is>
      </c>
      <c r="E75" t="inlineStr">
        <is>
          <t>FILIPSTAD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42131-2019</t>
        </is>
      </c>
      <c r="B76" s="1" t="n">
        <v>43703</v>
      </c>
      <c r="C76" s="1" t="n">
        <v>45842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42980-2019</t>
        </is>
      </c>
      <c r="B77" s="1" t="n">
        <v>43705</v>
      </c>
      <c r="C77" s="1" t="n">
        <v>45842</v>
      </c>
      <c r="D77" t="inlineStr">
        <is>
          <t>VÄRMLANDS LÄN</t>
        </is>
      </c>
      <c r="E77" t="inlineStr">
        <is>
          <t>FILIPSTAD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43291-2019</t>
        </is>
      </c>
      <c r="B78" s="1" t="n">
        <v>43706</v>
      </c>
      <c r="C78" s="1" t="n">
        <v>45842</v>
      </c>
      <c r="D78" t="inlineStr">
        <is>
          <t>VÄRMLANDS LÄN</t>
        </is>
      </c>
      <c r="E78" t="inlineStr">
        <is>
          <t>FILIPSTAD</t>
        </is>
      </c>
      <c r="G78" t="n">
        <v>15.5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44177-2019</t>
        </is>
      </c>
      <c r="B79" s="1" t="n">
        <v>43710</v>
      </c>
      <c r="C79" s="1" t="n">
        <v>45842</v>
      </c>
      <c r="D79" t="inlineStr">
        <is>
          <t>VÄRMLANDS LÄN</t>
        </is>
      </c>
      <c r="E79" t="inlineStr">
        <is>
          <t>FILIPSTAD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45704-2019</t>
        </is>
      </c>
      <c r="B80" s="1" t="n">
        <v>43717</v>
      </c>
      <c r="C80" s="1" t="n">
        <v>45842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46822-2019</t>
        </is>
      </c>
      <c r="B81" s="1" t="n">
        <v>43720</v>
      </c>
      <c r="C81" s="1" t="n">
        <v>45842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46904-2019</t>
        </is>
      </c>
      <c r="B82" s="1" t="n">
        <v>43720</v>
      </c>
      <c r="C82" s="1" t="n">
        <v>45842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48936-2019</t>
        </is>
      </c>
      <c r="B83" s="1" t="n">
        <v>43728</v>
      </c>
      <c r="C83" s="1" t="n">
        <v>45842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50933-2019</t>
        </is>
      </c>
      <c r="B84" s="1" t="n">
        <v>43738</v>
      </c>
      <c r="C84" s="1" t="n">
        <v>45842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50939-2019</t>
        </is>
      </c>
      <c r="B85" s="1" t="n">
        <v>43738</v>
      </c>
      <c r="C85" s="1" t="n">
        <v>45842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50840-2019</t>
        </is>
      </c>
      <c r="B86" s="1" t="n">
        <v>43738</v>
      </c>
      <c r="C86" s="1" t="n">
        <v>45842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51260-2019</t>
        </is>
      </c>
      <c r="B87" s="1" t="n">
        <v>43739</v>
      </c>
      <c r="C87" s="1" t="n">
        <v>45842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53932-2019</t>
        </is>
      </c>
      <c r="B88" s="1" t="n">
        <v>43742</v>
      </c>
      <c r="C88" s="1" t="n">
        <v>45842</v>
      </c>
      <c r="D88" t="inlineStr">
        <is>
          <t>VÄRMLANDS LÄN</t>
        </is>
      </c>
      <c r="E88" t="inlineStr">
        <is>
          <t>FILIPSTAD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54839-2019</t>
        </is>
      </c>
      <c r="B89" s="1" t="n">
        <v>43755</v>
      </c>
      <c r="C89" s="1" t="n">
        <v>45842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54778-2019</t>
        </is>
      </c>
      <c r="B90" s="1" t="n">
        <v>43755</v>
      </c>
      <c r="C90" s="1" t="n">
        <v>45842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54706-2019</t>
        </is>
      </c>
      <c r="B91" s="1" t="n">
        <v>43755</v>
      </c>
      <c r="C91" s="1" t="n">
        <v>45842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59883-2019</t>
        </is>
      </c>
      <c r="B92" s="1" t="n">
        <v>43777</v>
      </c>
      <c r="C92" s="1" t="n">
        <v>45842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64342-2019</t>
        </is>
      </c>
      <c r="B93" s="1" t="n">
        <v>43797</v>
      </c>
      <c r="C93" s="1" t="n">
        <v>45842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64343-2019</t>
        </is>
      </c>
      <c r="B94" s="1" t="n">
        <v>43797</v>
      </c>
      <c r="C94" s="1" t="n">
        <v>45842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64353-2019</t>
        </is>
      </c>
      <c r="B95" s="1" t="n">
        <v>43797</v>
      </c>
      <c r="C95" s="1" t="n">
        <v>45842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65089-2019</t>
        </is>
      </c>
      <c r="B96" s="1" t="n">
        <v>43802</v>
      </c>
      <c r="C96" s="1" t="n">
        <v>45842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65078-2019</t>
        </is>
      </c>
      <c r="B97" s="1" t="n">
        <v>43802</v>
      </c>
      <c r="C97" s="1" t="n">
        <v>45842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65235-2019</t>
        </is>
      </c>
      <c r="B98" s="1" t="n">
        <v>43802</v>
      </c>
      <c r="C98" s="1" t="n">
        <v>45842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65345-2019</t>
        </is>
      </c>
      <c r="B99" s="1" t="n">
        <v>43803</v>
      </c>
      <c r="C99" s="1" t="n">
        <v>45842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65366-2019</t>
        </is>
      </c>
      <c r="B100" s="1" t="n">
        <v>43803</v>
      </c>
      <c r="C100" s="1" t="n">
        <v>45842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66877-2019</t>
        </is>
      </c>
      <c r="B101" s="1" t="n">
        <v>43810</v>
      </c>
      <c r="C101" s="1" t="n">
        <v>45842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67904-2019</t>
        </is>
      </c>
      <c r="B102" s="1" t="n">
        <v>43816</v>
      </c>
      <c r="C102" s="1" t="n">
        <v>45842</v>
      </c>
      <c r="D102" t="inlineStr">
        <is>
          <t>VÄRMLANDS LÄN</t>
        </is>
      </c>
      <c r="E102" t="inlineStr">
        <is>
          <t>FILIPSTAD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68495-2019</t>
        </is>
      </c>
      <c r="B103" s="1" t="n">
        <v>43818</v>
      </c>
      <c r="C103" s="1" t="n">
        <v>45842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69138-2019</t>
        </is>
      </c>
      <c r="B104" s="1" t="n">
        <v>43829</v>
      </c>
      <c r="C104" s="1" t="n">
        <v>45842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69113-2019</t>
        </is>
      </c>
      <c r="B105" s="1" t="n">
        <v>43829</v>
      </c>
      <c r="C105" s="1" t="n">
        <v>45842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5196-2020</t>
        </is>
      </c>
      <c r="B106" s="1" t="n">
        <v>43860</v>
      </c>
      <c r="C106" s="1" t="n">
        <v>45842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5229-2020</t>
        </is>
      </c>
      <c r="B107" s="1" t="n">
        <v>43860</v>
      </c>
      <c r="C107" s="1" t="n">
        <v>45842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5280-2020</t>
        </is>
      </c>
      <c r="B108" s="1" t="n">
        <v>43860</v>
      </c>
      <c r="C108" s="1" t="n">
        <v>45842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49.8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6181-2020</t>
        </is>
      </c>
      <c r="B109" s="1" t="n">
        <v>43865</v>
      </c>
      <c r="C109" s="1" t="n">
        <v>45842</v>
      </c>
      <c r="D109" t="inlineStr">
        <is>
          <t>VÄRMLANDS LÄN</t>
        </is>
      </c>
      <c r="E109" t="inlineStr">
        <is>
          <t>FILIPSTAD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7656-2020</t>
        </is>
      </c>
      <c r="B110" s="1" t="n">
        <v>43872</v>
      </c>
      <c r="C110" s="1" t="n">
        <v>45842</v>
      </c>
      <c r="D110" t="inlineStr">
        <is>
          <t>VÄRMLANDS LÄN</t>
        </is>
      </c>
      <c r="E110" t="inlineStr">
        <is>
          <t>FILIPSTAD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7831-2020</t>
        </is>
      </c>
      <c r="B111" s="1" t="n">
        <v>43872</v>
      </c>
      <c r="C111" s="1" t="n">
        <v>45842</v>
      </c>
      <c r="D111" t="inlineStr">
        <is>
          <t>VÄRMLANDS LÄN</t>
        </is>
      </c>
      <c r="E111" t="inlineStr">
        <is>
          <t>FILIPSTAD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7859-2020</t>
        </is>
      </c>
      <c r="B112" s="1" t="n">
        <v>43872</v>
      </c>
      <c r="C112" s="1" t="n">
        <v>45842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7828-2020</t>
        </is>
      </c>
      <c r="B113" s="1" t="n">
        <v>43872</v>
      </c>
      <c r="C113" s="1" t="n">
        <v>45842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9117-2020</t>
        </is>
      </c>
      <c r="B114" s="1" t="n">
        <v>43879</v>
      </c>
      <c r="C114" s="1" t="n">
        <v>45842</v>
      </c>
      <c r="D114" t="inlineStr">
        <is>
          <t>VÄRMLANDS LÄN</t>
        </is>
      </c>
      <c r="E114" t="inlineStr">
        <is>
          <t>FILIPSTAD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9395-2020</t>
        </is>
      </c>
      <c r="B115" s="1" t="n">
        <v>43880</v>
      </c>
      <c r="C115" s="1" t="n">
        <v>45842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9931-2020</t>
        </is>
      </c>
      <c r="B116" s="1" t="n">
        <v>43882</v>
      </c>
      <c r="C116" s="1" t="n">
        <v>45842</v>
      </c>
      <c r="D116" t="inlineStr">
        <is>
          <t>VÄRMLANDS LÄN</t>
        </is>
      </c>
      <c r="E116" t="inlineStr">
        <is>
          <t>FILIPSTAD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9939-2020</t>
        </is>
      </c>
      <c r="B117" s="1" t="n">
        <v>43882</v>
      </c>
      <c r="C117" s="1" t="n">
        <v>45842</v>
      </c>
      <c r="D117" t="inlineStr">
        <is>
          <t>VÄRMLANDS LÄN</t>
        </is>
      </c>
      <c r="E117" t="inlineStr">
        <is>
          <t>FILIPSTAD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10721-2020</t>
        </is>
      </c>
      <c r="B118" s="1" t="n">
        <v>43885</v>
      </c>
      <c r="C118" s="1" t="n">
        <v>45842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11219-2020</t>
        </is>
      </c>
      <c r="B119" s="1" t="n">
        <v>43886</v>
      </c>
      <c r="C119" s="1" t="n">
        <v>45842</v>
      </c>
      <c r="D119" t="inlineStr">
        <is>
          <t>VÄRMLANDS LÄN</t>
        </is>
      </c>
      <c r="E119" t="inlineStr">
        <is>
          <t>FILIPSTAD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10464-2020</t>
        </is>
      </c>
      <c r="B120" s="1" t="n">
        <v>43886</v>
      </c>
      <c r="C120" s="1" t="n">
        <v>45842</v>
      </c>
      <c r="D120" t="inlineStr">
        <is>
          <t>VÄRMLANDS LÄN</t>
        </is>
      </c>
      <c r="E120" t="inlineStr">
        <is>
          <t>FILIPSTAD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10497-2020</t>
        </is>
      </c>
      <c r="B121" s="1" t="n">
        <v>43886</v>
      </c>
      <c r="C121" s="1" t="n">
        <v>45842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10319-2020</t>
        </is>
      </c>
      <c r="B122" s="1" t="n">
        <v>43887</v>
      </c>
      <c r="C122" s="1" t="n">
        <v>45842</v>
      </c>
      <c r="D122" t="inlineStr">
        <is>
          <t>VÄRMLANDS LÄN</t>
        </is>
      </c>
      <c r="E122" t="inlineStr">
        <is>
          <t>FILIPSTAD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10560-2020</t>
        </is>
      </c>
      <c r="B123" s="1" t="n">
        <v>43887</v>
      </c>
      <c r="C123" s="1" t="n">
        <v>45842</v>
      </c>
      <c r="D123" t="inlineStr">
        <is>
          <t>VÄRMLANDS LÄN</t>
        </is>
      </c>
      <c r="E123" t="inlineStr">
        <is>
          <t>FILIPSTAD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11944-2020</t>
        </is>
      </c>
      <c r="B124" s="1" t="n">
        <v>43889</v>
      </c>
      <c r="C124" s="1" t="n">
        <v>45842</v>
      </c>
      <c r="D124" t="inlineStr">
        <is>
          <t>VÄRMLANDS LÄN</t>
        </is>
      </c>
      <c r="E124" t="inlineStr">
        <is>
          <t>FILIPSTAD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11160-2020</t>
        </is>
      </c>
      <c r="B125" s="1" t="n">
        <v>43891</v>
      </c>
      <c r="C125" s="1" t="n">
        <v>45842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12372-2020</t>
        </is>
      </c>
      <c r="B126" s="1" t="n">
        <v>43896</v>
      </c>
      <c r="C126" s="1" t="n">
        <v>45842</v>
      </c>
      <c r="D126" t="inlineStr">
        <is>
          <t>VÄRMLANDS LÄN</t>
        </is>
      </c>
      <c r="E126" t="inlineStr">
        <is>
          <t>FILIPSTAD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13740-2020</t>
        </is>
      </c>
      <c r="B127" s="1" t="n">
        <v>43903</v>
      </c>
      <c r="C127" s="1" t="n">
        <v>45842</v>
      </c>
      <c r="D127" t="inlineStr">
        <is>
          <t>VÄRMLANDS LÄN</t>
        </is>
      </c>
      <c r="E127" t="inlineStr">
        <is>
          <t>FILIPSTAD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16322-2020</t>
        </is>
      </c>
      <c r="B128" s="1" t="n">
        <v>43907</v>
      </c>
      <c r="C128" s="1" t="n">
        <v>45842</v>
      </c>
      <c r="D128" t="inlineStr">
        <is>
          <t>VÄRMLANDS LÄN</t>
        </is>
      </c>
      <c r="E128" t="inlineStr">
        <is>
          <t>FILIPSTAD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16305-2020</t>
        </is>
      </c>
      <c r="B129" s="1" t="n">
        <v>43907</v>
      </c>
      <c r="C129" s="1" t="n">
        <v>45842</v>
      </c>
      <c r="D129" t="inlineStr">
        <is>
          <t>VÄRMLANDS LÄN</t>
        </is>
      </c>
      <c r="E129" t="inlineStr">
        <is>
          <t>FILIPSTAD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14501-2020</t>
        </is>
      </c>
      <c r="B130" s="1" t="n">
        <v>43908</v>
      </c>
      <c r="C130" s="1" t="n">
        <v>45842</v>
      </c>
      <c r="D130" t="inlineStr">
        <is>
          <t>VÄRMLANDS LÄN</t>
        </is>
      </c>
      <c r="E130" t="inlineStr">
        <is>
          <t>FILIPSTAD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15598-2020</t>
        </is>
      </c>
      <c r="B131" s="1" t="n">
        <v>43914</v>
      </c>
      <c r="C131" s="1" t="n">
        <v>45842</v>
      </c>
      <c r="D131" t="inlineStr">
        <is>
          <t>VÄRMLANDS LÄN</t>
        </is>
      </c>
      <c r="E131" t="inlineStr">
        <is>
          <t>FILIPSTAD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15702-2020</t>
        </is>
      </c>
      <c r="B132" s="1" t="n">
        <v>43915</v>
      </c>
      <c r="C132" s="1" t="n">
        <v>45842</v>
      </c>
      <c r="D132" t="inlineStr">
        <is>
          <t>VÄRMLANDS LÄN</t>
        </is>
      </c>
      <c r="E132" t="inlineStr">
        <is>
          <t>FILIPSTAD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17892-2020</t>
        </is>
      </c>
      <c r="B133" s="1" t="n">
        <v>43924</v>
      </c>
      <c r="C133" s="1" t="n">
        <v>45842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17879-2020</t>
        </is>
      </c>
      <c r="B134" s="1" t="n">
        <v>43924</v>
      </c>
      <c r="C134" s="1" t="n">
        <v>45842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18707-2020</t>
        </is>
      </c>
      <c r="B135" s="1" t="n">
        <v>43930</v>
      </c>
      <c r="C135" s="1" t="n">
        <v>45842</v>
      </c>
      <c r="D135" t="inlineStr">
        <is>
          <t>VÄRMLANDS LÄN</t>
        </is>
      </c>
      <c r="E135" t="inlineStr">
        <is>
          <t>FILIPSTAD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18804-2020</t>
        </is>
      </c>
      <c r="B136" s="1" t="n">
        <v>43933</v>
      </c>
      <c r="C136" s="1" t="n">
        <v>45842</v>
      </c>
      <c r="D136" t="inlineStr">
        <is>
          <t>VÄRMLANDS LÄN</t>
        </is>
      </c>
      <c r="E136" t="inlineStr">
        <is>
          <t>FILIPSTAD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19282-2020</t>
        </is>
      </c>
      <c r="B137" s="1" t="n">
        <v>43937</v>
      </c>
      <c r="C137" s="1" t="n">
        <v>45842</v>
      </c>
      <c r="D137" t="inlineStr">
        <is>
          <t>VÄRMLANDS LÄN</t>
        </is>
      </c>
      <c r="E137" t="inlineStr">
        <is>
          <t>FILIPSTAD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20706-2020</t>
        </is>
      </c>
      <c r="B138" s="1" t="n">
        <v>43949</v>
      </c>
      <c r="C138" s="1" t="n">
        <v>45842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20735-2020</t>
        </is>
      </c>
      <c r="B139" s="1" t="n">
        <v>43949</v>
      </c>
      <c r="C139" s="1" t="n">
        <v>45842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20671-2020</t>
        </is>
      </c>
      <c r="B140" s="1" t="n">
        <v>43949</v>
      </c>
      <c r="C140" s="1" t="n">
        <v>45842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20744-2020</t>
        </is>
      </c>
      <c r="B141" s="1" t="n">
        <v>43949</v>
      </c>
      <c r="C141" s="1" t="n">
        <v>45842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20753-2020</t>
        </is>
      </c>
      <c r="B142" s="1" t="n">
        <v>43949</v>
      </c>
      <c r="C142" s="1" t="n">
        <v>45842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20670-2020</t>
        </is>
      </c>
      <c r="B143" s="1" t="n">
        <v>43949</v>
      </c>
      <c r="C143" s="1" t="n">
        <v>45842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20702-2020</t>
        </is>
      </c>
      <c r="B144" s="1" t="n">
        <v>43949</v>
      </c>
      <c r="C144" s="1" t="n">
        <v>45842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20709-2020</t>
        </is>
      </c>
      <c r="B145" s="1" t="n">
        <v>43949</v>
      </c>
      <c r="C145" s="1" t="n">
        <v>45842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20726-2020</t>
        </is>
      </c>
      <c r="B146" s="1" t="n">
        <v>43949</v>
      </c>
      <c r="C146" s="1" t="n">
        <v>45842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20751-2020</t>
        </is>
      </c>
      <c r="B147" s="1" t="n">
        <v>43949</v>
      </c>
      <c r="C147" s="1" t="n">
        <v>45842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20741-2020</t>
        </is>
      </c>
      <c r="B148" s="1" t="n">
        <v>43949</v>
      </c>
      <c r="C148" s="1" t="n">
        <v>45842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20729-2020</t>
        </is>
      </c>
      <c r="B149" s="1" t="n">
        <v>43949</v>
      </c>
      <c r="C149" s="1" t="n">
        <v>45842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22086-2020</t>
        </is>
      </c>
      <c r="B150" s="1" t="n">
        <v>43959</v>
      </c>
      <c r="C150" s="1" t="n">
        <v>45842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22125-2020</t>
        </is>
      </c>
      <c r="B151" s="1" t="n">
        <v>43960</v>
      </c>
      <c r="C151" s="1" t="n">
        <v>45842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22600-2020</t>
        </is>
      </c>
      <c r="B152" s="1" t="n">
        <v>43963</v>
      </c>
      <c r="C152" s="1" t="n">
        <v>45842</v>
      </c>
      <c r="D152" t="inlineStr">
        <is>
          <t>VÄRMLANDS LÄN</t>
        </is>
      </c>
      <c r="E152" t="inlineStr">
        <is>
          <t>FILIPSTAD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22871-2020</t>
        </is>
      </c>
      <c r="B153" s="1" t="n">
        <v>43964</v>
      </c>
      <c r="C153" s="1" t="n">
        <v>45842</v>
      </c>
      <c r="D153" t="inlineStr">
        <is>
          <t>VÄRMLANDS LÄN</t>
        </is>
      </c>
      <c r="E153" t="inlineStr">
        <is>
          <t>FILIPSTAD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22869-2020</t>
        </is>
      </c>
      <c r="B154" s="1" t="n">
        <v>43964</v>
      </c>
      <c r="C154" s="1" t="n">
        <v>45842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23293-2020</t>
        </is>
      </c>
      <c r="B155" s="1" t="n">
        <v>43966</v>
      </c>
      <c r="C155" s="1" t="n">
        <v>45842</v>
      </c>
      <c r="D155" t="inlineStr">
        <is>
          <t>VÄRMLANDS LÄN</t>
        </is>
      </c>
      <c r="E155" t="inlineStr">
        <is>
          <t>FILIPSTAD</t>
        </is>
      </c>
      <c r="G155" t="n">
        <v>13.1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25528-2020</t>
        </is>
      </c>
      <c r="B156" s="1" t="n">
        <v>43983</v>
      </c>
      <c r="C156" s="1" t="n">
        <v>45842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25971-2020</t>
        </is>
      </c>
      <c r="B157" s="1" t="n">
        <v>43985</v>
      </c>
      <c r="C157" s="1" t="n">
        <v>45842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26440-2020</t>
        </is>
      </c>
      <c r="B158" s="1" t="n">
        <v>43987</v>
      </c>
      <c r="C158" s="1" t="n">
        <v>45842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26545-2020</t>
        </is>
      </c>
      <c r="B159" s="1" t="n">
        <v>43987</v>
      </c>
      <c r="C159" s="1" t="n">
        <v>45842</v>
      </c>
      <c r="D159" t="inlineStr">
        <is>
          <t>VÄRMLANDS LÄN</t>
        </is>
      </c>
      <c r="E159" t="inlineStr">
        <is>
          <t>FILIPSTAD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26517-2020</t>
        </is>
      </c>
      <c r="B160" s="1" t="n">
        <v>43987</v>
      </c>
      <c r="C160" s="1" t="n">
        <v>45842</v>
      </c>
      <c r="D160" t="inlineStr">
        <is>
          <t>VÄRMLANDS LÄN</t>
        </is>
      </c>
      <c r="E160" t="inlineStr">
        <is>
          <t>FILIPSTAD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28301-2020</t>
        </is>
      </c>
      <c r="B161" s="1" t="n">
        <v>43998</v>
      </c>
      <c r="C161" s="1" t="n">
        <v>45842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28522-2020</t>
        </is>
      </c>
      <c r="B162" s="1" t="n">
        <v>43999</v>
      </c>
      <c r="C162" s="1" t="n">
        <v>45842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30017-2020</t>
        </is>
      </c>
      <c r="B163" s="1" t="n">
        <v>44006</v>
      </c>
      <c r="C163" s="1" t="n">
        <v>45842</v>
      </c>
      <c r="D163" t="inlineStr">
        <is>
          <t>VÄRMLANDS LÄN</t>
        </is>
      </c>
      <c r="E163" t="inlineStr">
        <is>
          <t>FILIPSTAD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30028-2020</t>
        </is>
      </c>
      <c r="B164" s="1" t="n">
        <v>44006</v>
      </c>
      <c r="C164" s="1" t="n">
        <v>45842</v>
      </c>
      <c r="D164" t="inlineStr">
        <is>
          <t>VÄRMLANDS LÄN</t>
        </is>
      </c>
      <c r="E164" t="inlineStr">
        <is>
          <t>FILIPSTAD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30085-2020</t>
        </is>
      </c>
      <c r="B165" s="1" t="n">
        <v>44006</v>
      </c>
      <c r="C165" s="1" t="n">
        <v>45842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30007-2020</t>
        </is>
      </c>
      <c r="B166" s="1" t="n">
        <v>44006</v>
      </c>
      <c r="C166" s="1" t="n">
        <v>45842</v>
      </c>
      <c r="D166" t="inlineStr">
        <is>
          <t>VÄRMLANDS LÄN</t>
        </is>
      </c>
      <c r="E166" t="inlineStr">
        <is>
          <t>FILIPSTAD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30768-2020</t>
        </is>
      </c>
      <c r="B167" s="1" t="n">
        <v>44008</v>
      </c>
      <c r="C167" s="1" t="n">
        <v>45842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30767-2020</t>
        </is>
      </c>
      <c r="B168" s="1" t="n">
        <v>44008</v>
      </c>
      <c r="C168" s="1" t="n">
        <v>45842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33872-2020</t>
        </is>
      </c>
      <c r="B169" s="1" t="n">
        <v>44027</v>
      </c>
      <c r="C169" s="1" t="n">
        <v>45842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34105-2020</t>
        </is>
      </c>
      <c r="B170" s="1" t="n">
        <v>44028</v>
      </c>
      <c r="C170" s="1" t="n">
        <v>45842</v>
      </c>
      <c r="D170" t="inlineStr">
        <is>
          <t>VÄRMLANDS LÄN</t>
        </is>
      </c>
      <c r="E170" t="inlineStr">
        <is>
          <t>FILIPSTAD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33969-2020</t>
        </is>
      </c>
      <c r="B171" s="1" t="n">
        <v>44028</v>
      </c>
      <c r="C171" s="1" t="n">
        <v>45842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34461-2020</t>
        </is>
      </c>
      <c r="B172" s="1" t="n">
        <v>44032</v>
      </c>
      <c r="C172" s="1" t="n">
        <v>45842</v>
      </c>
      <c r="D172" t="inlineStr">
        <is>
          <t>VÄRMLANDS LÄN</t>
        </is>
      </c>
      <c r="E172" t="inlineStr">
        <is>
          <t>FILIPSTAD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35194-2020</t>
        </is>
      </c>
      <c r="B173" s="1" t="n">
        <v>44040</v>
      </c>
      <c r="C173" s="1" t="n">
        <v>45842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36126-2020</t>
        </is>
      </c>
      <c r="B174" s="1" t="n">
        <v>44048</v>
      </c>
      <c r="C174" s="1" t="n">
        <v>45842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36090-2020</t>
        </is>
      </c>
      <c r="B175" s="1" t="n">
        <v>44048</v>
      </c>
      <c r="C175" s="1" t="n">
        <v>45842</v>
      </c>
      <c r="D175" t="inlineStr">
        <is>
          <t>VÄRMLANDS LÄN</t>
        </is>
      </c>
      <c r="E175" t="inlineStr">
        <is>
          <t>FILIPSTAD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37465-2020</t>
        </is>
      </c>
      <c r="B176" s="1" t="n">
        <v>44055</v>
      </c>
      <c r="C176" s="1" t="n">
        <v>45842</v>
      </c>
      <c r="D176" t="inlineStr">
        <is>
          <t>VÄRMLANDS LÄN</t>
        </is>
      </c>
      <c r="E176" t="inlineStr">
        <is>
          <t>FILIPSTAD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37458-2020</t>
        </is>
      </c>
      <c r="B177" s="1" t="n">
        <v>44055</v>
      </c>
      <c r="C177" s="1" t="n">
        <v>45842</v>
      </c>
      <c r="D177" t="inlineStr">
        <is>
          <t>VÄRMLANDS LÄN</t>
        </is>
      </c>
      <c r="E177" t="inlineStr">
        <is>
          <t>FILIPSTAD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37880-2020</t>
        </is>
      </c>
      <c r="B178" s="1" t="n">
        <v>44057</v>
      </c>
      <c r="C178" s="1" t="n">
        <v>45842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39813-2020</t>
        </is>
      </c>
      <c r="B179" s="1" t="n">
        <v>44067</v>
      </c>
      <c r="C179" s="1" t="n">
        <v>45842</v>
      </c>
      <c r="D179" t="inlineStr">
        <is>
          <t>VÄRMLANDS LÄN</t>
        </is>
      </c>
      <c r="E179" t="inlineStr">
        <is>
          <t>FILIPSTAD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40873-2020</t>
        </is>
      </c>
      <c r="B180" s="1" t="n">
        <v>44070</v>
      </c>
      <c r="C180" s="1" t="n">
        <v>45842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40829-2020</t>
        </is>
      </c>
      <c r="B181" s="1" t="n">
        <v>44070</v>
      </c>
      <c r="C181" s="1" t="n">
        <v>45842</v>
      </c>
      <c r="D181" t="inlineStr">
        <is>
          <t>VÄRMLANDS LÄN</t>
        </is>
      </c>
      <c r="E181" t="inlineStr">
        <is>
          <t>FILIPSTAD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42584-2020</t>
        </is>
      </c>
      <c r="B182" s="1" t="n">
        <v>44077</v>
      </c>
      <c r="C182" s="1" t="n">
        <v>45842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42597-2020</t>
        </is>
      </c>
      <c r="B183" s="1" t="n">
        <v>44077</v>
      </c>
      <c r="C183" s="1" t="n">
        <v>45842</v>
      </c>
      <c r="D183" t="inlineStr">
        <is>
          <t>VÄRMLANDS LÄN</t>
        </is>
      </c>
      <c r="E183" t="inlineStr">
        <is>
          <t>FILIPSTAD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43613-2020</t>
        </is>
      </c>
      <c r="B184" s="1" t="n">
        <v>44082</v>
      </c>
      <c r="C184" s="1" t="n">
        <v>45842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43671-2020</t>
        </is>
      </c>
      <c r="B185" s="1" t="n">
        <v>44082</v>
      </c>
      <c r="C185" s="1" t="n">
        <v>45842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46113-2020</t>
        </is>
      </c>
      <c r="B186" s="1" t="n">
        <v>44091</v>
      </c>
      <c r="C186" s="1" t="n">
        <v>45842</v>
      </c>
      <c r="D186" t="inlineStr">
        <is>
          <t>VÄRMLANDS LÄN</t>
        </is>
      </c>
      <c r="E186" t="inlineStr">
        <is>
          <t>FILIPSTAD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47434-2020</t>
        </is>
      </c>
      <c r="B187" s="1" t="n">
        <v>44097</v>
      </c>
      <c r="C187" s="1" t="n">
        <v>45842</v>
      </c>
      <c r="D187" t="inlineStr">
        <is>
          <t>VÄRMLANDS LÄN</t>
        </is>
      </c>
      <c r="E187" t="inlineStr">
        <is>
          <t>FILIPSTAD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47540-2020</t>
        </is>
      </c>
      <c r="B188" s="1" t="n">
        <v>44098</v>
      </c>
      <c r="C188" s="1" t="n">
        <v>45842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47674-2020</t>
        </is>
      </c>
      <c r="B189" s="1" t="n">
        <v>44098</v>
      </c>
      <c r="C189" s="1" t="n">
        <v>45842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50210-2020</t>
        </is>
      </c>
      <c r="B190" s="1" t="n">
        <v>44109</v>
      </c>
      <c r="C190" s="1" t="n">
        <v>45842</v>
      </c>
      <c r="D190" t="inlineStr">
        <is>
          <t>VÄRMLANDS LÄN</t>
        </is>
      </c>
      <c r="E190" t="inlineStr">
        <is>
          <t>FILIPSTAD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51254-2020</t>
        </is>
      </c>
      <c r="B191" s="1" t="n">
        <v>44112</v>
      </c>
      <c r="C191" s="1" t="n">
        <v>45842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51300-2020</t>
        </is>
      </c>
      <c r="B192" s="1" t="n">
        <v>44112</v>
      </c>
      <c r="C192" s="1" t="n">
        <v>45842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51742-2020</t>
        </is>
      </c>
      <c r="B193" s="1" t="n">
        <v>44114</v>
      </c>
      <c r="C193" s="1" t="n">
        <v>45842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51743-2020</t>
        </is>
      </c>
      <c r="B194" s="1" t="n">
        <v>44114</v>
      </c>
      <c r="C194" s="1" t="n">
        <v>45842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53417-2020</t>
        </is>
      </c>
      <c r="B195" s="1" t="n">
        <v>44123</v>
      </c>
      <c r="C195" s="1" t="n">
        <v>45842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53786-2020</t>
        </is>
      </c>
      <c r="B196" s="1" t="n">
        <v>44124</v>
      </c>
      <c r="C196" s="1" t="n">
        <v>45842</v>
      </c>
      <c r="D196" t="inlineStr">
        <is>
          <t>VÄRMLANDS LÄN</t>
        </is>
      </c>
      <c r="E196" t="inlineStr">
        <is>
          <t>FILIPSTAD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54162-2020</t>
        </is>
      </c>
      <c r="B197" s="1" t="n">
        <v>44125</v>
      </c>
      <c r="C197" s="1" t="n">
        <v>45842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54623-2020</t>
        </is>
      </c>
      <c r="B198" s="1" t="n">
        <v>44127</v>
      </c>
      <c r="C198" s="1" t="n">
        <v>45842</v>
      </c>
      <c r="D198" t="inlineStr">
        <is>
          <t>VÄRMLANDS LÄN</t>
        </is>
      </c>
      <c r="E198" t="inlineStr">
        <is>
          <t>FILIPSTAD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55806-2020</t>
        </is>
      </c>
      <c r="B199" s="1" t="n">
        <v>44132</v>
      </c>
      <c r="C199" s="1" t="n">
        <v>45842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55802-2020</t>
        </is>
      </c>
      <c r="B200" s="1" t="n">
        <v>44132</v>
      </c>
      <c r="C200" s="1" t="n">
        <v>45842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55923-2020</t>
        </is>
      </c>
      <c r="B201" s="1" t="n">
        <v>44132</v>
      </c>
      <c r="C201" s="1" t="n">
        <v>45842</v>
      </c>
      <c r="D201" t="inlineStr">
        <is>
          <t>VÄRMLANDS LÄN</t>
        </is>
      </c>
      <c r="E201" t="inlineStr">
        <is>
          <t>FILIPSTAD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56279-2020</t>
        </is>
      </c>
      <c r="B202" s="1" t="n">
        <v>44134</v>
      </c>
      <c r="C202" s="1" t="n">
        <v>45842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56406-2020</t>
        </is>
      </c>
      <c r="B203" s="1" t="n">
        <v>44137</v>
      </c>
      <c r="C203" s="1" t="n">
        <v>45842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45842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45842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45842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45842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45842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45842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45842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45842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45842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45842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45842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45842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45842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45842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45842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45842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45842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45842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45842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45842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45842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45842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45842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45842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45842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45842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45842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45842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45842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45842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45842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45842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45842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45842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45842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45842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45842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45842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45842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45842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45842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45842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45842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45842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45842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45842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45842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45842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45842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45842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45842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45842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45842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45842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45842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45842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45842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45842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45842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45842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45842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45842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45842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45842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45842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45842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45842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45842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45842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45842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45842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45842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45842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45842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45842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45842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45842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45842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45842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45842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45842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45842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45842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45842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45842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45842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45842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45842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45842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45842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45842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45842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45842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45842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45842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45842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45842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45842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45842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45842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45842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45842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45842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45842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45842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45842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45842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45842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45842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45842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45842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45842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45842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45842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45842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45842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45842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45842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45842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45842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45842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45842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45842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45842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45842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45842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45842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45842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45842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45842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45842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45842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45842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45842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45842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45842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45842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45842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45842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45842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45842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45842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45842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45842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45842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45842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45842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45842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45842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45842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45842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45842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45842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45842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45842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45842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45842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45842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45842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45842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45842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45842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45842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45842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45842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45842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45842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45842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45842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45842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45842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45842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45842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45842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45842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45842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45842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45842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45842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45842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45842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45842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45842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45842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45842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45842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45842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45842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45842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45842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45842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45842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45842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45842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45842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45842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45842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45842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45842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45842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45842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45842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45842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45842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45842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45842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45842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45842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45842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45842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45842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45842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45842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45842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45842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45842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45842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45842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45842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45842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45842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45842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45842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45842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45842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45842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45842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45842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45842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45842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45842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45842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45842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45842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45842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45842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45842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45842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45842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45842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45842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45842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45842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45842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45842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45842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45842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45842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45842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45842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45842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45842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45842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45842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45842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45842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45842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45842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45842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45842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45842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45842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45842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45842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45842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45842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45842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45842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45842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45842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45842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45842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45842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45842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45842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45842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45842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45842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45842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45842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45842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45842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45842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45842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45842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45842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45842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45842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45842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45842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45842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45842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45842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45842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45842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45842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45842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45842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45842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45842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45842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45842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45842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45842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45842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45842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45842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45842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45842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45842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45842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45842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45842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45842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45842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45842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45842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45842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45842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45842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45842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45842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45842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45842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45842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45842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45842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45842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45842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45842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45842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45842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45842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45842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45842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45842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45842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45842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45842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45842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45842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45842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45842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45842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45842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45842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45842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45842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45842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45842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45842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45842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45842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45842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45842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45842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45842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45842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45842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45842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45842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45842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45842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45842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45842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45842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45842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45842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45842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45842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45842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45842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45842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45842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45842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45842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45842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45842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45842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45842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45842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45842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45842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45842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45842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45842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45842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45842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45842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45842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45842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45842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45842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45842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45842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45842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45842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45842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45842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45842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45842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45842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45842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45842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45842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45842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45842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45842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45842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45842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45842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45842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45842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45842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45842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45842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45842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45842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45842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45842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45842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45842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45842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45842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45842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45842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45842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45842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45842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45842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45842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45842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45842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45842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45842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45842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45842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45842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45842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45842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45842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45842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45842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45842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45842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45842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45842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45842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45842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45842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45842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45842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45842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45842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45842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45842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45842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45842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45842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45842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45842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45842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45842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45842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45842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45842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45842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45842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45842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45842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45842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45842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45842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45842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45842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45842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45842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45842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45842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45842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45842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45842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45842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45842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45842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45842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45842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45842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45842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45842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45842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45842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45842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45842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45842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45842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45842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45842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45842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45842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45842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45842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45842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45842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45842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45842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45842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45842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45842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45842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45842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45842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45842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45842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45842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45842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45842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45842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45842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45842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45842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45842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45842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45842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45842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45842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45842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45842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45842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45842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45842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45842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45842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45842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45842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45842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45842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45842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45842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45842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45842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45842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45842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45842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45842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45842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45842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45842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45842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45842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45842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45842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45842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45842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45842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45842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45842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45842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45842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45842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45842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45842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45842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45842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45842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45842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45842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45842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45842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45842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45842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45842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45842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45842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45842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45842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45842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45842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45842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45842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45842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45842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45842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45842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45842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45842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45842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45842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45842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45842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45842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45842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45842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45842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45842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45842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45842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45842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45842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45842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45842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45842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45842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45842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45842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45842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45842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45842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45842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45842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45842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45842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45842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45842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45842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45842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45842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45842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45842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45842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45842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45842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45842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45842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45842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45842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45842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45842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45842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45842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45842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45842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45842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45842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45842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45842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45842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45842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45842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45842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45842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45842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45842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45842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45842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45842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45842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45842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45842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45842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45842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45842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45842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45842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45842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45842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45842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45842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45842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45842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45842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45842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45842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45842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45842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45842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45842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45842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45842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45842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45842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45842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45842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45842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45842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45842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45842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45842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45842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45842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45842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45842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45842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45842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45842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45842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45842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45842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45842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45842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45842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45842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45842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45842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45842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45842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45842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45842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45842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45842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45842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45842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45842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45842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45842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45842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45842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45842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45842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45842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45842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45842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45842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45842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45842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45842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45842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45842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45842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45842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45842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45842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45842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45842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45842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45842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45842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45842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45842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45842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45842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45842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45842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45842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45842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45842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45842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45842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45842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45842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45842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45842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45842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45842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45842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45842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45842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45842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45842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45842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45842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45842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45842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45842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45842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45842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45842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45842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45842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45842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45842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45842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45842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45842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45842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45842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45842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45842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45842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45842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45842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45842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45842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45842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45842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45842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45842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45842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45842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45842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45842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45842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45842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45842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45842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45842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45842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45842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45842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45842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45842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45842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45842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45842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45842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45842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45842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45842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45842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45842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45842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45842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45842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45842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45842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45842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45842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45842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45842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45842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45842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45842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45842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45842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45842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45842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45842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45842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45842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45842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45842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45842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45842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45842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45842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45842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45842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45842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45842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45842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45842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45842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45842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45842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45842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45842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45842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45842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45842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45842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45842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45842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45842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45842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45842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45842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45842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45842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45842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45842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45842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45842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45842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45842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45842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45842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45842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45842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45842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45842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45842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45842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45842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45842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45842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45842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45842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45842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45842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45842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45842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29681-2025</t>
        </is>
      </c>
      <c r="B1075" s="1" t="n">
        <v>45825</v>
      </c>
      <c r="C1075" s="1" t="n">
        <v>45842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Bergvik skog väst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29568-2025</t>
        </is>
      </c>
      <c r="B1076" s="1" t="n">
        <v>45825</v>
      </c>
      <c r="C1076" s="1" t="n">
        <v>45842</v>
      </c>
      <c r="D1076" t="inlineStr">
        <is>
          <t>VÄRMLANDS LÄN</t>
        </is>
      </c>
      <c r="E1076" t="inlineStr">
        <is>
          <t>FILIPSTAD</t>
        </is>
      </c>
      <c r="F1076" t="inlineStr">
        <is>
          <t>Kyrkan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29660-2025</t>
        </is>
      </c>
      <c r="B1077" s="1" t="n">
        <v>45825</v>
      </c>
      <c r="C1077" s="1" t="n">
        <v>45842</v>
      </c>
      <c r="D1077" t="inlineStr">
        <is>
          <t>VÄRMLANDS LÄN</t>
        </is>
      </c>
      <c r="E1077" t="inlineStr">
        <is>
          <t>FILIPSTAD</t>
        </is>
      </c>
      <c r="G1077" t="n">
        <v>23.3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45842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30049-2025</t>
        </is>
      </c>
      <c r="B1079" s="1" t="n">
        <v>45826</v>
      </c>
      <c r="C1079" s="1" t="n">
        <v>45842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29885-2025</t>
        </is>
      </c>
      <c r="B1080" s="1" t="n">
        <v>45826</v>
      </c>
      <c r="C1080" s="1" t="n">
        <v>45842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45842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45842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29944-2025</t>
        </is>
      </c>
      <c r="B1083" s="1" t="n">
        <v>45826</v>
      </c>
      <c r="C1083" s="1" t="n">
        <v>45842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45842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45842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45842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45842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45842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31172-2025</t>
        </is>
      </c>
      <c r="B1089" s="1" t="n">
        <v>45832</v>
      </c>
      <c r="C1089" s="1" t="n">
        <v>45842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31051-2025</t>
        </is>
      </c>
      <c r="B1090" s="1" t="n">
        <v>45832</v>
      </c>
      <c r="C1090" s="1" t="n">
        <v>45842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45842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45842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31676-2025</t>
        </is>
      </c>
      <c r="B1093" s="1" t="n">
        <v>45834</v>
      </c>
      <c r="C1093" s="1" t="n">
        <v>45842</v>
      </c>
      <c r="D1093" t="inlineStr">
        <is>
          <t>VÄRMLANDS LÄN</t>
        </is>
      </c>
      <c r="E1093" t="inlineStr">
        <is>
          <t>FILIPSTAD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31861-2025</t>
        </is>
      </c>
      <c r="B1094" s="1" t="n">
        <v>45834</v>
      </c>
      <c r="C1094" s="1" t="n">
        <v>45842</v>
      </c>
      <c r="D1094" t="inlineStr">
        <is>
          <t>VÄRMLANDS LÄN</t>
        </is>
      </c>
      <c r="E1094" t="inlineStr">
        <is>
          <t>FILIPSTAD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32086-2025</t>
        </is>
      </c>
      <c r="B1095" s="1" t="n">
        <v>45835</v>
      </c>
      <c r="C1095" s="1" t="n">
        <v>45842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32090-2025</t>
        </is>
      </c>
      <c r="B1096" s="1" t="n">
        <v>45835</v>
      </c>
      <c r="C1096" s="1" t="n">
        <v>45842</v>
      </c>
      <c r="D1096" t="inlineStr">
        <is>
          <t>VÄRMLANDS LÄN</t>
        </is>
      </c>
      <c r="E1096" t="inlineStr">
        <is>
          <t>FILIPSTAD</t>
        </is>
      </c>
      <c r="F1096" t="inlineStr">
        <is>
          <t>Bergvik skog väst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32059-2025</t>
        </is>
      </c>
      <c r="B1097" s="1" t="n">
        <v>45835</v>
      </c>
      <c r="C1097" s="1" t="n">
        <v>45842</v>
      </c>
      <c r="D1097" t="inlineStr">
        <is>
          <t>VÄRMLANDS LÄN</t>
        </is>
      </c>
      <c r="E1097" t="inlineStr">
        <is>
          <t>FILIPSTAD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32032-2025</t>
        </is>
      </c>
      <c r="B1098" s="1" t="n">
        <v>45835</v>
      </c>
      <c r="C1098" s="1" t="n">
        <v>45842</v>
      </c>
      <c r="D1098" t="inlineStr">
        <is>
          <t>VÄRMLANDS LÄN</t>
        </is>
      </c>
      <c r="E1098" t="inlineStr">
        <is>
          <t>FILIPSTAD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32183-2025</t>
        </is>
      </c>
      <c r="B1099" s="1" t="n">
        <v>45835</v>
      </c>
      <c r="C1099" s="1" t="n">
        <v>45842</v>
      </c>
      <c r="D1099" t="inlineStr">
        <is>
          <t>VÄRMLANDS LÄN</t>
        </is>
      </c>
      <c r="E1099" t="inlineStr">
        <is>
          <t>FILIPSTAD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33379-2025</t>
        </is>
      </c>
      <c r="B1100" s="1" t="n">
        <v>45841</v>
      </c>
      <c r="C1100" s="1" t="n">
        <v>45842</v>
      </c>
      <c r="D1100" t="inlineStr">
        <is>
          <t>VÄRMLANDS LÄN</t>
        </is>
      </c>
      <c r="E1100" t="inlineStr">
        <is>
          <t>FILIPSTAD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33449-2025</t>
        </is>
      </c>
      <c r="B1101" s="1" t="n">
        <v>45841</v>
      </c>
      <c r="C1101" s="1" t="n">
        <v>45842</v>
      </c>
      <c r="D1101" t="inlineStr">
        <is>
          <t>VÄRMLANDS LÄN</t>
        </is>
      </c>
      <c r="E1101" t="inlineStr">
        <is>
          <t>FILIPSTAD</t>
        </is>
      </c>
      <c r="F1101" t="inlineStr">
        <is>
          <t>Bergvik skog väst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2025-07-04T19:05:10Z</dcterms:created>
  <dcterms:modified xmlns:dcterms="http://purl.org/dc/terms/" xmlns:xsi="http://www.w3.org/2001/XMLSchema-instance" xsi:type="dcterms:W3CDTF">2025-07-04T19:05:11Z</dcterms:modified>
</cp:coreProperties>
</file>