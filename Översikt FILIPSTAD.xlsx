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46273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46273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46273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46273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46273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46273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46273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46273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46273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34684-2026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46273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7.2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Bårdlav
Stuplav
Fläcknycklar</t>
        </is>
      </c>
      <c r="W15">
        <f>HYPERLINK("https://klasma.github.io/Logging_1782/artfynd/A 34684-2026 artfynd.xlsx", "A 34684-2026")</f>
        <v/>
      </c>
      <c r="X15">
        <f>HYPERLINK("https://klasma.github.io/Logging_1782/kartor/A 34684-2026 karta.png", "A 34684-2026")</f>
        <v/>
      </c>
      <c r="Y15">
        <f>HYPERLINK("https://klasma.github.io/Logging_1782/kartor_geotiff/A 34684-2026 georefererad karta.tif", "A 34684-2026")</f>
        <v/>
      </c>
      <c r="AA15">
        <f>HYPERLINK("https://klasma.github.io/Logging_1782/klagomål/A 34684-2026 FSC-klagomål.docx", "A 34684-2026")</f>
        <v/>
      </c>
      <c r="AB15">
        <f>HYPERLINK("https://klasma.github.io/Logging_1782/klagomålsmail/A 34684-2026 FSC-klagomål mail.docx", "A 34684-2026")</f>
        <v/>
      </c>
      <c r="AC15">
        <f>HYPERLINK("https://klasma.github.io/Logging_1782/tillsyn/A 34684-2026 tillsynsbegäran.docx", "A 34684-2026")</f>
        <v/>
      </c>
      <c r="AD15">
        <f>HYPERLINK("https://klasma.github.io/Logging_1782/tillsynsmail/A 34684-2026 tillsynsbegäran mail.docx", "A 34684-2026")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46273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46273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46273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51922-2024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46273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Läderlappslav
Tjäder</t>
        </is>
      </c>
      <c r="W19">
        <f>HYPERLINK("https://klasma.github.io/Logging_1782/artfynd/A 51922-2024 artfynd.xlsx", "A 51922-2024")</f>
        <v/>
      </c>
      <c r="X19">
        <f>HYPERLINK("https://klasma.github.io/Logging_1782/kartor/A 51922-2024 karta.png", "A 51922-2024")</f>
        <v/>
      </c>
      <c r="Y19">
        <f>HYPERLINK("https://klasma.github.io/Logging_1782/kartor_geotiff/A 51922-2024 georefererad karta.tif", "A 51922-2024")</f>
        <v/>
      </c>
      <c r="AA19">
        <f>HYPERLINK("https://klasma.github.io/Logging_1782/klagomål/A 51922-2024 FSC-klagomål.docx", "A 51922-2024")</f>
        <v/>
      </c>
      <c r="AB19">
        <f>HYPERLINK("https://klasma.github.io/Logging_1782/klagomålsmail/A 51922-2024 FSC-klagomål mail.docx", "A 51922-2024")</f>
        <v/>
      </c>
      <c r="AC19">
        <f>HYPERLINK("https://klasma.github.io/Logging_1782/tillsyn/A 51922-2024 tillsynsbegäran.docx", "A 51922-2024")</f>
        <v/>
      </c>
      <c r="AD19">
        <f>HYPERLINK("https://klasma.github.io/Logging_1782/tillsynsmail/A 51922-2024 tillsynsbegäran mail.docx", "A 51922-2024")</f>
        <v/>
      </c>
      <c r="AE19">
        <f>HYPERLINK("https://klasma.github.io/Logging_1782/fåglar/A 51922-2024 prioriterade fågelarter.docx", "A 51922-2024")</f>
        <v/>
      </c>
    </row>
    <row r="20" ht="15" customHeight="1">
      <c r="A20" t="inlineStr">
        <is>
          <t>A 32438-2026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46273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1.1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Dubbelnycklar
Ängsnycklar</t>
        </is>
      </c>
      <c r="W20">
        <f>HYPERLINK("https://klasma.github.io/Logging_1782/artfynd/A 32438-2026 artfynd.xlsx", "A 32438-2026")</f>
        <v/>
      </c>
      <c r="X20">
        <f>HYPERLINK("https://klasma.github.io/Logging_1782/kartor/A 32438-2026 karta.png", "A 32438-2026")</f>
        <v/>
      </c>
      <c r="Y20">
        <f>HYPERLINK("https://klasma.github.io/Logging_1782/kartor_geotiff/A 32438-2026 georefererad karta.tif", "A 32438-2026")</f>
        <v/>
      </c>
      <c r="AA20">
        <f>HYPERLINK("https://klasma.github.io/Logging_1782/klagomål/A 32438-2026 FSC-klagomål.docx", "A 32438-2026")</f>
        <v/>
      </c>
      <c r="AB20">
        <f>HYPERLINK("https://klasma.github.io/Logging_1782/klagomålsmail/A 32438-2026 FSC-klagomål mail.docx", "A 32438-2026")</f>
        <v/>
      </c>
      <c r="AC20">
        <f>HYPERLINK("https://klasma.github.io/Logging_1782/tillsyn/A 32438-2026 tillsynsbegäran.docx", "A 32438-2026")</f>
        <v/>
      </c>
      <c r="AD20">
        <f>HYPERLINK("https://klasma.github.io/Logging_1782/tillsynsmail/A 32438-2026 tillsynsbegäran mail.docx", "A 32438-2026")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46273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Igelkott
Fläcknycklar</t>
        </is>
      </c>
      <c r="W21">
        <f>HYPERLINK("https://klasma.github.io/Logging_1782/artfynd/A 29469-2026 artfynd.xlsx", "A 29469-2026")</f>
        <v/>
      </c>
      <c r="X21">
        <f>HYPERLINK("https://klasma.github.io/Logging_1782/kartor/A 29469-2026 karta.png", "A 29469-2026")</f>
        <v/>
      </c>
      <c r="Y21">
        <f>HYPERLINK("https://klasma.github.io/Logging_1782/kartor_geotiff/A 29469-2026 georefererad karta.tif", "A 29469-2026")</f>
        <v/>
      </c>
      <c r="AA21">
        <f>HYPERLINK("https://klasma.github.io/Logging_1782/klagomål/A 29469-2026 FSC-klagomål.docx", "A 29469-2026")</f>
        <v/>
      </c>
      <c r="AB21">
        <f>HYPERLINK("https://klasma.github.io/Logging_1782/klagomålsmail/A 29469-2026 FSC-klagomål mail.docx", "A 29469-2026")</f>
        <v/>
      </c>
      <c r="AC21">
        <f>HYPERLINK("https://klasma.github.io/Logging_1782/tillsyn/A 29469-2026 tillsynsbegäran.docx", "A 29469-2026")</f>
        <v/>
      </c>
      <c r="AD21">
        <f>HYPERLINK("https://klasma.github.io/Logging_1782/tillsynsmail/A 29469-2026 tillsynsbegäran mail.docx", "A 29469-2026")</f>
        <v/>
      </c>
    </row>
    <row r="22" ht="15" customHeight="1">
      <c r="A22" t="inlineStr">
        <is>
          <t>A 33583-2026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46248</v>
      </c>
      <c r="E22" s="1" t="n">
        <v>46273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16.4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Bårdlav
Stuplav</t>
        </is>
      </c>
      <c r="W22">
        <f>HYPERLINK("https://klasma.github.io/Logging_1782/artfynd/A 33583-2026 artfynd.xlsx", "A 33583-2026")</f>
        <v/>
      </c>
      <c r="X22">
        <f>HYPERLINK("https://klasma.github.io/Logging_1782/kartor/A 33583-2026 karta.png", "A 33583-2026")</f>
        <v/>
      </c>
      <c r="Y22">
        <f>HYPERLINK("https://klasma.github.io/Logging_1782/kartor_geotiff/A 33583-2026 georefererad karta.tif", "A 33583-2026")</f>
        <v/>
      </c>
      <c r="AA22">
        <f>HYPERLINK("https://klasma.github.io/Logging_1782/klagomål/A 33583-2026 FSC-klagomål.docx", "A 33583-2026")</f>
        <v/>
      </c>
      <c r="AB22">
        <f>HYPERLINK("https://klasma.github.io/Logging_1782/klagomålsmail/A 33583-2026 FSC-klagomål mail.docx", "A 33583-2026")</f>
        <v/>
      </c>
      <c r="AC22">
        <f>HYPERLINK("https://klasma.github.io/Logging_1782/tillsyn/A 33583-2026 tillsynsbegäran.docx", "A 33583-2026")</f>
        <v/>
      </c>
      <c r="AD22">
        <f>HYPERLINK("https://klasma.github.io/Logging_1782/tillsynsmail/A 33583-2026 tillsynsbegäran mail.docx", "A 33583-2026")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46273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46273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46273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46273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46273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46273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46273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46273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38140-2024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46273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HYPERLINK("https://klasma.github.io/Logging_1782/artfynd/A 38140-2024 artfynd.xlsx", "A 38140-2024")</f>
        <v/>
      </c>
      <c r="X31">
        <f>HYPERLINK("https://klasma.github.io/Logging_1782/kartor/A 38140-2024 karta.png", "A 38140-2024")</f>
        <v/>
      </c>
      <c r="Y31">
        <f>HYPERLINK("https://klasma.github.io/Logging_1782/kartor_geotiff/A 38140-2024 georefererad karta.tif", "A 38140-2024")</f>
        <v/>
      </c>
      <c r="AA31">
        <f>HYPERLINK("https://klasma.github.io/Logging_1782/klagomål/A 38140-2024 FSC-klagomål.docx", "A 38140-2024")</f>
        <v/>
      </c>
      <c r="AB31">
        <f>HYPERLINK("https://klasma.github.io/Logging_1782/klagomålsmail/A 38140-2024 FSC-klagomål mail.docx", "A 38140-2024")</f>
        <v/>
      </c>
      <c r="AC31">
        <f>HYPERLINK("https://klasma.github.io/Logging_1782/tillsyn/A 38140-2024 tillsynsbegäran.docx", "A 38140-2024")</f>
        <v/>
      </c>
      <c r="AD31">
        <f>HYPERLINK("https://klasma.github.io/Logging_1782/tillsynsmail/A 38140-2024 tillsynsbegäran mail.docx", "A 38140-2024")</f>
        <v/>
      </c>
    </row>
    <row r="32" ht="15" customHeight="1">
      <c r="A32" t="inlineStr">
        <is>
          <t>A 23046-2023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46273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HYPERLINK("https://klasma.github.io/Logging_1782/artfynd/A 23046-2023 artfynd.xlsx", "A 23046-2023")</f>
        <v/>
      </c>
      <c r="X32">
        <f>HYPERLINK("https://klasma.github.io/Logging_1782/kartor/A 23046-2023 karta.png", "A 23046-2023")</f>
        <v/>
      </c>
      <c r="Y32">
        <f>HYPERLINK("https://klasma.github.io/Logging_1782/kartor_geotiff/A 23046-2023 georefererad karta.tif", "A 23046-2023")</f>
        <v/>
      </c>
      <c r="Z32">
        <f>HYPERLINK("https://klasma.github.io/Logging_1782/knärot/A 23046-2023 karta knärot.png", "A 23046-2023")</f>
        <v/>
      </c>
      <c r="AA32">
        <f>HYPERLINK("https://klasma.github.io/Logging_1782/klagomål/A 23046-2023 FSC-klagomål.docx", "A 23046-2023")</f>
        <v/>
      </c>
      <c r="AB32">
        <f>HYPERLINK("https://klasma.github.io/Logging_1782/klagomålsmail/A 23046-2023 FSC-klagomål mail.docx", "A 23046-2023")</f>
        <v/>
      </c>
      <c r="AC32">
        <f>HYPERLINK("https://klasma.github.io/Logging_1782/tillsyn/A 23046-2023 tillsynsbegäran.docx", "A 23046-2023")</f>
        <v/>
      </c>
      <c r="AD32">
        <f>HYPERLINK("https://klasma.github.io/Logging_1782/tillsynsmail/A 23046-2023 tillsynsbegäran mail.docx", "A 23046-2023")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46273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58734-2025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46273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18.2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Tretåig hackspett</t>
        </is>
      </c>
      <c r="W34">
        <f>HYPERLINK("https://klasma.github.io/Logging_1782/artfynd/A 58734-2025 artfynd.xlsx", "A 58734-2025")</f>
        <v/>
      </c>
      <c r="X34">
        <f>HYPERLINK("https://klasma.github.io/Logging_1782/kartor/A 58734-2025 karta.png", "A 58734-2025")</f>
        <v/>
      </c>
      <c r="Y34">
        <f>HYPERLINK("https://klasma.github.io/Logging_1782/kartor_geotiff/A 58734-2025 georefererad karta.tif", "A 58734-2025")</f>
        <v/>
      </c>
      <c r="AA34">
        <f>HYPERLINK("https://klasma.github.io/Logging_1782/klagomål/A 58734-2025 FSC-klagomål.docx", "A 58734-2025")</f>
        <v/>
      </c>
      <c r="AB34">
        <f>HYPERLINK("https://klasma.github.io/Logging_1782/klagomålsmail/A 58734-2025 FSC-klagomål mail.docx", "A 58734-2025")</f>
        <v/>
      </c>
      <c r="AC34">
        <f>HYPERLINK("https://klasma.github.io/Logging_1782/tillsyn/A 58734-2025 tillsynsbegäran.docx", "A 58734-2025")</f>
        <v/>
      </c>
      <c r="AD34">
        <f>HYPERLINK("https://klasma.github.io/Logging_1782/tillsynsmail/A 58734-2025 tillsynsbegäran mail.docx", "A 58734-2025")</f>
        <v/>
      </c>
      <c r="AE34">
        <f>HYPERLINK("https://klasma.github.io/Logging_1782/fåglar/A 58734-2025 prioriterade fågelarter.docx", "A 58734-2025")</f>
        <v/>
      </c>
    </row>
    <row r="35" ht="15" customHeight="1">
      <c r="A35" t="inlineStr">
        <is>
          <t>A 25862-2026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46178</v>
      </c>
      <c r="E35" s="1" t="n">
        <v>46273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3.5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Talltaggsvamp</t>
        </is>
      </c>
      <c r="W35">
        <f>HYPERLINK("https://klasma.github.io/Logging_1782/artfynd/A 25862-2026 artfynd.xlsx", "A 25862-2026")</f>
        <v/>
      </c>
      <c r="X35">
        <f>HYPERLINK("https://klasma.github.io/Logging_1782/kartor/A 25862-2026 karta.png", "A 25862-2026")</f>
        <v/>
      </c>
      <c r="Y35">
        <f>HYPERLINK("https://klasma.github.io/Logging_1782/kartor_geotiff/A 25862-2026 georefererad karta.tif", "A 25862-2026")</f>
        <v/>
      </c>
      <c r="AA35">
        <f>HYPERLINK("https://klasma.github.io/Logging_1782/klagomål/A 25862-2026 FSC-klagomål.docx", "A 25862-2026")</f>
        <v/>
      </c>
      <c r="AB35">
        <f>HYPERLINK("https://klasma.github.io/Logging_1782/klagomålsmail/A 25862-2026 FSC-klagomål mail.docx", "A 25862-2026")</f>
        <v/>
      </c>
      <c r="AC35">
        <f>HYPERLINK("https://klasma.github.io/Logging_1782/tillsyn/A 25862-2026 tillsynsbegäran.docx", "A 25862-2026")</f>
        <v/>
      </c>
      <c r="AD35">
        <f>HYPERLINK("https://klasma.github.io/Logging_1782/tillsynsmail/A 25862-2026 tillsynsbegäran mail.docx", "A 25862-2026")</f>
        <v/>
      </c>
    </row>
    <row r="36" ht="15" customHeight="1">
      <c r="A36" t="inlineStr">
        <is>
          <t>A 4560-2025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46273</v>
      </c>
      <c r="F36" t="inlineStr">
        <is>
          <t>VÄRMLANDS LÄN</t>
        </is>
      </c>
      <c r="G36" t="inlineStr">
        <is>
          <t>FILIPSTAD</t>
        </is>
      </c>
      <c r="I36" t="n">
        <v>13.6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Skrovlig taggsvamp</t>
        </is>
      </c>
      <c r="W36">
        <f>HYPERLINK("https://klasma.github.io/Logging_1782/artfynd/A 4560-2025 artfynd.xlsx", "A 4560-2025")</f>
        <v/>
      </c>
      <c r="X36">
        <f>HYPERLINK("https://klasma.github.io/Logging_1782/kartor/A 4560-2025 karta.png", "A 4560-2025")</f>
        <v/>
      </c>
      <c r="Y36">
        <f>HYPERLINK("https://klasma.github.io/Logging_1782/kartor_geotiff/A 4560-2025 georefererad karta.tif", "A 4560-2025")</f>
        <v/>
      </c>
      <c r="AA36">
        <f>HYPERLINK("https://klasma.github.io/Logging_1782/klagomål/A 4560-2025 FSC-klagomål.docx", "A 4560-2025")</f>
        <v/>
      </c>
      <c r="AB36">
        <f>HYPERLINK("https://klasma.github.io/Logging_1782/klagomålsmail/A 4560-2025 FSC-klagomål mail.docx", "A 4560-2025")</f>
        <v/>
      </c>
      <c r="AC36">
        <f>HYPERLINK("https://klasma.github.io/Logging_1782/tillsyn/A 4560-2025 tillsynsbegäran.docx", "A 4560-2025")</f>
        <v/>
      </c>
      <c r="AD36">
        <f>HYPERLINK("https://klasma.github.io/Logging_1782/tillsynsmail/A 4560-2025 tillsynsbegäran mail.docx", "A 4560-2025")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46273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28915-2026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46199</v>
      </c>
      <c r="E38" s="1" t="n">
        <v>46273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Stjärnstarr</t>
        </is>
      </c>
      <c r="W38">
        <f>HYPERLINK("https://klasma.github.io/Logging_1782/artfynd/A 28915-2026 artfynd.xlsx", "A 28915-2026")</f>
        <v/>
      </c>
      <c r="X38">
        <f>HYPERLINK("https://klasma.github.io/Logging_1782/kartor/A 28915-2026 karta.png", "A 28915-2026")</f>
        <v/>
      </c>
      <c r="Y38">
        <f>HYPERLINK("https://klasma.github.io/Logging_1782/kartor_geotiff/A 28915-2026 georefererad karta.tif", "A 28915-2026")</f>
        <v/>
      </c>
      <c r="AA38">
        <f>HYPERLINK("https://klasma.github.io/Logging_1782/klagomål/A 28915-2026 FSC-klagomål.docx", "A 28915-2026")</f>
        <v/>
      </c>
      <c r="AB38">
        <f>HYPERLINK("https://klasma.github.io/Logging_1782/klagomålsmail/A 28915-2026 FSC-klagomål mail.docx", "A 28915-2026")</f>
        <v/>
      </c>
      <c r="AC38">
        <f>HYPERLINK("https://klasma.github.io/Logging_1782/tillsyn/A 28915-2026 tillsynsbegäran.docx", "A 28915-2026")</f>
        <v/>
      </c>
      <c r="AD38">
        <f>HYPERLINK("https://klasma.github.io/Logging_1782/tillsynsmail/A 28915-2026 tillsynsbegäran mail.docx", "A 28915-2026")</f>
        <v/>
      </c>
    </row>
    <row r="39" ht="15" customHeight="1">
      <c r="A39" t="inlineStr">
        <is>
          <t>A 30988-2026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46273</v>
      </c>
      <c r="F39" t="inlineStr">
        <is>
          <t>VÄRMLANDS LÄN</t>
        </is>
      </c>
      <c r="G39" t="inlineStr">
        <is>
          <t>FILIPSTAD</t>
        </is>
      </c>
      <c r="I39" t="n">
        <v>2.4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Skuggblåslav</t>
        </is>
      </c>
      <c r="W39">
        <f>HYPERLINK("https://klasma.github.io/Logging_1782/artfynd/A 30988-2026 artfynd.xlsx", "A 30988-2026")</f>
        <v/>
      </c>
      <c r="X39">
        <f>HYPERLINK("https://klasma.github.io/Logging_1782/kartor/A 30988-2026 karta.png", "A 30988-2026")</f>
        <v/>
      </c>
      <c r="Y39">
        <f>HYPERLINK("https://klasma.github.io/Logging_1782/kartor_geotiff/A 30988-2026 georefererad karta.tif", "A 30988-2026")</f>
        <v/>
      </c>
      <c r="AA39">
        <f>HYPERLINK("https://klasma.github.io/Logging_1782/klagomål/A 30988-2026 FSC-klagomål.docx", "A 30988-2026")</f>
        <v/>
      </c>
      <c r="AB39">
        <f>HYPERLINK("https://klasma.github.io/Logging_1782/klagomålsmail/A 30988-2026 FSC-klagomål mail.docx", "A 30988-2026")</f>
        <v/>
      </c>
      <c r="AC39">
        <f>HYPERLINK("https://klasma.github.io/Logging_1782/tillsyn/A 30988-2026 tillsynsbegäran.docx", "A 30988-2026")</f>
        <v/>
      </c>
      <c r="AD39">
        <f>HYPERLINK("https://klasma.github.io/Logging_1782/tillsynsmail/A 30988-2026 tillsynsbegäran mail.docx", "A 30988-2026")</f>
        <v/>
      </c>
    </row>
    <row r="40" ht="15" customHeight="1">
      <c r="A40" t="inlineStr">
        <is>
          <t>A 31257-2026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46273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10.2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Gräsull</t>
        </is>
      </c>
      <c r="W40">
        <f>HYPERLINK("https://klasma.github.io/Logging_1782/artfynd/A 31257-2026 artfynd.xlsx", "A 31257-2026")</f>
        <v/>
      </c>
      <c r="X40">
        <f>HYPERLINK("https://klasma.github.io/Logging_1782/kartor/A 31257-2026 karta.png", "A 31257-2026")</f>
        <v/>
      </c>
      <c r="Y40">
        <f>HYPERLINK("https://klasma.github.io/Logging_1782/kartor_geotiff/A 31257-2026 georefererad karta.tif", "A 31257-2026")</f>
        <v/>
      </c>
      <c r="AA40">
        <f>HYPERLINK("https://klasma.github.io/Logging_1782/klagomål/A 31257-2026 FSC-klagomål.docx", "A 31257-2026")</f>
        <v/>
      </c>
      <c r="AB40">
        <f>HYPERLINK("https://klasma.github.io/Logging_1782/klagomålsmail/A 31257-2026 FSC-klagomål mail.docx", "A 31257-2026")</f>
        <v/>
      </c>
      <c r="AC40">
        <f>HYPERLINK("https://klasma.github.io/Logging_1782/tillsyn/A 31257-2026 tillsynsbegäran.docx", "A 31257-2026")</f>
        <v/>
      </c>
      <c r="AD40">
        <f>HYPERLINK("https://klasma.github.io/Logging_1782/tillsynsmail/A 31257-2026 tillsynsbegäran mail.docx", "A 31257-2026")</f>
        <v/>
      </c>
    </row>
    <row r="41" ht="15" customHeight="1">
      <c r="A41" t="inlineStr">
        <is>
          <t>A 17529-2026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46273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Ädellav</t>
        </is>
      </c>
      <c r="W41">
        <f>HYPERLINK("https://klasma.github.io/Logging_1782/artfynd/A 17529-2026 artfynd.xlsx", "A 17529-2026")</f>
        <v/>
      </c>
      <c r="X41">
        <f>HYPERLINK("https://klasma.github.io/Logging_1782/kartor/A 17529-2026 karta.png", "A 17529-2026")</f>
        <v/>
      </c>
      <c r="Y41">
        <f>HYPERLINK("https://klasma.github.io/Logging_1782/kartor_geotiff/A 17529-2026 georefererad karta.tif", "A 17529-2026")</f>
        <v/>
      </c>
      <c r="AA41">
        <f>HYPERLINK("https://klasma.github.io/Logging_1782/klagomål/A 17529-2026 FSC-klagomål.docx", "A 17529-2026")</f>
        <v/>
      </c>
      <c r="AB41">
        <f>HYPERLINK("https://klasma.github.io/Logging_1782/klagomålsmail/A 17529-2026 FSC-klagomål mail.docx", "A 17529-2026")</f>
        <v/>
      </c>
      <c r="AC41">
        <f>HYPERLINK("https://klasma.github.io/Logging_1782/tillsyn/A 17529-2026 tillsynsbegäran.docx", "A 17529-2026")</f>
        <v/>
      </c>
      <c r="AD41">
        <f>HYPERLINK("https://klasma.github.io/Logging_1782/tillsynsmail/A 17529-2026 tillsynsbegäran mail.docx", "A 17529-2026")</f>
        <v/>
      </c>
    </row>
    <row r="42" ht="15" customHeight="1">
      <c r="A42" t="inlineStr">
        <is>
          <t>A 51522-2022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46273</v>
      </c>
      <c r="F42" t="inlineStr">
        <is>
          <t>VÄRMLANDS LÄN</t>
        </is>
      </c>
      <c r="G42" t="inlineStr">
        <is>
          <t>FILIPSTAD</t>
        </is>
      </c>
      <c r="I42" t="n">
        <v>4.1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HYPERLINK("https://klasma.github.io/Logging_1782/artfynd/A 51522-2022 artfynd.xlsx", "A 51522-2022")</f>
        <v/>
      </c>
      <c r="X42">
        <f>HYPERLINK("https://klasma.github.io/Logging_1782/kartor/A 51522-2022 karta.png", "A 51522-2022")</f>
        <v/>
      </c>
      <c r="Y42">
        <f>HYPERLINK("https://klasma.github.io/Logging_1782/kartor_geotiff/A 51522-2022 georefererad karta.tif", "A 51522-2022")</f>
        <v/>
      </c>
      <c r="AA42">
        <f>HYPERLINK("https://klasma.github.io/Logging_1782/klagomål/A 51522-2022 FSC-klagomål.docx", "A 51522-2022")</f>
        <v/>
      </c>
      <c r="AB42">
        <f>HYPERLINK("https://klasma.github.io/Logging_1782/klagomålsmail/A 51522-2022 FSC-klagomål mail.docx", "A 51522-2022")</f>
        <v/>
      </c>
      <c r="AC42">
        <f>HYPERLINK("https://klasma.github.io/Logging_1782/tillsyn/A 51522-2022 tillsynsbegäran.docx", "A 51522-2022")</f>
        <v/>
      </c>
      <c r="AD42">
        <f>HYPERLINK("https://klasma.github.io/Logging_1782/tillsynsmail/A 51522-2022 tillsynsbegäran mail.docx", "A 51522-2022")</f>
        <v/>
      </c>
    </row>
    <row r="43" ht="15" customHeight="1">
      <c r="A43" t="inlineStr">
        <is>
          <t>A 11453-2025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46273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Purpurknipprot</t>
        </is>
      </c>
      <c r="W43">
        <f>HYPERLINK("https://klasma.github.io/Logging_1782/artfynd/A 11453-2025 artfynd.xlsx", "A 11453-2025")</f>
        <v/>
      </c>
      <c r="X43">
        <f>HYPERLINK("https://klasma.github.io/Logging_1782/kartor/A 11453-2025 karta.png", "A 11453-2025")</f>
        <v/>
      </c>
      <c r="Y43">
        <f>HYPERLINK("https://klasma.github.io/Logging_1782/kartor_geotiff/A 11453-2025 georefererad karta.tif", "A 11453-2025")</f>
        <v/>
      </c>
      <c r="AA43">
        <f>HYPERLINK("https://klasma.github.io/Logging_1782/klagomål/A 11453-2025 FSC-klagomål.docx", "A 11453-2025")</f>
        <v/>
      </c>
      <c r="AB43">
        <f>HYPERLINK("https://klasma.github.io/Logging_1782/klagomålsmail/A 11453-2025 FSC-klagomål mail.docx", "A 11453-2025")</f>
        <v/>
      </c>
      <c r="AC43">
        <f>HYPERLINK("https://klasma.github.io/Logging_1782/tillsyn/A 11453-2025 tillsynsbegäran.docx", "A 11453-2025")</f>
        <v/>
      </c>
      <c r="AD43">
        <f>HYPERLINK("https://klasma.github.io/Logging_1782/tillsynsmail/A 11453-2025 tillsynsbegäran mail.docx", "A 11453-2025")</f>
        <v/>
      </c>
    </row>
    <row r="44" ht="15" customHeight="1">
      <c r="A44" t="inlineStr">
        <is>
          <t>A 25916-2025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45804</v>
      </c>
      <c r="E44" s="1" t="n">
        <v>46273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26.4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HYPERLINK("https://klasma.github.io/Logging_1782/artfynd/A 25916-2025 artfynd.xlsx", "A 25916-2025")</f>
        <v/>
      </c>
      <c r="X44">
        <f>HYPERLINK("https://klasma.github.io/Logging_1782/kartor/A 25916-2025 karta.png", "A 25916-2025")</f>
        <v/>
      </c>
      <c r="Y44">
        <f>HYPERLINK("https://klasma.github.io/Logging_1782/kartor_geotiff/A 25916-2025 georefererad karta.tif", "A 25916-2025")</f>
        <v/>
      </c>
      <c r="AA44">
        <f>HYPERLINK("https://klasma.github.io/Logging_1782/klagomål/A 25916-2025 FSC-klagomål.docx", "A 25916-2025")</f>
        <v/>
      </c>
      <c r="AB44">
        <f>HYPERLINK("https://klasma.github.io/Logging_1782/klagomålsmail/A 25916-2025 FSC-klagomål mail.docx", "A 25916-2025")</f>
        <v/>
      </c>
      <c r="AC44">
        <f>HYPERLINK("https://klasma.github.io/Logging_1782/tillsyn/A 25916-2025 tillsynsbegäran.docx", "A 25916-2025")</f>
        <v/>
      </c>
      <c r="AD44">
        <f>HYPERLINK("https://klasma.github.io/Logging_1782/tillsynsmail/A 25916-2025 tillsynsbegäran mail.docx", "A 25916-2025")</f>
        <v/>
      </c>
    </row>
    <row r="45" ht="15" customHeight="1">
      <c r="A45" t="inlineStr">
        <is>
          <t>A 30652-2025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45831</v>
      </c>
      <c r="E45" s="1" t="n">
        <v>46273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4.3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HYPERLINK("https://klasma.github.io/Logging_1782/artfynd/A 30652-2025 artfynd.xlsx", "A 30652-2025")</f>
        <v/>
      </c>
      <c r="X45">
        <f>HYPERLINK("https://klasma.github.io/Logging_1782/kartor/A 30652-2025 karta.png", "A 30652-2025")</f>
        <v/>
      </c>
      <c r="Y45">
        <f>HYPERLINK("https://klasma.github.io/Logging_1782/kartor_geotiff/A 30652-2025 georefererad karta.tif", "A 30652-2025")</f>
        <v/>
      </c>
      <c r="AA45">
        <f>HYPERLINK("https://klasma.github.io/Logging_1782/klagomål/A 30652-2025 FSC-klagomål.docx", "A 30652-2025")</f>
        <v/>
      </c>
      <c r="AB45">
        <f>HYPERLINK("https://klasma.github.io/Logging_1782/klagomålsmail/A 30652-2025 FSC-klagomål mail.docx", "A 30652-2025")</f>
        <v/>
      </c>
      <c r="AC45">
        <f>HYPERLINK("https://klasma.github.io/Logging_1782/tillsyn/A 30652-2025 tillsynsbegäran.docx", "A 30652-2025")</f>
        <v/>
      </c>
      <c r="AD45">
        <f>HYPERLINK("https://klasma.github.io/Logging_1782/tillsynsmail/A 30652-2025 tillsynsbegäran mail.docx", "A 30652-2025")</f>
        <v/>
      </c>
      <c r="AE45">
        <f>HYPERLINK("https://klasma.github.io/Logging_1782/fåglar/A 30652-2025 prioriterade fågelarter.docx", "A 30652-2025")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46273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46273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46273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46273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46273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46273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46273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46273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46273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46273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46273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46273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46273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46273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46273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22356-2022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44713</v>
      </c>
      <c r="E61" s="1" t="n">
        <v>46273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46273</v>
      </c>
      <c r="F62" t="inlineStr">
        <is>
          <t>VÄRMLANDS LÄN</t>
        </is>
      </c>
      <c r="G62" t="inlineStr">
        <is>
          <t>FILIPSTAD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46273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46273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46273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46273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46273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46273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46273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46273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46273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46273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46273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46273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45230</v>
      </c>
      <c r="E75" s="1" t="n">
        <v>46273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46273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45700</v>
      </c>
      <c r="E77" s="1" t="n">
        <v>46273</v>
      </c>
      <c r="F77" t="inlineStr">
        <is>
          <t>VÄRMLANDS LÄN</t>
        </is>
      </c>
      <c r="G77" t="inlineStr">
        <is>
          <t>FILIPSTAD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46273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46273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46273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45391</v>
      </c>
      <c r="E81" s="1" t="n">
        <v>46273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46273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46273</v>
      </c>
      <c r="F83" t="inlineStr">
        <is>
          <t>VÄRMLANDS LÄN</t>
        </is>
      </c>
      <c r="G83" t="inlineStr">
        <is>
          <t>FILIPSTAD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46273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45208</v>
      </c>
      <c r="E85" s="1" t="n">
        <v>46273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45223</v>
      </c>
      <c r="E86" s="1" t="n">
        <v>46273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46273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46273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46273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46273</v>
      </c>
      <c r="F90" t="inlineStr">
        <is>
          <t>VÄRMLANDS LÄN</t>
        </is>
      </c>
      <c r="G90" t="inlineStr">
        <is>
          <t>FILIPSTAD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46273</v>
      </c>
      <c r="F91" t="inlineStr">
        <is>
          <t>VÄRMLANDS LÄN</t>
        </is>
      </c>
      <c r="G91" t="inlineStr">
        <is>
          <t>FILIPSTAD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45267</v>
      </c>
      <c r="E92" s="1" t="n">
        <v>46273</v>
      </c>
      <c r="F92" t="inlineStr">
        <is>
          <t>VÄRMLANDS LÄN</t>
        </is>
      </c>
      <c r="G92" t="inlineStr">
        <is>
          <t>FILIPSTAD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46273</v>
      </c>
      <c r="F93" t="inlineStr">
        <is>
          <t>VÄRMLANDS LÄN</t>
        </is>
      </c>
      <c r="G93" t="inlineStr">
        <is>
          <t>FILIPSTAD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45418</v>
      </c>
      <c r="E94" s="1" t="n">
        <v>46273</v>
      </c>
      <c r="F94" t="inlineStr">
        <is>
          <t>VÄRMLANDS LÄN</t>
        </is>
      </c>
      <c r="G94" t="inlineStr">
        <is>
          <t>FILIPSTAD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45463</v>
      </c>
      <c r="E95" s="1" t="n">
        <v>46273</v>
      </c>
      <c r="F95" t="inlineStr">
        <is>
          <t>VÄRMLANDS LÄN</t>
        </is>
      </c>
      <c r="G95" t="inlineStr">
        <is>
          <t>FILIPSTAD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46273</v>
      </c>
      <c r="F96" t="inlineStr">
        <is>
          <t>VÄRMLANDS LÄN</t>
        </is>
      </c>
      <c r="G96" t="inlineStr">
        <is>
          <t>FILIPSTAD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45511</v>
      </c>
      <c r="E97" s="1" t="n">
        <v>46273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27400-2024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45474</v>
      </c>
      <c r="E98" s="1" t="n">
        <v>46273</v>
      </c>
      <c r="F98" t="inlineStr">
        <is>
          <t>VÄRMLANDS LÄN</t>
        </is>
      </c>
      <c r="G98" t="inlineStr">
        <is>
          <t>FILIPSTAD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46273</v>
      </c>
      <c r="F99" t="inlineStr">
        <is>
          <t>VÄRMLANDS LÄN</t>
        </is>
      </c>
      <c r="G99" t="inlineStr">
        <is>
          <t>FILIPSTAD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14268-2024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45393</v>
      </c>
      <c r="E100" s="1" t="n">
        <v>46273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46273</v>
      </c>
      <c r="F101" t="inlineStr">
        <is>
          <t>VÄRMLANDS LÄN</t>
        </is>
      </c>
      <c r="G101" t="inlineStr">
        <is>
          <t>FILIPSTAD</t>
        </is>
      </c>
      <c r="H101" t="inlineStr">
        <is>
          <t>Kommuner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45674</v>
      </c>
      <c r="E102" s="1" t="n">
        <v>46273</v>
      </c>
      <c r="F102" t="inlineStr">
        <is>
          <t>VÄRMLANDS LÄN</t>
        </is>
      </c>
      <c r="G102" t="inlineStr">
        <is>
          <t>FILIPSTAD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17794-2024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45418</v>
      </c>
      <c r="E103" s="1" t="n">
        <v>46273</v>
      </c>
      <c r="F103" t="inlineStr">
        <is>
          <t>VÄRMLANDS LÄN</t>
        </is>
      </c>
      <c r="G103" t="inlineStr">
        <is>
          <t>FILIPSTAD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44672</v>
      </c>
      <c r="E104" s="1" t="n">
        <v>46273</v>
      </c>
      <c r="F104" t="inlineStr">
        <is>
          <t>VÄRMLANDS LÄN</t>
        </is>
      </c>
      <c r="G104" t="inlineStr">
        <is>
          <t>FILIPSTAD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46273</v>
      </c>
      <c r="F105" t="inlineStr">
        <is>
          <t>VÄRMLANDS LÄN</t>
        </is>
      </c>
      <c r="G105" t="inlineStr">
        <is>
          <t>FILIPSTAD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45578</v>
      </c>
      <c r="E106" s="1" t="n">
        <v>46273</v>
      </c>
      <c r="F106" t="inlineStr">
        <is>
          <t>VÄRMLANDS LÄN</t>
        </is>
      </c>
      <c r="G106" t="inlineStr">
        <is>
          <t>FILIPSTAD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46273</v>
      </c>
      <c r="F107" t="inlineStr">
        <is>
          <t>VÄRMLANDS LÄN</t>
        </is>
      </c>
      <c r="G107" t="inlineStr">
        <is>
          <t>FILIPSTAD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69015-2021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44530</v>
      </c>
      <c r="E108" s="1" t="n">
        <v>46273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45202</v>
      </c>
      <c r="E109" s="1" t="n">
        <v>46273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46273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44935</v>
      </c>
      <c r="E111" s="1" t="n">
        <v>46273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45364</v>
      </c>
      <c r="E112" s="1" t="n">
        <v>46273</v>
      </c>
      <c r="F112" t="inlineStr">
        <is>
          <t>VÄRMLANDS LÄN</t>
        </is>
      </c>
      <c r="G112" t="inlineStr">
        <is>
          <t>FILIPSTAD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44788</v>
      </c>
      <c r="E113" s="1" t="n">
        <v>46273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46273</v>
      </c>
      <c r="F114" t="inlineStr">
        <is>
          <t>VÄRMLANDS LÄN</t>
        </is>
      </c>
      <c r="G114" t="inlineStr">
        <is>
          <t>FILIPSTAD</t>
        </is>
      </c>
      <c r="H114" t="inlineStr">
        <is>
          <t>Kyrkan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54398-2024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46273</v>
      </c>
      <c r="F115" t="inlineStr">
        <is>
          <t>VÄRMLANDS LÄN</t>
        </is>
      </c>
      <c r="G115" t="inlineStr">
        <is>
          <t>FILIPSTAD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46273</v>
      </c>
      <c r="F116" t="inlineStr">
        <is>
          <t>VÄRMLANDS LÄN</t>
        </is>
      </c>
      <c r="G116" t="inlineStr">
        <is>
          <t>FILIPSTAD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40646-2025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45896</v>
      </c>
      <c r="E117" s="1" t="n">
        <v>46273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46273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46273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46273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45790</v>
      </c>
      <c r="E121" s="1" t="n">
        <v>46273</v>
      </c>
      <c r="F121" t="inlineStr">
        <is>
          <t>VÄRMLANDS LÄN</t>
        </is>
      </c>
      <c r="G121" t="inlineStr">
        <is>
          <t>FILIPSTAD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20663-2024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45436</v>
      </c>
      <c r="E122" s="1" t="n">
        <v>46273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46273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46273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46273</v>
      </c>
      <c r="F125" t="inlineStr">
        <is>
          <t>VÄRMLANDS LÄN</t>
        </is>
      </c>
      <c r="G125" t="inlineStr">
        <is>
          <t>FILIPSTAD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45569</v>
      </c>
      <c r="E126" s="1" t="n">
        <v>46273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46273</v>
      </c>
      <c r="F127" t="inlineStr">
        <is>
          <t>VÄRMLANDS LÄN</t>
        </is>
      </c>
      <c r="G127" t="inlineStr">
        <is>
          <t>FILIPSTAD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33379-2025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46273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41718-2025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45902</v>
      </c>
      <c r="E129" s="1" t="n">
        <v>46273</v>
      </c>
      <c r="F129" t="inlineStr">
        <is>
          <t>VÄRMLANDS LÄN</t>
        </is>
      </c>
      <c r="G129" t="inlineStr">
        <is>
          <t>FILIPSTAD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45880</v>
      </c>
      <c r="E130" s="1" t="n">
        <v>46273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46273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22866-2023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45072</v>
      </c>
      <c r="E132" s="1" t="n">
        <v>46273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46273</v>
      </c>
      <c r="F133" t="inlineStr">
        <is>
          <t>VÄRMLANDS LÄN</t>
        </is>
      </c>
      <c r="G133" t="inlineStr">
        <is>
          <t>FILIPSTAD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29473-2024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45484</v>
      </c>
      <c r="E134" s="1" t="n">
        <v>46273</v>
      </c>
      <c r="F134" t="inlineStr">
        <is>
          <t>VÄRMLANDS LÄN</t>
        </is>
      </c>
      <c r="G134" t="inlineStr">
        <is>
          <t>FILIPSTAD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46273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46273</v>
      </c>
      <c r="F136" t="inlineStr">
        <is>
          <t>VÄRMLANDS LÄN</t>
        </is>
      </c>
      <c r="G136" t="inlineStr">
        <is>
          <t>FILIPSTAD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39896-2025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46273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46273</v>
      </c>
      <c r="F138" t="inlineStr">
        <is>
          <t>VÄRMLANDS LÄN</t>
        </is>
      </c>
      <c r="G138" t="inlineStr">
        <is>
          <t>FILIPSTAD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46273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46273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45195</v>
      </c>
      <c r="E141" s="1" t="n">
        <v>46273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46273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20554-2025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45775</v>
      </c>
      <c r="E143" s="1" t="n">
        <v>46273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46273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46273</v>
      </c>
      <c r="F145" t="inlineStr">
        <is>
          <t>VÄRMLANDS LÄN</t>
        </is>
      </c>
      <c r="G145" t="inlineStr">
        <is>
          <t>FILIPSTAD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45867</v>
      </c>
      <c r="E146" s="1" t="n">
        <v>46273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46273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46273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46273</v>
      </c>
      <c r="F149" t="inlineStr">
        <is>
          <t>VÄRMLANDS LÄN</t>
        </is>
      </c>
      <c r="G149" t="inlineStr">
        <is>
          <t>FILIPSTAD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46273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16067-2026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46108</v>
      </c>
      <c r="E151" s="1" t="n">
        <v>46273</v>
      </c>
      <c r="F151" t="inlineStr">
        <is>
          <t>VÄRMLANDS LÄN</t>
        </is>
      </c>
      <c r="G151" t="inlineStr">
        <is>
          <t>FILIPSTAD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46273</v>
      </c>
      <c r="F152" t="inlineStr">
        <is>
          <t>VÄRMLANDS LÄN</t>
        </is>
      </c>
      <c r="G152" t="inlineStr">
        <is>
          <t>FILIPSTAD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46273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46273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46273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46273</v>
      </c>
      <c r="F156" t="inlineStr">
        <is>
          <t>VÄRMLANDS LÄN</t>
        </is>
      </c>
      <c r="G156" t="inlineStr">
        <is>
          <t>FILIPSTAD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46273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46273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46273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46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46273</v>
      </c>
      <c r="F160" t="inlineStr">
        <is>
          <t>VÄRMLANDS LÄN</t>
        </is>
      </c>
      <c r="G160" t="inlineStr">
        <is>
          <t>FILIPSTAD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47633-2025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46273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45750</v>
      </c>
      <c r="E162" s="1" t="n">
        <v>46273</v>
      </c>
      <c r="F162" t="inlineStr">
        <is>
          <t>VÄRMLANDS LÄN</t>
        </is>
      </c>
      <c r="G162" t="inlineStr">
        <is>
          <t>FILIPSTAD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46273</v>
      </c>
      <c r="F163" t="inlineStr">
        <is>
          <t>VÄRMLANDS LÄN</t>
        </is>
      </c>
      <c r="G163" t="inlineStr">
        <is>
          <t>FILIPSTAD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48103-2025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45933</v>
      </c>
      <c r="E164" s="1" t="n">
        <v>46273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22045-2026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46273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46273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46273</v>
      </c>
      <c r="F167" t="inlineStr">
        <is>
          <t>VÄRMLANDS LÄN</t>
        </is>
      </c>
      <c r="G167" t="inlineStr">
        <is>
          <t>FILIPSTAD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46273</v>
      </c>
      <c r="F168" t="inlineStr">
        <is>
          <t>VÄRMLANDS LÄN</t>
        </is>
      </c>
      <c r="G168" t="inlineStr">
        <is>
          <t>FILIPSTAD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46273</v>
      </c>
      <c r="F169" t="inlineStr">
        <is>
          <t>VÄRMLANDS LÄN</t>
        </is>
      </c>
      <c r="G169" t="inlineStr">
        <is>
          <t>FILIPSTAD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46273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22176-2026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46273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46273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46273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46273</v>
      </c>
      <c r="F174" t="inlineStr">
        <is>
          <t>VÄRMLANDS LÄN</t>
        </is>
      </c>
      <c r="G174" t="inlineStr">
        <is>
          <t>FILIPSTAD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46273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46273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46273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46273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46273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46273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46273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45014</v>
      </c>
      <c r="E182" s="1" t="n">
        <v>46273</v>
      </c>
      <c r="F182" t="inlineStr">
        <is>
          <t>VÄRMLANDS LÄN</t>
        </is>
      </c>
      <c r="G182" t="inlineStr">
        <is>
          <t>FILIPSTAD</t>
        </is>
      </c>
      <c r="H182" t="inlineStr">
        <is>
          <t>Kyrkan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45427</v>
      </c>
      <c r="E183" s="1" t="n">
        <v>46273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45088</v>
      </c>
      <c r="E184" s="1" t="n">
        <v>46273</v>
      </c>
      <c r="F184" t="inlineStr">
        <is>
          <t>VÄRMLANDS LÄN</t>
        </is>
      </c>
      <c r="G184" t="inlineStr">
        <is>
          <t>FILIPSTAD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46273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19351-2025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45769</v>
      </c>
      <c r="E186" s="1" t="n">
        <v>46273</v>
      </c>
      <c r="F186" t="inlineStr">
        <is>
          <t>VÄRMLANDS LÄN</t>
        </is>
      </c>
      <c r="G186" t="inlineStr">
        <is>
          <t>FILIPSTAD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46273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46273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45088</v>
      </c>
      <c r="E189" s="1" t="n">
        <v>46273</v>
      </c>
      <c r="F189" t="inlineStr">
        <is>
          <t>VÄRMLANDS LÄN</t>
        </is>
      </c>
      <c r="G189" t="inlineStr">
        <is>
          <t>FILIPSTAD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45953</v>
      </c>
      <c r="E190" s="1" t="n">
        <v>46273</v>
      </c>
      <c r="F190" t="inlineStr">
        <is>
          <t>VÄRMLANDS LÄN</t>
        </is>
      </c>
      <c r="G190" t="inlineStr">
        <is>
          <t>FILIPSTAD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46273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45063</v>
      </c>
      <c r="E192" s="1" t="n">
        <v>46273</v>
      </c>
      <c r="F192" t="inlineStr">
        <is>
          <t>VÄRMLANDS LÄN</t>
        </is>
      </c>
      <c r="G192" t="inlineStr">
        <is>
          <t>FILIPSTAD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46273</v>
      </c>
      <c r="F193" t="inlineStr">
        <is>
          <t>VÄRMLANDS LÄN</t>
        </is>
      </c>
      <c r="G193" t="inlineStr">
        <is>
          <t>FILIPSTAD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23602-2026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46273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46273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46273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46163</v>
      </c>
      <c r="E197" s="1" t="n">
        <v>46273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46273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46273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46273</v>
      </c>
      <c r="F200" t="inlineStr">
        <is>
          <t>VÄRMLANDS LÄN</t>
        </is>
      </c>
      <c r="G200" t="inlineStr">
        <is>
          <t>FILIPSTAD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46273</v>
      </c>
      <c r="F201" t="inlineStr">
        <is>
          <t>VÄRMLANDS LÄN</t>
        </is>
      </c>
      <c r="G201" t="inlineStr">
        <is>
          <t>FILIPSTAD</t>
        </is>
      </c>
      <c r="H201" t="inlineStr">
        <is>
          <t>Kyrkan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23514-2026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46273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46273</v>
      </c>
      <c r="F203" t="inlineStr">
        <is>
          <t>VÄRMLANDS LÄN</t>
        </is>
      </c>
      <c r="G203" t="inlineStr">
        <is>
          <t>FILIPSTAD</t>
        </is>
      </c>
      <c r="H203" t="inlineStr">
        <is>
          <t>Kyrkan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46167</v>
      </c>
      <c r="E204" s="1" t="n">
        <v>46273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49935-2025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45940</v>
      </c>
      <c r="E205" s="1" t="n">
        <v>46273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46273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46167</v>
      </c>
      <c r="E207" s="1" t="n">
        <v>46273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46273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46167</v>
      </c>
      <c r="E209" s="1" t="n">
        <v>46273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46167</v>
      </c>
      <c r="E210" s="1" t="n">
        <v>46273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46167</v>
      </c>
      <c r="E211" s="1" t="n">
        <v>46273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23931-2026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46273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24005-2026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46273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24026-2026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46167</v>
      </c>
      <c r="E214" s="1" t="n">
        <v>46273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46167</v>
      </c>
      <c r="E215" s="1" t="n">
        <v>46273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24022-2026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46167</v>
      </c>
      <c r="E216" s="1" t="n">
        <v>46273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46273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46167</v>
      </c>
      <c r="E218" s="1" t="n">
        <v>46273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46167</v>
      </c>
      <c r="E219" s="1" t="n">
        <v>46273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9.300000000000001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46273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45968</v>
      </c>
      <c r="E221" s="1" t="n">
        <v>46273</v>
      </c>
      <c r="F221" t="inlineStr">
        <is>
          <t>VÄRMLANDS LÄN</t>
        </is>
      </c>
      <c r="G221" t="inlineStr">
        <is>
          <t>FILIPSTAD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45968</v>
      </c>
      <c r="E222" s="1" t="n">
        <v>46273</v>
      </c>
      <c r="F222" t="inlineStr">
        <is>
          <t>VÄRMLANDS LÄN</t>
        </is>
      </c>
      <c r="G222" t="inlineStr">
        <is>
          <t>FILIPSTAD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46169</v>
      </c>
      <c r="E223" s="1" t="n">
        <v>46273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46273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46273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46273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46273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46273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46273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46273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46273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46273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46273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46170</v>
      </c>
      <c r="E234" s="1" t="n">
        <v>46273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46273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46273</v>
      </c>
      <c r="F236" t="inlineStr">
        <is>
          <t>VÄRMLANDS LÄN</t>
        </is>
      </c>
      <c r="G236" t="inlineStr">
        <is>
          <t>FILIPSTAD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46273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32183-2025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46273</v>
      </c>
      <c r="F238" t="inlineStr">
        <is>
          <t>VÄRMLANDS LÄN</t>
        </is>
      </c>
      <c r="G238" t="inlineStr">
        <is>
          <t>FILIPSTAD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46273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46273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16063-2025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46273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56158-2025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45974</v>
      </c>
      <c r="E242" s="1" t="n">
        <v>46273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46273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46273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46273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45973</v>
      </c>
      <c r="E246" s="1" t="n">
        <v>46273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9.199999999999999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46273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56008-2025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45973</v>
      </c>
      <c r="E248" s="1" t="n">
        <v>46273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46273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46273</v>
      </c>
      <c r="F250" t="inlineStr">
        <is>
          <t>VÄRMLANDS LÄN</t>
        </is>
      </c>
      <c r="G250" t="inlineStr">
        <is>
          <t>FILIPSTAD</t>
        </is>
      </c>
      <c r="H250" t="inlineStr">
        <is>
          <t>Kyrkan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46273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46273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45271</v>
      </c>
      <c r="E253" s="1" t="n">
        <v>46273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45741</v>
      </c>
      <c r="E254" s="1" t="n">
        <v>46273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46175</v>
      </c>
      <c r="E255" s="1" t="n">
        <v>46273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34512-2023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45133</v>
      </c>
      <c r="E256" s="1" t="n">
        <v>46273</v>
      </c>
      <c r="F256" t="inlineStr">
        <is>
          <t>VÄRMLANDS LÄN</t>
        </is>
      </c>
      <c r="G256" t="inlineStr">
        <is>
          <t>FILIPSTAD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46273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46273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25203-2026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46175</v>
      </c>
      <c r="E259" s="1" t="n">
        <v>46273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8.9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46273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45982</v>
      </c>
      <c r="E261" s="1" t="n">
        <v>46273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28.4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46273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44960</v>
      </c>
      <c r="E263" s="1" t="n">
        <v>46273</v>
      </c>
      <c r="F263" t="inlineStr">
        <is>
          <t>VÄRMLANDS LÄN</t>
        </is>
      </c>
      <c r="G263" t="inlineStr">
        <is>
          <t>FILIPSTAD</t>
        </is>
      </c>
      <c r="H263" t="inlineStr">
        <is>
          <t>Kommuner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44957</v>
      </c>
      <c r="E264" s="1" t="n">
        <v>46273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45393</v>
      </c>
      <c r="E265" s="1" t="n">
        <v>46273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46273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46273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9270-2023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44980</v>
      </c>
      <c r="E268" s="1" t="n">
        <v>46273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45544</v>
      </c>
      <c r="E269" s="1" t="n">
        <v>46273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46273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59290-2025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46273</v>
      </c>
      <c r="F271" t="inlineStr">
        <is>
          <t>VÄRMLANDS LÄN</t>
        </is>
      </c>
      <c r="G271" t="inlineStr">
        <is>
          <t>FILIPSTAD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46273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46178</v>
      </c>
      <c r="E273" s="1" t="n">
        <v>46273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46273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46273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25786-2026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46273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46273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46273</v>
      </c>
      <c r="F278" t="inlineStr">
        <is>
          <t>VÄRMLANDS LÄN</t>
        </is>
      </c>
      <c r="G278" t="inlineStr">
        <is>
          <t>FILIPSTAD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46273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46273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26323-2026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46182</v>
      </c>
      <c r="E281" s="1" t="n">
        <v>46273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46182</v>
      </c>
      <c r="E282" s="1" t="n">
        <v>46273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45989</v>
      </c>
      <c r="E283" s="1" t="n">
        <v>46273</v>
      </c>
      <c r="F283" t="inlineStr">
        <is>
          <t>VÄRMLANDS LÄN</t>
        </is>
      </c>
      <c r="G283" t="inlineStr">
        <is>
          <t>FILIPSTAD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46182</v>
      </c>
      <c r="E284" s="1" t="n">
        <v>46273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46273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43059-2024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45567</v>
      </c>
      <c r="E286" s="1" t="n">
        <v>46273</v>
      </c>
      <c r="F286" t="inlineStr">
        <is>
          <t>VÄRMLANDS LÄN</t>
        </is>
      </c>
      <c r="G286" t="inlineStr">
        <is>
          <t>FILIPSTAD</t>
        </is>
      </c>
      <c r="H286" t="inlineStr">
        <is>
          <t>Kyrkan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45989</v>
      </c>
      <c r="E287" s="1" t="n">
        <v>46273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26298-2026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46182</v>
      </c>
      <c r="E288" s="1" t="n">
        <v>46273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45616</v>
      </c>
      <c r="E289" s="1" t="n">
        <v>46273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45989</v>
      </c>
      <c r="E290" s="1" t="n">
        <v>46273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25976-2026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46181</v>
      </c>
      <c r="E291" s="1" t="n">
        <v>46273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46182</v>
      </c>
      <c r="E292" s="1" t="n">
        <v>46273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46185</v>
      </c>
      <c r="E293" s="1" t="n">
        <v>46273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45418</v>
      </c>
      <c r="E294" s="1" t="n">
        <v>46273</v>
      </c>
      <c r="F294" t="inlineStr">
        <is>
          <t>VÄRMLANDS LÄN</t>
        </is>
      </c>
      <c r="G294" t="inlineStr">
        <is>
          <t>FILIPSTAD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46273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45996</v>
      </c>
      <c r="E296" s="1" t="n">
        <v>46273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45588</v>
      </c>
      <c r="E297" s="1" t="n">
        <v>46273</v>
      </c>
      <c r="F297" t="inlineStr">
        <is>
          <t>VÄRMLANDS LÄN</t>
        </is>
      </c>
      <c r="G297" t="inlineStr">
        <is>
          <t>FILIPSTAD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60550-2025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46273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46273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46273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46187</v>
      </c>
      <c r="E301" s="1" t="n">
        <v>46273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46273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27078-2026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46186</v>
      </c>
      <c r="E303" s="1" t="n">
        <v>46273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46186</v>
      </c>
      <c r="E304" s="1" t="n">
        <v>46273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44637</v>
      </c>
      <c r="E305" s="1" t="n">
        <v>46273</v>
      </c>
      <c r="F305" t="inlineStr">
        <is>
          <t>VÄRMLANDS LÄN</t>
        </is>
      </c>
      <c r="G305" t="inlineStr">
        <is>
          <t>FILIPSTAD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27300-2026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46273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45439</v>
      </c>
      <c r="E307" s="1" t="n">
        <v>46273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46273</v>
      </c>
      <c r="F308" t="inlineStr">
        <is>
          <t>VÄRMLANDS LÄN</t>
        </is>
      </c>
      <c r="G308" t="inlineStr">
        <is>
          <t>FILIPSTAD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46273</v>
      </c>
      <c r="F309" t="inlineStr">
        <is>
          <t>VÄRMLANDS LÄN</t>
        </is>
      </c>
      <c r="G309" t="inlineStr">
        <is>
          <t>FILIPSTAD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61327-2025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46001</v>
      </c>
      <c r="E310" s="1" t="n">
        <v>46273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46273</v>
      </c>
      <c r="F311" t="inlineStr">
        <is>
          <t>VÄRMLANDS LÄN</t>
        </is>
      </c>
      <c r="G311" t="inlineStr">
        <is>
          <t>FILIPSTAD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61482-2025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46273</v>
      </c>
      <c r="F312" t="inlineStr">
        <is>
          <t>VÄRMLANDS LÄN</t>
        </is>
      </c>
      <c r="G312" t="inlineStr">
        <is>
          <t>FILIPSTAD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46002</v>
      </c>
      <c r="E313" s="1" t="n">
        <v>46273</v>
      </c>
      <c r="F313" t="inlineStr">
        <is>
          <t>VÄRMLANDS LÄN</t>
        </is>
      </c>
      <c r="G313" t="inlineStr">
        <is>
          <t>FILIPSTAD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61417-2025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46001</v>
      </c>
      <c r="E314" s="1" t="n">
        <v>46273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46002</v>
      </c>
      <c r="E315" s="1" t="n">
        <v>46273</v>
      </c>
      <c r="F315" t="inlineStr">
        <is>
          <t>VÄRMLANDS LÄN</t>
        </is>
      </c>
      <c r="G315" t="inlineStr">
        <is>
          <t>FILIPSTAD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46273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46273</v>
      </c>
      <c r="F317" t="inlineStr">
        <is>
          <t>VÄRMLANDS LÄN</t>
        </is>
      </c>
      <c r="G317" t="inlineStr">
        <is>
          <t>FILIPSTAD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46232</v>
      </c>
      <c r="E318" s="1" t="n">
        <v>46273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46002</v>
      </c>
      <c r="E319" s="1" t="n">
        <v>46273</v>
      </c>
      <c r="F319" t="inlineStr">
        <is>
          <t>VÄRMLANDS LÄN</t>
        </is>
      </c>
      <c r="G319" t="inlineStr">
        <is>
          <t>FILIPSTAD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46231</v>
      </c>
      <c r="E320" s="1" t="n">
        <v>46273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31957-2026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46232</v>
      </c>
      <c r="E321" s="1" t="n">
        <v>46273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46232</v>
      </c>
      <c r="E322" s="1" t="n">
        <v>46273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46273</v>
      </c>
      <c r="F323" t="inlineStr">
        <is>
          <t>VÄRMLANDS LÄN</t>
        </is>
      </c>
      <c r="G323" t="inlineStr">
        <is>
          <t>FILIPSTAD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61492-2025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46001</v>
      </c>
      <c r="E324" s="1" t="n">
        <v>46273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61391-2025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46273</v>
      </c>
      <c r="F325" t="inlineStr">
        <is>
          <t>VÄRMLANDS LÄN</t>
        </is>
      </c>
      <c r="G325" t="inlineStr">
        <is>
          <t>FILIPSTAD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46004</v>
      </c>
      <c r="E326" s="1" t="n">
        <v>46273</v>
      </c>
      <c r="F326" t="inlineStr">
        <is>
          <t>VÄRMLANDS LÄN</t>
        </is>
      </c>
      <c r="G326" t="inlineStr">
        <is>
          <t>FILIPSTAD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46273</v>
      </c>
      <c r="F327" t="inlineStr">
        <is>
          <t>VÄRMLANDS LÄN</t>
        </is>
      </c>
      <c r="G327" t="inlineStr">
        <is>
          <t>FILIPSTAD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46273</v>
      </c>
      <c r="F328" t="inlineStr">
        <is>
          <t>VÄRMLANDS LÄN</t>
        </is>
      </c>
      <c r="G328" t="inlineStr">
        <is>
          <t>FILIPSTAD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46004</v>
      </c>
      <c r="E329" s="1" t="n">
        <v>46273</v>
      </c>
      <c r="F329" t="inlineStr">
        <is>
          <t>VÄRMLANDS LÄN</t>
        </is>
      </c>
      <c r="G329" t="inlineStr">
        <is>
          <t>FILIPSTAD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61823-2025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46003</v>
      </c>
      <c r="E330" s="1" t="n">
        <v>46273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46273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46273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45232</v>
      </c>
      <c r="E333" s="1" t="n">
        <v>46273</v>
      </c>
      <c r="F333" t="inlineStr">
        <is>
          <t>VÄRMLANDS LÄN</t>
        </is>
      </c>
      <c r="G333" t="inlineStr">
        <is>
          <t>FILIPSTAD</t>
        </is>
      </c>
      <c r="I333" t="n">
        <v>15.5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46273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46233</v>
      </c>
      <c r="E335" s="1" t="n">
        <v>46273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45484</v>
      </c>
      <c r="E336" s="1" t="n">
        <v>46273</v>
      </c>
      <c r="F336" t="inlineStr">
        <is>
          <t>VÄRMLANDS LÄN</t>
        </is>
      </c>
      <c r="G336" t="inlineStr">
        <is>
          <t>FILIPSTAD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46273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46233</v>
      </c>
      <c r="E338" s="1" t="n">
        <v>46273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63482-2021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44508</v>
      </c>
      <c r="E339" s="1" t="n">
        <v>46273</v>
      </c>
      <c r="F339" t="inlineStr">
        <is>
          <t>VÄRMLANDS LÄN</t>
        </is>
      </c>
      <c r="G339" t="inlineStr">
        <is>
          <t>FILIPSTAD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63186-2025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46273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46233</v>
      </c>
      <c r="E341" s="1" t="n">
        <v>46273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32141-2026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46234</v>
      </c>
      <c r="E342" s="1" t="n">
        <v>46273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46273</v>
      </c>
      <c r="F343" t="inlineStr">
        <is>
          <t>VÄRMLANDS LÄN</t>
        </is>
      </c>
      <c r="G343" t="inlineStr">
        <is>
          <t>FILIPSTAD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27968-2026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46273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45665</v>
      </c>
      <c r="E345" s="1" t="n">
        <v>46273</v>
      </c>
      <c r="F345" t="inlineStr">
        <is>
          <t>VÄRMLANDS LÄN</t>
        </is>
      </c>
      <c r="G345" t="inlineStr">
        <is>
          <t>FILIPSTAD</t>
        </is>
      </c>
      <c r="I345" t="n">
        <v>11.7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32248-2026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46237</v>
      </c>
      <c r="E346" s="1" t="n">
        <v>46273</v>
      </c>
      <c r="F346" t="inlineStr">
        <is>
          <t>VÄRMLANDS LÄN</t>
        </is>
      </c>
      <c r="G346" t="inlineStr">
        <is>
          <t>FILIPSTAD</t>
        </is>
      </c>
      <c r="I346" t="n">
        <v>13.4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63678-2025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46014</v>
      </c>
      <c r="E347" s="1" t="n">
        <v>46273</v>
      </c>
      <c r="F347" t="inlineStr">
        <is>
          <t>VÄRMLANDS LÄN</t>
        </is>
      </c>
      <c r="G347" t="inlineStr">
        <is>
          <t>FILIPSTAD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46273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32249-2026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46237</v>
      </c>
      <c r="E349" s="1" t="n">
        <v>46273</v>
      </c>
      <c r="F349" t="inlineStr">
        <is>
          <t>VÄRMLANDS LÄN</t>
        </is>
      </c>
      <c r="G349" t="inlineStr">
        <is>
          <t>FILIPSTAD</t>
        </is>
      </c>
      <c r="H349" t="inlineStr">
        <is>
          <t>Kommuner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46273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70405-2021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44536</v>
      </c>
      <c r="E351" s="1" t="n">
        <v>46273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44596</v>
      </c>
      <c r="E352" s="1" t="n">
        <v>46273</v>
      </c>
      <c r="F352" t="inlineStr">
        <is>
          <t>VÄRMLANDS LÄN</t>
        </is>
      </c>
      <c r="G352" t="inlineStr">
        <is>
          <t>FILIPSTAD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51031-2025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45947</v>
      </c>
      <c r="E353" s="1" t="n">
        <v>46273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46239</v>
      </c>
      <c r="E354" s="1" t="n">
        <v>46273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32572-2026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46239</v>
      </c>
      <c r="E355" s="1" t="n">
        <v>46273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32600-2026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46240</v>
      </c>
      <c r="E356" s="1" t="n">
        <v>46273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46240</v>
      </c>
      <c r="E357" s="1" t="n">
        <v>46273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46197</v>
      </c>
      <c r="E358" s="1" t="n">
        <v>46273</v>
      </c>
      <c r="F358" t="inlineStr">
        <is>
          <t>VÄRMLANDS LÄN</t>
        </is>
      </c>
      <c r="G358" t="inlineStr">
        <is>
          <t>FILIPSTAD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54735-2024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45618</v>
      </c>
      <c r="E359" s="1" t="n">
        <v>46273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46273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32601-2026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46240</v>
      </c>
      <c r="E361" s="1" t="n">
        <v>46273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28419-2026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46273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32588-2026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46240</v>
      </c>
      <c r="E363" s="1" t="n">
        <v>46273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45658</v>
      </c>
      <c r="E364" s="1" t="n">
        <v>46273</v>
      </c>
      <c r="F364" t="inlineStr">
        <is>
          <t>VÄRMLANDS LÄN</t>
        </is>
      </c>
      <c r="G364" t="inlineStr">
        <is>
          <t>FILIPSTAD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58611-2025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45986</v>
      </c>
      <c r="E365" s="1" t="n">
        <v>46273</v>
      </c>
      <c r="F365" t="inlineStr">
        <is>
          <t>VÄRMLANDS LÄN</t>
        </is>
      </c>
      <c r="G365" t="inlineStr">
        <is>
          <t>FILIPSTAD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46239</v>
      </c>
      <c r="E366" s="1" t="n">
        <v>46273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21608-2023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45063</v>
      </c>
      <c r="E367" s="1" t="n">
        <v>46273</v>
      </c>
      <c r="F367" t="inlineStr">
        <is>
          <t>VÄRMLANDS LÄN</t>
        </is>
      </c>
      <c r="G367" t="inlineStr">
        <is>
          <t>FILIPSTAD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45638</v>
      </c>
      <c r="E368" s="1" t="n">
        <v>46273</v>
      </c>
      <c r="F368" t="inlineStr">
        <is>
          <t>VÄRMLANDS LÄN</t>
        </is>
      </c>
      <c r="G368" t="inlineStr">
        <is>
          <t>FILIPSTAD</t>
        </is>
      </c>
      <c r="H368" t="inlineStr">
        <is>
          <t>Kyrkan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32978-2026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46244</v>
      </c>
      <c r="E369" s="1" t="n">
        <v>46273</v>
      </c>
      <c r="F369" t="inlineStr">
        <is>
          <t>VÄRMLANDS LÄN</t>
        </is>
      </c>
      <c r="G369" t="inlineStr">
        <is>
          <t>FILIPSTAD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46040</v>
      </c>
      <c r="E370" s="1" t="n">
        <v>46273</v>
      </c>
      <c r="F370" t="inlineStr">
        <is>
          <t>VÄRMLANDS LÄN</t>
        </is>
      </c>
      <c r="G370" t="inlineStr">
        <is>
          <t>FILIPSTAD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46244</v>
      </c>
      <c r="E371" s="1" t="n">
        <v>46273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46241</v>
      </c>
      <c r="E372" s="1" t="n">
        <v>46273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45229</v>
      </c>
      <c r="E373" s="1" t="n">
        <v>46273</v>
      </c>
      <c r="F373" t="inlineStr">
        <is>
          <t>VÄRMLANDS LÄN</t>
        </is>
      </c>
      <c r="G373" t="inlineStr">
        <is>
          <t>FILIPSTAD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32972-2026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46273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46244</v>
      </c>
      <c r="E375" s="1" t="n">
        <v>46273</v>
      </c>
      <c r="F375" t="inlineStr">
        <is>
          <t>VÄRMLANDS LÄN</t>
        </is>
      </c>
      <c r="G375" t="inlineStr">
        <is>
          <t>FILIPSTAD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46273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46245</v>
      </c>
      <c r="E377" s="1" t="n">
        <v>46273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46273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46246</v>
      </c>
      <c r="E379" s="1" t="n">
        <v>46273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46273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29127-2026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46202</v>
      </c>
      <c r="E381" s="1" t="n">
        <v>46273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46273</v>
      </c>
      <c r="F382" t="inlineStr">
        <is>
          <t>VÄRMLANDS LÄN</t>
        </is>
      </c>
      <c r="G382" t="inlineStr">
        <is>
          <t>FILIPSTAD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46273</v>
      </c>
      <c r="F383" t="inlineStr">
        <is>
          <t>VÄRMLANDS LÄN</t>
        </is>
      </c>
      <c r="G383" t="inlineStr">
        <is>
          <t>FILIPSTAD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29825-2023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45107</v>
      </c>
      <c r="E384" s="1" t="n">
        <v>46273</v>
      </c>
      <c r="F384" t="inlineStr">
        <is>
          <t>VÄRMLANDS LÄN</t>
        </is>
      </c>
      <c r="G384" t="inlineStr">
        <is>
          <t>FILIPSTAD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46273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33092-2026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46245</v>
      </c>
      <c r="E386" s="1" t="n">
        <v>46273</v>
      </c>
      <c r="F386" t="inlineStr">
        <is>
          <t>VÄRMLANDS LÄN</t>
        </is>
      </c>
      <c r="G386" t="inlineStr">
        <is>
          <t>FILIPSTAD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46199</v>
      </c>
      <c r="E387" s="1" t="n">
        <v>46273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46273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45686</v>
      </c>
      <c r="E389" s="1" t="n">
        <v>46273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44743</v>
      </c>
      <c r="E390" s="1" t="n">
        <v>46273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46273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46247</v>
      </c>
      <c r="E392" s="1" t="n">
        <v>46273</v>
      </c>
      <c r="F392" t="inlineStr">
        <is>
          <t>VÄRMLANDS LÄN</t>
        </is>
      </c>
      <c r="G392" t="inlineStr">
        <is>
          <t>FILIPSTAD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46203</v>
      </c>
      <c r="E393" s="1" t="n">
        <v>46273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45184</v>
      </c>
      <c r="E394" s="1" t="n">
        <v>46273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46273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46273</v>
      </c>
      <c r="F396" t="inlineStr">
        <is>
          <t>VÄRMLANDS LÄN</t>
        </is>
      </c>
      <c r="G396" t="inlineStr">
        <is>
          <t>FILIPSTAD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28161-2023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45093</v>
      </c>
      <c r="E397" s="1" t="n">
        <v>46273</v>
      </c>
      <c r="F397" t="inlineStr">
        <is>
          <t>VÄRMLANDS LÄN</t>
        </is>
      </c>
      <c r="G397" t="inlineStr">
        <is>
          <t>FILIPSTAD</t>
        </is>
      </c>
      <c r="H397" t="inlineStr">
        <is>
          <t>Kommuner</t>
        </is>
      </c>
      <c r="I397" t="n">
        <v>15.4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46064</v>
      </c>
      <c r="E398" s="1" t="n">
        <v>46273</v>
      </c>
      <c r="F398" t="inlineStr">
        <is>
          <t>VÄRMLANDS LÄN</t>
        </is>
      </c>
      <c r="G398" t="inlineStr">
        <is>
          <t>FILIPSTAD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29591-2026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46273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46203</v>
      </c>
      <c r="E400" s="1" t="n">
        <v>46273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45456</v>
      </c>
      <c r="E401" s="1" t="n">
        <v>46273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46247</v>
      </c>
      <c r="E402" s="1" t="n">
        <v>46273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19030-2022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44691</v>
      </c>
      <c r="E403" s="1" t="n">
        <v>46273</v>
      </c>
      <c r="F403" t="inlineStr">
        <is>
          <t>VÄRMLANDS LÄN</t>
        </is>
      </c>
      <c r="G403" t="inlineStr">
        <is>
          <t>FILIPSTAD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46273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46090</v>
      </c>
      <c r="E405" s="1" t="n">
        <v>46273</v>
      </c>
      <c r="F405" t="inlineStr">
        <is>
          <t>VÄRMLANDS LÄN</t>
        </is>
      </c>
      <c r="G405" t="inlineStr">
        <is>
          <t>FILIPSTAD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29814-2026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46273</v>
      </c>
      <c r="F406" t="inlineStr">
        <is>
          <t>VÄRMLANDS LÄN</t>
        </is>
      </c>
      <c r="G406" t="inlineStr">
        <is>
          <t>FILIPSTAD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46251</v>
      </c>
      <c r="E407" s="1" t="n">
        <v>46273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33866-2026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46251</v>
      </c>
      <c r="E408" s="1" t="n">
        <v>46273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46252</v>
      </c>
      <c r="E409" s="1" t="n">
        <v>46273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10279-2026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46273</v>
      </c>
      <c r="F410" t="inlineStr">
        <is>
          <t>VÄRMLANDS LÄN</t>
        </is>
      </c>
      <c r="G410" t="inlineStr">
        <is>
          <t>FILIPSTAD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46273</v>
      </c>
      <c r="F411" t="inlineStr">
        <is>
          <t>VÄRMLANDS LÄN</t>
        </is>
      </c>
      <c r="G411" t="inlineStr">
        <is>
          <t>FILIPSTAD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45180</v>
      </c>
      <c r="E412" s="1" t="n">
        <v>46273</v>
      </c>
      <c r="F412" t="inlineStr">
        <is>
          <t>VÄRMLANDS LÄN</t>
        </is>
      </c>
      <c r="G412" t="inlineStr">
        <is>
          <t>FILIPSTAD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16371-2024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45407</v>
      </c>
      <c r="E413" s="1" t="n">
        <v>46273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46213</v>
      </c>
      <c r="E414" s="1" t="n">
        <v>46273</v>
      </c>
      <c r="F414" t="inlineStr">
        <is>
          <t>VÄRMLANDS LÄN</t>
        </is>
      </c>
      <c r="G414" t="inlineStr">
        <is>
          <t>FILIPSTAD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46251</v>
      </c>
      <c r="E415" s="1" t="n">
        <v>46273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34054-2026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46252</v>
      </c>
      <c r="E416" s="1" t="n">
        <v>46273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33857-2026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46251</v>
      </c>
      <c r="E417" s="1" t="n">
        <v>46273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46251</v>
      </c>
      <c r="E418" s="1" t="n">
        <v>46273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46273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46273</v>
      </c>
      <c r="F420" t="inlineStr">
        <is>
          <t>VÄRMLANDS LÄN</t>
        </is>
      </c>
      <c r="G420" t="inlineStr">
        <is>
          <t>FILIPSTAD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12216-2026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46087</v>
      </c>
      <c r="E421" s="1" t="n">
        <v>46273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39633-2023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45167</v>
      </c>
      <c r="E422" s="1" t="n">
        <v>46273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45186</v>
      </c>
      <c r="E423" s="1" t="n">
        <v>46273</v>
      </c>
      <c r="F423" t="inlineStr">
        <is>
          <t>VÄRMLANDS LÄN</t>
        </is>
      </c>
      <c r="G423" t="inlineStr">
        <is>
          <t>FILIPSTAD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30540-2026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46210</v>
      </c>
      <c r="E424" s="1" t="n">
        <v>46273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16103-2025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45750</v>
      </c>
      <c r="E425" s="1" t="n">
        <v>46273</v>
      </c>
      <c r="F425" t="inlineStr">
        <is>
          <t>VÄRMLANDS LÄN</t>
        </is>
      </c>
      <c r="G425" t="inlineStr">
        <is>
          <t>FILIPSTAD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46273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46273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4620-2024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45328</v>
      </c>
      <c r="E428" s="1" t="n">
        <v>46273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36251-2022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44803</v>
      </c>
      <c r="E429" s="1" t="n">
        <v>46273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46273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46273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34493-2026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46273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19.2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34539-2026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46273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46273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13553-2026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46273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8.9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46273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33671-2022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44789</v>
      </c>
      <c r="E437" s="1" t="n">
        <v>46273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13393-2026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46273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46273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13955-2026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46098</v>
      </c>
      <c r="E440" s="1" t="n">
        <v>46273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46257-2022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44847</v>
      </c>
      <c r="E441" s="1" t="n">
        <v>46273</v>
      </c>
      <c r="F441" t="inlineStr">
        <is>
          <t>VÄRMLANDS LÄN</t>
        </is>
      </c>
      <c r="G441" t="inlineStr">
        <is>
          <t>FILIPSTAD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36827-2022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44805</v>
      </c>
      <c r="E442" s="1" t="n">
        <v>46273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37611-2022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44809</v>
      </c>
      <c r="E443" s="1" t="n">
        <v>46273</v>
      </c>
      <c r="F443" t="inlineStr">
        <is>
          <t>VÄRMLANDS LÄN</t>
        </is>
      </c>
      <c r="G443" t="inlineStr">
        <is>
          <t>FILIPSTAD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46273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46100</v>
      </c>
      <c r="E445" s="1" t="n">
        <v>46273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57244-2023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45245</v>
      </c>
      <c r="E446" s="1" t="n">
        <v>46273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46273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34982-2026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46259</v>
      </c>
      <c r="E448" s="1" t="n">
        <v>46273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15197-2026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46273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15848-2026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46273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34916-2026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46273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35290-2026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46273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46273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15920-2026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46107</v>
      </c>
      <c r="E454" s="1" t="n">
        <v>46273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46273</v>
      </c>
      <c r="F455" t="inlineStr">
        <is>
          <t>VÄRMLANDS LÄN</t>
        </is>
      </c>
      <c r="G455" t="inlineStr">
        <is>
          <t>FILIPSTAD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46107</v>
      </c>
      <c r="E456" s="1" t="n">
        <v>46273</v>
      </c>
      <c r="F456" t="inlineStr">
        <is>
          <t>VÄRMLANDS LÄN</t>
        </is>
      </c>
      <c r="G456" t="inlineStr">
        <is>
          <t>FILIPSTAD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46273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46106</v>
      </c>
      <c r="E458" s="1" t="n">
        <v>46273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25338-2023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45087</v>
      </c>
      <c r="E459" s="1" t="n">
        <v>46273</v>
      </c>
      <c r="F459" t="inlineStr">
        <is>
          <t>VÄRMLANDS LÄN</t>
        </is>
      </c>
      <c r="G459" t="inlineStr">
        <is>
          <t>FILIPSTAD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46273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16040-2026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46108</v>
      </c>
      <c r="E461" s="1" t="n">
        <v>46273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46273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46219</v>
      </c>
      <c r="E463" s="1" t="n">
        <v>46273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46261</v>
      </c>
      <c r="E464" s="1" t="n">
        <v>46273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31283-2026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46218</v>
      </c>
      <c r="E465" s="1" t="n">
        <v>46273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35314-2026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46261</v>
      </c>
      <c r="E466" s="1" t="n">
        <v>46273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46266</v>
      </c>
      <c r="E467" s="1" t="n">
        <v>46273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35614-2026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46264</v>
      </c>
      <c r="E468" s="1" t="n">
        <v>46273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46273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46273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46273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46273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35945-2026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46266</v>
      </c>
      <c r="E473" s="1" t="n">
        <v>46273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27426-2026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46273</v>
      </c>
      <c r="F474" t="inlineStr">
        <is>
          <t>VÄRMLANDS LÄN</t>
        </is>
      </c>
      <c r="G474" t="inlineStr">
        <is>
          <t>FILIPSTAD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46120</v>
      </c>
      <c r="E475" s="1" t="n">
        <v>46273</v>
      </c>
      <c r="F475" t="inlineStr">
        <is>
          <t>VÄRMLANDS LÄN</t>
        </is>
      </c>
      <c r="G475" t="inlineStr">
        <is>
          <t>FILIPSTAD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46223</v>
      </c>
      <c r="E476" s="1" t="n">
        <v>46273</v>
      </c>
      <c r="F476" t="inlineStr">
        <is>
          <t>VÄRMLANDS LÄN</t>
        </is>
      </c>
      <c r="G476" t="inlineStr">
        <is>
          <t>FILIPSTAD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41983-2023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45177</v>
      </c>
      <c r="E477" s="1" t="n">
        <v>46273</v>
      </c>
      <c r="F477" t="inlineStr">
        <is>
          <t>VÄRMLANDS LÄN</t>
        </is>
      </c>
      <c r="G477" t="inlineStr">
        <is>
          <t>FILIPSTAD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46273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46273</v>
      </c>
      <c r="F479" t="inlineStr">
        <is>
          <t>VÄRMLANDS LÄN</t>
        </is>
      </c>
      <c r="G479" t="inlineStr">
        <is>
          <t>FILIPSTAD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46273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18022-2026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46125</v>
      </c>
      <c r="E481" s="1" t="n">
        <v>46273</v>
      </c>
      <c r="F481" t="inlineStr">
        <is>
          <t>VÄRMLANDS LÄN</t>
        </is>
      </c>
      <c r="G481" t="inlineStr">
        <is>
          <t>FILIPSTAD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17900-2026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46273</v>
      </c>
      <c r="F482" t="inlineStr">
        <is>
          <t>VÄRMLANDS LÄN</t>
        </is>
      </c>
      <c r="G482" t="inlineStr">
        <is>
          <t>FILIPSTAD</t>
        </is>
      </c>
      <c r="H482" t="inlineStr">
        <is>
          <t>Kommuner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35948-2026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46266</v>
      </c>
      <c r="E483" s="1" t="n">
        <v>46273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17914-2026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46273</v>
      </c>
      <c r="F484" t="inlineStr">
        <is>
          <t>VÄRMLANDS LÄN</t>
        </is>
      </c>
      <c r="G484" t="inlineStr">
        <is>
          <t>FILIPSTAD</t>
        </is>
      </c>
      <c r="H484" t="inlineStr">
        <is>
          <t>Kommuner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46265</v>
      </c>
      <c r="E485" s="1" t="n">
        <v>46273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35615-2026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46264</v>
      </c>
      <c r="E486" s="1" t="n">
        <v>46273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46127</v>
      </c>
      <c r="E487" s="1" t="n">
        <v>46273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46266</v>
      </c>
      <c r="E488" s="1" t="n">
        <v>46273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31537-2026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46223</v>
      </c>
      <c r="E489" s="1" t="n">
        <v>46273</v>
      </c>
      <c r="F489" t="inlineStr">
        <is>
          <t>VÄRMLANDS LÄN</t>
        </is>
      </c>
      <c r="G489" t="inlineStr">
        <is>
          <t>FILIPSTAD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46273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44951</v>
      </c>
      <c r="E491" s="1" t="n">
        <v>46273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46273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18443-2026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46127</v>
      </c>
      <c r="E493" s="1" t="n">
        <v>46273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18530-2026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46127</v>
      </c>
      <c r="E494" s="1" t="n">
        <v>46273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46273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46273</v>
      </c>
      <c r="F496" t="inlineStr">
        <is>
          <t>VÄRMLANDS LÄN</t>
        </is>
      </c>
      <c r="G496" t="inlineStr">
        <is>
          <t>FILIPSTAD</t>
        </is>
      </c>
      <c r="H496" t="inlineStr">
        <is>
          <t>Kommuner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46273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53034-2022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44876</v>
      </c>
      <c r="E498" s="1" t="n">
        <v>46273</v>
      </c>
      <c r="F498" t="inlineStr">
        <is>
          <t>VÄRMLANDS LÄN</t>
        </is>
      </c>
      <c r="G498" t="inlineStr">
        <is>
          <t>FILIPSTAD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31648-2026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46225</v>
      </c>
      <c r="E499" s="1" t="n">
        <v>46273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36377-2023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45152</v>
      </c>
      <c r="E500" s="1" t="n">
        <v>46273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18969-2026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46129</v>
      </c>
      <c r="E501" s="1" t="n">
        <v>46273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46129</v>
      </c>
      <c r="E502" s="1" t="n">
        <v>46273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36234-2026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46268</v>
      </c>
      <c r="E503" s="1" t="n">
        <v>46273</v>
      </c>
      <c r="F503" t="inlineStr">
        <is>
          <t>VÄRMLANDS LÄN</t>
        </is>
      </c>
      <c r="G503" t="inlineStr">
        <is>
          <t>FILIPSTAD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18826-2026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46128</v>
      </c>
      <c r="E504" s="1" t="n">
        <v>46273</v>
      </c>
      <c r="F504" t="inlineStr">
        <is>
          <t>VÄRMLANDS LÄN</t>
        </is>
      </c>
      <c r="G504" t="inlineStr">
        <is>
          <t>FILIPSTAD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53348-2023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45229</v>
      </c>
      <c r="E505" s="1" t="n">
        <v>46273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36297-2026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46268</v>
      </c>
      <c r="E506" s="1" t="n">
        <v>46273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51985-2023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45223</v>
      </c>
      <c r="E507" s="1" t="n">
        <v>46273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50904-2023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46273</v>
      </c>
      <c r="F508" t="inlineStr">
        <is>
          <t>VÄRMLANDS LÄN</t>
        </is>
      </c>
      <c r="G508" t="inlineStr">
        <is>
          <t>FILIPSTAD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46226</v>
      </c>
      <c r="E509" s="1" t="n">
        <v>46273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31699-2026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46226</v>
      </c>
      <c r="E510" s="1" t="n">
        <v>46273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46273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46227</v>
      </c>
      <c r="E512" s="1" t="n">
        <v>46273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19435-2026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46133</v>
      </c>
      <c r="E513" s="1" t="n">
        <v>46273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46227</v>
      </c>
      <c r="E514" s="1" t="n">
        <v>46273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46273</v>
      </c>
      <c r="F515" t="inlineStr">
        <is>
          <t>VÄRMLANDS LÄN</t>
        </is>
      </c>
      <c r="G515" t="inlineStr">
        <is>
          <t>FILIPSTAD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19361-2026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46133</v>
      </c>
      <c r="E516" s="1" t="n">
        <v>46273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19595-2026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46273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46273</v>
      </c>
      <c r="F518" t="inlineStr">
        <is>
          <t>VÄRMLANDS LÄN</t>
        </is>
      </c>
      <c r="G518" t="inlineStr">
        <is>
          <t>FILIPSTAD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55397-2022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44887</v>
      </c>
      <c r="E519" s="1" t="n">
        <v>46273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46273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6520-2023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44960</v>
      </c>
      <c r="E521" s="1" t="n">
        <v>46273</v>
      </c>
      <c r="F521" t="inlineStr">
        <is>
          <t>VÄRMLANDS LÄN</t>
        </is>
      </c>
      <c r="G521" t="inlineStr">
        <is>
          <t>FILIPSTAD</t>
        </is>
      </c>
      <c r="H521" t="inlineStr">
        <is>
          <t>Kommuner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36818-2026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46273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55978-2022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44889</v>
      </c>
      <c r="E523" s="1" t="n">
        <v>46273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20040-2026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46136</v>
      </c>
      <c r="E524" s="1" t="n">
        <v>46273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38075-2025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45882</v>
      </c>
      <c r="E525" s="1" t="n">
        <v>46273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36456-2026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46269</v>
      </c>
      <c r="E526" s="1" t="n">
        <v>46273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46269</v>
      </c>
      <c r="E527" s="1" t="n">
        <v>46273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46272</v>
      </c>
      <c r="E528" s="1" t="n">
        <v>46273</v>
      </c>
      <c r="F528" t="inlineStr">
        <is>
          <t>VÄRMLANDS LÄN</t>
        </is>
      </c>
      <c r="G528" t="inlineStr">
        <is>
          <t>FILIPSTAD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46269</v>
      </c>
      <c r="E529" s="1" t="n">
        <v>46273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18.6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20045-2026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46273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50856-2022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44867</v>
      </c>
      <c r="E531" s="1" t="n">
        <v>46273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46273</v>
      </c>
      <c r="F532" t="inlineStr">
        <is>
          <t>VÄRMLANDS LÄN</t>
        </is>
      </c>
      <c r="G532" t="inlineStr">
        <is>
          <t>FILIPSTAD</t>
        </is>
      </c>
      <c r="I532" t="n">
        <v>11.6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36455-2026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46269</v>
      </c>
      <c r="E533" s="1" t="n">
        <v>46273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36458-2026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46269</v>
      </c>
      <c r="E534" s="1" t="n">
        <v>46273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36871-2026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46272</v>
      </c>
      <c r="E535" s="1" t="n">
        <v>46273</v>
      </c>
      <c r="F535" t="inlineStr">
        <is>
          <t>VÄRMLANDS LÄN</t>
        </is>
      </c>
      <c r="G535" t="inlineStr">
        <is>
          <t>FILIPSTAD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61628-2022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44911</v>
      </c>
      <c r="E536" s="1" t="n">
        <v>46273</v>
      </c>
      <c r="F536" t="inlineStr">
        <is>
          <t>VÄRMLANDS LÄN</t>
        </is>
      </c>
      <c r="G536" t="inlineStr">
        <is>
          <t>FILIPSTAD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43264-2024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45568</v>
      </c>
      <c r="E537" s="1" t="n">
        <v>46273</v>
      </c>
      <c r="F537" t="inlineStr">
        <is>
          <t>VÄRMLANDS LÄN</t>
        </is>
      </c>
      <c r="G537" t="inlineStr">
        <is>
          <t>FILIPSTAD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59296-2023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45253</v>
      </c>
      <c r="E538" s="1" t="n">
        <v>46273</v>
      </c>
      <c r="F538" t="inlineStr">
        <is>
          <t>VÄRMLANDS LÄN</t>
        </is>
      </c>
      <c r="G538" t="inlineStr">
        <is>
          <t>FILIPSTAD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46273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46135</v>
      </c>
      <c r="E540" s="1" t="n">
        <v>46273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8.800000000000001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18210-2024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45420</v>
      </c>
      <c r="E541" s="1" t="n">
        <v>46273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11680-2023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44994</v>
      </c>
      <c r="E542" s="1" t="n">
        <v>46273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36680-2023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45153</v>
      </c>
      <c r="E543" s="1" t="n">
        <v>46273</v>
      </c>
      <c r="F543" t="inlineStr">
        <is>
          <t>VÄRMLANDS LÄN</t>
        </is>
      </c>
      <c r="G543" t="inlineStr">
        <is>
          <t>FILIPSTAD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5803-2023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44963</v>
      </c>
      <c r="E544" s="1" t="n">
        <v>46273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50776-2024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45602</v>
      </c>
      <c r="E545" s="1" t="n">
        <v>46273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51618-2022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44872</v>
      </c>
      <c r="E546" s="1" t="n">
        <v>46273</v>
      </c>
      <c r="F546" t="inlineStr">
        <is>
          <t>VÄRMLANDS LÄN</t>
        </is>
      </c>
      <c r="G546" t="inlineStr">
        <is>
          <t>FILIPSTAD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71971-2021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44544</v>
      </c>
      <c r="E547" s="1" t="n">
        <v>46273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45114</v>
      </c>
      <c r="E548" s="1" t="n">
        <v>46273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44981</v>
      </c>
      <c r="E549" s="1" t="n">
        <v>46273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8.1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54008-2021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44470</v>
      </c>
      <c r="E550" s="1" t="n">
        <v>46273</v>
      </c>
      <c r="F550" t="inlineStr">
        <is>
          <t>VÄRMLANDS LÄN</t>
        </is>
      </c>
      <c r="G550" t="inlineStr">
        <is>
          <t>FILIPSTAD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50786-2024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46273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44963</v>
      </c>
      <c r="E552" s="1" t="n">
        <v>46273</v>
      </c>
      <c r="F552" t="inlineStr">
        <is>
          <t>VÄRMLANDS LÄN</t>
        </is>
      </c>
      <c r="G552" t="inlineStr">
        <is>
          <t>FILIPSTAD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36809-2022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44805</v>
      </c>
      <c r="E553" s="1" t="n">
        <v>46273</v>
      </c>
      <c r="F553" t="inlineStr">
        <is>
          <t>VÄRMLANDS LÄN</t>
        </is>
      </c>
      <c r="G553" t="inlineStr">
        <is>
          <t>FILIPSTAD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33967-2023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45124</v>
      </c>
      <c r="E554" s="1" t="n">
        <v>46273</v>
      </c>
      <c r="F554" t="inlineStr">
        <is>
          <t>VÄRMLANDS LÄN</t>
        </is>
      </c>
      <c r="G554" t="inlineStr">
        <is>
          <t>FILIPSTAD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33973-2023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45124</v>
      </c>
      <c r="E555" s="1" t="n">
        <v>46273</v>
      </c>
      <c r="F555" t="inlineStr">
        <is>
          <t>VÄRMLANDS LÄN</t>
        </is>
      </c>
      <c r="G555" t="inlineStr">
        <is>
          <t>FILIPSTAD</t>
        </is>
      </c>
      <c r="I555" t="n">
        <v>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61741-2022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44911</v>
      </c>
      <c r="E556" s="1" t="n">
        <v>46273</v>
      </c>
      <c r="F556" t="inlineStr">
        <is>
          <t>VÄRMLANDS LÄN</t>
        </is>
      </c>
      <c r="G556" t="inlineStr">
        <is>
          <t>FILIPSTAD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25737-2023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45090</v>
      </c>
      <c r="E557" s="1" t="n">
        <v>46273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44579</v>
      </c>
      <c r="E558" s="1" t="n">
        <v>46273</v>
      </c>
      <c r="F558" t="inlineStr">
        <is>
          <t>VÄRMLANDS LÄN</t>
        </is>
      </c>
      <c r="G558" t="inlineStr">
        <is>
          <t>FILIPSTAD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15471-2024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45401</v>
      </c>
      <c r="E559" s="1" t="n">
        <v>46273</v>
      </c>
      <c r="F559" t="inlineStr">
        <is>
          <t>VÄRMLANDS LÄN</t>
        </is>
      </c>
      <c r="G559" t="inlineStr">
        <is>
          <t>FILIPSTAD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32786-2024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45516</v>
      </c>
      <c r="E560" s="1" t="n">
        <v>46273</v>
      </c>
      <c r="F560" t="inlineStr">
        <is>
          <t>VÄRMLANDS LÄN</t>
        </is>
      </c>
      <c r="G560" t="inlineStr">
        <is>
          <t>FILIPSTAD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5992-2023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44959</v>
      </c>
      <c r="E561" s="1" t="n">
        <v>46273</v>
      </c>
      <c r="F561" t="inlineStr">
        <is>
          <t>VÄRMLANDS LÄN</t>
        </is>
      </c>
      <c r="G561" t="inlineStr">
        <is>
          <t>FILIPSTAD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45655</v>
      </c>
      <c r="E562" s="1" t="n">
        <v>46273</v>
      </c>
      <c r="F562" t="inlineStr">
        <is>
          <t>VÄRMLANDS LÄN</t>
        </is>
      </c>
      <c r="G562" t="inlineStr">
        <is>
          <t>FILIPSTAD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17686-2023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45037</v>
      </c>
      <c r="E563" s="1" t="n">
        <v>46273</v>
      </c>
      <c r="F563" t="inlineStr">
        <is>
          <t>VÄRMLANDS LÄN</t>
        </is>
      </c>
      <c r="G563" t="inlineStr">
        <is>
          <t>FILIPSTAD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4418-2024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45327</v>
      </c>
      <c r="E564" s="1" t="n">
        <v>46273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9.300000000000001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45516-2024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45578</v>
      </c>
      <c r="E565" s="1" t="n">
        <v>46273</v>
      </c>
      <c r="F565" t="inlineStr">
        <is>
          <t>VÄRMLANDS LÄN</t>
        </is>
      </c>
      <c r="G565" t="inlineStr">
        <is>
          <t>FILIPSTAD</t>
        </is>
      </c>
      <c r="I565" t="n">
        <v>27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46680-2024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45583</v>
      </c>
      <c r="E566" s="1" t="n">
        <v>46273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22830-2023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45072</v>
      </c>
      <c r="E567" s="1" t="n">
        <v>46273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62013-2024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45655</v>
      </c>
      <c r="E568" s="1" t="n">
        <v>46273</v>
      </c>
      <c r="F568" t="inlineStr">
        <is>
          <t>VÄRMLANDS LÄN</t>
        </is>
      </c>
      <c r="G568" t="inlineStr">
        <is>
          <t>FILIPSTAD</t>
        </is>
      </c>
      <c r="I568" t="n">
        <v>26.5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48040-2023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45204</v>
      </c>
      <c r="E569" s="1" t="n">
        <v>46273</v>
      </c>
      <c r="F569" t="inlineStr">
        <is>
          <t>VÄRMLANDS LÄN</t>
        </is>
      </c>
      <c r="G569" t="inlineStr">
        <is>
          <t>FILIPSTAD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48908-2023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45195</v>
      </c>
      <c r="E570" s="1" t="n">
        <v>46273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44935</v>
      </c>
      <c r="E571" s="1" t="n">
        <v>46273</v>
      </c>
      <c r="F571" t="inlineStr">
        <is>
          <t>VÄRMLANDS LÄN</t>
        </is>
      </c>
      <c r="G571" t="inlineStr">
        <is>
          <t>FILIPSTAD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10306-2025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45720</v>
      </c>
      <c r="E572" s="1" t="n">
        <v>46273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41075-2023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46273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14582-2025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45742</v>
      </c>
      <c r="E574" s="1" t="n">
        <v>46273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56840-2024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45628</v>
      </c>
      <c r="E575" s="1" t="n">
        <v>46273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45712</v>
      </c>
      <c r="E576" s="1" t="n">
        <v>46273</v>
      </c>
      <c r="F576" t="inlineStr">
        <is>
          <t>VÄRMLANDS LÄN</t>
        </is>
      </c>
      <c r="G576" t="inlineStr">
        <is>
          <t>FILIPSTAD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45077</v>
      </c>
      <c r="E577" s="1" t="n">
        <v>46273</v>
      </c>
      <c r="F577" t="inlineStr">
        <is>
          <t>VÄRMLANDS LÄN</t>
        </is>
      </c>
      <c r="G577" t="inlineStr">
        <is>
          <t>FILIPSTAD</t>
        </is>
      </c>
      <c r="I577" t="n">
        <v>15.8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60524-2024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45643</v>
      </c>
      <c r="E578" s="1" t="n">
        <v>46273</v>
      </c>
      <c r="F578" t="inlineStr">
        <is>
          <t>VÄRMLANDS LÄN</t>
        </is>
      </c>
      <c r="G578" t="inlineStr">
        <is>
          <t>FILIPSTAD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45740</v>
      </c>
      <c r="E579" s="1" t="n">
        <v>46273</v>
      </c>
      <c r="F579" t="inlineStr">
        <is>
          <t>VÄRMLANDS LÄN</t>
        </is>
      </c>
      <c r="G579" t="inlineStr">
        <is>
          <t>FILIPSTAD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15228-2025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45744</v>
      </c>
      <c r="E580" s="1" t="n">
        <v>46273</v>
      </c>
      <c r="F580" t="inlineStr">
        <is>
          <t>VÄRMLANDS LÄN</t>
        </is>
      </c>
      <c r="G580" t="inlineStr">
        <is>
          <t>FILIPSTAD</t>
        </is>
      </c>
      <c r="H580" t="inlineStr">
        <is>
          <t>Kommuner</t>
        </is>
      </c>
      <c r="I580" t="n">
        <v>17.7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20661-2024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45436</v>
      </c>
      <c r="E581" s="1" t="n">
        <v>46273</v>
      </c>
      <c r="F581" t="inlineStr">
        <is>
          <t>VÄRMLANDS LÄN</t>
        </is>
      </c>
      <c r="G581" t="inlineStr">
        <is>
          <t>FILIPSTAD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34262-2024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45524</v>
      </c>
      <c r="E582" s="1" t="n">
        <v>46273</v>
      </c>
      <c r="F582" t="inlineStr">
        <is>
          <t>VÄRMLANDS LÄN</t>
        </is>
      </c>
      <c r="G582" t="inlineStr">
        <is>
          <t>FILIPSTAD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45299</v>
      </c>
      <c r="E583" s="1" t="n">
        <v>46273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45495</v>
      </c>
      <c r="E584" s="1" t="n">
        <v>46273</v>
      </c>
      <c r="F584" t="inlineStr">
        <is>
          <t>VÄRMLANDS LÄN</t>
        </is>
      </c>
      <c r="G584" t="inlineStr">
        <is>
          <t>FILIPSTAD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27139-2024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45471</v>
      </c>
      <c r="E585" s="1" t="n">
        <v>46273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45414</v>
      </c>
      <c r="E586" s="1" t="n">
        <v>46273</v>
      </c>
      <c r="F586" t="inlineStr">
        <is>
          <t>VÄRMLANDS LÄN</t>
        </is>
      </c>
      <c r="G586" t="inlineStr">
        <is>
          <t>FILIPSTAD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20875-2024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45439</v>
      </c>
      <c r="E587" s="1" t="n">
        <v>46273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45667</v>
      </c>
      <c r="E588" s="1" t="n">
        <v>46273</v>
      </c>
      <c r="F588" t="inlineStr">
        <is>
          <t>VÄRMLANDS LÄN</t>
        </is>
      </c>
      <c r="G588" t="inlineStr">
        <is>
          <t>FILIPSTAD</t>
        </is>
      </c>
      <c r="H588" t="inlineStr">
        <is>
          <t>Kommuner</t>
        </is>
      </c>
      <c r="I588" t="n">
        <v>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47002-2024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45586</v>
      </c>
      <c r="E589" s="1" t="n">
        <v>46273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65167-2021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44515</v>
      </c>
      <c r="E590" s="1" t="n">
        <v>46273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46273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23266-2025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45791</v>
      </c>
      <c r="E592" s="1" t="n">
        <v>46273</v>
      </c>
      <c r="F592" t="inlineStr">
        <is>
          <t>VÄRMLANDS LÄN</t>
        </is>
      </c>
      <c r="G592" t="inlineStr">
        <is>
          <t>FILIPSTAD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45792</v>
      </c>
      <c r="E593" s="1" t="n">
        <v>46273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46273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48702-2024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45593</v>
      </c>
      <c r="E595" s="1" t="n">
        <v>46273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45530</v>
      </c>
      <c r="E596" s="1" t="n">
        <v>46273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23399-2025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45792</v>
      </c>
      <c r="E597" s="1" t="n">
        <v>46273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45667</v>
      </c>
      <c r="E598" s="1" t="n">
        <v>46273</v>
      </c>
      <c r="F598" t="inlineStr">
        <is>
          <t>VÄRMLANDS LÄN</t>
        </is>
      </c>
      <c r="G598" t="inlineStr">
        <is>
          <t>FILIPSTAD</t>
        </is>
      </c>
      <c r="H598" t="inlineStr">
        <is>
          <t>Kommuner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20844-2024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45439</v>
      </c>
      <c r="E599" s="1" t="n">
        <v>46273</v>
      </c>
      <c r="F599" t="inlineStr">
        <is>
          <t>VÄRMLANDS LÄN</t>
        </is>
      </c>
      <c r="G599" t="inlineStr">
        <is>
          <t>FILIPSTAD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3979-2024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45322</v>
      </c>
      <c r="E600" s="1" t="n">
        <v>46273</v>
      </c>
      <c r="F600" t="inlineStr">
        <is>
          <t>VÄRMLANDS LÄN</t>
        </is>
      </c>
      <c r="G600" t="inlineStr">
        <is>
          <t>FILIPSTAD</t>
        </is>
      </c>
      <c r="I600" t="n">
        <v>8.199999999999999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72118-2021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44543</v>
      </c>
      <c r="E601" s="1" t="n">
        <v>46273</v>
      </c>
      <c r="F601" t="inlineStr">
        <is>
          <t>VÄRMLANDS LÄN</t>
        </is>
      </c>
      <c r="G601" t="inlineStr">
        <is>
          <t>FILIPSTAD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24143-2025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45796</v>
      </c>
      <c r="E602" s="1" t="n">
        <v>46273</v>
      </c>
      <c r="F602" t="inlineStr">
        <is>
          <t>VÄRMLANDS LÄN</t>
        </is>
      </c>
      <c r="G602" t="inlineStr">
        <is>
          <t>FILIPSTAD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15396-2025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45747</v>
      </c>
      <c r="E603" s="1" t="n">
        <v>46273</v>
      </c>
      <c r="F603" t="inlineStr">
        <is>
          <t>VÄRMLANDS LÄN</t>
        </is>
      </c>
      <c r="G603" t="inlineStr">
        <is>
          <t>FILIPSTAD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23775-2025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45793</v>
      </c>
      <c r="E604" s="1" t="n">
        <v>46273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8712-2024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45355</v>
      </c>
      <c r="E605" s="1" t="n">
        <v>46273</v>
      </c>
      <c r="F605" t="inlineStr">
        <is>
          <t>VÄRMLANDS LÄN</t>
        </is>
      </c>
      <c r="G605" t="inlineStr">
        <is>
          <t>FILIPSTAD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65174-2021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44515</v>
      </c>
      <c r="E606" s="1" t="n">
        <v>46273</v>
      </c>
      <c r="F606" t="inlineStr">
        <is>
          <t>VÄRMLANDS LÄN</t>
        </is>
      </c>
      <c r="G606" t="inlineStr">
        <is>
          <t>FILIPSTAD</t>
        </is>
      </c>
      <c r="I606" t="n">
        <v>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15406-2025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46273</v>
      </c>
      <c r="F607" t="inlineStr">
        <is>
          <t>VÄRMLANDS LÄN</t>
        </is>
      </c>
      <c r="G607" t="inlineStr">
        <is>
          <t>FILIPSTAD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35799-2022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44801</v>
      </c>
      <c r="E608" s="1" t="n">
        <v>46273</v>
      </c>
      <c r="F608" t="inlineStr">
        <is>
          <t>VÄRMLANDS LÄN</t>
        </is>
      </c>
      <c r="G608" t="inlineStr">
        <is>
          <t>FILIPSTAD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47261-2024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45586</v>
      </c>
      <c r="E609" s="1" t="n">
        <v>46273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26123-2025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45805</v>
      </c>
      <c r="E610" s="1" t="n">
        <v>46273</v>
      </c>
      <c r="F610" t="inlineStr">
        <is>
          <t>VÄRMLANDS LÄN</t>
        </is>
      </c>
      <c r="G610" t="inlineStr">
        <is>
          <t>FILIPSTAD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26116-2025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45805</v>
      </c>
      <c r="E611" s="1" t="n">
        <v>46273</v>
      </c>
      <c r="F611" t="inlineStr">
        <is>
          <t>VÄRMLANDS LÄN</t>
        </is>
      </c>
      <c r="G611" t="inlineStr">
        <is>
          <t>FILIPSTAD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26812-2025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45810</v>
      </c>
      <c r="E612" s="1" t="n">
        <v>46273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26843-2024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45470</v>
      </c>
      <c r="E613" s="1" t="n">
        <v>46273</v>
      </c>
      <c r="F613" t="inlineStr">
        <is>
          <t>VÄRMLANDS LÄN</t>
        </is>
      </c>
      <c r="G613" t="inlineStr">
        <is>
          <t>FILIPSTAD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26599-2024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45469</v>
      </c>
      <c r="E614" s="1" t="n">
        <v>46273</v>
      </c>
      <c r="F614" t="inlineStr">
        <is>
          <t>VÄRMLANDS LÄN</t>
        </is>
      </c>
      <c r="G614" t="inlineStr">
        <is>
          <t>FILIPSTAD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30049-2025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45826</v>
      </c>
      <c r="E615" s="1" t="n">
        <v>46273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29568-2025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45825</v>
      </c>
      <c r="E616" s="1" t="n">
        <v>46273</v>
      </c>
      <c r="F616" t="inlineStr">
        <is>
          <t>VÄRMLANDS LÄN</t>
        </is>
      </c>
      <c r="G616" t="inlineStr">
        <is>
          <t>FILIPSTAD</t>
        </is>
      </c>
      <c r="H616" t="inlineStr">
        <is>
          <t>Kyrkan</t>
        </is>
      </c>
      <c r="I616" t="n">
        <v>9.199999999999999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29660-2025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45825</v>
      </c>
      <c r="E617" s="1" t="n">
        <v>46273</v>
      </c>
      <c r="F617" t="inlineStr">
        <is>
          <t>VÄRMLANDS LÄN</t>
        </is>
      </c>
      <c r="G617" t="inlineStr">
        <is>
          <t>FILIPSTAD</t>
        </is>
      </c>
      <c r="I617" t="n">
        <v>23.3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29944-2025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45826</v>
      </c>
      <c r="E618" s="1" t="n">
        <v>46273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30169-2025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45827</v>
      </c>
      <c r="E619" s="1" t="n">
        <v>46273</v>
      </c>
      <c r="F619" t="inlineStr">
        <is>
          <t>VÄRMLANDS LÄN</t>
        </is>
      </c>
      <c r="G619" t="inlineStr">
        <is>
          <t>FILIPSTAD</t>
        </is>
      </c>
      <c r="H619" t="inlineStr">
        <is>
          <t>Kyrkan</t>
        </is>
      </c>
      <c r="I619" t="n">
        <v>6.5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31172-2025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45832</v>
      </c>
      <c r="E620" s="1" t="n">
        <v>46273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31883-2025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45834</v>
      </c>
      <c r="E621" s="1" t="n">
        <v>46273</v>
      </c>
      <c r="F621" t="inlineStr">
        <is>
          <t>VÄRMLANDS LÄN</t>
        </is>
      </c>
      <c r="G621" t="inlineStr">
        <is>
          <t>FILIPSTAD</t>
        </is>
      </c>
      <c r="I621" t="n">
        <v>18.7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32032-2025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45835</v>
      </c>
      <c r="E622" s="1" t="n">
        <v>46273</v>
      </c>
      <c r="F622" t="inlineStr">
        <is>
          <t>VÄRMLANDS LÄN</t>
        </is>
      </c>
      <c r="G622" t="inlineStr">
        <is>
          <t>FILIPSTAD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30165-2025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45827</v>
      </c>
      <c r="E623" s="1" t="n">
        <v>46273</v>
      </c>
      <c r="F623" t="inlineStr">
        <is>
          <t>VÄRMLANDS LÄN</t>
        </is>
      </c>
      <c r="G623" t="inlineStr">
        <is>
          <t>FILIPSTAD</t>
        </is>
      </c>
      <c r="H623" t="inlineStr">
        <is>
          <t>Kyrkan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4743-2025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45688</v>
      </c>
      <c r="E624" s="1" t="n">
        <v>46273</v>
      </c>
      <c r="F624" t="inlineStr">
        <is>
          <t>VÄRMLANDS LÄN</t>
        </is>
      </c>
      <c r="G624" t="inlineStr">
        <is>
          <t>FILIPSTAD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33407-2025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45841</v>
      </c>
      <c r="E625" s="1" t="n">
        <v>46273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30077-2025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45826</v>
      </c>
      <c r="E626" s="1" t="n">
        <v>46273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36582-2025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45870</v>
      </c>
      <c r="E627" s="1" t="n">
        <v>46273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38175-2025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45882</v>
      </c>
      <c r="E628" s="1" t="n">
        <v>46273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5757-2021</t>
        </is>
      </c>
      <c r="B629" t="inlineStr">
        <is>
          <t>samrådsanmälan</t>
        </is>
      </c>
      <c r="C629" t="inlineStr">
        <is>
          <t>Basväg</t>
        </is>
      </c>
      <c r="D629" s="1" t="n">
        <v>44438</v>
      </c>
      <c r="E629" s="1" t="n">
        <v>46273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1191-2021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44328</v>
      </c>
      <c r="E630" s="1" t="n">
        <v>46273</v>
      </c>
      <c r="F630" t="inlineStr">
        <is>
          <t>VÄRMLANDS LÄN</t>
        </is>
      </c>
      <c r="G630" t="inlineStr">
        <is>
          <t>FILIPSTAD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4134-2023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46273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4115-2023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45246</v>
      </c>
      <c r="E632" s="1" t="n">
        <v>46273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46273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4132-2023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46273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4130-2023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46273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4127-2023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46273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56.4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837-2023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44991</v>
      </c>
      <c r="E637" s="1" t="n">
        <v>46273</v>
      </c>
      <c r="F637" t="inlineStr">
        <is>
          <t>VÄRMLANDS LÄN</t>
        </is>
      </c>
      <c r="G637" t="inlineStr">
        <is>
          <t>FILIPSTAD</t>
        </is>
      </c>
      <c r="I637" t="n">
        <v>19.3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46273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3919-2023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45233</v>
      </c>
      <c r="E639" s="1" t="n">
        <v>46273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4135-2023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46273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4126-2023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46273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294-2025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45687</v>
      </c>
      <c r="E642" s="1" t="n">
        <v>46273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4116-2023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45246</v>
      </c>
      <c r="E643" s="1" t="n">
        <v>46273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661-2025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45716</v>
      </c>
      <c r="E644" s="1" t="n">
        <v>46273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161.7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3429-2025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45995</v>
      </c>
      <c r="E645" s="1" t="n">
        <v>46273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3576-2025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46010</v>
      </c>
      <c r="E646" s="1" t="n">
        <v>46273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105-2026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46036</v>
      </c>
      <c r="E647" s="1" t="n">
        <v>46273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238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2026-09-08T02:11:10Z</dcterms:created>
  <dcterms:modified xmlns:dcterms="http://purl.org/dc/terms/" xmlns:xsi="http://www.w3.org/2001/XMLSchema-instance" xsi:type="dcterms:W3CDTF">2026-09-08T02:11:10Z</dcterms:modified>
</cp:coreProperties>
</file>