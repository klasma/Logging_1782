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46305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46305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46305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46305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46305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46305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46305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28915-2026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46199</v>
      </c>
      <c r="E16" s="1" t="n">
        <v>46305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12.3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11</v>
      </c>
      <c r="U16" t="n">
        <v>11</v>
      </c>
      <c r="V16" s="2" t="inlineStr">
        <is>
          <t>Plattlummer
Stjärnstarr
Fläcknycklar</t>
        </is>
      </c>
      <c r="W16">
        <f>HYPERLINK("https://klasma.github.io/Logging_1782/artfynd/A 28915-2026 artfynd.xlsx", "A 28915-2026")</f>
        <v/>
      </c>
      <c r="X16">
        <f>HYPERLINK("https://klasma.github.io/Logging_1782/kartor/A 28915-2026 karta.png", "A 28915-2026")</f>
        <v/>
      </c>
      <c r="Y16">
        <f>HYPERLINK("https://klasma.github.io/Logging_1782/kartor_geotiff/A 28915-2026 georefererad karta.tif", "A 28915-2026")</f>
        <v/>
      </c>
      <c r="AA16">
        <f>HYPERLINK("https://klasma.github.io/Logging_1782/klagomål/A 28915-2026 FSC-klagomål.docx", "A 28915-2026")</f>
        <v/>
      </c>
      <c r="AB16">
        <f>HYPERLINK("https://klasma.github.io/Logging_1782/klagomålsmail/A 28915-2026 FSC-klagomål mail.docx", "A 28915-2026")</f>
        <v/>
      </c>
      <c r="AC16">
        <f>HYPERLINK("https://klasma.github.io/Logging_1782/tillsyn/A 28915-2026 tillsynsbegäran.docx", "A 28915-2026")</f>
        <v/>
      </c>
      <c r="AD16">
        <f>HYPERLINK("https://klasma.github.io/Logging_1782/tillsynsmail/A 28915-2026 tillsynsbegäran mail.docx", "A 28915-2026")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46305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46305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46305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34684-2026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46258</v>
      </c>
      <c r="E20" s="1" t="n">
        <v>46305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7.2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Bårdlav
Stuplav
Fläcknycklar</t>
        </is>
      </c>
      <c r="W20">
        <f>HYPERLINK("https://klasma.github.io/Logging_1782/artfynd/A 34684-2026 artfynd.xlsx", "A 34684-2026")</f>
        <v/>
      </c>
      <c r="X20">
        <f>HYPERLINK("https://klasma.github.io/Logging_1782/kartor/A 34684-2026 karta.png", "A 34684-2026")</f>
        <v/>
      </c>
      <c r="Y20">
        <f>HYPERLINK("https://klasma.github.io/Logging_1782/kartor_geotiff/A 34684-2026 georefererad karta.tif", "A 34684-2026")</f>
        <v/>
      </c>
      <c r="AA20">
        <f>HYPERLINK("https://klasma.github.io/Logging_1782/klagomål/A 34684-2026 FSC-klagomål.docx", "A 34684-2026")</f>
        <v/>
      </c>
      <c r="AB20">
        <f>HYPERLINK("https://klasma.github.io/Logging_1782/klagomålsmail/A 34684-2026 FSC-klagomål mail.docx", "A 34684-2026")</f>
        <v/>
      </c>
      <c r="AC20">
        <f>HYPERLINK("https://klasma.github.io/Logging_1782/tillsyn/A 34684-2026 tillsynsbegäran.docx", "A 34684-2026")</f>
        <v/>
      </c>
      <c r="AD20">
        <f>HYPERLINK("https://klasma.github.io/Logging_1782/tillsynsmail/A 34684-2026 tillsynsbegäran mail.docx", "A 34684-2026")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46305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46305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45523-2022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44845</v>
      </c>
      <c r="E23" s="1" t="n">
        <v>46305</v>
      </c>
      <c r="F23" t="inlineStr">
        <is>
          <t>VÄRMLANDS LÄN</t>
        </is>
      </c>
      <c r="G23" t="inlineStr">
        <is>
          <t>FILIPSTAD</t>
        </is>
      </c>
      <c r="I23" t="n">
        <v>7.7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Bronshjon
Korallblylav</t>
        </is>
      </c>
      <c r="W23">
        <f>HYPERLINK("https://klasma.github.io/Logging_1782/artfynd/A 45523-2022 artfynd.xlsx", "A 45523-2022")</f>
        <v/>
      </c>
      <c r="X23">
        <f>HYPERLINK("https://klasma.github.io/Logging_1782/kartor/A 45523-2022 karta.png", "A 45523-2022")</f>
        <v/>
      </c>
      <c r="Y23">
        <f>HYPERLINK("https://klasma.github.io/Logging_1782/kartor_geotiff/A 45523-2022 georefererad karta.tif", "A 45523-2022")</f>
        <v/>
      </c>
      <c r="AA23">
        <f>HYPERLINK("https://klasma.github.io/Logging_1782/klagomål/A 45523-2022 FSC-klagomål.docx", "A 45523-2022")</f>
        <v/>
      </c>
      <c r="AB23">
        <f>HYPERLINK("https://klasma.github.io/Logging_1782/klagomålsmail/A 45523-2022 FSC-klagomål mail.docx", "A 45523-2022")</f>
        <v/>
      </c>
      <c r="AC23">
        <f>HYPERLINK("https://klasma.github.io/Logging_1782/tillsyn/A 45523-2022 tillsynsbegäran.docx", "A 45523-2022")</f>
        <v/>
      </c>
      <c r="AD23">
        <f>HYPERLINK("https://klasma.github.io/Logging_1782/tillsynsmail/A 45523-2022 tillsynsbegäran mail.docx", "A 45523-2022")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46305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46305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46305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51922-2024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46305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Läderlappslav
Tjäder</t>
        </is>
      </c>
      <c r="W27">
        <f>HYPERLINK("https://klasma.github.io/Logging_1782/artfynd/A 51922-2024 artfynd.xlsx", "A 51922-2024")</f>
        <v/>
      </c>
      <c r="X27">
        <f>HYPERLINK("https://klasma.github.io/Logging_1782/kartor/A 51922-2024 karta.png", "A 51922-2024")</f>
        <v/>
      </c>
      <c r="Y27">
        <f>HYPERLINK("https://klasma.github.io/Logging_1782/kartor_geotiff/A 51922-2024 georefererad karta.tif", "A 51922-2024")</f>
        <v/>
      </c>
      <c r="AA27">
        <f>HYPERLINK("https://klasma.github.io/Logging_1782/klagomål/A 51922-2024 FSC-klagomål.docx", "A 51922-2024")</f>
        <v/>
      </c>
      <c r="AB27">
        <f>HYPERLINK("https://klasma.github.io/Logging_1782/klagomålsmail/A 51922-2024 FSC-klagomål mail.docx", "A 51922-2024")</f>
        <v/>
      </c>
      <c r="AC27">
        <f>HYPERLINK("https://klasma.github.io/Logging_1782/tillsyn/A 51922-2024 tillsynsbegäran.docx", "A 51922-2024")</f>
        <v/>
      </c>
      <c r="AD27">
        <f>HYPERLINK("https://klasma.github.io/Logging_1782/tillsynsmail/A 51922-2024 tillsynsbegäran mail.docx", "A 51922-2024")</f>
        <v/>
      </c>
      <c r="AE27">
        <f>HYPERLINK("https://klasma.github.io/Logging_1782/fåglar/A 51922-2024 prioriterade fågelarter.docx", "A 51922-2024")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46305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46305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46305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46305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46305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5992-2023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44959</v>
      </c>
      <c r="E35" s="1" t="n">
        <v>46305</v>
      </c>
      <c r="F35" t="inlineStr">
        <is>
          <t>VÄRMLANDS LÄN</t>
        </is>
      </c>
      <c r="G35" t="inlineStr">
        <is>
          <t>FILIPSTAD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5992-2023 artfynd.xlsx", "A 5992-2023")</f>
        <v/>
      </c>
      <c r="X35">
        <f>HYPERLINK("https://klasma.github.io/Logging_1782/kartor/A 5992-2023 karta.png", "A 5992-2023")</f>
        <v/>
      </c>
      <c r="Y35">
        <f>HYPERLINK("https://klasma.github.io/Logging_1782/kartor_geotiff/A 5992-2023 georefererad karta.tif", "A 5992-2023")</f>
        <v/>
      </c>
      <c r="AA35">
        <f>HYPERLINK("https://klasma.github.io/Logging_1782/klagomål/A 5992-2023 FSC-klagomål.docx", "A 5992-2023")</f>
        <v/>
      </c>
      <c r="AB35">
        <f>HYPERLINK("https://klasma.github.io/Logging_1782/klagomålsmail/A 5992-2023 FSC-klagomål mail.docx", "A 5992-2023")</f>
        <v/>
      </c>
      <c r="AC35">
        <f>HYPERLINK("https://klasma.github.io/Logging_1782/tillsyn/A 5992-2023 tillsynsbegäran.docx", "A 5992-2023")</f>
        <v/>
      </c>
      <c r="AD35">
        <f>HYPERLINK("https://klasma.github.io/Logging_1782/tillsynsmail/A 5992-2023 tillsynsbegäran mail.docx", "A 5992-2023")</f>
        <v/>
      </c>
    </row>
    <row r="36" ht="15" customHeight="1">
      <c r="A36" t="inlineStr">
        <is>
          <t>A 10138-2024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45364</v>
      </c>
      <c r="E36" s="1" t="n">
        <v>46305</v>
      </c>
      <c r="F36" t="inlineStr">
        <is>
          <t>VÄRMLANDS LÄN</t>
        </is>
      </c>
      <c r="G36" t="inlineStr">
        <is>
          <t>FILIPSTAD</t>
        </is>
      </c>
      <c r="H36" t="inlineStr">
        <is>
          <t>Kommuner</t>
        </is>
      </c>
      <c r="I36" t="n">
        <v>6.8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Purpurknipprot</t>
        </is>
      </c>
      <c r="W36">
        <f>HYPERLINK("https://klasma.github.io/Logging_1782/artfynd/A 10138-2024 artfynd.xlsx", "A 10138-2024")</f>
        <v/>
      </c>
      <c r="X36">
        <f>HYPERLINK("https://klasma.github.io/Logging_1782/kartor/A 10138-2024 karta.png", "A 10138-2024")</f>
        <v/>
      </c>
      <c r="Y36">
        <f>HYPERLINK("https://klasma.github.io/Logging_1782/kartor_geotiff/A 10138-2024 georefererad karta.tif", "A 10138-2024")</f>
        <v/>
      </c>
      <c r="AA36">
        <f>HYPERLINK("https://klasma.github.io/Logging_1782/klagomål/A 10138-2024 FSC-klagomål.docx", "A 10138-2024")</f>
        <v/>
      </c>
      <c r="AB36">
        <f>HYPERLINK("https://klasma.github.io/Logging_1782/klagomålsmail/A 10138-2024 FSC-klagomål mail.docx", "A 10138-2024")</f>
        <v/>
      </c>
      <c r="AC36">
        <f>HYPERLINK("https://klasma.github.io/Logging_1782/tillsyn/A 10138-2024 tillsynsbegäran.docx", "A 10138-2024")</f>
        <v/>
      </c>
      <c r="AD36">
        <f>HYPERLINK("https://klasma.github.io/Logging_1782/tillsynsmail/A 10138-2024 tillsynsbegäran mail.docx", "A 10138-2024")</f>
        <v/>
      </c>
    </row>
    <row r="37" ht="15" customHeight="1">
      <c r="A37" t="inlineStr">
        <is>
          <t>A 38140-2024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46305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HYPERLINK("https://klasma.github.io/Logging_1782/artfynd/A 38140-2024 artfynd.xlsx", "A 38140-2024")</f>
        <v/>
      </c>
      <c r="X37">
        <f>HYPERLINK("https://klasma.github.io/Logging_1782/kartor/A 38140-2024 karta.png", "A 38140-2024")</f>
        <v/>
      </c>
      <c r="Y37">
        <f>HYPERLINK("https://klasma.github.io/Logging_1782/kartor_geotiff/A 38140-2024 georefererad karta.tif", "A 38140-2024")</f>
        <v/>
      </c>
      <c r="AA37">
        <f>HYPERLINK("https://klasma.github.io/Logging_1782/klagomål/A 38140-2024 FSC-klagomål.docx", "A 38140-2024")</f>
        <v/>
      </c>
      <c r="AB37">
        <f>HYPERLINK("https://klasma.github.io/Logging_1782/klagomålsmail/A 38140-2024 FSC-klagomål mail.docx", "A 38140-2024")</f>
        <v/>
      </c>
      <c r="AC37">
        <f>HYPERLINK("https://klasma.github.io/Logging_1782/tillsyn/A 38140-2024 tillsynsbegäran.docx", "A 38140-2024")</f>
        <v/>
      </c>
      <c r="AD37">
        <f>HYPERLINK("https://klasma.github.io/Logging_1782/tillsynsmail/A 38140-2024 tillsynsbegäran mail.docx", "A 38140-2024")</f>
        <v/>
      </c>
    </row>
    <row r="38" ht="15" customHeight="1">
      <c r="A38" t="inlineStr">
        <is>
          <t>A 23046-2023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46305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HYPERLINK("https://klasma.github.io/Logging_1782/artfynd/A 23046-2023 artfynd.xlsx", "A 23046-2023")</f>
        <v/>
      </c>
      <c r="X38">
        <f>HYPERLINK("https://klasma.github.io/Logging_1782/kartor/A 23046-2023 karta.png", "A 23046-2023")</f>
        <v/>
      </c>
      <c r="Y38">
        <f>HYPERLINK("https://klasma.github.io/Logging_1782/kartor_geotiff/A 23046-2023 georefererad karta.tif", "A 23046-2023")</f>
        <v/>
      </c>
      <c r="Z38">
        <f>HYPERLINK("https://klasma.github.io/Logging_1782/knärot/A 23046-2023 karta knärot.png", "A 23046-2023")</f>
        <v/>
      </c>
      <c r="AA38">
        <f>HYPERLINK("https://klasma.github.io/Logging_1782/klagomål/A 23046-2023 FSC-klagomål.docx", "A 23046-2023")</f>
        <v/>
      </c>
      <c r="AB38">
        <f>HYPERLINK("https://klasma.github.io/Logging_1782/klagomålsmail/A 23046-2023 FSC-klagomål mail.docx", "A 23046-2023")</f>
        <v/>
      </c>
      <c r="AC38">
        <f>HYPERLINK("https://klasma.github.io/Logging_1782/tillsyn/A 23046-2023 tillsynsbegäran.docx", "A 23046-2023")</f>
        <v/>
      </c>
      <c r="AD38">
        <f>HYPERLINK("https://klasma.github.io/Logging_1782/tillsynsmail/A 23046-2023 tillsynsbegäran mail.docx", "A 23046-2023")</f>
        <v/>
      </c>
    </row>
    <row r="39" ht="15" customHeight="1">
      <c r="A39" t="inlineStr">
        <is>
          <t>A 1346-2025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45667</v>
      </c>
      <c r="E39" s="1" t="n">
        <v>46305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HYPERLINK("https://klasma.github.io/Logging_1782/artfynd/A 1346-2025 artfynd.xlsx", "A 1346-2025")</f>
        <v/>
      </c>
      <c r="X39">
        <f>HYPERLINK("https://klasma.github.io/Logging_1782/kartor/A 1346-2025 karta.png", "A 1346-2025")</f>
        <v/>
      </c>
      <c r="Y39">
        <f>HYPERLINK("https://klasma.github.io/Logging_1782/kartor_geotiff/A 1346-2025 georefererad karta.tif", "A 1346-2025")</f>
        <v/>
      </c>
      <c r="AA39">
        <f>HYPERLINK("https://klasma.github.io/Logging_1782/klagomål/A 1346-2025 FSC-klagomål.docx", "A 1346-2025")</f>
        <v/>
      </c>
      <c r="AB39">
        <f>HYPERLINK("https://klasma.github.io/Logging_1782/klagomålsmail/A 1346-2025 FSC-klagomål mail.docx", "A 1346-2025")</f>
        <v/>
      </c>
      <c r="AC39">
        <f>HYPERLINK("https://klasma.github.io/Logging_1782/tillsyn/A 1346-2025 tillsynsbegäran.docx", "A 1346-2025")</f>
        <v/>
      </c>
      <c r="AD39">
        <f>HYPERLINK("https://klasma.github.io/Logging_1782/tillsynsmail/A 1346-2025 tillsynsbegäran mail.docx", "A 1346-2025")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46305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11453-2025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46305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Purpurknipprot</t>
        </is>
      </c>
      <c r="W41">
        <f>HYPERLINK("https://klasma.github.io/Logging_1782/artfynd/A 11453-2025 artfynd.xlsx", "A 11453-2025")</f>
        <v/>
      </c>
      <c r="X41">
        <f>HYPERLINK("https://klasma.github.io/Logging_1782/kartor/A 11453-2025 karta.png", "A 11453-2025")</f>
        <v/>
      </c>
      <c r="Y41">
        <f>HYPERLINK("https://klasma.github.io/Logging_1782/kartor_geotiff/A 11453-2025 georefererad karta.tif", "A 11453-2025")</f>
        <v/>
      </c>
      <c r="AA41">
        <f>HYPERLINK("https://klasma.github.io/Logging_1782/klagomål/A 11453-2025 FSC-klagomål.docx", "A 11453-2025")</f>
        <v/>
      </c>
      <c r="AB41">
        <f>HYPERLINK("https://klasma.github.io/Logging_1782/klagomålsmail/A 11453-2025 FSC-klagomål mail.docx", "A 11453-2025")</f>
        <v/>
      </c>
      <c r="AC41">
        <f>HYPERLINK("https://klasma.github.io/Logging_1782/tillsyn/A 11453-2025 tillsynsbegäran.docx", "A 11453-2025")</f>
        <v/>
      </c>
      <c r="AD41">
        <f>HYPERLINK("https://klasma.github.io/Logging_1782/tillsynsmail/A 11453-2025 tillsynsbegäran mail.docx", "A 11453-2025")</f>
        <v/>
      </c>
    </row>
    <row r="42" ht="15" customHeight="1">
      <c r="A42" t="inlineStr">
        <is>
          <t>A 25916-2025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45804</v>
      </c>
      <c r="E42" s="1" t="n">
        <v>46305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26.4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HYPERLINK("https://klasma.github.io/Logging_1782/artfynd/A 25916-2025 artfynd.xlsx", "A 25916-2025")</f>
        <v/>
      </c>
      <c r="X42">
        <f>HYPERLINK("https://klasma.github.io/Logging_1782/kartor/A 25916-2025 karta.png", "A 25916-2025")</f>
        <v/>
      </c>
      <c r="Y42">
        <f>HYPERLINK("https://klasma.github.io/Logging_1782/kartor_geotiff/A 25916-2025 georefererad karta.tif", "A 25916-2025")</f>
        <v/>
      </c>
      <c r="AA42">
        <f>HYPERLINK("https://klasma.github.io/Logging_1782/klagomål/A 25916-2025 FSC-klagomål.docx", "A 25916-2025")</f>
        <v/>
      </c>
      <c r="AB42">
        <f>HYPERLINK("https://klasma.github.io/Logging_1782/klagomålsmail/A 25916-2025 FSC-klagomål mail.docx", "A 25916-2025")</f>
        <v/>
      </c>
      <c r="AC42">
        <f>HYPERLINK("https://klasma.github.io/Logging_1782/tillsyn/A 25916-2025 tillsynsbegäran.docx", "A 25916-2025")</f>
        <v/>
      </c>
      <c r="AD42">
        <f>HYPERLINK("https://klasma.github.io/Logging_1782/tillsynsmail/A 25916-2025 tillsynsbegäran mail.docx", "A 25916-2025")</f>
        <v/>
      </c>
    </row>
    <row r="43" ht="15" customHeight="1">
      <c r="A43" t="inlineStr">
        <is>
          <t>A 874-2025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45665</v>
      </c>
      <c r="E43" s="1" t="n">
        <v>46305</v>
      </c>
      <c r="F43" t="inlineStr">
        <is>
          <t>VÄRMLANDS LÄN</t>
        </is>
      </c>
      <c r="G43" t="inlineStr">
        <is>
          <t>FILIPSTAD</t>
        </is>
      </c>
      <c r="H43" t="inlineStr">
        <is>
          <t>Kyrkan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Kamjordstjärna</t>
        </is>
      </c>
      <c r="W43">
        <f>HYPERLINK("https://klasma.github.io/Logging_1782/artfynd/A 874-2025 artfynd.xlsx", "A 874-2025")</f>
        <v/>
      </c>
      <c r="X43">
        <f>HYPERLINK("https://klasma.github.io/Logging_1782/kartor/A 874-2025 karta.png", "A 874-2025")</f>
        <v/>
      </c>
      <c r="Y43">
        <f>HYPERLINK("https://klasma.github.io/Logging_1782/kartor_geotiff/A 874-2025 georefererad karta.tif", "A 874-2025")</f>
        <v/>
      </c>
      <c r="AA43">
        <f>HYPERLINK("https://klasma.github.io/Logging_1782/klagomål/A 874-2025 FSC-klagomål.docx", "A 874-2025")</f>
        <v/>
      </c>
      <c r="AB43">
        <f>HYPERLINK("https://klasma.github.io/Logging_1782/klagomålsmail/A 874-2025 FSC-klagomål mail.docx", "A 874-2025")</f>
        <v/>
      </c>
      <c r="AC43">
        <f>HYPERLINK("https://klasma.github.io/Logging_1782/tillsyn/A 874-2025 tillsynsbegäran.docx", "A 874-2025")</f>
        <v/>
      </c>
      <c r="AD43">
        <f>HYPERLINK("https://klasma.github.io/Logging_1782/tillsynsmail/A 874-2025 tillsynsbegäran mail.docx", "A 874-2025")</f>
        <v/>
      </c>
    </row>
    <row r="44" ht="15" customHeight="1">
      <c r="A44" t="inlineStr">
        <is>
          <t>A 30652-2025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46305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4.3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HYPERLINK("https://klasma.github.io/Logging_1782/artfynd/A 30652-2025 artfynd.xlsx", "A 30652-2025")</f>
        <v/>
      </c>
      <c r="X44">
        <f>HYPERLINK("https://klasma.github.io/Logging_1782/kartor/A 30652-2025 karta.png", "A 30652-2025")</f>
        <v/>
      </c>
      <c r="Y44">
        <f>HYPERLINK("https://klasma.github.io/Logging_1782/kartor_geotiff/A 30652-2025 georefererad karta.tif", "A 30652-2025")</f>
        <v/>
      </c>
      <c r="AA44">
        <f>HYPERLINK("https://klasma.github.io/Logging_1782/klagomål/A 30652-2025 FSC-klagomål.docx", "A 30652-2025")</f>
        <v/>
      </c>
      <c r="AB44">
        <f>HYPERLINK("https://klasma.github.io/Logging_1782/klagomålsmail/A 30652-2025 FSC-klagomål mail.docx", "A 30652-2025")</f>
        <v/>
      </c>
      <c r="AC44">
        <f>HYPERLINK("https://klasma.github.io/Logging_1782/tillsyn/A 30652-2025 tillsynsbegäran.docx", "A 30652-2025")</f>
        <v/>
      </c>
      <c r="AD44">
        <f>HYPERLINK("https://klasma.github.io/Logging_1782/tillsynsmail/A 30652-2025 tillsynsbegäran mail.docx", "A 30652-2025")</f>
        <v/>
      </c>
      <c r="AE44">
        <f>HYPERLINK("https://klasma.github.io/Logging_1782/fåglar/A 30652-2025 prioriterade fågelarter.docx", "A 30652-2025")</f>
        <v/>
      </c>
    </row>
    <row r="45" ht="15" customHeight="1">
      <c r="A45" t="inlineStr">
        <is>
          <t>A 46978-2023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45195</v>
      </c>
      <c r="E45" s="1" t="n">
        <v>46305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HYPERLINK("https://klasma.github.io/Logging_1782/artfynd/A 46978-2023 artfynd.xlsx", "A 46978-2023")</f>
        <v/>
      </c>
      <c r="X45">
        <f>HYPERLINK("https://klasma.github.io/Logging_1782/kartor/A 46978-2023 karta.png", "A 46978-2023")</f>
        <v/>
      </c>
      <c r="Y45">
        <f>HYPERLINK("https://klasma.github.io/Logging_1782/kartor_geotiff/A 46978-2023 georefererad karta.tif", "A 46978-2023")</f>
        <v/>
      </c>
      <c r="AA45">
        <f>HYPERLINK("https://klasma.github.io/Logging_1782/klagomål/A 46978-2023 FSC-klagomål.docx", "A 46978-2023")</f>
        <v/>
      </c>
      <c r="AB45">
        <f>HYPERLINK("https://klasma.github.io/Logging_1782/klagomålsmail/A 46978-2023 FSC-klagomål mail.docx", "A 46978-2023")</f>
        <v/>
      </c>
      <c r="AC45">
        <f>HYPERLINK("https://klasma.github.io/Logging_1782/tillsyn/A 46978-2023 tillsynsbegäran.docx", "A 46978-2023")</f>
        <v/>
      </c>
      <c r="AD45">
        <f>HYPERLINK("https://klasma.github.io/Logging_1782/tillsynsmail/A 46978-2023 tillsynsbegäran mail.docx", "A 46978-2023")</f>
        <v/>
      </c>
    </row>
    <row r="46" ht="15" customHeight="1">
      <c r="A46" t="inlineStr">
        <is>
          <t>A 58734-2025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46305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18.2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Tretåig hackspett</t>
        </is>
      </c>
      <c r="W46">
        <f>HYPERLINK("https://klasma.github.io/Logging_1782/artfynd/A 58734-2025 artfynd.xlsx", "A 58734-2025")</f>
        <v/>
      </c>
      <c r="X46">
        <f>HYPERLINK("https://klasma.github.io/Logging_1782/kartor/A 58734-2025 karta.png", "A 58734-2025")</f>
        <v/>
      </c>
      <c r="Y46">
        <f>HYPERLINK("https://klasma.github.io/Logging_1782/kartor_geotiff/A 58734-2025 georefererad karta.tif", "A 58734-2025")</f>
        <v/>
      </c>
      <c r="AA46">
        <f>HYPERLINK("https://klasma.github.io/Logging_1782/klagomål/A 58734-2025 FSC-klagomål.docx", "A 58734-2025")</f>
        <v/>
      </c>
      <c r="AB46">
        <f>HYPERLINK("https://klasma.github.io/Logging_1782/klagomålsmail/A 58734-2025 FSC-klagomål mail.docx", "A 58734-2025")</f>
        <v/>
      </c>
      <c r="AC46">
        <f>HYPERLINK("https://klasma.github.io/Logging_1782/tillsyn/A 58734-2025 tillsynsbegäran.docx", "A 58734-2025")</f>
        <v/>
      </c>
      <c r="AD46">
        <f>HYPERLINK("https://klasma.github.io/Logging_1782/tillsynsmail/A 58734-2025 tillsynsbegäran mail.docx", "A 58734-2025")</f>
        <v/>
      </c>
      <c r="AE46">
        <f>HYPERLINK("https://klasma.github.io/Logging_1782/fåglar/A 58734-2025 prioriterade fågelarter.docx", "A 58734-2025")</f>
        <v/>
      </c>
    </row>
    <row r="47" ht="15" customHeight="1">
      <c r="A47" t="inlineStr">
        <is>
          <t>A 18138-2022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46305</v>
      </c>
      <c r="F47" t="inlineStr">
        <is>
          <t>VÄRMLANDS LÄN</t>
        </is>
      </c>
      <c r="G47" t="inlineStr">
        <is>
          <t>FILIPSTAD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18138-2022 artfynd.xlsx", "A 18138-2022")</f>
        <v/>
      </c>
      <c r="X47">
        <f>HYPERLINK("https://klasma.github.io/Logging_1782/kartor/A 18138-2022 karta.png", "A 18138-2022")</f>
        <v/>
      </c>
      <c r="Y47">
        <f>HYPERLINK("https://klasma.github.io/Logging_1782/kartor_geotiff/A 18138-2022 georefererad karta.tif", "A 18138-2022")</f>
        <v/>
      </c>
      <c r="AA47">
        <f>HYPERLINK("https://klasma.github.io/Logging_1782/klagomål/A 18138-2022 FSC-klagomål.docx", "A 18138-2022")</f>
        <v/>
      </c>
      <c r="AB47">
        <f>HYPERLINK("https://klasma.github.io/Logging_1782/klagomålsmail/A 18138-2022 FSC-klagomål mail.docx", "A 18138-2022")</f>
        <v/>
      </c>
      <c r="AC47">
        <f>HYPERLINK("https://klasma.github.io/Logging_1782/tillsyn/A 18138-2022 tillsynsbegäran.docx", "A 18138-2022")</f>
        <v/>
      </c>
      <c r="AD47">
        <f>HYPERLINK("https://klasma.github.io/Logging_1782/tillsynsmail/A 18138-2022 tillsynsbegäran mail.docx", "A 18138-2022")</f>
        <v/>
      </c>
    </row>
    <row r="48" ht="15" customHeight="1">
      <c r="A48" t="inlineStr">
        <is>
          <t>A 17529-2026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46305</v>
      </c>
      <c r="F48" t="inlineStr">
        <is>
          <t>VÄRMLANDS LÄN</t>
        </is>
      </c>
      <c r="G48" t="inlineStr">
        <is>
          <t>FILIPSTAD</t>
        </is>
      </c>
      <c r="I48" t="n">
        <v>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Ädellav</t>
        </is>
      </c>
      <c r="W48">
        <f>HYPERLINK("https://klasma.github.io/Logging_1782/artfynd/A 17529-2026 artfynd.xlsx", "A 17529-2026")</f>
        <v/>
      </c>
      <c r="X48">
        <f>HYPERLINK("https://klasma.github.io/Logging_1782/kartor/A 17529-2026 karta.png", "A 17529-2026")</f>
        <v/>
      </c>
      <c r="Y48">
        <f>HYPERLINK("https://klasma.github.io/Logging_1782/kartor_geotiff/A 17529-2026 georefererad karta.tif", "A 17529-2026")</f>
        <v/>
      </c>
      <c r="AA48">
        <f>HYPERLINK("https://klasma.github.io/Logging_1782/klagomål/A 17529-2026 FSC-klagomål.docx", "A 17529-2026")</f>
        <v/>
      </c>
      <c r="AB48">
        <f>HYPERLINK("https://klasma.github.io/Logging_1782/klagomålsmail/A 17529-2026 FSC-klagomål mail.docx", "A 17529-2026")</f>
        <v/>
      </c>
      <c r="AC48">
        <f>HYPERLINK("https://klasma.github.io/Logging_1782/tillsyn/A 17529-2026 tillsynsbegäran.docx", "A 17529-2026")</f>
        <v/>
      </c>
      <c r="AD48">
        <f>HYPERLINK("https://klasma.github.io/Logging_1782/tillsynsmail/A 17529-2026 tillsynsbegäran mail.docx", "A 17529-2026")</f>
        <v/>
      </c>
    </row>
    <row r="49" ht="15" customHeight="1">
      <c r="A49" t="inlineStr">
        <is>
          <t>A 51522-2022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46305</v>
      </c>
      <c r="F49" t="inlineStr">
        <is>
          <t>VÄRMLANDS LÄN</t>
        </is>
      </c>
      <c r="G49" t="inlineStr">
        <is>
          <t>FILIPSTAD</t>
        </is>
      </c>
      <c r="I49" t="n">
        <v>4.1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HYPERLINK("https://klasma.github.io/Logging_1782/artfynd/A 51522-2022 artfynd.xlsx", "A 51522-2022")</f>
        <v/>
      </c>
      <c r="X49">
        <f>HYPERLINK("https://klasma.github.io/Logging_1782/kartor/A 51522-2022 karta.png", "A 51522-2022")</f>
        <v/>
      </c>
      <c r="Y49">
        <f>HYPERLINK("https://klasma.github.io/Logging_1782/kartor_geotiff/A 51522-2022 georefererad karta.tif", "A 51522-2022")</f>
        <v/>
      </c>
      <c r="AA49">
        <f>HYPERLINK("https://klasma.github.io/Logging_1782/klagomål/A 51522-2022 FSC-klagomål.docx", "A 51522-2022")</f>
        <v/>
      </c>
      <c r="AB49">
        <f>HYPERLINK("https://klasma.github.io/Logging_1782/klagomålsmail/A 51522-2022 FSC-klagomål mail.docx", "A 51522-2022")</f>
        <v/>
      </c>
      <c r="AC49">
        <f>HYPERLINK("https://klasma.github.io/Logging_1782/tillsyn/A 51522-2022 tillsynsbegäran.docx", "A 51522-2022")</f>
        <v/>
      </c>
      <c r="AD49">
        <f>HYPERLINK("https://klasma.github.io/Logging_1782/tillsynsmail/A 51522-2022 tillsynsbegäran mail.docx", "A 51522-2022")</f>
        <v/>
      </c>
    </row>
    <row r="50" ht="15" customHeight="1">
      <c r="A50" t="inlineStr">
        <is>
          <t>A 50776-2024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46305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15.5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50776-2024 artfynd.xlsx", "A 50776-2024")</f>
        <v/>
      </c>
      <c r="X50">
        <f>HYPERLINK("https://klasma.github.io/Logging_1782/kartor/A 50776-2024 karta.png", "A 50776-2024")</f>
        <v/>
      </c>
      <c r="Y50">
        <f>HYPERLINK("https://klasma.github.io/Logging_1782/kartor_geotiff/A 50776-2024 georefererad karta.tif", "A 50776-2024")</f>
        <v/>
      </c>
      <c r="AA50">
        <f>HYPERLINK("https://klasma.github.io/Logging_1782/klagomål/A 50776-2024 FSC-klagomål.docx", "A 50776-2024")</f>
        <v/>
      </c>
      <c r="AB50">
        <f>HYPERLINK("https://klasma.github.io/Logging_1782/klagomålsmail/A 50776-2024 FSC-klagomål mail.docx", "A 50776-2024")</f>
        <v/>
      </c>
      <c r="AC50">
        <f>HYPERLINK("https://klasma.github.io/Logging_1782/tillsyn/A 50776-2024 tillsynsbegäran.docx", "A 50776-2024")</f>
        <v/>
      </c>
      <c r="AD50">
        <f>HYPERLINK("https://klasma.github.io/Logging_1782/tillsynsmail/A 50776-2024 tillsynsbegäran mail.docx", "A 50776-2024")</f>
        <v/>
      </c>
    </row>
    <row r="51" ht="15" customHeight="1">
      <c r="A51" t="inlineStr">
        <is>
          <t>A 4560-2025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45687</v>
      </c>
      <c r="E51" s="1" t="n">
        <v>46305</v>
      </c>
      <c r="F51" t="inlineStr">
        <is>
          <t>VÄRMLANDS LÄN</t>
        </is>
      </c>
      <c r="G51" t="inlineStr">
        <is>
          <t>FILIPSTAD</t>
        </is>
      </c>
      <c r="I51" t="n">
        <v>13.6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Skrovlig taggsvamp</t>
        </is>
      </c>
      <c r="W51">
        <f>HYPERLINK("https://klasma.github.io/Logging_1782/artfynd/A 4560-2025 artfynd.xlsx", "A 4560-2025")</f>
        <v/>
      </c>
      <c r="X51">
        <f>HYPERLINK("https://klasma.github.io/Logging_1782/kartor/A 4560-2025 karta.png", "A 4560-2025")</f>
        <v/>
      </c>
      <c r="Y51">
        <f>HYPERLINK("https://klasma.github.io/Logging_1782/kartor_geotiff/A 4560-2025 georefererad karta.tif", "A 4560-2025")</f>
        <v/>
      </c>
      <c r="AA51">
        <f>HYPERLINK("https://klasma.github.io/Logging_1782/klagomål/A 4560-2025 FSC-klagomål.docx", "A 4560-2025")</f>
        <v/>
      </c>
      <c r="AB51">
        <f>HYPERLINK("https://klasma.github.io/Logging_1782/klagomålsmail/A 4560-2025 FSC-klagomål mail.docx", "A 4560-2025")</f>
        <v/>
      </c>
      <c r="AC51">
        <f>HYPERLINK("https://klasma.github.io/Logging_1782/tillsyn/A 4560-2025 tillsynsbegäran.docx", "A 4560-2025")</f>
        <v/>
      </c>
      <c r="AD51">
        <f>HYPERLINK("https://klasma.github.io/Logging_1782/tillsynsmail/A 4560-2025 tillsynsbegäran mail.docx", "A 4560-2025")</f>
        <v/>
      </c>
    </row>
    <row r="52" ht="15" customHeight="1">
      <c r="A52" t="inlineStr">
        <is>
          <t>A 25862-2026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46305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3.5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Talltaggsvamp</t>
        </is>
      </c>
      <c r="W52">
        <f>HYPERLINK("https://klasma.github.io/Logging_1782/artfynd/A 25862-2026 artfynd.xlsx", "A 25862-2026")</f>
        <v/>
      </c>
      <c r="X52">
        <f>HYPERLINK("https://klasma.github.io/Logging_1782/kartor/A 25862-2026 karta.png", "A 25862-2026")</f>
        <v/>
      </c>
      <c r="Y52">
        <f>HYPERLINK("https://klasma.github.io/Logging_1782/kartor_geotiff/A 25862-2026 georefererad karta.tif", "A 25862-2026")</f>
        <v/>
      </c>
      <c r="AA52">
        <f>HYPERLINK("https://klasma.github.io/Logging_1782/klagomål/A 25862-2026 FSC-klagomål.docx", "A 25862-2026")</f>
        <v/>
      </c>
      <c r="AB52">
        <f>HYPERLINK("https://klasma.github.io/Logging_1782/klagomålsmail/A 25862-2026 FSC-klagomål mail.docx", "A 25862-2026")</f>
        <v/>
      </c>
      <c r="AC52">
        <f>HYPERLINK("https://klasma.github.io/Logging_1782/tillsyn/A 25862-2026 tillsynsbegäran.docx", "A 25862-2026")</f>
        <v/>
      </c>
      <c r="AD52">
        <f>HYPERLINK("https://klasma.github.io/Logging_1782/tillsynsmail/A 25862-2026 tillsynsbegäran mail.docx", "A 25862-2026")</f>
        <v/>
      </c>
    </row>
    <row r="53" ht="15" customHeight="1">
      <c r="A53" t="inlineStr">
        <is>
          <t>A 28989-2026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46305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7.2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28989-2026 artfynd.xlsx", "A 28989-2026")</f>
        <v/>
      </c>
      <c r="X53">
        <f>HYPERLINK("https://klasma.github.io/Logging_1782/kartor/A 28989-2026 karta.png", "A 28989-2026")</f>
        <v/>
      </c>
      <c r="Y53">
        <f>HYPERLINK("https://klasma.github.io/Logging_1782/kartor_geotiff/A 28989-2026 georefererad karta.tif", "A 28989-2026")</f>
        <v/>
      </c>
      <c r="AA53">
        <f>HYPERLINK("https://klasma.github.io/Logging_1782/klagomål/A 28989-2026 FSC-klagomål.docx", "A 28989-2026")</f>
        <v/>
      </c>
      <c r="AB53">
        <f>HYPERLINK("https://klasma.github.io/Logging_1782/klagomålsmail/A 28989-2026 FSC-klagomål mail.docx", "A 28989-2026")</f>
        <v/>
      </c>
      <c r="AC53">
        <f>HYPERLINK("https://klasma.github.io/Logging_1782/tillsyn/A 28989-2026 tillsynsbegäran.docx", "A 28989-2026")</f>
        <v/>
      </c>
      <c r="AD53">
        <f>HYPERLINK("https://klasma.github.io/Logging_1782/tillsynsmail/A 28989-2026 tillsynsbegäran mail.docx", "A 28989-2026")</f>
        <v/>
      </c>
    </row>
    <row r="54" ht="15" customHeight="1">
      <c r="A54" t="inlineStr">
        <is>
          <t>A 31257-2026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46218</v>
      </c>
      <c r="E54" s="1" t="n">
        <v>46305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10.2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Gräsull</t>
        </is>
      </c>
      <c r="W54">
        <f>HYPERLINK("https://klasma.github.io/Logging_1782/artfynd/A 31257-2026 artfynd.xlsx", "A 31257-2026")</f>
        <v/>
      </c>
      <c r="X54">
        <f>HYPERLINK("https://klasma.github.io/Logging_1782/kartor/A 31257-2026 karta.png", "A 31257-2026")</f>
        <v/>
      </c>
      <c r="Y54">
        <f>HYPERLINK("https://klasma.github.io/Logging_1782/kartor_geotiff/A 31257-2026 georefererad karta.tif", "A 31257-2026")</f>
        <v/>
      </c>
      <c r="AA54">
        <f>HYPERLINK("https://klasma.github.io/Logging_1782/klagomål/A 31257-2026 FSC-klagomål.docx", "A 31257-2026")</f>
        <v/>
      </c>
      <c r="AB54">
        <f>HYPERLINK("https://klasma.github.io/Logging_1782/klagomålsmail/A 31257-2026 FSC-klagomål mail.docx", "A 31257-2026")</f>
        <v/>
      </c>
      <c r="AC54">
        <f>HYPERLINK("https://klasma.github.io/Logging_1782/tillsyn/A 31257-2026 tillsynsbegäran.docx", "A 31257-2026")</f>
        <v/>
      </c>
      <c r="AD54">
        <f>HYPERLINK("https://klasma.github.io/Logging_1782/tillsynsmail/A 31257-2026 tillsynsbegäran mail.docx", "A 31257-2026")</f>
        <v/>
      </c>
    </row>
    <row r="55" ht="15" customHeight="1">
      <c r="A55" t="inlineStr">
        <is>
          <t>A 30988-2026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46213</v>
      </c>
      <c r="E55" s="1" t="n">
        <v>46305</v>
      </c>
      <c r="F55" t="inlineStr">
        <is>
          <t>VÄRMLANDS LÄN</t>
        </is>
      </c>
      <c r="G55" t="inlineStr">
        <is>
          <t>FILIPSTAD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Skuggblåslav</t>
        </is>
      </c>
      <c r="W55">
        <f>HYPERLINK("https://klasma.github.io/Logging_1782/artfynd/A 30988-2026 artfynd.xlsx", "A 30988-2026")</f>
        <v/>
      </c>
      <c r="X55">
        <f>HYPERLINK("https://klasma.github.io/Logging_1782/kartor/A 30988-2026 karta.png", "A 30988-2026")</f>
        <v/>
      </c>
      <c r="Y55">
        <f>HYPERLINK("https://klasma.github.io/Logging_1782/kartor_geotiff/A 30988-2026 georefererad karta.tif", "A 30988-2026")</f>
        <v/>
      </c>
      <c r="AA55">
        <f>HYPERLINK("https://klasma.github.io/Logging_1782/klagomål/A 30988-2026 FSC-klagomål.docx", "A 30988-2026")</f>
        <v/>
      </c>
      <c r="AB55">
        <f>HYPERLINK("https://klasma.github.io/Logging_1782/klagomålsmail/A 30988-2026 FSC-klagomål mail.docx", "A 30988-2026")</f>
        <v/>
      </c>
      <c r="AC55">
        <f>HYPERLINK("https://klasma.github.io/Logging_1782/tillsyn/A 30988-2026 tillsynsbegäran.docx", "A 30988-2026")</f>
        <v/>
      </c>
      <c r="AD55">
        <f>HYPERLINK("https://klasma.github.io/Logging_1782/tillsynsmail/A 30988-2026 tillsynsbegäran mail.docx", "A 30988-2026")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46305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46305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46305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46305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46305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46305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46305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19626-2022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44694</v>
      </c>
      <c r="E64" s="1" t="n">
        <v>46305</v>
      </c>
      <c r="F64" t="inlineStr">
        <is>
          <t>VÄRMLANDS LÄN</t>
        </is>
      </c>
      <c r="G64" t="inlineStr">
        <is>
          <t>FILIPSTAD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59954-2021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46305</v>
      </c>
      <c r="F65" t="inlineStr">
        <is>
          <t>VÄRMLANDS LÄN</t>
        </is>
      </c>
      <c r="G65" t="inlineStr">
        <is>
          <t>FILIPSTAD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44655</v>
      </c>
      <c r="E66" s="1" t="n">
        <v>46305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44651</v>
      </c>
      <c r="E67" s="1" t="n">
        <v>46305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18.7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46305</v>
      </c>
      <c r="F68" t="inlineStr">
        <is>
          <t>VÄRMLANDS LÄN</t>
        </is>
      </c>
      <c r="G68" t="inlineStr">
        <is>
          <t>FILIPSTAD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46305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46305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22356-2022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44713</v>
      </c>
      <c r="E71" s="1" t="n">
        <v>46305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57090-2021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46305</v>
      </c>
      <c r="F72" t="inlineStr">
        <is>
          <t>VÄRMLANDS LÄN</t>
        </is>
      </c>
      <c r="G72" t="inlineStr">
        <is>
          <t>FILIPSTAD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46305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30.5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46305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46305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44799</v>
      </c>
      <c r="E76" s="1" t="n">
        <v>46305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46305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46305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46305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46305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14840-2023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45014</v>
      </c>
      <c r="E81" s="1" t="n">
        <v>46305</v>
      </c>
      <c r="F81" t="inlineStr">
        <is>
          <t>VÄRMLANDS LÄN</t>
        </is>
      </c>
      <c r="G81" t="inlineStr">
        <is>
          <t>FILIPSTAD</t>
        </is>
      </c>
      <c r="H81" t="inlineStr">
        <is>
          <t>Kyrkan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46305</v>
      </c>
      <c r="F82" t="inlineStr">
        <is>
          <t>VÄRMLANDS LÄN</t>
        </is>
      </c>
      <c r="G82" t="inlineStr">
        <is>
          <t>FILIPSTAD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46305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45088</v>
      </c>
      <c r="E84" s="1" t="n">
        <v>46305</v>
      </c>
      <c r="F84" t="inlineStr">
        <is>
          <t>VÄRMLANDS LÄN</t>
        </is>
      </c>
      <c r="G84" t="inlineStr">
        <is>
          <t>FILIPSTAD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46305</v>
      </c>
      <c r="F85" t="inlineStr">
        <is>
          <t>VÄRMLANDS LÄN</t>
        </is>
      </c>
      <c r="G85" t="inlineStr">
        <is>
          <t>FILIPSTAD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46305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45769</v>
      </c>
      <c r="E87" s="1" t="n">
        <v>46305</v>
      </c>
      <c r="F87" t="inlineStr">
        <is>
          <t>VÄRMLANDS LÄN</t>
        </is>
      </c>
      <c r="G87" t="inlineStr">
        <is>
          <t>FILIPSTAD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45401</v>
      </c>
      <c r="E88" s="1" t="n">
        <v>46305</v>
      </c>
      <c r="F88" t="inlineStr">
        <is>
          <t>VÄRMLANDS LÄN</t>
        </is>
      </c>
      <c r="G88" t="inlineStr">
        <is>
          <t>FILIPSTAD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45516</v>
      </c>
      <c r="E89" s="1" t="n">
        <v>46305</v>
      </c>
      <c r="F89" t="inlineStr">
        <is>
          <t>VÄRMLANDS LÄN</t>
        </is>
      </c>
      <c r="G89" t="inlineStr">
        <is>
          <t>FILIPSTAD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25376-2023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45088</v>
      </c>
      <c r="E90" s="1" t="n">
        <v>46305</v>
      </c>
      <c r="F90" t="inlineStr">
        <is>
          <t>VÄRMLANDS LÄN</t>
        </is>
      </c>
      <c r="G90" t="inlineStr">
        <is>
          <t>FILIPSTAD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45391</v>
      </c>
      <c r="E91" s="1" t="n">
        <v>46305</v>
      </c>
      <c r="F91" t="inlineStr">
        <is>
          <t>VÄRMLANDS LÄN</t>
        </is>
      </c>
      <c r="G91" t="inlineStr">
        <is>
          <t>FILIPSTAD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46305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46305</v>
      </c>
      <c r="F93" t="inlineStr">
        <is>
          <t>VÄRMLANDS LÄN</t>
        </is>
      </c>
      <c r="G93" t="inlineStr">
        <is>
          <t>FILIPSTAD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46305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45655</v>
      </c>
      <c r="E95" s="1" t="n">
        <v>46305</v>
      </c>
      <c r="F95" t="inlineStr">
        <is>
          <t>VÄRMLANDS LÄN</t>
        </is>
      </c>
      <c r="G95" t="inlineStr">
        <is>
          <t>FILIPSTAD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46305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45063</v>
      </c>
      <c r="E97" s="1" t="n">
        <v>46305</v>
      </c>
      <c r="F97" t="inlineStr">
        <is>
          <t>VÄRMLANDS LÄN</t>
        </is>
      </c>
      <c r="G97" t="inlineStr">
        <is>
          <t>FILIPSTAD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46305</v>
      </c>
      <c r="F98" t="inlineStr">
        <is>
          <t>VÄRMLANDS LÄN</t>
        </is>
      </c>
      <c r="G98" t="inlineStr">
        <is>
          <t>FILIPSTAD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45327</v>
      </c>
      <c r="E99" s="1" t="n">
        <v>46305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46305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46305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46305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27107-2024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46305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45578</v>
      </c>
      <c r="E104" s="1" t="n">
        <v>46305</v>
      </c>
      <c r="F104" t="inlineStr">
        <is>
          <t>VÄRMLANDS LÄN</t>
        </is>
      </c>
      <c r="G104" t="inlineStr">
        <is>
          <t>FILIPSTAD</t>
        </is>
      </c>
      <c r="I104" t="n">
        <v>27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45583</v>
      </c>
      <c r="E105" s="1" t="n">
        <v>46305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22830-2023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45072</v>
      </c>
      <c r="E106" s="1" t="n">
        <v>46305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45408</v>
      </c>
      <c r="E107" s="1" t="n">
        <v>46305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12837-2024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45384</v>
      </c>
      <c r="E108" s="1" t="n">
        <v>46305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46305</v>
      </c>
      <c r="F109" t="inlineStr">
        <is>
          <t>VÄRMLANDS LÄN</t>
        </is>
      </c>
      <c r="G109" t="inlineStr">
        <is>
          <t>FILIPSTAD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46305</v>
      </c>
      <c r="F110" t="inlineStr">
        <is>
          <t>VÄRMLANDS LÄN</t>
        </is>
      </c>
      <c r="G110" t="inlineStr">
        <is>
          <t>FILIPSTAD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46305</v>
      </c>
      <c r="F111" t="inlineStr">
        <is>
          <t>VÄRMLANDS LÄN</t>
        </is>
      </c>
      <c r="G111" t="inlineStr">
        <is>
          <t>FILIPSTAD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46305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45257</v>
      </c>
      <c r="E113" s="1" t="n">
        <v>46305</v>
      </c>
      <c r="F113" t="inlineStr">
        <is>
          <t>VÄRMLANDS LÄN</t>
        </is>
      </c>
      <c r="G113" t="inlineStr">
        <is>
          <t>FILIPSTAD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46305</v>
      </c>
      <c r="F114" t="inlineStr">
        <is>
          <t>VÄRMLANDS LÄN</t>
        </is>
      </c>
      <c r="G114" t="inlineStr">
        <is>
          <t>FILIPSTAD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45655</v>
      </c>
      <c r="E115" s="1" t="n">
        <v>46305</v>
      </c>
      <c r="F115" t="inlineStr">
        <is>
          <t>VÄRMLANDS LÄN</t>
        </is>
      </c>
      <c r="G115" t="inlineStr">
        <is>
          <t>FILIPSTAD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45204</v>
      </c>
      <c r="E116" s="1" t="n">
        <v>46305</v>
      </c>
      <c r="F116" t="inlineStr">
        <is>
          <t>VÄRMLANDS LÄN</t>
        </is>
      </c>
      <c r="G116" t="inlineStr">
        <is>
          <t>FILIPSTAD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46305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45195</v>
      </c>
      <c r="E118" s="1" t="n">
        <v>46305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46305</v>
      </c>
      <c r="F119" t="inlineStr">
        <is>
          <t>VÄRMLANDS LÄN</t>
        </is>
      </c>
      <c r="G119" t="inlineStr">
        <is>
          <t>FILIPSTAD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46305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46305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46305</v>
      </c>
      <c r="F122" t="inlineStr">
        <is>
          <t>VÄRMLANDS LÄN</t>
        </is>
      </c>
      <c r="G122" t="inlineStr">
        <is>
          <t>FILIPSTAD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46305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45463</v>
      </c>
      <c r="E124" s="1" t="n">
        <v>46305</v>
      </c>
      <c r="F124" t="inlineStr">
        <is>
          <t>VÄRMLANDS LÄN</t>
        </is>
      </c>
      <c r="G124" t="inlineStr">
        <is>
          <t>FILIPSTAD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45741</v>
      </c>
      <c r="E125" s="1" t="n">
        <v>46305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46305</v>
      </c>
      <c r="F126" t="inlineStr">
        <is>
          <t>VÄRMLANDS LÄN</t>
        </is>
      </c>
      <c r="G126" t="inlineStr">
        <is>
          <t>FILIPSTAD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14582-2025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45742</v>
      </c>
      <c r="E127" s="1" t="n">
        <v>46305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56840-2024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45628</v>
      </c>
      <c r="E128" s="1" t="n">
        <v>46305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45511</v>
      </c>
      <c r="E129" s="1" t="n">
        <v>46305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46305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45077</v>
      </c>
      <c r="E131" s="1" t="n">
        <v>46305</v>
      </c>
      <c r="F131" t="inlineStr">
        <is>
          <t>VÄRMLANDS LÄN</t>
        </is>
      </c>
      <c r="G131" t="inlineStr">
        <is>
          <t>FILIPSTAD</t>
        </is>
      </c>
      <c r="I131" t="n">
        <v>15.8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44960</v>
      </c>
      <c r="E132" s="1" t="n">
        <v>46305</v>
      </c>
      <c r="F132" t="inlineStr">
        <is>
          <t>VÄRMLANDS LÄN</t>
        </is>
      </c>
      <c r="G132" t="inlineStr">
        <is>
          <t>FILIPSTAD</t>
        </is>
      </c>
      <c r="H132" t="inlineStr">
        <is>
          <t>Kommuner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44957</v>
      </c>
      <c r="E133" s="1" t="n">
        <v>46305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46305</v>
      </c>
      <c r="F134" t="inlineStr">
        <is>
          <t>VÄRMLANDS LÄN</t>
        </is>
      </c>
      <c r="G134" t="inlineStr">
        <is>
          <t>FILIPSTAD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46305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9270-2023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44980</v>
      </c>
      <c r="E136" s="1" t="n">
        <v>46305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46305</v>
      </c>
      <c r="F137" t="inlineStr">
        <is>
          <t>VÄRMLANDS LÄN</t>
        </is>
      </c>
      <c r="G137" t="inlineStr">
        <is>
          <t>FILIPSTAD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46305</v>
      </c>
      <c r="F138" t="inlineStr">
        <is>
          <t>VÄRMLANDS LÄN</t>
        </is>
      </c>
      <c r="G138" t="inlineStr">
        <is>
          <t>FILIPSTAD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46305</v>
      </c>
      <c r="F139" t="inlineStr">
        <is>
          <t>VÄRMLANDS LÄN</t>
        </is>
      </c>
      <c r="G139" t="inlineStr">
        <is>
          <t>FILIPSTAD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46305</v>
      </c>
      <c r="F140" t="inlineStr">
        <is>
          <t>VÄRMLANDS LÄN</t>
        </is>
      </c>
      <c r="G140" t="inlineStr">
        <is>
          <t>FILIPSTAD</t>
        </is>
      </c>
      <c r="H140" t="inlineStr">
        <is>
          <t>Kommuner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41718-2025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45902</v>
      </c>
      <c r="E141" s="1" t="n">
        <v>46305</v>
      </c>
      <c r="F141" t="inlineStr">
        <is>
          <t>VÄRMLANDS LÄN</t>
        </is>
      </c>
      <c r="G141" t="inlineStr">
        <is>
          <t>FILIPSTAD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46305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46305</v>
      </c>
      <c r="F143" t="inlineStr">
        <is>
          <t>VÄRMLANDS LÄN</t>
        </is>
      </c>
      <c r="G143" t="inlineStr">
        <is>
          <t>FILIPSTAD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45393</v>
      </c>
      <c r="E144" s="1" t="n">
        <v>46305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46305</v>
      </c>
      <c r="F145" t="inlineStr">
        <is>
          <t>VÄRMLANDS LÄN</t>
        </is>
      </c>
      <c r="G145" t="inlineStr">
        <is>
          <t>FILIPSTAD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45114</v>
      </c>
      <c r="E146" s="1" t="n">
        <v>46305</v>
      </c>
      <c r="F146" t="inlineStr">
        <is>
          <t>VÄRMLANDS LÄN</t>
        </is>
      </c>
      <c r="G146" t="inlineStr">
        <is>
          <t>FILIPSTAD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45299</v>
      </c>
      <c r="E147" s="1" t="n">
        <v>46305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46305</v>
      </c>
      <c r="F148" t="inlineStr">
        <is>
          <t>VÄRMLANDS LÄN</t>
        </is>
      </c>
      <c r="G148" t="inlineStr">
        <is>
          <t>FILIPSTAD</t>
        </is>
      </c>
      <c r="H148" t="inlineStr">
        <is>
          <t>Kommuner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46305</v>
      </c>
      <c r="F149" t="inlineStr">
        <is>
          <t>VÄRMLANDS LÄN</t>
        </is>
      </c>
      <c r="G149" t="inlineStr">
        <is>
          <t>FILIPSTAD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46305</v>
      </c>
      <c r="F150" t="inlineStr">
        <is>
          <t>VÄRMLANDS LÄN</t>
        </is>
      </c>
      <c r="G150" t="inlineStr">
        <is>
          <t>FILIPSTAD</t>
        </is>
      </c>
      <c r="H150" t="inlineStr">
        <is>
          <t>Kyrkan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46305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45674</v>
      </c>
      <c r="E152" s="1" t="n">
        <v>46305</v>
      </c>
      <c r="F152" t="inlineStr">
        <is>
          <t>VÄRMLANDS LÄN</t>
        </is>
      </c>
      <c r="G152" t="inlineStr">
        <is>
          <t>FILIPSTAD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45418</v>
      </c>
      <c r="E153" s="1" t="n">
        <v>46305</v>
      </c>
      <c r="F153" t="inlineStr">
        <is>
          <t>VÄRMLANDS LÄN</t>
        </is>
      </c>
      <c r="G153" t="inlineStr">
        <is>
          <t>FILIPSTAD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46305</v>
      </c>
      <c r="F154" t="inlineStr">
        <is>
          <t>VÄRMLANDS LÄN</t>
        </is>
      </c>
      <c r="G154" t="inlineStr">
        <is>
          <t>FILIPSTAD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46305</v>
      </c>
      <c r="F155" t="inlineStr">
        <is>
          <t>VÄRMLANDS LÄN</t>
        </is>
      </c>
      <c r="G155" t="inlineStr">
        <is>
          <t>FILIPSTAD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45495</v>
      </c>
      <c r="E156" s="1" t="n">
        <v>46305</v>
      </c>
      <c r="F156" t="inlineStr">
        <is>
          <t>VÄRMLANDS LÄN</t>
        </is>
      </c>
      <c r="G156" t="inlineStr">
        <is>
          <t>FILIPSTAD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44637</v>
      </c>
      <c r="E157" s="1" t="n">
        <v>46305</v>
      </c>
      <c r="F157" t="inlineStr">
        <is>
          <t>VÄRMLANDS LÄN</t>
        </is>
      </c>
      <c r="G157" t="inlineStr">
        <is>
          <t>FILIPSTAD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46305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46305</v>
      </c>
      <c r="F159" t="inlineStr">
        <is>
          <t>VÄRMLANDS LÄN</t>
        </is>
      </c>
      <c r="G159" t="inlineStr">
        <is>
          <t>FILIPSTAD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45439</v>
      </c>
      <c r="E160" s="1" t="n">
        <v>46305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46305</v>
      </c>
      <c r="F161" t="inlineStr">
        <is>
          <t>VÄRMLANDS LÄN</t>
        </is>
      </c>
      <c r="G161" t="inlineStr">
        <is>
          <t>FILIPSTAD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45439</v>
      </c>
      <c r="E162" s="1" t="n">
        <v>46305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45586</v>
      </c>
      <c r="E163" s="1" t="n">
        <v>46305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46305</v>
      </c>
      <c r="F164" t="inlineStr">
        <is>
          <t>VÄRMLANDS LÄN</t>
        </is>
      </c>
      <c r="G164" t="inlineStr">
        <is>
          <t>FILIPSTAD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46305</v>
      </c>
      <c r="F165" t="inlineStr">
        <is>
          <t>VÄRMLANDS LÄN</t>
        </is>
      </c>
      <c r="G165" t="inlineStr">
        <is>
          <t>FILIPSTAD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45418</v>
      </c>
      <c r="E166" s="1" t="n">
        <v>46305</v>
      </c>
      <c r="F166" t="inlineStr">
        <is>
          <t>VÄRMLANDS LÄN</t>
        </is>
      </c>
      <c r="G166" t="inlineStr">
        <is>
          <t>FILIPSTAD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45484</v>
      </c>
      <c r="E167" s="1" t="n">
        <v>46305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45924</v>
      </c>
      <c r="E168" s="1" t="n">
        <v>46305</v>
      </c>
      <c r="F168" t="inlineStr">
        <is>
          <t>VÄRMLANDS LÄN</t>
        </is>
      </c>
      <c r="G168" t="inlineStr">
        <is>
          <t>FILIPSTAD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46305</v>
      </c>
      <c r="F169" t="inlineStr">
        <is>
          <t>VÄRMLANDS LÄN</t>
        </is>
      </c>
      <c r="G169" t="inlineStr">
        <is>
          <t>FILIPSTAD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46305</v>
      </c>
      <c r="F170" t="inlineStr">
        <is>
          <t>VÄRMLANDS LÄN</t>
        </is>
      </c>
      <c r="G170" t="inlineStr">
        <is>
          <t>FILIPSTAD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44515</v>
      </c>
      <c r="E171" s="1" t="n">
        <v>46305</v>
      </c>
      <c r="F171" t="inlineStr">
        <is>
          <t>VÄRMLANDS LÄN</t>
        </is>
      </c>
      <c r="G171" t="inlineStr">
        <is>
          <t>FILIPSTAD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46305</v>
      </c>
      <c r="F172" t="inlineStr">
        <is>
          <t>VÄRMLANDS LÄN</t>
        </is>
      </c>
      <c r="G172" t="inlineStr">
        <is>
          <t>FILIPSTAD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46305</v>
      </c>
      <c r="F173" t="inlineStr">
        <is>
          <t>VÄRMLANDS LÄN</t>
        </is>
      </c>
      <c r="G173" t="inlineStr">
        <is>
          <t>FILIPSTAD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45790</v>
      </c>
      <c r="E174" s="1" t="n">
        <v>46305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46305</v>
      </c>
      <c r="F175" t="inlineStr">
        <is>
          <t>VÄRMLANDS LÄN</t>
        </is>
      </c>
      <c r="G175" t="inlineStr">
        <is>
          <t>FILIPSTAD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46305</v>
      </c>
      <c r="F176" t="inlineStr">
        <is>
          <t>VÄRMLANDS LÄN</t>
        </is>
      </c>
      <c r="G176" t="inlineStr">
        <is>
          <t>FILIPSTAD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46305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45593</v>
      </c>
      <c r="E178" s="1" t="n">
        <v>46305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45530</v>
      </c>
      <c r="E179" s="1" t="n">
        <v>46305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46305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23399-2025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45792</v>
      </c>
      <c r="E181" s="1" t="n">
        <v>46305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46305</v>
      </c>
      <c r="F182" t="inlineStr">
        <is>
          <t>VÄRMLANDS LÄN</t>
        </is>
      </c>
      <c r="G182" t="inlineStr">
        <is>
          <t>FILIPSTAD</t>
        </is>
      </c>
      <c r="H182" t="inlineStr">
        <is>
          <t>Kommuner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45439</v>
      </c>
      <c r="E183" s="1" t="n">
        <v>46305</v>
      </c>
      <c r="F183" t="inlineStr">
        <is>
          <t>VÄRMLANDS LÄN</t>
        </is>
      </c>
      <c r="G183" t="inlineStr">
        <is>
          <t>FILIPSTAD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69015-2021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46305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46305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45322</v>
      </c>
      <c r="E186" s="1" t="n">
        <v>46305</v>
      </c>
      <c r="F186" t="inlineStr">
        <is>
          <t>VÄRMLANDS LÄN</t>
        </is>
      </c>
      <c r="G186" t="inlineStr">
        <is>
          <t>FILIPSTAD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72118-2021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44543</v>
      </c>
      <c r="E187" s="1" t="n">
        <v>46305</v>
      </c>
      <c r="F187" t="inlineStr">
        <is>
          <t>VÄRMLANDS LÄN</t>
        </is>
      </c>
      <c r="G187" t="inlineStr">
        <is>
          <t>FILIPSTAD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70405-2021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44536</v>
      </c>
      <c r="E188" s="1" t="n">
        <v>46305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45796</v>
      </c>
      <c r="E189" s="1" t="n">
        <v>46305</v>
      </c>
      <c r="F189" t="inlineStr">
        <is>
          <t>VÄRMLANDS LÄN</t>
        </is>
      </c>
      <c r="G189" t="inlineStr">
        <is>
          <t>FILIPSTAD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44596</v>
      </c>
      <c r="E190" s="1" t="n">
        <v>46305</v>
      </c>
      <c r="F190" t="inlineStr">
        <is>
          <t>VÄRMLANDS LÄN</t>
        </is>
      </c>
      <c r="G190" t="inlineStr">
        <is>
          <t>FILIPSTAD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46305</v>
      </c>
      <c r="F191" t="inlineStr">
        <is>
          <t>VÄRMLANDS LÄN</t>
        </is>
      </c>
      <c r="G191" t="inlineStr">
        <is>
          <t>FILIPSTAD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46305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45618</v>
      </c>
      <c r="E193" s="1" t="n">
        <v>46305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45169</v>
      </c>
      <c r="E194" s="1" t="n">
        <v>46305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45793</v>
      </c>
      <c r="E195" s="1" t="n">
        <v>46305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46305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45355</v>
      </c>
      <c r="E197" s="1" t="n">
        <v>46305</v>
      </c>
      <c r="F197" t="inlineStr">
        <is>
          <t>VÄRMLANDS LÄN</t>
        </is>
      </c>
      <c r="G197" t="inlineStr">
        <is>
          <t>FILIPSTAD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46305</v>
      </c>
      <c r="F198" t="inlineStr">
        <is>
          <t>VÄRMLANDS LÄN</t>
        </is>
      </c>
      <c r="G198" t="inlineStr">
        <is>
          <t>FILIPSTAD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46305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46305</v>
      </c>
      <c r="F200" t="inlineStr">
        <is>
          <t>VÄRMLANDS LÄN</t>
        </is>
      </c>
      <c r="G200" t="inlineStr">
        <is>
          <t>FILIPSTAD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46305</v>
      </c>
      <c r="F201" t="inlineStr">
        <is>
          <t>VÄRMLANDS LÄN</t>
        </is>
      </c>
      <c r="G201" t="inlineStr">
        <is>
          <t>FILIPSTAD</t>
        </is>
      </c>
      <c r="H201" t="inlineStr">
        <is>
          <t>Kyrkan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44801</v>
      </c>
      <c r="E202" s="1" t="n">
        <v>46305</v>
      </c>
      <c r="F202" t="inlineStr">
        <is>
          <t>VÄRMLANDS LÄN</t>
        </is>
      </c>
      <c r="G202" t="inlineStr">
        <is>
          <t>FILIPSTAD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48103-2025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45933</v>
      </c>
      <c r="E203" s="1" t="n">
        <v>46305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44935</v>
      </c>
      <c r="E204" s="1" t="n">
        <v>46305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45658</v>
      </c>
      <c r="E205" s="1" t="n">
        <v>46305</v>
      </c>
      <c r="F205" t="inlineStr">
        <is>
          <t>VÄRMLANDS LÄN</t>
        </is>
      </c>
      <c r="G205" t="inlineStr">
        <is>
          <t>FILIPSTAD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46305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46305</v>
      </c>
      <c r="F207" t="inlineStr">
        <is>
          <t>VÄRMLANDS LÄN</t>
        </is>
      </c>
      <c r="G207" t="inlineStr">
        <is>
          <t>FILIPSTAD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46305</v>
      </c>
      <c r="F208" t="inlineStr">
        <is>
          <t>VÄRMLANDS LÄN</t>
        </is>
      </c>
      <c r="G208" t="inlineStr">
        <is>
          <t>FILIPSTAD</t>
        </is>
      </c>
      <c r="H208" t="inlineStr">
        <is>
          <t>Kyrkan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26123-2025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45805</v>
      </c>
      <c r="E209" s="1" t="n">
        <v>46305</v>
      </c>
      <c r="F209" t="inlineStr">
        <is>
          <t>VÄRMLANDS LÄN</t>
        </is>
      </c>
      <c r="G209" t="inlineStr">
        <is>
          <t>FILIPSTAD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46305</v>
      </c>
      <c r="F210" t="inlineStr">
        <is>
          <t>VÄRMLANDS LÄN</t>
        </is>
      </c>
      <c r="G210" t="inlineStr">
        <is>
          <t>FILIPSTAD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26116-2025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45805</v>
      </c>
      <c r="E211" s="1" t="n">
        <v>46305</v>
      </c>
      <c r="F211" t="inlineStr">
        <is>
          <t>VÄRMLANDS LÄN</t>
        </is>
      </c>
      <c r="G211" t="inlineStr">
        <is>
          <t>FILIPSTAD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45810</v>
      </c>
      <c r="E212" s="1" t="n">
        <v>46305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45470</v>
      </c>
      <c r="E213" s="1" t="n">
        <v>46305</v>
      </c>
      <c r="F213" t="inlineStr">
        <is>
          <t>VÄRMLANDS LÄN</t>
        </is>
      </c>
      <c r="G213" t="inlineStr">
        <is>
          <t>FILIPSTAD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46305</v>
      </c>
      <c r="F214" t="inlineStr">
        <is>
          <t>VÄRMLANDS LÄN</t>
        </is>
      </c>
      <c r="G214" t="inlineStr">
        <is>
          <t>FILIPSTAD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44788</v>
      </c>
      <c r="E215" s="1" t="n">
        <v>46305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26599-2024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45469</v>
      </c>
      <c r="E216" s="1" t="n">
        <v>46305</v>
      </c>
      <c r="F216" t="inlineStr">
        <is>
          <t>VÄRMLANDS LÄN</t>
        </is>
      </c>
      <c r="G216" t="inlineStr">
        <is>
          <t>FILIPSTAD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29825-2023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45107</v>
      </c>
      <c r="E217" s="1" t="n">
        <v>46305</v>
      </c>
      <c r="F217" t="inlineStr">
        <is>
          <t>VÄRMLANDS LÄN</t>
        </is>
      </c>
      <c r="G217" t="inlineStr">
        <is>
          <t>FILIPSTAD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46305</v>
      </c>
      <c r="F218" t="inlineStr">
        <is>
          <t>VÄRMLANDS LÄN</t>
        </is>
      </c>
      <c r="G218" t="inlineStr">
        <is>
          <t>FILIPSTAD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46305</v>
      </c>
      <c r="F219" t="inlineStr">
        <is>
          <t>VÄRMLANDS LÄN</t>
        </is>
      </c>
      <c r="G219" t="inlineStr">
        <is>
          <t>FILIPSTAD</t>
        </is>
      </c>
      <c r="H219" t="inlineStr">
        <is>
          <t>Kyrkan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45686</v>
      </c>
      <c r="E220" s="1" t="n">
        <v>46305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46305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46305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46305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46305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9.199999999999999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46305</v>
      </c>
      <c r="F225" t="inlineStr">
        <is>
          <t>VÄRMLANDS LÄN</t>
        </is>
      </c>
      <c r="G225" t="inlineStr">
        <is>
          <t>FILIPSTAD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28161-2023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45093</v>
      </c>
      <c r="E226" s="1" t="n">
        <v>46305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15.4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46305</v>
      </c>
      <c r="F227" t="inlineStr">
        <is>
          <t>VÄRMLANDS LÄN</t>
        </is>
      </c>
      <c r="G227" t="inlineStr">
        <is>
          <t>FILIPSTAD</t>
        </is>
      </c>
      <c r="I227" t="n">
        <v>23.3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46305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46305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46305</v>
      </c>
      <c r="F230" t="inlineStr">
        <is>
          <t>VÄRMLANDS LÄN</t>
        </is>
      </c>
      <c r="G230" t="inlineStr">
        <is>
          <t>FILIPSTAD</t>
        </is>
      </c>
      <c r="H230" t="inlineStr">
        <is>
          <t>Kyrkan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46305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31172-2025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45832</v>
      </c>
      <c r="E232" s="1" t="n">
        <v>46305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46305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46305</v>
      </c>
      <c r="F234" t="inlineStr">
        <is>
          <t>VÄRMLANDS LÄN</t>
        </is>
      </c>
      <c r="G234" t="inlineStr">
        <is>
          <t>FILIPSTAD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46305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46305</v>
      </c>
      <c r="F236" t="inlineStr">
        <is>
          <t>VÄRMLANDS LÄN</t>
        </is>
      </c>
      <c r="G236" t="inlineStr">
        <is>
          <t>FILIPSTAD</t>
        </is>
      </c>
      <c r="H236" t="inlineStr">
        <is>
          <t>Kyrkan</t>
        </is>
      </c>
      <c r="I236" t="n">
        <v>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46305</v>
      </c>
      <c r="F237" t="inlineStr">
        <is>
          <t>VÄRMLANDS LÄN</t>
        </is>
      </c>
      <c r="G237" t="inlineStr">
        <is>
          <t>FILIPSTAD</t>
        </is>
      </c>
      <c r="H237" t="inlineStr">
        <is>
          <t>Kyrkan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44691</v>
      </c>
      <c r="E238" s="1" t="n">
        <v>46305</v>
      </c>
      <c r="F238" t="inlineStr">
        <is>
          <t>VÄRMLANDS LÄN</t>
        </is>
      </c>
      <c r="G238" t="inlineStr">
        <is>
          <t>FILIPSTAD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46305</v>
      </c>
      <c r="F239" t="inlineStr">
        <is>
          <t>VÄRMLANDS LÄN</t>
        </is>
      </c>
      <c r="G239" t="inlineStr">
        <is>
          <t>FILIPSTAD</t>
        </is>
      </c>
      <c r="I239" t="n">
        <v>18.7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44998</v>
      </c>
      <c r="E240" s="1" t="n">
        <v>46305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32032-2025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45835</v>
      </c>
      <c r="E241" s="1" t="n">
        <v>46305</v>
      </c>
      <c r="F241" t="inlineStr">
        <is>
          <t>VÄRMLANDS LÄN</t>
        </is>
      </c>
      <c r="G241" t="inlineStr">
        <is>
          <t>FILIPSTAD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46305</v>
      </c>
      <c r="F242" t="inlineStr">
        <is>
          <t>VÄRMLANDS LÄN</t>
        </is>
      </c>
      <c r="G242" t="inlineStr">
        <is>
          <t>FILIPSTAD</t>
        </is>
      </c>
      <c r="H242" t="inlineStr">
        <is>
          <t>Kyrkan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46305</v>
      </c>
      <c r="F243" t="inlineStr">
        <is>
          <t>VÄRMLANDS LÄN</t>
        </is>
      </c>
      <c r="G243" t="inlineStr">
        <is>
          <t>FILIPSTAD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46305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46305</v>
      </c>
      <c r="F245" t="inlineStr">
        <is>
          <t>VÄRMLANDS LÄN</t>
        </is>
      </c>
      <c r="G245" t="inlineStr">
        <is>
          <t>FILIPSTAD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46305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45688</v>
      </c>
      <c r="E247" s="1" t="n">
        <v>46305</v>
      </c>
      <c r="F247" t="inlineStr">
        <is>
          <t>VÄRMLANDS LÄN</t>
        </is>
      </c>
      <c r="G247" t="inlineStr">
        <is>
          <t>FILIPSTAD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46305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45968</v>
      </c>
      <c r="E249" s="1" t="n">
        <v>46305</v>
      </c>
      <c r="F249" t="inlineStr">
        <is>
          <t>VÄRMLANDS LÄN</t>
        </is>
      </c>
      <c r="G249" t="inlineStr">
        <is>
          <t>FILIPSTAD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46305</v>
      </c>
      <c r="F250" t="inlineStr">
        <is>
          <t>VÄRMLANDS LÄN</t>
        </is>
      </c>
      <c r="G250" t="inlineStr">
        <is>
          <t>FILIPSTAD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33407-2025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45841</v>
      </c>
      <c r="E251" s="1" t="n">
        <v>46305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46305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45569</v>
      </c>
      <c r="E253" s="1" t="n">
        <v>46305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46305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8.699999999999999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46305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46305</v>
      </c>
      <c r="F256" t="inlineStr">
        <is>
          <t>VÄRMLANDS LÄN</t>
        </is>
      </c>
      <c r="G256" t="inlineStr">
        <is>
          <t>FILIPSTAD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56086-2025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46305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39633-2023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46305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45186</v>
      </c>
      <c r="E259" s="1" t="n">
        <v>46305</v>
      </c>
      <c r="F259" t="inlineStr">
        <is>
          <t>VÄRMLANDS LÄN</t>
        </is>
      </c>
      <c r="G259" t="inlineStr">
        <is>
          <t>FILIPSTAD</t>
        </is>
      </c>
      <c r="I259" t="n">
        <v>15.3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46305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46305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46305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46305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46305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16103-2025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45750</v>
      </c>
      <c r="E265" s="1" t="n">
        <v>46305</v>
      </c>
      <c r="F265" t="inlineStr">
        <is>
          <t>VÄRMLANDS LÄN</t>
        </is>
      </c>
      <c r="G265" t="inlineStr">
        <is>
          <t>FILIPSTAD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46305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46305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56045-2025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45973</v>
      </c>
      <c r="E268" s="1" t="n">
        <v>46305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46305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36251-2022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44803</v>
      </c>
      <c r="E270" s="1" t="n">
        <v>46305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22866-2023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45072</v>
      </c>
      <c r="E271" s="1" t="n">
        <v>46305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29473-2024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45484</v>
      </c>
      <c r="E272" s="1" t="n">
        <v>46305</v>
      </c>
      <c r="F272" t="inlineStr">
        <is>
          <t>VÄRMLANDS LÄN</t>
        </is>
      </c>
      <c r="G272" t="inlineStr">
        <is>
          <t>FILIPSTAD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44789</v>
      </c>
      <c r="E273" s="1" t="n">
        <v>46305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46257-2022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44847</v>
      </c>
      <c r="E274" s="1" t="n">
        <v>46305</v>
      </c>
      <c r="F274" t="inlineStr">
        <is>
          <t>VÄRMLANDS LÄN</t>
        </is>
      </c>
      <c r="G274" t="inlineStr">
        <is>
          <t>FILIPSTAD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36827-2022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44805</v>
      </c>
      <c r="E275" s="1" t="n">
        <v>46305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37611-2022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44809</v>
      </c>
      <c r="E276" s="1" t="n">
        <v>46305</v>
      </c>
      <c r="F276" t="inlineStr">
        <is>
          <t>VÄRMLANDS LÄN</t>
        </is>
      </c>
      <c r="G276" t="inlineStr">
        <is>
          <t>FILIPSTAD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46305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45870</v>
      </c>
      <c r="E278" s="1" t="n">
        <v>46305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45720</v>
      </c>
      <c r="E279" s="1" t="n">
        <v>46305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45087</v>
      </c>
      <c r="E280" s="1" t="n">
        <v>46305</v>
      </c>
      <c r="F280" t="inlineStr">
        <is>
          <t>VÄRMLANDS LÄN</t>
        </is>
      </c>
      <c r="G280" t="inlineStr">
        <is>
          <t>FILIPSTAD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44579</v>
      </c>
      <c r="E281" s="1" t="n">
        <v>46305</v>
      </c>
      <c r="F281" t="inlineStr">
        <is>
          <t>VÄRMLANDS LÄN</t>
        </is>
      </c>
      <c r="G281" t="inlineStr">
        <is>
          <t>FILIPSTAD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46305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28.4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46305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46305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46305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46305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46305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46305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46098</v>
      </c>
      <c r="E289" s="1" t="n">
        <v>46305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46305</v>
      </c>
      <c r="F290" t="inlineStr">
        <is>
          <t>VÄRMLANDS LÄN</t>
        </is>
      </c>
      <c r="G290" t="inlineStr">
        <is>
          <t>FILIPSTAD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46100</v>
      </c>
      <c r="E291" s="1" t="n">
        <v>46305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45177</v>
      </c>
      <c r="E292" s="1" t="n">
        <v>46305</v>
      </c>
      <c r="F292" t="inlineStr">
        <is>
          <t>VÄRMLANDS LÄN</t>
        </is>
      </c>
      <c r="G292" t="inlineStr">
        <is>
          <t>FILIPSTAD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46305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46305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46305</v>
      </c>
      <c r="F295" t="inlineStr">
        <is>
          <t>VÄRMLANDS LÄN</t>
        </is>
      </c>
      <c r="G295" t="inlineStr">
        <is>
          <t>FILIPSTAD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46305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46305</v>
      </c>
      <c r="F297" t="inlineStr">
        <is>
          <t>VÄRMLANDS LÄN</t>
        </is>
      </c>
      <c r="G297" t="inlineStr">
        <is>
          <t>FILIPSTAD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46305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46107</v>
      </c>
      <c r="E299" s="1" t="n">
        <v>46305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53034-2022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44876</v>
      </c>
      <c r="E300" s="1" t="n">
        <v>46305</v>
      </c>
      <c r="F300" t="inlineStr">
        <is>
          <t>VÄRMLANDS LÄN</t>
        </is>
      </c>
      <c r="G300" t="inlineStr">
        <is>
          <t>FILIPSTAD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46305</v>
      </c>
      <c r="F301" t="inlineStr">
        <is>
          <t>VÄRMLANDS LÄN</t>
        </is>
      </c>
      <c r="G301" t="inlineStr">
        <is>
          <t>FILIPSTAD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45988</v>
      </c>
      <c r="E302" s="1" t="n">
        <v>46305</v>
      </c>
      <c r="F302" t="inlineStr">
        <is>
          <t>VÄRMLANDS LÄN</t>
        </is>
      </c>
      <c r="G302" t="inlineStr">
        <is>
          <t>FILIPSTAD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46305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46305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46107</v>
      </c>
      <c r="E305" s="1" t="n">
        <v>46305</v>
      </c>
      <c r="F305" t="inlineStr">
        <is>
          <t>VÄRMLANDS LÄN</t>
        </is>
      </c>
      <c r="G305" t="inlineStr">
        <is>
          <t>FILIPSTAD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46305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46305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46305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16040-2026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46108</v>
      </c>
      <c r="E309" s="1" t="n">
        <v>46305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46108</v>
      </c>
      <c r="E310" s="1" t="n">
        <v>46305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46305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46305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46305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46305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46305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46305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46305</v>
      </c>
      <c r="F317" t="inlineStr">
        <is>
          <t>VÄRMLANDS LÄN</t>
        </is>
      </c>
      <c r="G317" t="inlineStr">
        <is>
          <t>FILIPSTAD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45989</v>
      </c>
      <c r="E318" s="1" t="n">
        <v>46305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46305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46305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45218</v>
      </c>
      <c r="E321" s="1" t="n">
        <v>46305</v>
      </c>
      <c r="F321" t="inlineStr">
        <is>
          <t>VÄRMLANDS LÄN</t>
        </is>
      </c>
      <c r="G321" t="inlineStr">
        <is>
          <t>FILIPSTAD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46305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46119</v>
      </c>
      <c r="E323" s="1" t="n">
        <v>46305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46305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46305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46305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46305</v>
      </c>
      <c r="F327" t="inlineStr">
        <is>
          <t>VÄRMLANDS LÄN</t>
        </is>
      </c>
      <c r="G327" t="inlineStr">
        <is>
          <t>FILIPSTAD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59929-2025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46305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46305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46305</v>
      </c>
      <c r="F330" t="inlineStr">
        <is>
          <t>VÄRMLANDS LÄN</t>
        </is>
      </c>
      <c r="G330" t="inlineStr">
        <is>
          <t>FILIPSTAD</t>
        </is>
      </c>
      <c r="H330" t="inlineStr">
        <is>
          <t>Kommuner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46305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46305</v>
      </c>
      <c r="F332" t="inlineStr">
        <is>
          <t>VÄRMLANDS LÄN</t>
        </is>
      </c>
      <c r="G332" t="inlineStr">
        <is>
          <t>FILIPSTAD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60653-2025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46305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46305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46305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46305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55978-2022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44889</v>
      </c>
      <c r="E337" s="1" t="n">
        <v>46305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46305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46305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46305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46305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46305</v>
      </c>
      <c r="F342" t="inlineStr">
        <is>
          <t>VÄRMLANDS LÄN</t>
        </is>
      </c>
      <c r="G342" t="inlineStr">
        <is>
          <t>FILIPSTAD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46305</v>
      </c>
      <c r="F343" t="inlineStr">
        <is>
          <t>VÄRMLANDS LÄN</t>
        </is>
      </c>
      <c r="G343" t="inlineStr">
        <is>
          <t>FILIPSTAD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61327-2025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46001</v>
      </c>
      <c r="E344" s="1" t="n">
        <v>46305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46305</v>
      </c>
      <c r="F345" t="inlineStr">
        <is>
          <t>VÄRMLANDS LÄN</t>
        </is>
      </c>
      <c r="G345" t="inlineStr">
        <is>
          <t>FILIPSTAD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46305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46305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46305</v>
      </c>
      <c r="F348" t="inlineStr">
        <is>
          <t>VÄRMLANDS LÄN</t>
        </is>
      </c>
      <c r="G348" t="inlineStr">
        <is>
          <t>FILIPSTAD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46305</v>
      </c>
      <c r="F349" t="inlineStr">
        <is>
          <t>VÄRMLANDS LÄN</t>
        </is>
      </c>
      <c r="G349" t="inlineStr">
        <is>
          <t>FILIPSTAD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46126</v>
      </c>
      <c r="E350" s="1" t="n">
        <v>46305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61417-2025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46001</v>
      </c>
      <c r="E351" s="1" t="n">
        <v>46305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45152</v>
      </c>
      <c r="E352" s="1" t="n">
        <v>46305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46305</v>
      </c>
      <c r="F353" t="inlineStr">
        <is>
          <t>VÄRMLANDS LÄN</t>
        </is>
      </c>
      <c r="G353" t="inlineStr">
        <is>
          <t>FILIPSTAD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46305</v>
      </c>
      <c r="F354" t="inlineStr">
        <is>
          <t>VÄRMLANDS LÄN</t>
        </is>
      </c>
      <c r="G354" t="inlineStr">
        <is>
          <t>FILIPSTAD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46305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50856-2022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44867</v>
      </c>
      <c r="E356" s="1" t="n">
        <v>46305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46305</v>
      </c>
      <c r="F357" t="inlineStr">
        <is>
          <t>VÄRMLANDS LÄN</t>
        </is>
      </c>
      <c r="G357" t="inlineStr">
        <is>
          <t>FILIPSTAD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61628-2022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44911</v>
      </c>
      <c r="E358" s="1" t="n">
        <v>46305</v>
      </c>
      <c r="F358" t="inlineStr">
        <is>
          <t>VÄRMLANDS LÄN</t>
        </is>
      </c>
      <c r="G358" t="inlineStr">
        <is>
          <t>FILIPSTAD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46305</v>
      </c>
      <c r="F359" t="inlineStr">
        <is>
          <t>VÄRMLANDS LÄN</t>
        </is>
      </c>
      <c r="G359" t="inlineStr">
        <is>
          <t>FILIPSTAD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45568</v>
      </c>
      <c r="E360" s="1" t="n">
        <v>46305</v>
      </c>
      <c r="F360" t="inlineStr">
        <is>
          <t>VÄRMLANDS LÄN</t>
        </is>
      </c>
      <c r="G360" t="inlineStr">
        <is>
          <t>FILIPSTAD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45253</v>
      </c>
      <c r="E361" s="1" t="n">
        <v>46305</v>
      </c>
      <c r="F361" t="inlineStr">
        <is>
          <t>VÄRMLANDS LÄN</t>
        </is>
      </c>
      <c r="G361" t="inlineStr">
        <is>
          <t>FILIPSTAD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61492-2025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46001</v>
      </c>
      <c r="E362" s="1" t="n">
        <v>46305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46305</v>
      </c>
      <c r="F363" t="inlineStr">
        <is>
          <t>VÄRMLANDS LÄN</t>
        </is>
      </c>
      <c r="G363" t="inlineStr">
        <is>
          <t>FILIPSTAD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46004</v>
      </c>
      <c r="E364" s="1" t="n">
        <v>46305</v>
      </c>
      <c r="F364" t="inlineStr">
        <is>
          <t>VÄRMLANDS LÄN</t>
        </is>
      </c>
      <c r="G364" t="inlineStr">
        <is>
          <t>FILIPSTAD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46305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46305</v>
      </c>
      <c r="F366" t="inlineStr">
        <is>
          <t>VÄRMLANDS LÄN</t>
        </is>
      </c>
      <c r="G366" t="inlineStr">
        <is>
          <t>FILIPSTAD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46305</v>
      </c>
      <c r="F367" t="inlineStr">
        <is>
          <t>VÄRMLANDS LÄN</t>
        </is>
      </c>
      <c r="G367" t="inlineStr">
        <is>
          <t>FILIPSTAD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46305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46134</v>
      </c>
      <c r="E369" s="1" t="n">
        <v>46305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19669-2026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46305</v>
      </c>
      <c r="F370" t="inlineStr">
        <is>
          <t>VÄRMLANDS LÄN</t>
        </is>
      </c>
      <c r="G370" t="inlineStr">
        <is>
          <t>FILIPSTAD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46004</v>
      </c>
      <c r="E371" s="1" t="n">
        <v>46305</v>
      </c>
      <c r="F371" t="inlineStr">
        <is>
          <t>VÄRMLANDS LÄN</t>
        </is>
      </c>
      <c r="G371" t="inlineStr">
        <is>
          <t>FILIPSTAD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61823-2025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46003</v>
      </c>
      <c r="E372" s="1" t="n">
        <v>46305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46305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46305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45232</v>
      </c>
      <c r="E375" s="1" t="n">
        <v>46305</v>
      </c>
      <c r="F375" t="inlineStr">
        <is>
          <t>VÄRMLANDS LÄN</t>
        </is>
      </c>
      <c r="G375" t="inlineStr">
        <is>
          <t>FILIPSTAD</t>
        </is>
      </c>
      <c r="I375" t="n">
        <v>15.5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46305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44994</v>
      </c>
      <c r="E377" s="1" t="n">
        <v>46305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46305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36680-2023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45153</v>
      </c>
      <c r="E379" s="1" t="n">
        <v>46305</v>
      </c>
      <c r="F379" t="inlineStr">
        <is>
          <t>VÄRMLANDS LÄN</t>
        </is>
      </c>
      <c r="G379" t="inlineStr">
        <is>
          <t>FILIPSTAD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5803-2023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44963</v>
      </c>
      <c r="E380" s="1" t="n">
        <v>46305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63186-2025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46305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46136</v>
      </c>
      <c r="E382" s="1" t="n">
        <v>46305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46305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18210-2024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45420</v>
      </c>
      <c r="E384" s="1" t="n">
        <v>46305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45896</v>
      </c>
      <c r="E385" s="1" t="n">
        <v>46305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63678-2025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46014</v>
      </c>
      <c r="E386" s="1" t="n">
        <v>46305</v>
      </c>
      <c r="F386" t="inlineStr">
        <is>
          <t>VÄRMLANDS LÄN</t>
        </is>
      </c>
      <c r="G386" t="inlineStr">
        <is>
          <t>FILIPSTAD</t>
        </is>
      </c>
      <c r="I386" t="n">
        <v>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46305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46305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51618-2022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44872</v>
      </c>
      <c r="E389" s="1" t="n">
        <v>46305</v>
      </c>
      <c r="F389" t="inlineStr">
        <is>
          <t>VÄRMLANDS LÄN</t>
        </is>
      </c>
      <c r="G389" t="inlineStr">
        <is>
          <t>FILIPSTAD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45790</v>
      </c>
      <c r="E390" s="1" t="n">
        <v>46305</v>
      </c>
      <c r="F390" t="inlineStr">
        <is>
          <t>VÄRMLANDS LÄN</t>
        </is>
      </c>
      <c r="G390" t="inlineStr">
        <is>
          <t>FILIPSTAD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46305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46305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71971-2021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44544</v>
      </c>
      <c r="E393" s="1" t="n">
        <v>46305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45789</v>
      </c>
      <c r="E394" s="1" t="n">
        <v>46305</v>
      </c>
      <c r="F394" t="inlineStr">
        <is>
          <t>VÄRMLANDS LÄN</t>
        </is>
      </c>
      <c r="G394" t="inlineStr">
        <is>
          <t>FILIPSTAD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45114</v>
      </c>
      <c r="E395" s="1" t="n">
        <v>46305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54080-2025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45964</v>
      </c>
      <c r="E396" s="1" t="n">
        <v>46305</v>
      </c>
      <c r="F396" t="inlineStr">
        <is>
          <t>VÄRMLANDS LÄN</t>
        </is>
      </c>
      <c r="G396" t="inlineStr">
        <is>
          <t>FILIPSTAD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46305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58611-2025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45986</v>
      </c>
      <c r="E398" s="1" t="n">
        <v>46305</v>
      </c>
      <c r="F398" t="inlineStr">
        <is>
          <t>VÄRMLANDS LÄN</t>
        </is>
      </c>
      <c r="G398" t="inlineStr">
        <is>
          <t>FILIPSTAD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9370-2023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44981</v>
      </c>
      <c r="E399" s="1" t="n">
        <v>46305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46040</v>
      </c>
      <c r="E400" s="1" t="n">
        <v>46305</v>
      </c>
      <c r="F400" t="inlineStr">
        <is>
          <t>VÄRMLANDS LÄN</t>
        </is>
      </c>
      <c r="G400" t="inlineStr">
        <is>
          <t>FILIPSTAD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46305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46305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50786-2024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45602</v>
      </c>
      <c r="E403" s="1" t="n">
        <v>46305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20489-2026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46305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44963</v>
      </c>
      <c r="E405" s="1" t="n">
        <v>46305</v>
      </c>
      <c r="F405" t="inlineStr">
        <is>
          <t>VÄRMLANDS LÄN</t>
        </is>
      </c>
      <c r="G405" t="inlineStr">
        <is>
          <t>FILIPSTAD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36809-2022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44805</v>
      </c>
      <c r="E406" s="1" t="n">
        <v>46305</v>
      </c>
      <c r="F406" t="inlineStr">
        <is>
          <t>VÄRMLANDS LÄN</t>
        </is>
      </c>
      <c r="G406" t="inlineStr">
        <is>
          <t>FILIPSTAD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45124</v>
      </c>
      <c r="E407" s="1" t="n">
        <v>46305</v>
      </c>
      <c r="F407" t="inlineStr">
        <is>
          <t>VÄRMLANDS LÄN</t>
        </is>
      </c>
      <c r="G407" t="inlineStr">
        <is>
          <t>FILIPSTAD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45124</v>
      </c>
      <c r="E408" s="1" t="n">
        <v>46305</v>
      </c>
      <c r="F408" t="inlineStr">
        <is>
          <t>VÄRMLANDS LÄN</t>
        </is>
      </c>
      <c r="G408" t="inlineStr">
        <is>
          <t>FILIPSTAD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61741-2022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46305</v>
      </c>
      <c r="F409" t="inlineStr">
        <is>
          <t>VÄRMLANDS LÄN</t>
        </is>
      </c>
      <c r="G409" t="inlineStr">
        <is>
          <t>FILIPSTAD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39896-2025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45891</v>
      </c>
      <c r="E410" s="1" t="n">
        <v>46305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32059-2025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46305</v>
      </c>
      <c r="F411" t="inlineStr">
        <is>
          <t>VÄRMLANDS LÄN</t>
        </is>
      </c>
      <c r="G411" t="inlineStr">
        <is>
          <t>FILIPSTAD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46141</v>
      </c>
      <c r="E412" s="1" t="n">
        <v>46305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46305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25737-2023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45090</v>
      </c>
      <c r="E414" s="1" t="n">
        <v>46305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20554-2025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45775</v>
      </c>
      <c r="E415" s="1" t="n">
        <v>46305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46305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46305</v>
      </c>
      <c r="F417" t="inlineStr">
        <is>
          <t>VÄRMLANDS LÄN</t>
        </is>
      </c>
      <c r="G417" t="inlineStr">
        <is>
          <t>FILIPSTAD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36272-2025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45867</v>
      </c>
      <c r="E418" s="1" t="n">
        <v>46305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45834</v>
      </c>
      <c r="E419" s="1" t="n">
        <v>46305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46305</v>
      </c>
      <c r="F420" t="inlineStr">
        <is>
          <t>VÄRMLANDS LÄN</t>
        </is>
      </c>
      <c r="G420" t="inlineStr">
        <is>
          <t>FILIPSTAD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46305</v>
      </c>
      <c r="F421" t="inlineStr">
        <is>
          <t>VÄRMLANDS LÄN</t>
        </is>
      </c>
      <c r="G421" t="inlineStr">
        <is>
          <t>FILIPSTAD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46305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45456</v>
      </c>
      <c r="E423" s="1" t="n">
        <v>46305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7430-2026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46305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46305</v>
      </c>
      <c r="F425" t="inlineStr">
        <is>
          <t>VÄRMLANDS LÄN</t>
        </is>
      </c>
      <c r="G425" t="inlineStr">
        <is>
          <t>FILIPSTAD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46305</v>
      </c>
      <c r="F426" t="inlineStr">
        <is>
          <t>VÄRMLANDS LÄN</t>
        </is>
      </c>
      <c r="G426" t="inlineStr">
        <is>
          <t>FILIPSTAD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46148</v>
      </c>
      <c r="E427" s="1" t="n">
        <v>46305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46305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46305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46305</v>
      </c>
      <c r="F430" t="inlineStr">
        <is>
          <t>VÄRMLANDS LÄN</t>
        </is>
      </c>
      <c r="G430" t="inlineStr">
        <is>
          <t>FILIPSTAD</t>
        </is>
      </c>
      <c r="I430" t="n">
        <v>10.8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46305</v>
      </c>
      <c r="F431" t="inlineStr">
        <is>
          <t>VÄRMLANDS LÄN</t>
        </is>
      </c>
      <c r="G431" t="inlineStr">
        <is>
          <t>FILIPSTAD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46305</v>
      </c>
      <c r="F432" t="inlineStr">
        <is>
          <t>VÄRMLANDS LÄN</t>
        </is>
      </c>
      <c r="G432" t="inlineStr">
        <is>
          <t>FILIPSTAD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46305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46305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22229-2026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46305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46305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46305</v>
      </c>
      <c r="F437" t="inlineStr">
        <is>
          <t>VÄRMLANDS LÄN</t>
        </is>
      </c>
      <c r="G437" t="inlineStr">
        <is>
          <t>FILIPSTAD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46305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46305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46305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46305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46305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46305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46305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46092</v>
      </c>
      <c r="E445" s="1" t="n">
        <v>46305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46305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46305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46305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46305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45077</v>
      </c>
      <c r="E450" s="1" t="n">
        <v>46305</v>
      </c>
      <c r="F450" t="inlineStr">
        <is>
          <t>VÄRMLANDS LÄN</t>
        </is>
      </c>
      <c r="G450" t="inlineStr">
        <is>
          <t>FILIPSTAD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46305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46305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46305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46305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46305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23500-2026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46305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46305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49935-2025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45940</v>
      </c>
      <c r="E458" s="1" t="n">
        <v>46305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46305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46305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46305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46305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23922-2026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46305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23931-2026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46305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46305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46305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46305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46305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46305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46305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9.300000000000001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46305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24260-2026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46169</v>
      </c>
      <c r="E472" s="1" t="n">
        <v>46305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46305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46305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46305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46305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46305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46305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46305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46305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46305</v>
      </c>
      <c r="F481" t="inlineStr">
        <is>
          <t>VÄRMLANDS LÄN</t>
        </is>
      </c>
      <c r="G481" t="inlineStr">
        <is>
          <t>FILIPSTAD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45835</v>
      </c>
      <c r="E482" s="1" t="n">
        <v>46305</v>
      </c>
      <c r="F482" t="inlineStr">
        <is>
          <t>VÄRMLANDS LÄN</t>
        </is>
      </c>
      <c r="G482" t="inlineStr">
        <is>
          <t>FILIPSTAD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16063-2025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45749</v>
      </c>
      <c r="E483" s="1" t="n">
        <v>46305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46305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46305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46305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8.9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46305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8.5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46305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26107-2026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46305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46305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46305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46305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46305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46305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26227-2026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46305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46183</v>
      </c>
      <c r="E496" s="1" t="n">
        <v>46305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46305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46305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46305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46305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46187</v>
      </c>
      <c r="E501" s="1" t="n">
        <v>46305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46305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27079-2026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46186</v>
      </c>
      <c r="E503" s="1" t="n">
        <v>46305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46305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46305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46191</v>
      </c>
      <c r="E506" s="1" t="n">
        <v>46305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27595-2026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46190</v>
      </c>
      <c r="E507" s="1" t="n">
        <v>46305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46191</v>
      </c>
      <c r="E508" s="1" t="n">
        <v>46305</v>
      </c>
      <c r="F508" t="inlineStr">
        <is>
          <t>VÄRMLANDS LÄN</t>
        </is>
      </c>
      <c r="G508" t="inlineStr">
        <is>
          <t>FILIPSTAD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27968-2026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46305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46305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45947</v>
      </c>
      <c r="E511" s="1" t="n">
        <v>46305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46305</v>
      </c>
      <c r="F512" t="inlineStr">
        <is>
          <t>VÄRMLANDS LÄN</t>
        </is>
      </c>
      <c r="G512" t="inlineStr">
        <is>
          <t>FILIPSTAD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46305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46305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46305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46203</v>
      </c>
      <c r="E516" s="1" t="n">
        <v>46305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46305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46305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46305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46305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46305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46305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46305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29863-2026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46305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12509-2026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46090</v>
      </c>
      <c r="E525" s="1" t="n">
        <v>46305</v>
      </c>
      <c r="F525" t="inlineStr">
        <is>
          <t>VÄRMLANDS LÄN</t>
        </is>
      </c>
      <c r="G525" t="inlineStr">
        <is>
          <t>FILIPSTAD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46305</v>
      </c>
      <c r="F526" t="inlineStr">
        <is>
          <t>VÄRMLANDS LÄN</t>
        </is>
      </c>
      <c r="G526" t="inlineStr">
        <is>
          <t>FILIPSTAD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30074-2026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46305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30540-2026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46210</v>
      </c>
      <c r="E528" s="1" t="n">
        <v>46305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46305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46219</v>
      </c>
      <c r="E530" s="1" t="n">
        <v>46305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31283-2026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46218</v>
      </c>
      <c r="E531" s="1" t="n">
        <v>46305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46305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46264</v>
      </c>
      <c r="E533" s="1" t="n">
        <v>46305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46305</v>
      </c>
      <c r="F534" t="inlineStr">
        <is>
          <t>VÄRMLANDS LÄN</t>
        </is>
      </c>
      <c r="G534" t="inlineStr">
        <is>
          <t>FILIPSTAD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46223</v>
      </c>
      <c r="E535" s="1" t="n">
        <v>46305</v>
      </c>
      <c r="F535" t="inlineStr">
        <is>
          <t>VÄRMLANDS LÄN</t>
        </is>
      </c>
      <c r="G535" t="inlineStr">
        <is>
          <t>FILIPSTAD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46305</v>
      </c>
      <c r="F536" t="inlineStr">
        <is>
          <t>VÄRMLANDS LÄN</t>
        </is>
      </c>
      <c r="G536" t="inlineStr">
        <is>
          <t>FILIPSTAD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46305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35641-2026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46265</v>
      </c>
      <c r="E538" s="1" t="n">
        <v>46305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46264</v>
      </c>
      <c r="E539" s="1" t="n">
        <v>46305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46305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31537-2026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46223</v>
      </c>
      <c r="E541" s="1" t="n">
        <v>46305</v>
      </c>
      <c r="F541" t="inlineStr">
        <is>
          <t>VÄRMLANDS LÄN</t>
        </is>
      </c>
      <c r="G541" t="inlineStr">
        <is>
          <t>FILIPSTAD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46305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31648-2026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46225</v>
      </c>
      <c r="E543" s="1" t="n">
        <v>46305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46268</v>
      </c>
      <c r="E544" s="1" t="n">
        <v>46305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46226</v>
      </c>
      <c r="E545" s="1" t="n">
        <v>46305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46226</v>
      </c>
      <c r="E546" s="1" t="n">
        <v>46305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31706-2026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46226</v>
      </c>
      <c r="E547" s="1" t="n">
        <v>46305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46227</v>
      </c>
      <c r="E548" s="1" t="n">
        <v>46305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31746-2026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46227</v>
      </c>
      <c r="E549" s="1" t="n">
        <v>46305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46305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46305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46269</v>
      </c>
      <c r="E552" s="1" t="n">
        <v>46305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46272</v>
      </c>
      <c r="E553" s="1" t="n">
        <v>46305</v>
      </c>
      <c r="F553" t="inlineStr">
        <is>
          <t>VÄRMLANDS LÄN</t>
        </is>
      </c>
      <c r="G553" t="inlineStr">
        <is>
          <t>FILIPSTAD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36508-2026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46269</v>
      </c>
      <c r="E554" s="1" t="n">
        <v>46305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36801-2026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46272</v>
      </c>
      <c r="E555" s="1" t="n">
        <v>46305</v>
      </c>
      <c r="F555" t="inlineStr">
        <is>
          <t>VÄRMLANDS LÄN</t>
        </is>
      </c>
      <c r="G555" t="inlineStr">
        <is>
          <t>FILIPSTAD</t>
        </is>
      </c>
      <c r="I555" t="n">
        <v>11.6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46269</v>
      </c>
      <c r="E556" s="1" t="n">
        <v>46305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46305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46186</v>
      </c>
      <c r="E558" s="1" t="n">
        <v>46305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46231</v>
      </c>
      <c r="E559" s="1" t="n">
        <v>46305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46274</v>
      </c>
      <c r="E560" s="1" t="n">
        <v>46305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46305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46305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46233</v>
      </c>
      <c r="E563" s="1" t="n">
        <v>46305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31950-2026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46232</v>
      </c>
      <c r="E564" s="1" t="n">
        <v>46305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31957-2026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46232</v>
      </c>
      <c r="E565" s="1" t="n">
        <v>46305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31963-2026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46232</v>
      </c>
      <c r="E566" s="1" t="n">
        <v>46305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46233</v>
      </c>
      <c r="E567" s="1" t="n">
        <v>46305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46276</v>
      </c>
      <c r="E568" s="1" t="n">
        <v>46305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32249-2026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46237</v>
      </c>
      <c r="E569" s="1" t="n">
        <v>46305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46234</v>
      </c>
      <c r="E570" s="1" t="n">
        <v>46305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46279</v>
      </c>
      <c r="E571" s="1" t="n">
        <v>46305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46237</v>
      </c>
      <c r="E572" s="1" t="n">
        <v>46305</v>
      </c>
      <c r="F572" t="inlineStr">
        <is>
          <t>VÄRMLANDS LÄN</t>
        </is>
      </c>
      <c r="G572" t="inlineStr">
        <is>
          <t>FILIPSTAD</t>
        </is>
      </c>
      <c r="I572" t="n">
        <v>13.4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46233</v>
      </c>
      <c r="E573" s="1" t="n">
        <v>46305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32563-2026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46305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46282</v>
      </c>
      <c r="E575" s="1" t="n">
        <v>46305</v>
      </c>
      <c r="F575" t="inlineStr">
        <is>
          <t>VÄRMLANDS LÄN</t>
        </is>
      </c>
      <c r="G575" t="inlineStr">
        <is>
          <t>FILIPSTAD</t>
        </is>
      </c>
      <c r="H575" t="inlineStr">
        <is>
          <t>Kyrkan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32572-2026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46239</v>
      </c>
      <c r="E576" s="1" t="n">
        <v>46305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46281</v>
      </c>
      <c r="E577" s="1" t="n">
        <v>46305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46305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32588-2026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46240</v>
      </c>
      <c r="E579" s="1" t="n">
        <v>46305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46240</v>
      </c>
      <c r="E580" s="1" t="n">
        <v>46305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32601-2026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46240</v>
      </c>
      <c r="E581" s="1" t="n">
        <v>46305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46305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38578-2026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46283</v>
      </c>
      <c r="E583" s="1" t="n">
        <v>46305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46241</v>
      </c>
      <c r="E584" s="1" t="n">
        <v>46305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46305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38575-2026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46283</v>
      </c>
      <c r="E586" s="1" t="n">
        <v>46305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46283</v>
      </c>
      <c r="E587" s="1" t="n">
        <v>46305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32852-2026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46305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46288</v>
      </c>
      <c r="E589" s="1" t="n">
        <v>46305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33092-2026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46305</v>
      </c>
      <c r="F590" t="inlineStr">
        <is>
          <t>VÄRMLANDS LÄN</t>
        </is>
      </c>
      <c r="G590" t="inlineStr">
        <is>
          <t>FILIPSTAD</t>
        </is>
      </c>
      <c r="I590" t="n">
        <v>6.4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33130-2026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46245</v>
      </c>
      <c r="E591" s="1" t="n">
        <v>46305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18892-2026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46305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32980-2026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46305</v>
      </c>
      <c r="F593" t="inlineStr">
        <is>
          <t>VÄRMLANDS LÄN</t>
        </is>
      </c>
      <c r="G593" t="inlineStr">
        <is>
          <t>FILIPSTAD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46305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19.1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46288</v>
      </c>
      <c r="E595" s="1" t="n">
        <v>46305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32972-2026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46244</v>
      </c>
      <c r="E596" s="1" t="n">
        <v>46305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39591-2026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46289</v>
      </c>
      <c r="E597" s="1" t="n">
        <v>46305</v>
      </c>
      <c r="F597" t="inlineStr">
        <is>
          <t>VÄRMLANDS LÄN</t>
        </is>
      </c>
      <c r="G597" t="inlineStr">
        <is>
          <t>FILIPSTAD</t>
        </is>
      </c>
      <c r="H597" t="inlineStr">
        <is>
          <t>Kyrkan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35945-2026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46266</v>
      </c>
      <c r="E598" s="1" t="n">
        <v>46305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46246</v>
      </c>
      <c r="E599" s="1" t="n">
        <v>46305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23.8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46305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46290</v>
      </c>
      <c r="E601" s="1" t="n">
        <v>46305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33493-2026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46247</v>
      </c>
      <c r="E602" s="1" t="n">
        <v>46305</v>
      </c>
      <c r="F602" t="inlineStr">
        <is>
          <t>VÄRMLANDS LÄN</t>
        </is>
      </c>
      <c r="G602" t="inlineStr">
        <is>
          <t>FILIPSTAD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46293</v>
      </c>
      <c r="E603" s="1" t="n">
        <v>46305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40113-2026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46305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40092-2026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46293</v>
      </c>
      <c r="E605" s="1" t="n">
        <v>46305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46305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46305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33859-2026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46251</v>
      </c>
      <c r="E608" s="1" t="n">
        <v>46305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46305</v>
      </c>
      <c r="F609" t="inlineStr">
        <is>
          <t>VÄRMLANDS LÄN</t>
        </is>
      </c>
      <c r="G609" t="inlineStr">
        <is>
          <t>FILIPSTAD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33866-2026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46305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46252</v>
      </c>
      <c r="E611" s="1" t="n">
        <v>46305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40378-2026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46294</v>
      </c>
      <c r="E612" s="1" t="n">
        <v>46305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46294</v>
      </c>
      <c r="E613" s="1" t="n">
        <v>46305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33857-2026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46251</v>
      </c>
      <c r="E614" s="1" t="n">
        <v>46305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34053-2026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46252</v>
      </c>
      <c r="E615" s="1" t="n">
        <v>46305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46213</v>
      </c>
      <c r="E616" s="1" t="n">
        <v>46305</v>
      </c>
      <c r="F616" t="inlineStr">
        <is>
          <t>VÄRMLANDS LÄN</t>
        </is>
      </c>
      <c r="G616" t="inlineStr">
        <is>
          <t>FILIPSTAD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46254</v>
      </c>
      <c r="E617" s="1" t="n">
        <v>46305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46255</v>
      </c>
      <c r="E618" s="1" t="n">
        <v>46305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46305</v>
      </c>
      <c r="F619" t="inlineStr">
        <is>
          <t>VÄRMLANDS LÄN</t>
        </is>
      </c>
      <c r="G619" t="inlineStr">
        <is>
          <t>FILIPSTAD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34493-2026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46305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19.2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46259</v>
      </c>
      <c r="E621" s="1" t="n">
        <v>46305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41229-2026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46297</v>
      </c>
      <c r="E622" s="1" t="n">
        <v>46305</v>
      </c>
      <c r="F622" t="inlineStr">
        <is>
          <t>VÄRMLANDS LÄN</t>
        </is>
      </c>
      <c r="G622" t="inlineStr">
        <is>
          <t>FILIPSTAD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34982-2026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46259</v>
      </c>
      <c r="E623" s="1" t="n">
        <v>46305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46305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46304</v>
      </c>
      <c r="E625" s="1" t="n">
        <v>46305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46261</v>
      </c>
      <c r="E626" s="1" t="n">
        <v>46305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35290-2026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46305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35423-2026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46261</v>
      </c>
      <c r="E628" s="1" t="n">
        <v>46305</v>
      </c>
      <c r="F628" t="inlineStr">
        <is>
          <t>VÄRMLANDS LÄN</t>
        </is>
      </c>
      <c r="G628" t="inlineStr">
        <is>
          <t>FILIPSTAD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42123-2026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46304</v>
      </c>
      <c r="E629" s="1" t="n">
        <v>46305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56037-2025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45973</v>
      </c>
      <c r="E630" s="1" t="n">
        <v>46305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5757-2021</t>
        </is>
      </c>
      <c r="B631" t="inlineStr">
        <is>
          <t>samrådsanmälan</t>
        </is>
      </c>
      <c r="C631" t="inlineStr">
        <is>
          <t>Basväg</t>
        </is>
      </c>
      <c r="D631" s="1" t="n">
        <v>44438</v>
      </c>
      <c r="E631" s="1" t="n">
        <v>46305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1191-2021</t>
        </is>
      </c>
      <c r="B632" t="inlineStr">
        <is>
          <t>samrådsanmälan</t>
        </is>
      </c>
      <c r="C632" t="inlineStr">
        <is>
          <t>Åtgärd i nyckelbiotop</t>
        </is>
      </c>
      <c r="D632" s="1" t="n">
        <v>44328</v>
      </c>
      <c r="E632" s="1" t="n">
        <v>46305</v>
      </c>
      <c r="F632" t="inlineStr">
        <is>
          <t>VÄRMLANDS LÄN</t>
        </is>
      </c>
      <c r="G632" t="inlineStr">
        <is>
          <t>FILIPSTAD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4134-2023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46305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4115-2023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45246</v>
      </c>
      <c r="E634" s="1" t="n">
        <v>46305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4137-2023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46305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4132-2023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46305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4130-2023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46305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4127-2023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46305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56.4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837-2023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44991</v>
      </c>
      <c r="E639" s="1" t="n">
        <v>46305</v>
      </c>
      <c r="F639" t="inlineStr">
        <is>
          <t>VÄRMLANDS LÄN</t>
        </is>
      </c>
      <c r="G639" t="inlineStr">
        <is>
          <t>FILIPSTAD</t>
        </is>
      </c>
      <c r="I639" t="n">
        <v>19.3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46305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3919-2023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45233</v>
      </c>
      <c r="E641" s="1" t="n">
        <v>46305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4135-2023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46305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4126-2023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45247</v>
      </c>
      <c r="E643" s="1" t="n">
        <v>46305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294-2025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45687</v>
      </c>
      <c r="E644" s="1" t="n">
        <v>46305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4116-2023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45246</v>
      </c>
      <c r="E645" s="1" t="n">
        <v>46305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661-2025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45716</v>
      </c>
      <c r="E646" s="1" t="n">
        <v>46305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161.7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3429-2025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45995</v>
      </c>
      <c r="E647" s="1" t="n">
        <v>46305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12.1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3576-2025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46010</v>
      </c>
      <c r="E648" s="1" t="n">
        <v>46305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105-2026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46036</v>
      </c>
      <c r="E649" s="1" t="n">
        <v>46305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238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2026-10-10T02:01:59Z</dcterms:created>
  <dcterms:modified xmlns:dcterms="http://purl.org/dc/terms/" xmlns:xsi="http://www.w3.org/2001/XMLSchema-instance" xsi:type="dcterms:W3CDTF">2026-10-10T02:02:00Z</dcterms:modified>
</cp:coreProperties>
</file>