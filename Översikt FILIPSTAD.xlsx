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45509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45509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45509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45509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45509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42882-2020</t>
        </is>
      </c>
      <c r="B7" s="1" t="n">
        <v>44078</v>
      </c>
      <c r="C7" s="1" t="n">
        <v>45509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2.2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Lunglav
Spillkråka
Stjärntagging
Vedticka
Fläcknycklar</t>
        </is>
      </c>
      <c r="S7">
        <f>HYPERLINK("https://klasma.github.io/Logging_1782/artfynd/A 42882-2020 artfynd.xlsx", "A 42882-2020")</f>
        <v/>
      </c>
      <c r="T7">
        <f>HYPERLINK("https://klasma.github.io/Logging_1782/kartor/A 42882-2020 karta.png", "A 42882-2020")</f>
        <v/>
      </c>
      <c r="V7">
        <f>HYPERLINK("https://klasma.github.io/Logging_1782/klagomål/A 42882-2020 FSC-klagomål.docx", "A 42882-2020")</f>
        <v/>
      </c>
      <c r="W7">
        <f>HYPERLINK("https://klasma.github.io/Logging_1782/klagomålsmail/A 42882-2020 FSC-klagomål mail.docx", "A 42882-2020")</f>
        <v/>
      </c>
      <c r="X7">
        <f>HYPERLINK("https://klasma.github.io/Logging_1782/tillsyn/A 42882-2020 tillsynsbegäran.docx", "A 42882-2020")</f>
        <v/>
      </c>
      <c r="Y7">
        <f>HYPERLINK("https://klasma.github.io/Logging_1782/tillsynsmail/A 42882-2020 tillsynsbegäran mail.docx", "A 42882-2020")</f>
        <v/>
      </c>
      <c r="Z7">
        <f>HYPERLINK("https://klasma.github.io/Logging_1782/fåglar/A 42882-2020 prioriterade fågelarter.docx", "A 42882-2020")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45509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Ullticka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30023-2020</t>
        </is>
      </c>
      <c r="B9" s="1" t="n">
        <v>44006</v>
      </c>
      <c r="C9" s="1" t="n">
        <v>45509</v>
      </c>
      <c r="D9" t="inlineStr">
        <is>
          <t>VÄRMLANDS LÄN</t>
        </is>
      </c>
      <c r="E9" t="inlineStr">
        <is>
          <t>FILIPSTAD</t>
        </is>
      </c>
      <c r="G9" t="n">
        <v>1.1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Rödgul trumpetsvamp
Tvåblad
Vårärt
Blåsippa</t>
        </is>
      </c>
      <c r="S9">
        <f>HYPERLINK("https://klasma.github.io/Logging_1782/artfynd/A 30023-2020 artfynd.xlsx", "A 30023-2020")</f>
        <v/>
      </c>
      <c r="T9">
        <f>HYPERLINK("https://klasma.github.io/Logging_1782/kartor/A 30023-2020 karta.png", "A 30023-2020")</f>
        <v/>
      </c>
      <c r="V9">
        <f>HYPERLINK("https://klasma.github.io/Logging_1782/klagomål/A 30023-2020 FSC-klagomål.docx", "A 30023-2020")</f>
        <v/>
      </c>
      <c r="W9">
        <f>HYPERLINK("https://klasma.github.io/Logging_1782/klagomålsmail/A 30023-2020 FSC-klagomål mail.docx", "A 30023-2020")</f>
        <v/>
      </c>
      <c r="X9">
        <f>HYPERLINK("https://klasma.github.io/Logging_1782/tillsyn/A 30023-2020 tillsynsbegäran.docx", "A 30023-2020")</f>
        <v/>
      </c>
      <c r="Y9">
        <f>HYPERLINK("https://klasma.github.io/Logging_1782/tillsynsmail/A 30023-2020 tillsynsbegäran mail.docx", "A 30023-2020")</f>
        <v/>
      </c>
    </row>
    <row r="10" ht="15" customHeight="1">
      <c r="A10" t="inlineStr">
        <is>
          <t>A 46072-2020</t>
        </is>
      </c>
      <c r="B10" s="1" t="n">
        <v>44091</v>
      </c>
      <c r="C10" s="1" t="n">
        <v>45509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Skuggblåslav
Vedticka
Fläcknycklar</t>
        </is>
      </c>
      <c r="S10">
        <f>HYPERLINK("https://klasma.github.io/Logging_1782/artfynd/A 46072-2020 artfynd.xlsx", "A 46072-2020")</f>
        <v/>
      </c>
      <c r="T10">
        <f>HYPERLINK("https://klasma.github.io/Logging_1782/kartor/A 46072-2020 karta.png", "A 46072-2020")</f>
        <v/>
      </c>
      <c r="V10">
        <f>HYPERLINK("https://klasma.github.io/Logging_1782/klagomål/A 46072-2020 FSC-klagomål.docx", "A 46072-2020")</f>
        <v/>
      </c>
      <c r="W10">
        <f>HYPERLINK("https://klasma.github.io/Logging_1782/klagomålsmail/A 46072-2020 FSC-klagomål mail.docx", "A 46072-2020")</f>
        <v/>
      </c>
      <c r="X10">
        <f>HYPERLINK("https://klasma.github.io/Logging_1782/tillsyn/A 46072-2020 tillsynsbegäran.docx", "A 46072-2020")</f>
        <v/>
      </c>
      <c r="Y10">
        <f>HYPERLINK("https://klasma.github.io/Logging_1782/tillsynsmail/A 46072-2020 tillsynsbegäran mail.docx", "A 46072-2020")</f>
        <v/>
      </c>
    </row>
    <row r="11" ht="15" customHeight="1">
      <c r="A11" t="inlineStr">
        <is>
          <t>A 65201-2023</t>
        </is>
      </c>
      <c r="B11" s="1" t="n">
        <v>45289</v>
      </c>
      <c r="C11" s="1" t="n">
        <v>45509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7.5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Brunpudrad nållav
Vedtrappmossa
Blåsippa</t>
        </is>
      </c>
      <c r="S11">
        <f>HYPERLINK("https://klasma.github.io/Logging_1782/artfynd/A 65201-2023 artfynd.xlsx", "A 65201-2023")</f>
        <v/>
      </c>
      <c r="T11">
        <f>HYPERLINK("https://klasma.github.io/Logging_1782/kartor/A 65201-2023 karta.png", "A 65201-2023")</f>
        <v/>
      </c>
      <c r="U11">
        <f>HYPERLINK("https://klasma.github.io/Logging_1782/knärot/A 65201-2023 karta knärot.png", "A 65201-2023")</f>
        <v/>
      </c>
      <c r="V11">
        <f>HYPERLINK("https://klasma.github.io/Logging_1782/klagomål/A 65201-2023 FSC-klagomål.docx", "A 65201-2023")</f>
        <v/>
      </c>
      <c r="W11">
        <f>HYPERLINK("https://klasma.github.io/Logging_1782/klagomålsmail/A 65201-2023 FSC-klagomål mail.docx", "A 65201-2023")</f>
        <v/>
      </c>
      <c r="X11">
        <f>HYPERLINK("https://klasma.github.io/Logging_1782/tillsyn/A 65201-2023 tillsynsbegäran.docx", "A 65201-2023")</f>
        <v/>
      </c>
      <c r="Y11">
        <f>HYPERLINK("https://klasma.github.io/Logging_1782/tillsynsmail/A 65201-2023 tillsynsbegäran mail.docx", "A 65201-2023")</f>
        <v/>
      </c>
    </row>
    <row r="12" ht="15" customHeight="1">
      <c r="A12" t="inlineStr">
        <is>
          <t>A 26276-2019</t>
        </is>
      </c>
      <c r="B12" s="1" t="n">
        <v>43611</v>
      </c>
      <c r="C12" s="1" t="n">
        <v>45509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18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Purpurknipprot
Tvåblad
Brudsporre</t>
        </is>
      </c>
      <c r="S12">
        <f>HYPERLINK("https://klasma.github.io/Logging_1782/artfynd/A 26276-2019 artfynd.xlsx", "A 26276-2019")</f>
        <v/>
      </c>
      <c r="T12">
        <f>HYPERLINK("https://klasma.github.io/Logging_1782/kartor/A 26276-2019 karta.png", "A 26276-2019")</f>
        <v/>
      </c>
      <c r="V12">
        <f>HYPERLINK("https://klasma.github.io/Logging_1782/klagomål/A 26276-2019 FSC-klagomål.docx", "A 26276-2019")</f>
        <v/>
      </c>
      <c r="W12">
        <f>HYPERLINK("https://klasma.github.io/Logging_1782/klagomålsmail/A 26276-2019 FSC-klagomål mail.docx", "A 26276-2019")</f>
        <v/>
      </c>
      <c r="X12">
        <f>HYPERLINK("https://klasma.github.io/Logging_1782/tillsyn/A 26276-2019 tillsynsbegäran.docx", "A 26276-2019")</f>
        <v/>
      </c>
      <c r="Y12">
        <f>HYPERLINK("https://klasma.github.io/Logging_1782/tillsynsmail/A 26276-2019 tillsynsbegäran mail.docx", "A 26276-2019")</f>
        <v/>
      </c>
    </row>
    <row r="13" ht="15" customHeight="1">
      <c r="A13" t="inlineStr">
        <is>
          <t>A 28169-2021</t>
        </is>
      </c>
      <c r="B13" s="1" t="n">
        <v>44355</v>
      </c>
      <c r="C13" s="1" t="n">
        <v>45509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6.1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Garnlav
Mindre märgborre</t>
        </is>
      </c>
      <c r="S13">
        <f>HYPERLINK("https://klasma.github.io/Logging_1782/artfynd/A 28169-2021 artfynd.xlsx", "A 28169-2021")</f>
        <v/>
      </c>
      <c r="T13">
        <f>HYPERLINK("https://klasma.github.io/Logging_1782/kartor/A 28169-2021 karta.png", "A 28169-2021")</f>
        <v/>
      </c>
      <c r="U13">
        <f>HYPERLINK("https://klasma.github.io/Logging_1782/knärot/A 28169-2021 karta knärot.png", "A 28169-2021")</f>
        <v/>
      </c>
      <c r="V13">
        <f>HYPERLINK("https://klasma.github.io/Logging_1782/klagomål/A 28169-2021 FSC-klagomål.docx", "A 28169-2021")</f>
        <v/>
      </c>
      <c r="W13">
        <f>HYPERLINK("https://klasma.github.io/Logging_1782/klagomålsmail/A 28169-2021 FSC-klagomål mail.docx", "A 28169-2021")</f>
        <v/>
      </c>
      <c r="X13">
        <f>HYPERLINK("https://klasma.github.io/Logging_1782/tillsyn/A 28169-2021 tillsynsbegäran.docx", "A 28169-2021")</f>
        <v/>
      </c>
      <c r="Y13">
        <f>HYPERLINK("https://klasma.github.io/Logging_1782/tillsynsmail/A 28169-2021 tillsynsbegäran mail.docx", "A 28169-2021")</f>
        <v/>
      </c>
    </row>
    <row r="14" ht="15" customHeight="1">
      <c r="A14" t="inlineStr">
        <is>
          <t>A 2356-2023</t>
        </is>
      </c>
      <c r="B14" s="1" t="n">
        <v>44942</v>
      </c>
      <c r="C14" s="1" t="n">
        <v>45509</v>
      </c>
      <c r="D14" t="inlineStr">
        <is>
          <t>VÄRMLANDS LÄN</t>
        </is>
      </c>
      <c r="E14" t="inlineStr">
        <is>
          <t>FILIPSTAD</t>
        </is>
      </c>
      <c r="G14" t="n">
        <v>3.8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Loppstarr
Majviva
Guckusko</t>
        </is>
      </c>
      <c r="S14">
        <f>HYPERLINK("https://klasma.github.io/Logging_1782/artfynd/A 2356-2023 artfynd.xlsx", "A 2356-2023")</f>
        <v/>
      </c>
      <c r="T14">
        <f>HYPERLINK("https://klasma.github.io/Logging_1782/kartor/A 2356-2023 karta.png", "A 2356-2023")</f>
        <v/>
      </c>
      <c r="V14">
        <f>HYPERLINK("https://klasma.github.io/Logging_1782/klagomål/A 2356-2023 FSC-klagomål.docx", "A 2356-2023")</f>
        <v/>
      </c>
      <c r="W14">
        <f>HYPERLINK("https://klasma.github.io/Logging_1782/klagomålsmail/A 2356-2023 FSC-klagomål mail.docx", "A 2356-2023")</f>
        <v/>
      </c>
      <c r="X14">
        <f>HYPERLINK("https://klasma.github.io/Logging_1782/tillsyn/A 2356-2023 tillsynsbegäran.docx", "A 2356-2023")</f>
        <v/>
      </c>
      <c r="Y14">
        <f>HYPERLINK("https://klasma.github.io/Logging_1782/tillsynsmail/A 2356-2023 tillsynsbegäran mail.docx", "A 2356-2023")</f>
        <v/>
      </c>
    </row>
    <row r="15" ht="15" customHeight="1">
      <c r="A15" t="inlineStr">
        <is>
          <t>A 26303-2023</t>
        </is>
      </c>
      <c r="B15" s="1" t="n">
        <v>45091</v>
      </c>
      <c r="C15" s="1" t="n">
        <v>45509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8.4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Purpurknipprot
Tvåblad
Brudsporre</t>
        </is>
      </c>
      <c r="S15">
        <f>HYPERLINK("https://klasma.github.io/Logging_1782/artfynd/A 26303-2023 artfynd.xlsx", "A 26303-2023")</f>
        <v/>
      </c>
      <c r="T15">
        <f>HYPERLINK("https://klasma.github.io/Logging_1782/kartor/A 26303-2023 karta.png", "A 26303-2023")</f>
        <v/>
      </c>
      <c r="V15">
        <f>HYPERLINK("https://klasma.github.io/Logging_1782/klagomål/A 26303-2023 FSC-klagomål.docx", "A 26303-2023")</f>
        <v/>
      </c>
      <c r="W15">
        <f>HYPERLINK("https://klasma.github.io/Logging_1782/klagomålsmail/A 26303-2023 FSC-klagomål mail.docx", "A 26303-2023")</f>
        <v/>
      </c>
      <c r="X15">
        <f>HYPERLINK("https://klasma.github.io/Logging_1782/tillsyn/A 26303-2023 tillsynsbegäran.docx", "A 26303-2023")</f>
        <v/>
      </c>
      <c r="Y15">
        <f>HYPERLINK("https://klasma.github.io/Logging_1782/tillsynsmail/A 26303-2023 tillsynsbegäran mail.docx", "A 26303-2023")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45509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45509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45509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45509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45509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45509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45509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45509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45509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45509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45509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45509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45509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45509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45509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45509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45509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45509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45509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45509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45509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45509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45509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45509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45509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45509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45509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45509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45509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45509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45509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45509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45509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45509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45509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45509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45509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45509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45509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45509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45509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45509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45509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45509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45509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45509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45509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45509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45509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45509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45509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45509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45509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45509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45509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45509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45509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45509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45509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45509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45509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45509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45509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45509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45509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45509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45509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45509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45509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45509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45509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45509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45509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45509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45509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45509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45509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45509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45509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45509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45509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45509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45509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45509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45509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45509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45509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45509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45509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45509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45509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45509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45509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45509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45509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45509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45509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45509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45509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45509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45509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45509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45509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45509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45509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45509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45509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45509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45509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45509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45509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45509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45509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45509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45509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45509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45509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45509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45509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45509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45509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45509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45509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45509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45509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45509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45509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45509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45509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45509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45509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45509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45509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45509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45509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45509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45509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45509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45509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45509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45509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45509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45509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45509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45509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45509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45509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45509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45509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45509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45509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45509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45509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45509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45509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45509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45509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45509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45509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45509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45509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45509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45509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45509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45509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45509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45509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45509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45509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45509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45509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45509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45509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45509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45509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45509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45509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45509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45509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45509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45509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45509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45509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45509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45509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45509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45509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45509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45509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45509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45509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45509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45509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45509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45509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45509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45509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45509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45509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45509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45509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45509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45509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45509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45509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45509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45509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45509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45509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45509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45509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45509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45509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45509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45509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45509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45509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45509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45509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45509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45509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45509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45509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45509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45509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45509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45509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45509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45509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45509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45509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45509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45509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45509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45509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45509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45509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45509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45509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45509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45509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45509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45509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45509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45509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45509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45509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45509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45509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45509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45509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45509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45509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45509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45509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45509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45509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45509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45509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45509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45509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45509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45509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45509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45509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45509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45509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45509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45509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45509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45509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45509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45509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45509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45509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45509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45509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45509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45509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45509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45509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45509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45509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45509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45509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45509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45509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45509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45509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45509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45509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45509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45509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45509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45509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45509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45509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45509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45509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45509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45509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45509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45509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45509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45509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45509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45509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45509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45509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45509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45509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45509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45509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45509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45509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45509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45509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45509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45509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45509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45509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45509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45509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45509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45509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45509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45509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45509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45509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45509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45509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45509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45509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45509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45509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45509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45509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45509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45509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45509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45509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45509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45509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45509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45509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45509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45509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45509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45509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45509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45509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45509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45509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45509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45509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45509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45509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45509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45509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45509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45509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45509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45509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45509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45509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45509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45509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45509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45509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45509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45509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45509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45509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45509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45509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45509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45509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45509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45509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45509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45509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45509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45509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45509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45509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45509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45509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45509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45509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45509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45509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45509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45509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45509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45509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45509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45509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45509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45509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45509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45509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45509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45509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45509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45509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45509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45509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45509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45509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45509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45509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45509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45509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45509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45509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45509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45509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45509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45509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45509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45509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45509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45509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45509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45509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45509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45509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45509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45509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45509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45509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45509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45509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45509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45509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45509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45509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45509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45509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45509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45509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45509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45509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45509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45509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45509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45509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45509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45509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45509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45509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45509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45509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45509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45509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45509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45509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45509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45509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45509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45509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45509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45509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45509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45509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45509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45509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45509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45509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45509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45509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45509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45509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45509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45509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45509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45509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45509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45509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45509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45509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45509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45509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45509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45509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45509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45509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45509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45509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45509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45509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45509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45509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45509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45509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45509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45509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45509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45509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45509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45509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45509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45509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45509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45509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45509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45509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45509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45509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45509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45509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45509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45509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45509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45509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45509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45509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45509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45509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45509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45509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45509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45509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45509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45509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45509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45509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45509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45509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45509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45509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45509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45509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45509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45509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45509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45509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45509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45509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45509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45509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45509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45509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45509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45509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45509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45509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45509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45509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45509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45509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45509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45509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45509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45509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45509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45509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45509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45509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45509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45509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45509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45509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45509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45509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45509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45509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45509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45509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45509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45509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45509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45509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45509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45509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45509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45509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45509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45509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45509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45509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45509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45509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45509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45509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45509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45509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45509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45509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45509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45509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45509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45509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45509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45509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45509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45509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45509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45509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45509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45509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45509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45509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45509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45509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45509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45509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45509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45509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45509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45509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45509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45509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45509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45509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45509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45509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45509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45509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45509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45509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45509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45509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45509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45509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45509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45509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45509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45509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45509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45509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45509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45509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45509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45509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45509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45509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45509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45509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45509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45509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45509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45509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45509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45509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45509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45509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45509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45509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45509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45509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45509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45509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45509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45509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45509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45509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45509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45509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45509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45509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45509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45509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45509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45509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45509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45509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45509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45509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45509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45509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45509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45509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45509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45509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45509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45509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45509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45509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45509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45509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45509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45509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45509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45509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45509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45509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45509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45509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45509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45509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45509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45509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45509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45509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45509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45509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45509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45509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45509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45509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45509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45509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45509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45509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45509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45509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45509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45509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45509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45509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45509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45509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45509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45509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45509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45509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45509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45509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45509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45509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45509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45509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45509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45509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45509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24082-2024</t>
        </is>
      </c>
      <c r="B742" s="1" t="n">
        <v>45456</v>
      </c>
      <c r="C742" s="1" t="n">
        <v>45509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24054-2024</t>
        </is>
      </c>
      <c r="B743" s="1" t="n">
        <v>45456</v>
      </c>
      <c r="C743" s="1" t="n">
        <v>45509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24139-2024</t>
        </is>
      </c>
      <c r="B744" s="1" t="n">
        <v>45456</v>
      </c>
      <c r="C744" s="1" t="n">
        <v>45509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45509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45509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45509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25521-2024</t>
        </is>
      </c>
      <c r="B748" s="1" t="n">
        <v>45463</v>
      </c>
      <c r="C748" s="1" t="n">
        <v>45509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45509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25462-2024</t>
        </is>
      </c>
      <c r="B750" s="1" t="n">
        <v>45463</v>
      </c>
      <c r="C750" s="1" t="n">
        <v>45509</v>
      </c>
      <c r="D750" t="inlineStr">
        <is>
          <t>VÄRMLANDS LÄN</t>
        </is>
      </c>
      <c r="E750" t="inlineStr">
        <is>
          <t>FILIPSTAD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26179-2024</t>
        </is>
      </c>
      <c r="B751" s="1" t="n">
        <v>45468</v>
      </c>
      <c r="C751" s="1" t="n">
        <v>45509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45509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26165-2024</t>
        </is>
      </c>
      <c r="B753" s="1" t="n">
        <v>45468</v>
      </c>
      <c r="C753" s="1" t="n">
        <v>45509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45509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26880-2024</t>
        </is>
      </c>
      <c r="B755" s="1" t="n">
        <v>45470</v>
      </c>
      <c r="C755" s="1" t="n">
        <v>45509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18.3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26816-2024</t>
        </is>
      </c>
      <c r="B756" s="1" t="n">
        <v>45470</v>
      </c>
      <c r="C756" s="1" t="n">
        <v>45509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26843-2024</t>
        </is>
      </c>
      <c r="B757" s="1" t="n">
        <v>45470</v>
      </c>
      <c r="C757" s="1" t="n">
        <v>45509</v>
      </c>
      <c r="D757" t="inlineStr">
        <is>
          <t>VÄRMLANDS LÄN</t>
        </is>
      </c>
      <c r="E757" t="inlineStr">
        <is>
          <t>FILIPSTAD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26811-2024</t>
        </is>
      </c>
      <c r="B758" s="1" t="n">
        <v>45470</v>
      </c>
      <c r="C758" s="1" t="n">
        <v>45509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26809-2024</t>
        </is>
      </c>
      <c r="B759" s="1" t="n">
        <v>45470</v>
      </c>
      <c r="C759" s="1" t="n">
        <v>45509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27129-2024</t>
        </is>
      </c>
      <c r="B760" s="1" t="n">
        <v>45471</v>
      </c>
      <c r="C760" s="1" t="n">
        <v>45509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45509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27139-2024</t>
        </is>
      </c>
      <c r="B762" s="1" t="n">
        <v>45471</v>
      </c>
      <c r="C762" s="1" t="n">
        <v>45509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27105-2024</t>
        </is>
      </c>
      <c r="B763" s="1" t="n">
        <v>45471</v>
      </c>
      <c r="C763" s="1" t="n">
        <v>45509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45509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26975-2024</t>
        </is>
      </c>
      <c r="B765" s="1" t="n">
        <v>45471</v>
      </c>
      <c r="C765" s="1" t="n">
        <v>45509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26974-2024</t>
        </is>
      </c>
      <c r="B766" s="1" t="n">
        <v>45471</v>
      </c>
      <c r="C766" s="1" t="n">
        <v>45509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27400-2024</t>
        </is>
      </c>
      <c r="B767" s="1" t="n">
        <v>45474</v>
      </c>
      <c r="C767" s="1" t="n">
        <v>45509</v>
      </c>
      <c r="D767" t="inlineStr">
        <is>
          <t>VÄRMLANDS LÄN</t>
        </is>
      </c>
      <c r="E767" t="inlineStr">
        <is>
          <t>FILIPSTAD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28034-2024</t>
        </is>
      </c>
      <c r="B768" s="1" t="n">
        <v>45476</v>
      </c>
      <c r="C768" s="1" t="n">
        <v>45509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28357-2024</t>
        </is>
      </c>
      <c r="B769" s="1" t="n">
        <v>45477</v>
      </c>
      <c r="C769" s="1" t="n">
        <v>45509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28615-2024</t>
        </is>
      </c>
      <c r="B770" s="1" t="n">
        <v>45478</v>
      </c>
      <c r="C770" s="1" t="n">
        <v>45509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29358-2024</t>
        </is>
      </c>
      <c r="B771" s="1" t="n">
        <v>45483</v>
      </c>
      <c r="C771" s="1" t="n">
        <v>45509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29474-2024</t>
        </is>
      </c>
      <c r="B772" s="1" t="n">
        <v>45484</v>
      </c>
      <c r="C772" s="1" t="n">
        <v>45509</v>
      </c>
      <c r="D772" t="inlineStr">
        <is>
          <t>VÄRMLANDS LÄN</t>
        </is>
      </c>
      <c r="E772" t="inlineStr">
        <is>
          <t>FILIPSTAD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29473-2024</t>
        </is>
      </c>
      <c r="B773" s="1" t="n">
        <v>45484</v>
      </c>
      <c r="C773" s="1" t="n">
        <v>45509</v>
      </c>
      <c r="D773" t="inlineStr">
        <is>
          <t>VÄRMLANDS LÄN</t>
        </is>
      </c>
      <c r="E773" t="inlineStr">
        <is>
          <t>FILIPSTAD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29520-2024</t>
        </is>
      </c>
      <c r="B774" s="1" t="n">
        <v>45484</v>
      </c>
      <c r="C774" s="1" t="n">
        <v>45509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30540-2024</t>
        </is>
      </c>
      <c r="B775" s="1" t="n">
        <v>45492</v>
      </c>
      <c r="C775" s="1" t="n">
        <v>45509</v>
      </c>
      <c r="D775" t="inlineStr">
        <is>
          <t>VÄRMLANDS LÄN</t>
        </is>
      </c>
      <c r="E775" t="inlineStr">
        <is>
          <t>FILIPSTAD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30552-2024</t>
        </is>
      </c>
      <c r="B776" s="1" t="n">
        <v>45492</v>
      </c>
      <c r="C776" s="1" t="n">
        <v>45509</v>
      </c>
      <c r="D776" t="inlineStr">
        <is>
          <t>VÄRMLANDS LÄN</t>
        </is>
      </c>
      <c r="E776" t="inlineStr">
        <is>
          <t>FILIPSTAD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30527-2024</t>
        </is>
      </c>
      <c r="B777" s="1" t="n">
        <v>45492</v>
      </c>
      <c r="C777" s="1" t="n">
        <v>45509</v>
      </c>
      <c r="D777" t="inlineStr">
        <is>
          <t>VÄRMLANDS LÄN</t>
        </is>
      </c>
      <c r="E777" t="inlineStr">
        <is>
          <t>FILIPSTAD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30646-2024</t>
        </is>
      </c>
      <c r="B778" s="1" t="n">
        <v>45495</v>
      </c>
      <c r="C778" s="1" t="n">
        <v>45509</v>
      </c>
      <c r="D778" t="inlineStr">
        <is>
          <t>VÄRMLANDS LÄN</t>
        </is>
      </c>
      <c r="E778" t="inlineStr">
        <is>
          <t>FILIPSTAD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31632-2024</t>
        </is>
      </c>
      <c r="B779" s="1" t="n">
        <v>45506</v>
      </c>
      <c r="C779" s="1" t="n">
        <v>45509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31630-2024</t>
        </is>
      </c>
      <c r="B780" s="1" t="n">
        <v>45506</v>
      </c>
      <c r="C780" s="1" t="n">
        <v>45509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2024-08-05T10:34:04Z</dcterms:created>
  <dcterms:modified xmlns:dcterms="http://purl.org/dc/terms/" xmlns:xsi="http://www.w3.org/2001/XMLSchema-instance" xsi:type="dcterms:W3CDTF">2024-08-05T10:34:05Z</dcterms:modified>
</cp:coreProperties>
</file>