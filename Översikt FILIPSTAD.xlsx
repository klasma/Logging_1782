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46279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46279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46279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46279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46279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46279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46279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46279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46279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46279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46279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Norsk näverlav
Skuggblåslav
Grön sköldmossa</t>
        </is>
      </c>
      <c r="W12">
        <f>HYPERLINK("https://klasma.github.io/Logging_1782/artfynd/A 43333-2023 artfynd.xlsx", "A 43333-2023")</f>
        <v/>
      </c>
      <c r="X12">
        <f>HYPERLINK("https://klasma.github.io/Logging_1782/kartor/A 43333-2023 karta.png", "A 43333-2023")</f>
        <v/>
      </c>
      <c r="Y12">
        <f>HYPERLINK("https://klasma.github.io/Logging_1782/kartor_geotiff/A 43333-2023 georefererad karta.tif", "A 43333-2023")</f>
        <v/>
      </c>
      <c r="AA12">
        <f>HYPERLINK("https://klasma.github.io/Logging_1782/klagomål/A 43333-2023 FSC-klagomål.docx", "A 43333-2023")</f>
        <v/>
      </c>
      <c r="AB12">
        <f>HYPERLINK("https://klasma.github.io/Logging_1782/klagomålsmail/A 43333-2023 FSC-klagomål mail.docx", "A 43333-2023")</f>
        <v/>
      </c>
      <c r="AC12">
        <f>HYPERLINK("https://klasma.github.io/Logging_1782/tillsyn/A 43333-2023 tillsynsbegäran.docx", "A 43333-2023")</f>
        <v/>
      </c>
      <c r="AD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46279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t="n">
        <v>4</v>
      </c>
      <c r="V13" s="2" t="inlineStr">
        <is>
          <t>Brunklöver
Skuggblåslav
Bårdlav</t>
        </is>
      </c>
      <c r="W13">
        <f>HYPERLINK("https://klasma.github.io/Logging_1782/artfynd/A 45714-2025 artfynd.xlsx", "A 45714-2025")</f>
        <v/>
      </c>
      <c r="X13">
        <f>HYPERLINK("https://klasma.github.io/Logging_1782/kartor/A 45714-2025 karta.png", "A 45714-2025")</f>
        <v/>
      </c>
      <c r="Y13">
        <f>HYPERLINK("https://klasma.github.io/Logging_1782/kartor_geotiff/A 45714-2025 georefererad karta.tif", "A 45714-2025")</f>
        <v/>
      </c>
      <c r="AA13">
        <f>HYPERLINK("https://klasma.github.io/Logging_1782/klagomål/A 45714-2025 FSC-klagomål.docx", "A 45714-2025")</f>
        <v/>
      </c>
      <c r="AB13">
        <f>HYPERLINK("https://klasma.github.io/Logging_1782/klagomålsmail/A 45714-2025 FSC-klagomål mail.docx", "A 45714-2025")</f>
        <v/>
      </c>
      <c r="AC13">
        <f>HYPERLINK("https://klasma.github.io/Logging_1782/tillsyn/A 45714-2025 tillsynsbegäran.docx", "A 45714-2025")</f>
        <v/>
      </c>
      <c r="AD13">
        <f>HYPERLINK("https://klasma.github.io/Logging_1782/tillsynsmail/A 45714-2025 tillsynsbegäran mail.docx", "A 45714-2025")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46279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46279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46279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46279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46279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A 63625-2023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45275</v>
      </c>
      <c r="E19" s="1" t="n">
        <v>46279</v>
      </c>
      <c r="F19" t="inlineStr">
        <is>
          <t>VÄRMLANDS LÄN</t>
        </is>
      </c>
      <c r="G19" t="inlineStr">
        <is>
          <t>FILIPSTAD</t>
        </is>
      </c>
      <c r="I19" t="n">
        <v>1.9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1</v>
      </c>
      <c r="V19" s="2" t="inlineStr">
        <is>
          <t>Smalfotad taggsvamp
Vaddporing
Utter</t>
        </is>
      </c>
      <c r="W19">
        <f>HYPERLINK("https://klasma.github.io/Logging_1782/artfynd/A 63625-2023 artfynd.xlsx", "A 63625-2023")</f>
        <v/>
      </c>
      <c r="X19">
        <f>HYPERLINK("https://klasma.github.io/Logging_1782/kartor/A 63625-2023 karta.png", "A 63625-2023")</f>
        <v/>
      </c>
      <c r="Y19">
        <f>HYPERLINK("https://klasma.github.io/Logging_1782/kartor_geotiff/A 63625-2023 georefererad karta.tif", "A 63625-2023")</f>
        <v/>
      </c>
      <c r="AA19">
        <f>HYPERLINK("https://klasma.github.io/Logging_1782/klagomål/A 63625-2023 FSC-klagomål.docx", "A 63625-2023")</f>
        <v/>
      </c>
      <c r="AB19">
        <f>HYPERLINK("https://klasma.github.io/Logging_1782/klagomålsmail/A 63625-2023 FSC-klagomål mail.docx", "A 63625-2023")</f>
        <v/>
      </c>
      <c r="AC19">
        <f>HYPERLINK("https://klasma.github.io/Logging_1782/tillsyn/A 63625-2023 tillsynsbegäran.docx", "A 63625-2023")</f>
        <v/>
      </c>
      <c r="AD19">
        <f>HYPERLINK("https://klasma.github.io/Logging_1782/tillsynsmail/A 63625-2023 tillsynsbegäran mail.docx", "A 63625-2023")</f>
        <v/>
      </c>
    </row>
    <row r="20" ht="15" customHeight="1">
      <c r="A20" t="inlineStr">
        <is>
          <t>S 145-2023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44942</v>
      </c>
      <c r="E20" s="1" t="n">
        <v>46279</v>
      </c>
      <c r="F20" t="inlineStr">
        <is>
          <t>VÄRMLANDS LÄN</t>
        </is>
      </c>
      <c r="G20" t="inlineStr">
        <is>
          <t>FILIPSTAD</t>
        </is>
      </c>
      <c r="I20" t="n">
        <v>3.8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4</v>
      </c>
      <c r="U20" t="n">
        <v>2</v>
      </c>
      <c r="V20" s="2" t="inlineStr">
        <is>
          <t>Loppstarr
Majviva
Guckusko</t>
        </is>
      </c>
      <c r="W20">
        <f>HYPERLINK("https://klasma.github.io/Logging_1782/artfynd/S 145-2023 artfynd.xlsx", "S 145-2023")</f>
        <v/>
      </c>
      <c r="X20">
        <f>HYPERLINK("https://klasma.github.io/Logging_1782/kartor/S 145-2023 karta.png", "S 145-2023")</f>
        <v/>
      </c>
      <c r="Y20">
        <f>HYPERLINK("https://klasma.github.io/Logging_1782/kartor_geotiff/S 145-2023 georefererad karta.tif", "S 145-2023")</f>
        <v/>
      </c>
      <c r="AA20">
        <f>HYPERLINK("https://klasma.github.io/Logging_1782/klagomål/S 145-2023 FSC-klagomål.docx", "S 145-2023")</f>
        <v/>
      </c>
      <c r="AB20">
        <f>HYPERLINK("https://klasma.github.io/Logging_1782/klagomålsmail/S 145-2023 FSC-klagomål mail.docx", "S 145-2023")</f>
        <v/>
      </c>
      <c r="AC20">
        <f>HYPERLINK("https://klasma.github.io/Logging_1782/tillsyn/S 145-2023 tillsynsbegäran.docx", "S 145-2023")</f>
        <v/>
      </c>
      <c r="AD20">
        <f>HYPERLINK("https://klasma.github.io/Logging_1782/tillsynsmail/S 145-2023 tillsynsbegäran mail.docx", "S 145-2023")</f>
        <v/>
      </c>
    </row>
    <row r="21" ht="15" customHeight="1">
      <c r="A21" t="inlineStr">
        <is>
          <t>A 45523-2022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44845</v>
      </c>
      <c r="E21" s="1" t="n">
        <v>46279</v>
      </c>
      <c r="F21" t="inlineStr">
        <is>
          <t>VÄRMLANDS LÄN</t>
        </is>
      </c>
      <c r="G21" t="inlineStr">
        <is>
          <t>FILIPSTAD</t>
        </is>
      </c>
      <c r="I21" t="n">
        <v>7.7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Bronshjon
Korallblylav</t>
        </is>
      </c>
      <c r="W21">
        <f>HYPERLINK("https://klasma.github.io/Logging_1782/artfynd/A 45523-2022 artfynd.xlsx", "A 45523-2022")</f>
        <v/>
      </c>
      <c r="X21">
        <f>HYPERLINK("https://klasma.github.io/Logging_1782/kartor/A 45523-2022 karta.png", "A 45523-2022")</f>
        <v/>
      </c>
      <c r="Y21">
        <f>HYPERLINK("https://klasma.github.io/Logging_1782/kartor_geotiff/A 45523-2022 georefererad karta.tif", "A 45523-2022")</f>
        <v/>
      </c>
      <c r="AA21">
        <f>HYPERLINK("https://klasma.github.io/Logging_1782/klagomål/A 45523-2022 FSC-klagomål.docx", "A 45523-2022")</f>
        <v/>
      </c>
      <c r="AB21">
        <f>HYPERLINK("https://klasma.github.io/Logging_1782/klagomålsmail/A 45523-2022 FSC-klagomål mail.docx", "A 45523-2022")</f>
        <v/>
      </c>
      <c r="AC21">
        <f>HYPERLINK("https://klasma.github.io/Logging_1782/tillsyn/A 45523-2022 tillsynsbegäran.docx", "A 45523-2022")</f>
        <v/>
      </c>
      <c r="AD21">
        <f>HYPERLINK("https://klasma.github.io/Logging_1782/tillsynsmail/A 45523-2022 tillsynsbegäran mail.docx", "A 45523-2022")</f>
        <v/>
      </c>
    </row>
    <row r="22" ht="15" customHeight="1">
      <c r="A22" t="inlineStr">
        <is>
          <t>A 51922-2024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45607</v>
      </c>
      <c r="E22" s="1" t="n">
        <v>46279</v>
      </c>
      <c r="F22" t="inlineStr">
        <is>
          <t>VÄRMLANDS LÄN</t>
        </is>
      </c>
      <c r="G22" t="inlineStr">
        <is>
          <t>FILIPSTAD</t>
        </is>
      </c>
      <c r="H22" t="inlineStr">
        <is>
          <t>Bergvik skog väst AB</t>
        </is>
      </c>
      <c r="I22" t="n">
        <v>8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Läderlappslav
Tjäder</t>
        </is>
      </c>
      <c r="W22">
        <f>HYPERLINK("https://klasma.github.io/Logging_1782/artfynd/A 51922-2024 artfynd.xlsx", "A 51922-2024")</f>
        <v/>
      </c>
      <c r="X22">
        <f>HYPERLINK("https://klasma.github.io/Logging_1782/kartor/A 51922-2024 karta.png", "A 51922-2024")</f>
        <v/>
      </c>
      <c r="Y22">
        <f>HYPERLINK("https://klasma.github.io/Logging_1782/kartor_geotiff/A 51922-2024 georefererad karta.tif", "A 51922-2024")</f>
        <v/>
      </c>
      <c r="AA22">
        <f>HYPERLINK("https://klasma.github.io/Logging_1782/klagomål/A 51922-2024 FSC-klagomål.docx", "A 51922-2024")</f>
        <v/>
      </c>
      <c r="AB22">
        <f>HYPERLINK("https://klasma.github.io/Logging_1782/klagomålsmail/A 51922-2024 FSC-klagomål mail.docx", "A 51922-2024")</f>
        <v/>
      </c>
      <c r="AC22">
        <f>HYPERLINK("https://klasma.github.io/Logging_1782/tillsyn/A 51922-2024 tillsynsbegäran.docx", "A 51922-2024")</f>
        <v/>
      </c>
      <c r="AD22">
        <f>HYPERLINK("https://klasma.github.io/Logging_1782/tillsynsmail/A 51922-2024 tillsynsbegäran mail.docx", "A 51922-2024")</f>
        <v/>
      </c>
      <c r="AE22">
        <f>HYPERLINK("https://klasma.github.io/Logging_1782/fåglar/A 51922-2024 prioriterade fågelarter.docx", "A 51922-2024")</f>
        <v/>
      </c>
    </row>
    <row r="23" ht="15" customHeight="1">
      <c r="A23" t="inlineStr">
        <is>
          <t>A 4620-2024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45328</v>
      </c>
      <c r="E23" s="1" t="n">
        <v>46279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2.9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Tvåblad
Brudsporre</t>
        </is>
      </c>
      <c r="W23">
        <f>HYPERLINK("https://klasma.github.io/Logging_1782/artfynd/A 4620-2024 artfynd.xlsx", "A 4620-2024")</f>
        <v/>
      </c>
      <c r="X23">
        <f>HYPERLINK("https://klasma.github.io/Logging_1782/kartor/A 4620-2024 karta.png", "A 4620-2024")</f>
        <v/>
      </c>
      <c r="Y23">
        <f>HYPERLINK("https://klasma.github.io/Logging_1782/kartor_geotiff/A 4620-2024 georefererad karta.tif", "A 4620-2024")</f>
        <v/>
      </c>
      <c r="AA23">
        <f>HYPERLINK("https://klasma.github.io/Logging_1782/klagomål/A 4620-2024 FSC-klagomål.docx", "A 4620-2024")</f>
        <v/>
      </c>
      <c r="AB23">
        <f>HYPERLINK("https://klasma.github.io/Logging_1782/klagomålsmail/A 4620-2024 FSC-klagomål mail.docx", "A 4620-2024")</f>
        <v/>
      </c>
      <c r="AC23">
        <f>HYPERLINK("https://klasma.github.io/Logging_1782/tillsyn/A 4620-2024 tillsynsbegäran.docx", "A 4620-2024")</f>
        <v/>
      </c>
      <c r="AD23">
        <f>HYPERLINK("https://klasma.github.io/Logging_1782/tillsynsmail/A 4620-2024 tillsynsbegäran mail.docx", "A 4620-2024")</f>
        <v/>
      </c>
    </row>
    <row r="24" ht="15" customHeight="1">
      <c r="A24" t="inlineStr">
        <is>
          <t>A 32438-2026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46239</v>
      </c>
      <c r="E24" s="1" t="n">
        <v>46279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1.1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0</v>
      </c>
      <c r="V24" s="2" t="inlineStr">
        <is>
          <t>Dubbelnycklar
Ängsnycklar</t>
        </is>
      </c>
      <c r="W24">
        <f>HYPERLINK("https://klasma.github.io/Logging_1782/artfynd/A 32438-2026 artfynd.xlsx", "A 32438-2026")</f>
        <v/>
      </c>
      <c r="X24">
        <f>HYPERLINK("https://klasma.github.io/Logging_1782/kartor/A 32438-2026 karta.png", "A 32438-2026")</f>
        <v/>
      </c>
      <c r="Y24">
        <f>HYPERLINK("https://klasma.github.io/Logging_1782/kartor_geotiff/A 32438-2026 georefererad karta.tif", "A 32438-2026")</f>
        <v/>
      </c>
      <c r="AA24">
        <f>HYPERLINK("https://klasma.github.io/Logging_1782/klagomål/A 32438-2026 FSC-klagomål.docx", "A 32438-2026")</f>
        <v/>
      </c>
      <c r="AB24">
        <f>HYPERLINK("https://klasma.github.io/Logging_1782/klagomålsmail/A 32438-2026 FSC-klagomål mail.docx", "A 32438-2026")</f>
        <v/>
      </c>
      <c r="AC24">
        <f>HYPERLINK("https://klasma.github.io/Logging_1782/tillsyn/A 32438-2026 tillsynsbegäran.docx", "A 32438-2026")</f>
        <v/>
      </c>
      <c r="AD24">
        <f>HYPERLINK("https://klasma.github.io/Logging_1782/tillsynsmail/A 32438-2026 tillsynsbegäran mail.docx", "A 32438-2026")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46279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33583-2026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46248</v>
      </c>
      <c r="E26" s="1" t="n">
        <v>46279</v>
      </c>
      <c r="F26" t="inlineStr">
        <is>
          <t>VÄRMLANDS LÄN</t>
        </is>
      </c>
      <c r="G26" t="inlineStr">
        <is>
          <t>FILIPSTAD</t>
        </is>
      </c>
      <c r="H26" t="inlineStr">
        <is>
          <t>Bergvik skog väst AB</t>
        </is>
      </c>
      <c r="I26" t="n">
        <v>16.4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Bårdlav
Stuplav</t>
        </is>
      </c>
      <c r="W26">
        <f>HYPERLINK("https://klasma.github.io/Logging_1782/artfynd/A 33583-2026 artfynd.xlsx", "A 33583-2026")</f>
        <v/>
      </c>
      <c r="X26">
        <f>HYPERLINK("https://klasma.github.io/Logging_1782/kartor/A 33583-2026 karta.png", "A 33583-2026")</f>
        <v/>
      </c>
      <c r="Y26">
        <f>HYPERLINK("https://klasma.github.io/Logging_1782/kartor_geotiff/A 33583-2026 georefererad karta.tif", "A 33583-2026")</f>
        <v/>
      </c>
      <c r="AA26">
        <f>HYPERLINK("https://klasma.github.io/Logging_1782/klagomål/A 33583-2026 FSC-klagomål.docx", "A 33583-2026")</f>
        <v/>
      </c>
      <c r="AB26">
        <f>HYPERLINK("https://klasma.github.io/Logging_1782/klagomålsmail/A 33583-2026 FSC-klagomål mail.docx", "A 33583-2026")</f>
        <v/>
      </c>
      <c r="AC26">
        <f>HYPERLINK("https://klasma.github.io/Logging_1782/tillsyn/A 33583-2026 tillsynsbegäran.docx", "A 33583-2026")</f>
        <v/>
      </c>
      <c r="AD26">
        <f>HYPERLINK("https://klasma.github.io/Logging_1782/tillsynsmail/A 33583-2026 tillsynsbegäran mail.docx", "A 33583-2026")</f>
        <v/>
      </c>
    </row>
    <row r="27" ht="15" customHeight="1">
      <c r="A27" t="inlineStr">
        <is>
          <t>A 16139-2025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45750</v>
      </c>
      <c r="E27" s="1" t="n">
        <v>46279</v>
      </c>
      <c r="F27" t="inlineStr">
        <is>
          <t>VÄRMLANDS LÄN</t>
        </is>
      </c>
      <c r="G27" t="inlineStr">
        <is>
          <t>FILIPSTAD</t>
        </is>
      </c>
      <c r="I27" t="n">
        <v>18.2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Bronshjon</t>
        </is>
      </c>
      <c r="W27">
        <f>HYPERLINK("https://klasma.github.io/Logging_1782/artfynd/A 16139-2025 artfynd.xlsx", "A 16139-2025")</f>
        <v/>
      </c>
      <c r="X27">
        <f>HYPERLINK("https://klasma.github.io/Logging_1782/kartor/A 16139-2025 karta.png", "A 16139-2025")</f>
        <v/>
      </c>
      <c r="Y27">
        <f>HYPERLINK("https://klasma.github.io/Logging_1782/kartor_geotiff/A 16139-2025 georefererad karta.tif", "A 16139-2025")</f>
        <v/>
      </c>
      <c r="AA27">
        <f>HYPERLINK("https://klasma.github.io/Logging_1782/klagomål/A 16139-2025 FSC-klagomål.docx", "A 16139-2025")</f>
        <v/>
      </c>
      <c r="AB27">
        <f>HYPERLINK("https://klasma.github.io/Logging_1782/klagomålsmail/A 16139-2025 FSC-klagomål mail.docx", "A 16139-2025")</f>
        <v/>
      </c>
      <c r="AC27">
        <f>HYPERLINK("https://klasma.github.io/Logging_1782/tillsyn/A 16139-2025 tillsynsbegäran.docx", "A 16139-2025")</f>
        <v/>
      </c>
      <c r="AD27">
        <f>HYPERLINK("https://klasma.github.io/Logging_1782/tillsynsmail/A 16139-2025 tillsynsbegäran mail.docx", "A 16139-2025")</f>
        <v/>
      </c>
    </row>
    <row r="28" ht="15" customHeight="1">
      <c r="A28" t="inlineStr">
        <is>
          <t>A 37534-2026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46276</v>
      </c>
      <c r="E28" s="1" t="n">
        <v>46279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2.8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8</v>
      </c>
      <c r="U28" t="n">
        <v>0</v>
      </c>
      <c r="V28" s="2" t="inlineStr">
        <is>
          <t>Garnlav
Spillkråka</t>
        </is>
      </c>
      <c r="W28">
        <f>HYPERLINK("https://klasma.github.io/Logging_1782/artfynd/A 37534-2026 artfynd.xlsx", "A 37534-2026")</f>
        <v/>
      </c>
      <c r="X28">
        <f>HYPERLINK("https://klasma.github.io/Logging_1782/kartor/A 37534-2026 karta.png", "A 37534-2026")</f>
        <v/>
      </c>
      <c r="Y28">
        <f>HYPERLINK("https://klasma.github.io/Logging_1782/kartor_geotiff/A 37534-2026 georefererad karta.tif", "A 37534-2026")</f>
        <v/>
      </c>
      <c r="AA28">
        <f>HYPERLINK("https://klasma.github.io/Logging_1782/klagomål/A 37534-2026 FSC-klagomål.docx", "A 37534-2026")</f>
        <v/>
      </c>
      <c r="AB28">
        <f>HYPERLINK("https://klasma.github.io/Logging_1782/klagomålsmail/A 37534-2026 FSC-klagomål mail.docx", "A 37534-2026")</f>
        <v/>
      </c>
      <c r="AC28">
        <f>HYPERLINK("https://klasma.github.io/Logging_1782/tillsyn/A 37534-2026 tillsynsbegäran.docx", "A 37534-2026")</f>
        <v/>
      </c>
      <c r="AD28">
        <f>HYPERLINK("https://klasma.github.io/Logging_1782/tillsynsmail/A 37534-2026 tillsynsbegäran mail.docx", "A 37534-2026")</f>
        <v/>
      </c>
      <c r="AE28">
        <f>HYPERLINK("https://klasma.github.io/Logging_1782/fåglar/A 37534-2026 prioriterade fågelarter.docx", "A 37534-2026")</f>
        <v/>
      </c>
    </row>
    <row r="29" ht="15" customHeight="1">
      <c r="A29" t="inlineStr">
        <is>
          <t>A 19945-2023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45054</v>
      </c>
      <c r="E29" s="1" t="n">
        <v>46279</v>
      </c>
      <c r="F29" t="inlineStr">
        <is>
          <t>VÄRMLANDS LÄN</t>
        </is>
      </c>
      <c r="G29" t="inlineStr">
        <is>
          <t>FILIPSTAD</t>
        </is>
      </c>
      <c r="I29" t="n">
        <v>3.3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4</v>
      </c>
      <c r="U29" t="n">
        <v>3</v>
      </c>
      <c r="V29" s="2" t="inlineStr">
        <is>
          <t>Guckusko
Kransrams</t>
        </is>
      </c>
      <c r="W29">
        <f>HYPERLINK("https://klasma.github.io/Logging_1782/artfynd/A 19945-2023 artfynd.xlsx", "A 19945-2023")</f>
        <v/>
      </c>
      <c r="X29">
        <f>HYPERLINK("https://klasma.github.io/Logging_1782/kartor/A 19945-2023 karta.png", "A 19945-2023")</f>
        <v/>
      </c>
      <c r="Y29">
        <f>HYPERLINK("https://klasma.github.io/Logging_1782/kartor_geotiff/A 19945-2023 georefererad karta.tif", "A 19945-2023")</f>
        <v/>
      </c>
      <c r="AA29">
        <f>HYPERLINK("https://klasma.github.io/Logging_1782/klagomål/A 19945-2023 FSC-klagomål.docx", "A 19945-2023")</f>
        <v/>
      </c>
      <c r="AB29">
        <f>HYPERLINK("https://klasma.github.io/Logging_1782/klagomålsmail/A 19945-2023 FSC-klagomål mail.docx", "A 19945-2023")</f>
        <v/>
      </c>
      <c r="AC29">
        <f>HYPERLINK("https://klasma.github.io/Logging_1782/tillsyn/A 19945-2023 tillsynsbegäran.docx", "A 19945-2023")</f>
        <v/>
      </c>
      <c r="AD29">
        <f>HYPERLINK("https://klasma.github.io/Logging_1782/tillsynsmail/A 19945-2023 tillsynsbegäran mail.docx", "A 19945-2023")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46279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46279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46279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46279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10138-2024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45364</v>
      </c>
      <c r="E34" s="1" t="n">
        <v>46279</v>
      </c>
      <c r="F34" t="inlineStr">
        <is>
          <t>VÄRMLANDS LÄN</t>
        </is>
      </c>
      <c r="G34" t="inlineStr">
        <is>
          <t>FILIPSTAD</t>
        </is>
      </c>
      <c r="H34" t="inlineStr">
        <is>
          <t>Kommuner</t>
        </is>
      </c>
      <c r="I34" t="n">
        <v>6.8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Purpurknipprot</t>
        </is>
      </c>
      <c r="W34">
        <f>HYPERLINK("https://klasma.github.io/Logging_1782/artfynd/A 10138-2024 artfynd.xlsx", "A 10138-2024")</f>
        <v/>
      </c>
      <c r="X34">
        <f>HYPERLINK("https://klasma.github.io/Logging_1782/kartor/A 10138-2024 karta.png", "A 10138-2024")</f>
        <v/>
      </c>
      <c r="Y34">
        <f>HYPERLINK("https://klasma.github.io/Logging_1782/kartor_geotiff/A 10138-2024 georefererad karta.tif", "A 10138-2024")</f>
        <v/>
      </c>
      <c r="AA34">
        <f>HYPERLINK("https://klasma.github.io/Logging_1782/klagomål/A 10138-2024 FSC-klagomål.docx", "A 10138-2024")</f>
        <v/>
      </c>
      <c r="AB34">
        <f>HYPERLINK("https://klasma.github.io/Logging_1782/klagomålsmail/A 10138-2024 FSC-klagomål mail.docx", "A 10138-2024")</f>
        <v/>
      </c>
      <c r="AC34">
        <f>HYPERLINK("https://klasma.github.io/Logging_1782/tillsyn/A 10138-2024 tillsynsbegäran.docx", "A 10138-2024")</f>
        <v/>
      </c>
      <c r="AD34">
        <f>HYPERLINK("https://klasma.github.io/Logging_1782/tillsynsmail/A 10138-2024 tillsynsbegäran mail.docx", "A 10138-2024")</f>
        <v/>
      </c>
    </row>
    <row r="35" ht="15" customHeight="1">
      <c r="A35" t="inlineStr">
        <is>
          <t>A 23046-2023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46279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HYPERLINK("https://klasma.github.io/Logging_1782/artfynd/A 23046-2023 artfynd.xlsx", "A 23046-2023")</f>
        <v/>
      </c>
      <c r="X35">
        <f>HYPERLINK("https://klasma.github.io/Logging_1782/kartor/A 23046-2023 karta.png", "A 23046-2023")</f>
        <v/>
      </c>
      <c r="Y35">
        <f>HYPERLINK("https://klasma.github.io/Logging_1782/kartor_geotiff/A 23046-2023 georefererad karta.tif", "A 23046-2023")</f>
        <v/>
      </c>
      <c r="Z35">
        <f>HYPERLINK("https://klasma.github.io/Logging_1782/knärot/A 23046-2023 karta knärot.png", "A 23046-2023")</f>
        <v/>
      </c>
      <c r="AA35">
        <f>HYPERLINK("https://klasma.github.io/Logging_1782/klagomål/A 23046-2023 FSC-klagomål.docx", "A 23046-2023")</f>
        <v/>
      </c>
      <c r="AB35">
        <f>HYPERLINK("https://klasma.github.io/Logging_1782/klagomålsmail/A 23046-2023 FSC-klagomål mail.docx", "A 23046-2023")</f>
        <v/>
      </c>
      <c r="AC35">
        <f>HYPERLINK("https://klasma.github.io/Logging_1782/tillsyn/A 23046-2023 tillsynsbegäran.docx", "A 23046-2023")</f>
        <v/>
      </c>
      <c r="AD35">
        <f>HYPERLINK("https://klasma.github.io/Logging_1782/tillsynsmail/A 23046-2023 tillsynsbegäran mail.docx", "A 23046-2023")</f>
        <v/>
      </c>
    </row>
    <row r="36" ht="15" customHeight="1">
      <c r="A36" t="inlineStr">
        <is>
          <t>A 38140-2024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45545</v>
      </c>
      <c r="E36" s="1" t="n">
        <v>46279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Dropptaggsvamp</t>
        </is>
      </c>
      <c r="W36">
        <f>HYPERLINK("https://klasma.github.io/Logging_1782/artfynd/A 38140-2024 artfynd.xlsx", "A 38140-2024")</f>
        <v/>
      </c>
      <c r="X36">
        <f>HYPERLINK("https://klasma.github.io/Logging_1782/kartor/A 38140-2024 karta.png", "A 38140-2024")</f>
        <v/>
      </c>
      <c r="Y36">
        <f>HYPERLINK("https://klasma.github.io/Logging_1782/kartor_geotiff/A 38140-2024 georefererad karta.tif", "A 38140-2024")</f>
        <v/>
      </c>
      <c r="AA36">
        <f>HYPERLINK("https://klasma.github.io/Logging_1782/klagomål/A 38140-2024 FSC-klagomål.docx", "A 38140-2024")</f>
        <v/>
      </c>
      <c r="AB36">
        <f>HYPERLINK("https://klasma.github.io/Logging_1782/klagomålsmail/A 38140-2024 FSC-klagomål mail.docx", "A 38140-2024")</f>
        <v/>
      </c>
      <c r="AC36">
        <f>HYPERLINK("https://klasma.github.io/Logging_1782/tillsyn/A 38140-2024 tillsynsbegäran.docx", "A 38140-2024")</f>
        <v/>
      </c>
      <c r="AD36">
        <f>HYPERLINK("https://klasma.github.io/Logging_1782/tillsynsmail/A 38140-2024 tillsynsbegäran mail.docx", "A 38140-2024")</f>
        <v/>
      </c>
    </row>
    <row r="37" ht="15" customHeight="1">
      <c r="A37" t="inlineStr">
        <is>
          <t>A 30652-2025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45831</v>
      </c>
      <c r="E37" s="1" t="n">
        <v>46279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4.3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Tjäder</t>
        </is>
      </c>
      <c r="W37">
        <f>HYPERLINK("https://klasma.github.io/Logging_1782/artfynd/A 30652-2025 artfynd.xlsx", "A 30652-2025")</f>
        <v/>
      </c>
      <c r="X37">
        <f>HYPERLINK("https://klasma.github.io/Logging_1782/kartor/A 30652-2025 karta.png", "A 30652-2025")</f>
        <v/>
      </c>
      <c r="Y37">
        <f>HYPERLINK("https://klasma.github.io/Logging_1782/kartor_geotiff/A 30652-2025 georefererad karta.tif", "A 30652-2025")</f>
        <v/>
      </c>
      <c r="AA37">
        <f>HYPERLINK("https://klasma.github.io/Logging_1782/klagomål/A 30652-2025 FSC-klagomål.docx", "A 30652-2025")</f>
        <v/>
      </c>
      <c r="AB37">
        <f>HYPERLINK("https://klasma.github.io/Logging_1782/klagomålsmail/A 30652-2025 FSC-klagomål mail.docx", "A 30652-2025")</f>
        <v/>
      </c>
      <c r="AC37">
        <f>HYPERLINK("https://klasma.github.io/Logging_1782/tillsyn/A 30652-2025 tillsynsbegäran.docx", "A 30652-2025")</f>
        <v/>
      </c>
      <c r="AD37">
        <f>HYPERLINK("https://klasma.github.io/Logging_1782/tillsynsmail/A 30652-2025 tillsynsbegäran mail.docx", "A 30652-2025")</f>
        <v/>
      </c>
      <c r="AE37">
        <f>HYPERLINK("https://klasma.github.io/Logging_1782/fåglar/A 30652-2025 prioriterade fågelarter.docx", "A 30652-2025")</f>
        <v/>
      </c>
    </row>
    <row r="38" ht="15" customHeight="1">
      <c r="A38" t="inlineStr">
        <is>
          <t>A 45781-2025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45923</v>
      </c>
      <c r="E38" s="1" t="n">
        <v>46279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Brunklöver</t>
        </is>
      </c>
      <c r="W38">
        <f>HYPERLINK("https://klasma.github.io/Logging_1782/artfynd/A 45781-2025 artfynd.xlsx", "A 45781-2025")</f>
        <v/>
      </c>
      <c r="X38">
        <f>HYPERLINK("https://klasma.github.io/Logging_1782/kartor/A 45781-2025 karta.png", "A 45781-2025")</f>
        <v/>
      </c>
      <c r="Y38">
        <f>HYPERLINK("https://klasma.github.io/Logging_1782/kartor_geotiff/A 45781-2025 georefererad karta.tif", "A 45781-2025")</f>
        <v/>
      </c>
      <c r="AA38">
        <f>HYPERLINK("https://klasma.github.io/Logging_1782/klagomål/A 45781-2025 FSC-klagomål.docx", "A 45781-2025")</f>
        <v/>
      </c>
      <c r="AB38">
        <f>HYPERLINK("https://klasma.github.io/Logging_1782/klagomålsmail/A 45781-2025 FSC-klagomål mail.docx", "A 45781-2025")</f>
        <v/>
      </c>
      <c r="AC38">
        <f>HYPERLINK("https://klasma.github.io/Logging_1782/tillsyn/A 45781-2025 tillsynsbegäran.docx", "A 45781-2025")</f>
        <v/>
      </c>
      <c r="AD38">
        <f>HYPERLINK("https://klasma.github.io/Logging_1782/tillsynsmail/A 45781-2025 tillsynsbegäran mail.docx", "A 45781-2025")</f>
        <v/>
      </c>
    </row>
    <row r="39" ht="15" customHeight="1">
      <c r="A39" t="inlineStr">
        <is>
          <t>A 46978-2023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45195</v>
      </c>
      <c r="E39" s="1" t="n">
        <v>46279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11.2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Nattviol</t>
        </is>
      </c>
      <c r="W39">
        <f>HYPERLINK("https://klasma.github.io/Logging_1782/artfynd/A 46978-2023 artfynd.xlsx", "A 46978-2023")</f>
        <v/>
      </c>
      <c r="X39">
        <f>HYPERLINK("https://klasma.github.io/Logging_1782/kartor/A 46978-2023 karta.png", "A 46978-2023")</f>
        <v/>
      </c>
      <c r="Y39">
        <f>HYPERLINK("https://klasma.github.io/Logging_1782/kartor_geotiff/A 46978-2023 georefererad karta.tif", "A 46978-2023")</f>
        <v/>
      </c>
      <c r="AA39">
        <f>HYPERLINK("https://klasma.github.io/Logging_1782/klagomål/A 46978-2023 FSC-klagomål.docx", "A 46978-2023")</f>
        <v/>
      </c>
      <c r="AB39">
        <f>HYPERLINK("https://klasma.github.io/Logging_1782/klagomålsmail/A 46978-2023 FSC-klagomål mail.docx", "A 46978-2023")</f>
        <v/>
      </c>
      <c r="AC39">
        <f>HYPERLINK("https://klasma.github.io/Logging_1782/tillsyn/A 46978-2023 tillsynsbegäran.docx", "A 46978-2023")</f>
        <v/>
      </c>
      <c r="AD39">
        <f>HYPERLINK("https://klasma.github.io/Logging_1782/tillsynsmail/A 46978-2023 tillsynsbegäran mail.docx", "A 46978-2023")</f>
        <v/>
      </c>
    </row>
    <row r="40" ht="15" customHeight="1">
      <c r="A40" t="inlineStr">
        <is>
          <t>A 17529-2026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46120</v>
      </c>
      <c r="E40" s="1" t="n">
        <v>46279</v>
      </c>
      <c r="F40" t="inlineStr">
        <is>
          <t>VÄRMLANDS LÄN</t>
        </is>
      </c>
      <c r="G40" t="inlineStr">
        <is>
          <t>FILIPSTAD</t>
        </is>
      </c>
      <c r="I40" t="n">
        <v>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Ädellav</t>
        </is>
      </c>
      <c r="W40">
        <f>HYPERLINK("https://klasma.github.io/Logging_1782/artfynd/A 17529-2026 artfynd.xlsx", "A 17529-2026")</f>
        <v/>
      </c>
      <c r="X40">
        <f>HYPERLINK("https://klasma.github.io/Logging_1782/kartor/A 17529-2026 karta.png", "A 17529-2026")</f>
        <v/>
      </c>
      <c r="Y40">
        <f>HYPERLINK("https://klasma.github.io/Logging_1782/kartor_geotiff/A 17529-2026 georefererad karta.tif", "A 17529-2026")</f>
        <v/>
      </c>
      <c r="AA40">
        <f>HYPERLINK("https://klasma.github.io/Logging_1782/klagomål/A 17529-2026 FSC-klagomål.docx", "A 17529-2026")</f>
        <v/>
      </c>
      <c r="AB40">
        <f>HYPERLINK("https://klasma.github.io/Logging_1782/klagomålsmail/A 17529-2026 FSC-klagomål mail.docx", "A 17529-2026")</f>
        <v/>
      </c>
      <c r="AC40">
        <f>HYPERLINK("https://klasma.github.io/Logging_1782/tillsyn/A 17529-2026 tillsynsbegäran.docx", "A 17529-2026")</f>
        <v/>
      </c>
      <c r="AD40">
        <f>HYPERLINK("https://klasma.github.io/Logging_1782/tillsynsmail/A 17529-2026 tillsynsbegäran mail.docx", "A 17529-2026")</f>
        <v/>
      </c>
    </row>
    <row r="41" ht="15" customHeight="1">
      <c r="A41" t="inlineStr">
        <is>
          <t>A 18138-2022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44684</v>
      </c>
      <c r="E41" s="1" t="n">
        <v>46279</v>
      </c>
      <c r="F41" t="inlineStr">
        <is>
          <t>VÄRMLANDS LÄN</t>
        </is>
      </c>
      <c r="G41" t="inlineStr">
        <is>
          <t>FILIPSTAD</t>
        </is>
      </c>
      <c r="I41" t="n">
        <v>2.7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HYPERLINK("https://klasma.github.io/Logging_1782/artfynd/A 18138-2022 artfynd.xlsx", "A 18138-2022")</f>
        <v/>
      </c>
      <c r="X41">
        <f>HYPERLINK("https://klasma.github.io/Logging_1782/kartor/A 18138-2022 karta.png", "A 18138-2022")</f>
        <v/>
      </c>
      <c r="Y41">
        <f>HYPERLINK("https://klasma.github.io/Logging_1782/kartor_geotiff/A 18138-2022 georefererad karta.tif", "A 18138-2022")</f>
        <v/>
      </c>
      <c r="AA41">
        <f>HYPERLINK("https://klasma.github.io/Logging_1782/klagomål/A 18138-2022 FSC-klagomål.docx", "A 18138-2022")</f>
        <v/>
      </c>
      <c r="AB41">
        <f>HYPERLINK("https://klasma.github.io/Logging_1782/klagomålsmail/A 18138-2022 FSC-klagomål mail.docx", "A 18138-2022")</f>
        <v/>
      </c>
      <c r="AC41">
        <f>HYPERLINK("https://klasma.github.io/Logging_1782/tillsyn/A 18138-2022 tillsynsbegäran.docx", "A 18138-2022")</f>
        <v/>
      </c>
      <c r="AD41">
        <f>HYPERLINK("https://klasma.github.io/Logging_1782/tillsynsmail/A 18138-2022 tillsynsbegäran mail.docx", "A 18138-2022")</f>
        <v/>
      </c>
    </row>
    <row r="42" ht="15" customHeight="1">
      <c r="A42" t="inlineStr">
        <is>
          <t>A 58734-2025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46279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18.2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Tretåig hackspett</t>
        </is>
      </c>
      <c r="W42">
        <f>HYPERLINK("https://klasma.github.io/Logging_1782/artfynd/A 58734-2025 artfynd.xlsx", "A 58734-2025")</f>
        <v/>
      </c>
      <c r="X42">
        <f>HYPERLINK("https://klasma.github.io/Logging_1782/kartor/A 58734-2025 karta.png", "A 58734-2025")</f>
        <v/>
      </c>
      <c r="Y42">
        <f>HYPERLINK("https://klasma.github.io/Logging_1782/kartor_geotiff/A 58734-2025 georefererad karta.tif", "A 58734-2025")</f>
        <v/>
      </c>
      <c r="AA42">
        <f>HYPERLINK("https://klasma.github.io/Logging_1782/klagomål/A 58734-2025 FSC-klagomål.docx", "A 58734-2025")</f>
        <v/>
      </c>
      <c r="AB42">
        <f>HYPERLINK("https://klasma.github.io/Logging_1782/klagomålsmail/A 58734-2025 FSC-klagomål mail.docx", "A 58734-2025")</f>
        <v/>
      </c>
      <c r="AC42">
        <f>HYPERLINK("https://klasma.github.io/Logging_1782/tillsyn/A 58734-2025 tillsynsbegäran.docx", "A 58734-2025")</f>
        <v/>
      </c>
      <c r="AD42">
        <f>HYPERLINK("https://klasma.github.io/Logging_1782/tillsynsmail/A 58734-2025 tillsynsbegäran mail.docx", "A 58734-2025")</f>
        <v/>
      </c>
      <c r="AE42">
        <f>HYPERLINK("https://klasma.github.io/Logging_1782/fåglar/A 58734-2025 prioriterade fågelarter.docx", "A 58734-2025")</f>
        <v/>
      </c>
    </row>
    <row r="43" ht="15" customHeight="1">
      <c r="A43" t="inlineStr">
        <is>
          <t>A 4560-2025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45687</v>
      </c>
      <c r="E43" s="1" t="n">
        <v>46279</v>
      </c>
      <c r="F43" t="inlineStr">
        <is>
          <t>VÄRMLANDS LÄN</t>
        </is>
      </c>
      <c r="G43" t="inlineStr">
        <is>
          <t>FILIPSTAD</t>
        </is>
      </c>
      <c r="I43" t="n">
        <v>13.6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Skrovlig taggsvamp</t>
        </is>
      </c>
      <c r="W43">
        <f>HYPERLINK("https://klasma.github.io/Logging_1782/artfynd/A 4560-2025 artfynd.xlsx", "A 4560-2025")</f>
        <v/>
      </c>
      <c r="X43">
        <f>HYPERLINK("https://klasma.github.io/Logging_1782/kartor/A 4560-2025 karta.png", "A 4560-2025")</f>
        <v/>
      </c>
      <c r="Y43">
        <f>HYPERLINK("https://klasma.github.io/Logging_1782/kartor_geotiff/A 4560-2025 georefererad karta.tif", "A 4560-2025")</f>
        <v/>
      </c>
      <c r="AA43">
        <f>HYPERLINK("https://klasma.github.io/Logging_1782/klagomål/A 4560-2025 FSC-klagomål.docx", "A 4560-2025")</f>
        <v/>
      </c>
      <c r="AB43">
        <f>HYPERLINK("https://klasma.github.io/Logging_1782/klagomålsmail/A 4560-2025 FSC-klagomål mail.docx", "A 4560-2025")</f>
        <v/>
      </c>
      <c r="AC43">
        <f>HYPERLINK("https://klasma.github.io/Logging_1782/tillsyn/A 4560-2025 tillsynsbegäran.docx", "A 4560-2025")</f>
        <v/>
      </c>
      <c r="AD43">
        <f>HYPERLINK("https://klasma.github.io/Logging_1782/tillsynsmail/A 4560-2025 tillsynsbegäran mail.docx", "A 4560-2025")</f>
        <v/>
      </c>
    </row>
    <row r="44" ht="15" customHeight="1">
      <c r="A44" t="inlineStr">
        <is>
          <t>A 874-2025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45665</v>
      </c>
      <c r="E44" s="1" t="n">
        <v>46279</v>
      </c>
      <c r="F44" t="inlineStr">
        <is>
          <t>VÄRMLANDS LÄN</t>
        </is>
      </c>
      <c r="G44" t="inlineStr">
        <is>
          <t>FILIPSTAD</t>
        </is>
      </c>
      <c r="H44" t="inlineStr">
        <is>
          <t>Kyrkan</t>
        </is>
      </c>
      <c r="I44" t="n">
        <v>4.8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Kamjordstjärna</t>
        </is>
      </c>
      <c r="W44">
        <f>HYPERLINK("https://klasma.github.io/Logging_1782/artfynd/A 874-2025 artfynd.xlsx", "A 874-2025")</f>
        <v/>
      </c>
      <c r="X44">
        <f>HYPERLINK("https://klasma.github.io/Logging_1782/kartor/A 874-2025 karta.png", "A 874-2025")</f>
        <v/>
      </c>
      <c r="Y44">
        <f>HYPERLINK("https://klasma.github.io/Logging_1782/kartor_geotiff/A 874-2025 georefererad karta.tif", "A 874-2025")</f>
        <v/>
      </c>
      <c r="AA44">
        <f>HYPERLINK("https://klasma.github.io/Logging_1782/klagomål/A 874-2025 FSC-klagomål.docx", "A 874-2025")</f>
        <v/>
      </c>
      <c r="AB44">
        <f>HYPERLINK("https://klasma.github.io/Logging_1782/klagomålsmail/A 874-2025 FSC-klagomål mail.docx", "A 874-2025")</f>
        <v/>
      </c>
      <c r="AC44">
        <f>HYPERLINK("https://klasma.github.io/Logging_1782/tillsyn/A 874-2025 tillsynsbegäran.docx", "A 874-2025")</f>
        <v/>
      </c>
      <c r="AD44">
        <f>HYPERLINK("https://klasma.github.io/Logging_1782/tillsynsmail/A 874-2025 tillsynsbegäran mail.docx", "A 874-2025")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46279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51522-2022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46279</v>
      </c>
      <c r="F46" t="inlineStr">
        <is>
          <t>VÄRMLANDS LÄN</t>
        </is>
      </c>
      <c r="G46" t="inlineStr">
        <is>
          <t>FILIPSTAD</t>
        </is>
      </c>
      <c r="I46" t="n">
        <v>4.1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Tibast</t>
        </is>
      </c>
      <c r="W46">
        <f>HYPERLINK("https://klasma.github.io/Logging_1782/artfynd/A 51522-2022 artfynd.xlsx", "A 51522-2022")</f>
        <v/>
      </c>
      <c r="X46">
        <f>HYPERLINK("https://klasma.github.io/Logging_1782/kartor/A 51522-2022 karta.png", "A 51522-2022")</f>
        <v/>
      </c>
      <c r="Y46">
        <f>HYPERLINK("https://klasma.github.io/Logging_1782/kartor_geotiff/A 51522-2022 georefererad karta.tif", "A 51522-2022")</f>
        <v/>
      </c>
      <c r="AA46">
        <f>HYPERLINK("https://klasma.github.io/Logging_1782/klagomål/A 51522-2022 FSC-klagomål.docx", "A 51522-2022")</f>
        <v/>
      </c>
      <c r="AB46">
        <f>HYPERLINK("https://klasma.github.io/Logging_1782/klagomålsmail/A 51522-2022 FSC-klagomål mail.docx", "A 51522-2022")</f>
        <v/>
      </c>
      <c r="AC46">
        <f>HYPERLINK("https://klasma.github.io/Logging_1782/tillsyn/A 51522-2022 tillsynsbegäran.docx", "A 51522-2022")</f>
        <v/>
      </c>
      <c r="AD46">
        <f>HYPERLINK("https://klasma.github.io/Logging_1782/tillsynsmail/A 51522-2022 tillsynsbegäran mail.docx", "A 51522-2022")</f>
        <v/>
      </c>
    </row>
    <row r="47" ht="15" customHeight="1">
      <c r="A47" t="inlineStr">
        <is>
          <t>A 28989-2026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46199</v>
      </c>
      <c r="E47" s="1" t="n">
        <v>46279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7.2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HYPERLINK("https://klasma.github.io/Logging_1782/artfynd/A 28989-2026 artfynd.xlsx", "A 28989-2026")</f>
        <v/>
      </c>
      <c r="X47">
        <f>HYPERLINK("https://klasma.github.io/Logging_1782/kartor/A 28989-2026 karta.png", "A 28989-2026")</f>
        <v/>
      </c>
      <c r="Y47">
        <f>HYPERLINK("https://klasma.github.io/Logging_1782/kartor_geotiff/A 28989-2026 georefererad karta.tif", "A 28989-2026")</f>
        <v/>
      </c>
      <c r="AA47">
        <f>HYPERLINK("https://klasma.github.io/Logging_1782/klagomål/A 28989-2026 FSC-klagomål.docx", "A 28989-2026")</f>
        <v/>
      </c>
      <c r="AB47">
        <f>HYPERLINK("https://klasma.github.io/Logging_1782/klagomålsmail/A 28989-2026 FSC-klagomål mail.docx", "A 28989-2026")</f>
        <v/>
      </c>
      <c r="AC47">
        <f>HYPERLINK("https://klasma.github.io/Logging_1782/tillsyn/A 28989-2026 tillsynsbegäran.docx", "A 28989-2026")</f>
        <v/>
      </c>
      <c r="AD47">
        <f>HYPERLINK("https://klasma.github.io/Logging_1782/tillsynsmail/A 28989-2026 tillsynsbegäran mail.docx", "A 28989-2026")</f>
        <v/>
      </c>
    </row>
    <row r="48" ht="15" customHeight="1">
      <c r="A48" t="inlineStr">
        <is>
          <t>A 50776-2024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45602</v>
      </c>
      <c r="E48" s="1" t="n">
        <v>46279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15.5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Nattviol</t>
        </is>
      </c>
      <c r="W48">
        <f>HYPERLINK("https://klasma.github.io/Logging_1782/artfynd/A 50776-2024 artfynd.xlsx", "A 50776-2024")</f>
        <v/>
      </c>
      <c r="X48">
        <f>HYPERLINK("https://klasma.github.io/Logging_1782/kartor/A 50776-2024 karta.png", "A 50776-2024")</f>
        <v/>
      </c>
      <c r="Y48">
        <f>HYPERLINK("https://klasma.github.io/Logging_1782/kartor_geotiff/A 50776-2024 georefererad karta.tif", "A 50776-2024")</f>
        <v/>
      </c>
      <c r="AA48">
        <f>HYPERLINK("https://klasma.github.io/Logging_1782/klagomål/A 50776-2024 FSC-klagomål.docx", "A 50776-2024")</f>
        <v/>
      </c>
      <c r="AB48">
        <f>HYPERLINK("https://klasma.github.io/Logging_1782/klagomålsmail/A 50776-2024 FSC-klagomål mail.docx", "A 50776-2024")</f>
        <v/>
      </c>
      <c r="AC48">
        <f>HYPERLINK("https://klasma.github.io/Logging_1782/tillsyn/A 50776-2024 tillsynsbegäran.docx", "A 50776-2024")</f>
        <v/>
      </c>
      <c r="AD48">
        <f>HYPERLINK("https://klasma.github.io/Logging_1782/tillsynsmail/A 50776-2024 tillsynsbegäran mail.docx", "A 50776-2024")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46279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46279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31257-2026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46218</v>
      </c>
      <c r="E51" s="1" t="n">
        <v>46279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10.2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Gräsull</t>
        </is>
      </c>
      <c r="W51">
        <f>HYPERLINK("https://klasma.github.io/Logging_1782/artfynd/A 31257-2026 artfynd.xlsx", "A 31257-2026")</f>
        <v/>
      </c>
      <c r="X51">
        <f>HYPERLINK("https://klasma.github.io/Logging_1782/kartor/A 31257-2026 karta.png", "A 31257-2026")</f>
        <v/>
      </c>
      <c r="Y51">
        <f>HYPERLINK("https://klasma.github.io/Logging_1782/kartor_geotiff/A 31257-2026 georefererad karta.tif", "A 31257-2026")</f>
        <v/>
      </c>
      <c r="AA51">
        <f>HYPERLINK("https://klasma.github.io/Logging_1782/klagomål/A 31257-2026 FSC-klagomål.docx", "A 31257-2026")</f>
        <v/>
      </c>
      <c r="AB51">
        <f>HYPERLINK("https://klasma.github.io/Logging_1782/klagomålsmail/A 31257-2026 FSC-klagomål mail.docx", "A 31257-2026")</f>
        <v/>
      </c>
      <c r="AC51">
        <f>HYPERLINK("https://klasma.github.io/Logging_1782/tillsyn/A 31257-2026 tillsynsbegäran.docx", "A 31257-2026")</f>
        <v/>
      </c>
      <c r="AD51">
        <f>HYPERLINK("https://klasma.github.io/Logging_1782/tillsynsmail/A 31257-2026 tillsynsbegäran mail.docx", "A 31257-2026")</f>
        <v/>
      </c>
    </row>
    <row r="52" ht="15" customHeight="1">
      <c r="A52" t="inlineStr">
        <is>
          <t>A 1346-2025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45667</v>
      </c>
      <c r="E52" s="1" t="n">
        <v>46279</v>
      </c>
      <c r="F52" t="inlineStr">
        <is>
          <t>VÄRMLANDS LÄN</t>
        </is>
      </c>
      <c r="G52" t="inlineStr">
        <is>
          <t>FILIPSTAD</t>
        </is>
      </c>
      <c r="H52" t="inlineStr">
        <is>
          <t>Kommuner</t>
        </is>
      </c>
      <c r="I52" t="n">
        <v>6.9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3</v>
      </c>
      <c r="U52" t="n">
        <v>3</v>
      </c>
      <c r="V52" s="2" t="inlineStr">
        <is>
          <t>Fläcknycklar</t>
        </is>
      </c>
      <c r="W52">
        <f>HYPERLINK("https://klasma.github.io/Logging_1782/artfynd/A 1346-2025 artfynd.xlsx", "A 1346-2025")</f>
        <v/>
      </c>
      <c r="X52">
        <f>HYPERLINK("https://klasma.github.io/Logging_1782/kartor/A 1346-2025 karta.png", "A 1346-2025")</f>
        <v/>
      </c>
      <c r="Y52">
        <f>HYPERLINK("https://klasma.github.io/Logging_1782/kartor_geotiff/A 1346-2025 georefererad karta.tif", "A 1346-2025")</f>
        <v/>
      </c>
      <c r="AA52">
        <f>HYPERLINK("https://klasma.github.io/Logging_1782/klagomål/A 1346-2025 FSC-klagomål.docx", "A 1346-2025")</f>
        <v/>
      </c>
      <c r="AB52">
        <f>HYPERLINK("https://klasma.github.io/Logging_1782/klagomålsmail/A 1346-2025 FSC-klagomål mail.docx", "A 1346-2025")</f>
        <v/>
      </c>
      <c r="AC52">
        <f>HYPERLINK("https://klasma.github.io/Logging_1782/tillsyn/A 1346-2025 tillsynsbegäran.docx", "A 1346-2025")</f>
        <v/>
      </c>
      <c r="AD52">
        <f>HYPERLINK("https://klasma.github.io/Logging_1782/tillsynsmail/A 1346-2025 tillsynsbegäran mail.docx", "A 1346-2025")</f>
        <v/>
      </c>
    </row>
    <row r="53" ht="15" customHeight="1">
      <c r="A53" t="inlineStr">
        <is>
          <t>A 11453-2025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45726</v>
      </c>
      <c r="E53" s="1" t="n">
        <v>46279</v>
      </c>
      <c r="F53" t="inlineStr">
        <is>
          <t>VÄRMLANDS LÄN</t>
        </is>
      </c>
      <c r="G53" t="inlineStr">
        <is>
          <t>FILIPSTAD</t>
        </is>
      </c>
      <c r="I53" t="n">
        <v>7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Purpurknipprot</t>
        </is>
      </c>
      <c r="W53">
        <f>HYPERLINK("https://klasma.github.io/Logging_1782/artfynd/A 11453-2025 artfynd.xlsx", "A 11453-2025")</f>
        <v/>
      </c>
      <c r="X53">
        <f>HYPERLINK("https://klasma.github.io/Logging_1782/kartor/A 11453-2025 karta.png", "A 11453-2025")</f>
        <v/>
      </c>
      <c r="Y53">
        <f>HYPERLINK("https://klasma.github.io/Logging_1782/kartor_geotiff/A 11453-2025 georefererad karta.tif", "A 11453-2025")</f>
        <v/>
      </c>
      <c r="AA53">
        <f>HYPERLINK("https://klasma.github.io/Logging_1782/klagomål/A 11453-2025 FSC-klagomål.docx", "A 11453-2025")</f>
        <v/>
      </c>
      <c r="AB53">
        <f>HYPERLINK("https://klasma.github.io/Logging_1782/klagomålsmail/A 11453-2025 FSC-klagomål mail.docx", "A 11453-2025")</f>
        <v/>
      </c>
      <c r="AC53">
        <f>HYPERLINK("https://klasma.github.io/Logging_1782/tillsyn/A 11453-2025 tillsynsbegäran.docx", "A 11453-2025")</f>
        <v/>
      </c>
      <c r="AD53">
        <f>HYPERLINK("https://klasma.github.io/Logging_1782/tillsynsmail/A 11453-2025 tillsynsbegäran mail.docx", "A 11453-2025")</f>
        <v/>
      </c>
    </row>
    <row r="54" ht="15" customHeight="1">
      <c r="A54" t="inlineStr">
        <is>
          <t>A 25916-2025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45804</v>
      </c>
      <c r="E54" s="1" t="n">
        <v>46279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26.4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Lunglav</t>
        </is>
      </c>
      <c r="W54">
        <f>HYPERLINK("https://klasma.github.io/Logging_1782/artfynd/A 25916-2025 artfynd.xlsx", "A 25916-2025")</f>
        <v/>
      </c>
      <c r="X54">
        <f>HYPERLINK("https://klasma.github.io/Logging_1782/kartor/A 25916-2025 karta.png", "A 25916-2025")</f>
        <v/>
      </c>
      <c r="Y54">
        <f>HYPERLINK("https://klasma.github.io/Logging_1782/kartor_geotiff/A 25916-2025 georefererad karta.tif", "A 25916-2025")</f>
        <v/>
      </c>
      <c r="AA54">
        <f>HYPERLINK("https://klasma.github.io/Logging_1782/klagomål/A 25916-2025 FSC-klagomål.docx", "A 25916-2025")</f>
        <v/>
      </c>
      <c r="AB54">
        <f>HYPERLINK("https://klasma.github.io/Logging_1782/klagomålsmail/A 25916-2025 FSC-klagomål mail.docx", "A 25916-2025")</f>
        <v/>
      </c>
      <c r="AC54">
        <f>HYPERLINK("https://klasma.github.io/Logging_1782/tillsyn/A 25916-2025 tillsynsbegäran.docx", "A 25916-2025")</f>
        <v/>
      </c>
      <c r="AD54">
        <f>HYPERLINK("https://klasma.github.io/Logging_1782/tillsynsmail/A 25916-2025 tillsynsbegäran mail.docx", "A 25916-2025")</f>
        <v/>
      </c>
    </row>
    <row r="55" ht="15" customHeight="1">
      <c r="A55" t="inlineStr">
        <is>
          <t>S 264-2022</t>
        </is>
      </c>
      <c r="B55" t="inlineStr">
        <is>
          <t>samrådsanmälan</t>
        </is>
      </c>
      <c r="C55" t="inlineStr">
        <is>
          <t>Skogsgödsling</t>
        </is>
      </c>
      <c r="D55" s="1" t="n">
        <v>44578</v>
      </c>
      <c r="E55" s="1" t="n">
        <v>46279</v>
      </c>
      <c r="F55" t="inlineStr">
        <is>
          <t>VÄRMLANDS LÄN</t>
        </is>
      </c>
      <c r="G55" t="inlineStr">
        <is>
          <t>FILIPSTAD</t>
        </is>
      </c>
      <c r="H55" t="inlineStr">
        <is>
          <t>Bergvik skog väst AB</t>
        </is>
      </c>
      <c r="I55" t="n">
        <v>398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Slaguggla</t>
        </is>
      </c>
      <c r="W55">
        <f>HYPERLINK("https://klasma.github.io/Logging_1782/artfynd/S 264-2022 artfynd.xlsx", "S 264-2022")</f>
        <v/>
      </c>
      <c r="X55">
        <f>HYPERLINK("https://klasma.github.io/Logging_1782/kartor/S 264-2022 karta.png", "S 264-2022")</f>
        <v/>
      </c>
      <c r="Y55">
        <f>HYPERLINK("https://klasma.github.io/Logging_1782/kartor_geotiff/S 264-2022 georefererad karta.tif", "S 264-2022")</f>
        <v/>
      </c>
      <c r="AA55">
        <f>HYPERLINK("https://klasma.github.io/Logging_1782/klagomål/S 264-2022 FSC-klagomål.docx", "S 264-2022")</f>
        <v/>
      </c>
      <c r="AB55">
        <f>HYPERLINK("https://klasma.github.io/Logging_1782/klagomålsmail/S 264-2022 FSC-klagomål mail.docx", "S 264-2022")</f>
        <v/>
      </c>
      <c r="AC55">
        <f>HYPERLINK("https://klasma.github.io/Logging_1782/tillsyn/S 264-2022 tillsynsbegäran.docx", "S 264-2022")</f>
        <v/>
      </c>
      <c r="AD55">
        <f>HYPERLINK("https://klasma.github.io/Logging_1782/tillsynsmail/S 264-2022 tillsynsbegäran mail.docx", "S 264-2022")</f>
        <v/>
      </c>
      <c r="AE55">
        <f>HYPERLINK("https://klasma.github.io/Logging_1782/fåglar/S 264-2022 prioriterade fågelarter.docx", "S 264-2022")</f>
        <v/>
      </c>
    </row>
    <row r="56" ht="15" customHeight="1">
      <c r="A56" t="inlineStr">
        <is>
          <t>S 383-2025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45691</v>
      </c>
      <c r="E56" s="1" t="n">
        <v>46279</v>
      </c>
      <c r="F56" t="inlineStr">
        <is>
          <t>VÄRMLANDS LÄN</t>
        </is>
      </c>
      <c r="G56" t="inlineStr">
        <is>
          <t>FILIPSTAD</t>
        </is>
      </c>
      <c r="I56" t="n">
        <v>18.6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Skrovlig taggsvamp</t>
        </is>
      </c>
      <c r="W56">
        <f>HYPERLINK("https://klasma.github.io/Logging_1782/artfynd/S 383-2025 artfynd.xlsx", "S 383-2025")</f>
        <v/>
      </c>
      <c r="X56">
        <f>HYPERLINK("https://klasma.github.io/Logging_1782/kartor/S 383-2025 karta.png", "S 383-2025")</f>
        <v/>
      </c>
      <c r="Y56">
        <f>HYPERLINK("https://klasma.github.io/Logging_1782/kartor_geotiff/S 383-2025 georefererad karta.tif", "S 383-2025")</f>
        <v/>
      </c>
      <c r="AA56">
        <f>HYPERLINK("https://klasma.github.io/Logging_1782/klagomål/S 383-2025 FSC-klagomål.docx", "S 383-2025")</f>
        <v/>
      </c>
      <c r="AB56">
        <f>HYPERLINK("https://klasma.github.io/Logging_1782/klagomålsmail/S 383-2025 FSC-klagomål mail.docx", "S 383-2025")</f>
        <v/>
      </c>
      <c r="AC56">
        <f>HYPERLINK("https://klasma.github.io/Logging_1782/tillsyn/S 383-2025 tillsynsbegäran.docx", "S 383-2025")</f>
        <v/>
      </c>
      <c r="AD56">
        <f>HYPERLINK("https://klasma.github.io/Logging_1782/tillsynsmail/S 383-2025 tillsynsbegäran mail.docx", "S 383-2025")</f>
        <v/>
      </c>
    </row>
    <row r="57" ht="15" customHeight="1">
      <c r="A57" t="inlineStr">
        <is>
          <t>A 8482-2022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44613</v>
      </c>
      <c r="E57" s="1" t="n">
        <v>46279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52992-2021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46279</v>
      </c>
      <c r="F58" t="inlineStr">
        <is>
          <t>VÄRMLANDS LÄN</t>
        </is>
      </c>
      <c r="G58" t="inlineStr">
        <is>
          <t>FILIPSTAD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46279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50914-2021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44460</v>
      </c>
      <c r="E60" s="1" t="n">
        <v>46279</v>
      </c>
      <c r="F60" t="inlineStr">
        <is>
          <t>VÄRMLANDS LÄN</t>
        </is>
      </c>
      <c r="G60" t="inlineStr">
        <is>
          <t>FILIPSTAD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7415-2022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44606</v>
      </c>
      <c r="E61" s="1" t="n">
        <v>46279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28198-2022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44746</v>
      </c>
      <c r="E62" s="1" t="n">
        <v>46279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49736-2021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44453</v>
      </c>
      <c r="E63" s="1" t="n">
        <v>46279</v>
      </c>
      <c r="F63" t="inlineStr">
        <is>
          <t>VÄRMLANDS LÄN</t>
        </is>
      </c>
      <c r="G63" t="inlineStr">
        <is>
          <t>FILIPSTAD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44726</v>
      </c>
      <c r="E64" s="1" t="n">
        <v>46279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30.7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63714-2021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44505</v>
      </c>
      <c r="E65" s="1" t="n">
        <v>46279</v>
      </c>
      <c r="F65" t="inlineStr">
        <is>
          <t>VÄRMLANDS LÄN</t>
        </is>
      </c>
      <c r="G65" t="inlineStr">
        <is>
          <t>FILIPSTAD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14077-2022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44651</v>
      </c>
      <c r="E66" s="1" t="n">
        <v>46279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18.7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50063-2021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46279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23063-2022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44719</v>
      </c>
      <c r="E68" s="1" t="n">
        <v>46279</v>
      </c>
      <c r="F68" t="inlineStr">
        <is>
          <t>VÄRMLANDS LÄN</t>
        </is>
      </c>
      <c r="G68" t="inlineStr">
        <is>
          <t>FILIPSTAD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46279</v>
      </c>
      <c r="F69" t="inlineStr">
        <is>
          <t>VÄRMLANDS LÄN</t>
        </is>
      </c>
      <c r="G69" t="inlineStr">
        <is>
          <t>FILIPSTAD</t>
        </is>
      </c>
      <c r="H69" t="inlineStr">
        <is>
          <t>Bergvik skog väst AB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22356-2022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44713</v>
      </c>
      <c r="E70" s="1" t="n">
        <v>46279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57090-2021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44482</v>
      </c>
      <c r="E71" s="1" t="n">
        <v>46279</v>
      </c>
      <c r="F71" t="inlineStr">
        <is>
          <t>VÄRMLANDS LÄN</t>
        </is>
      </c>
      <c r="G71" t="inlineStr">
        <is>
          <t>FILIPSTAD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32680-2022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44783</v>
      </c>
      <c r="E72" s="1" t="n">
        <v>46279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30.5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47693-2022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44854</v>
      </c>
      <c r="E73" s="1" t="n">
        <v>46279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5.9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35712-2022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44799</v>
      </c>
      <c r="E74" s="1" t="n">
        <v>46279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19626-2022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44694</v>
      </c>
      <c r="E75" s="1" t="n">
        <v>46279</v>
      </c>
      <c r="F75" t="inlineStr">
        <is>
          <t>VÄRMLANDS LÄN</t>
        </is>
      </c>
      <c r="G75" t="inlineStr">
        <is>
          <t>FILIPSTAD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59954-2021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44494</v>
      </c>
      <c r="E76" s="1" t="n">
        <v>46279</v>
      </c>
      <c r="F76" t="inlineStr">
        <is>
          <t>VÄRMLANDS LÄN</t>
        </is>
      </c>
      <c r="G76" t="inlineStr">
        <is>
          <t>FILIPSTAD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14074-2022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44651</v>
      </c>
      <c r="E77" s="1" t="n">
        <v>46279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66376-2021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44518</v>
      </c>
      <c r="E78" s="1" t="n">
        <v>46279</v>
      </c>
      <c r="F78" t="inlineStr">
        <is>
          <t>VÄRMLANDS LÄN</t>
        </is>
      </c>
      <c r="G78" t="inlineStr">
        <is>
          <t>FILIPSTAD</t>
        </is>
      </c>
      <c r="H78" t="inlineStr">
        <is>
          <t>Bergvik skog väst AB</t>
        </is>
      </c>
      <c r="I78" t="n">
        <v>9.800000000000001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64526-2021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44511</v>
      </c>
      <c r="E79" s="1" t="n">
        <v>46279</v>
      </c>
      <c r="F79" t="inlineStr">
        <is>
          <t>VÄRMLANDS LÄN</t>
        </is>
      </c>
      <c r="G79" t="inlineStr">
        <is>
          <t>FILIPSTAD</t>
        </is>
      </c>
      <c r="I79" t="n">
        <v>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46279</v>
      </c>
      <c r="F80" t="inlineStr">
        <is>
          <t>VÄRMLANDS LÄN</t>
        </is>
      </c>
      <c r="G80" t="inlineStr">
        <is>
          <t>FILIPSTAD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14582-2022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44655</v>
      </c>
      <c r="E81" s="1" t="n">
        <v>46279</v>
      </c>
      <c r="F81" t="inlineStr">
        <is>
          <t>VÄRMLANDS LÄN</t>
        </is>
      </c>
      <c r="G81" t="inlineStr">
        <is>
          <t>FILIPSTAD</t>
        </is>
      </c>
      <c r="H81" t="inlineStr">
        <is>
          <t>Bergvik skog väst AB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57087-2021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46279</v>
      </c>
      <c r="F82" t="inlineStr">
        <is>
          <t>VÄRMLANDS LÄN</t>
        </is>
      </c>
      <c r="G82" t="inlineStr">
        <is>
          <t>FILIPSTAD</t>
        </is>
      </c>
      <c r="I82" t="n">
        <v>4.4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5928-2022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44598</v>
      </c>
      <c r="E83" s="1" t="n">
        <v>46279</v>
      </c>
      <c r="F83" t="inlineStr">
        <is>
          <t>VÄRMLANDS LÄN</t>
        </is>
      </c>
      <c r="G83" t="inlineStr">
        <is>
          <t>FILIPSTAD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53562-2023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45230</v>
      </c>
      <c r="E84" s="1" t="n">
        <v>46279</v>
      </c>
      <c r="F84" t="inlineStr">
        <is>
          <t>VÄRMLANDS LÄN</t>
        </is>
      </c>
      <c r="G84" t="inlineStr">
        <is>
          <t>FILIPSTAD</t>
        </is>
      </c>
      <c r="H84" t="inlineStr">
        <is>
          <t>Bergvik skog väst AB</t>
        </is>
      </c>
      <c r="I84" t="n">
        <v>9.9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57588-2023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45246</v>
      </c>
      <c r="E85" s="1" t="n">
        <v>46279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47536-2023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45203</v>
      </c>
      <c r="E86" s="1" t="n">
        <v>46279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52981-2021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44467</v>
      </c>
      <c r="E87" s="1" t="n">
        <v>46279</v>
      </c>
      <c r="F87" t="inlineStr">
        <is>
          <t>VÄRMLANDS LÄN</t>
        </is>
      </c>
      <c r="G87" t="inlineStr">
        <is>
          <t>FILIPSTAD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6860-2024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45342</v>
      </c>
      <c r="E88" s="1" t="n">
        <v>46279</v>
      </c>
      <c r="F88" t="inlineStr">
        <is>
          <t>VÄRMLANDS LÄN</t>
        </is>
      </c>
      <c r="G88" t="inlineStr">
        <is>
          <t>FILIPSTAD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13918-2024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45391</v>
      </c>
      <c r="E89" s="1" t="n">
        <v>46279</v>
      </c>
      <c r="F89" t="inlineStr">
        <is>
          <t>VÄRMLANDS LÄN</t>
        </is>
      </c>
      <c r="G89" t="inlineStr">
        <is>
          <t>FILIPSTAD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23382-2024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45453</v>
      </c>
      <c r="E90" s="1" t="n">
        <v>46279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27080-2023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45096</v>
      </c>
      <c r="E91" s="1" t="n">
        <v>46279</v>
      </c>
      <c r="F91" t="inlineStr">
        <is>
          <t>VÄRMLANDS LÄN</t>
        </is>
      </c>
      <c r="G91" t="inlineStr">
        <is>
          <t>FILIPSTAD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48524-2023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46279</v>
      </c>
      <c r="F92" t="inlineStr">
        <is>
          <t>VÄRMLANDS LÄN</t>
        </is>
      </c>
      <c r="G92" t="inlineStr">
        <is>
          <t>FILIPSTAD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19159-2024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45428</v>
      </c>
      <c r="E93" s="1" t="n">
        <v>46279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8.4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51945-2023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45223</v>
      </c>
      <c r="E94" s="1" t="n">
        <v>46279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46279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16584-2024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45408</v>
      </c>
      <c r="E96" s="1" t="n">
        <v>46279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6.6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6683-2025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45700</v>
      </c>
      <c r="E97" s="1" t="n">
        <v>46279</v>
      </c>
      <c r="F97" t="inlineStr">
        <is>
          <t>VÄRMLANDS LÄN</t>
        </is>
      </c>
      <c r="G97" t="inlineStr">
        <is>
          <t>FILIPSTAD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12837-2024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45384</v>
      </c>
      <c r="E98" s="1" t="n">
        <v>46279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46279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51266-2021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44461</v>
      </c>
      <c r="E100" s="1" t="n">
        <v>46279</v>
      </c>
      <c r="F100" t="inlineStr">
        <is>
          <t>VÄRMLANDS LÄN</t>
        </is>
      </c>
      <c r="G100" t="inlineStr">
        <is>
          <t>FILIPSTAD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62540-2023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45267</v>
      </c>
      <c r="E101" s="1" t="n">
        <v>46279</v>
      </c>
      <c r="F101" t="inlineStr">
        <is>
          <t>VÄRMLANDS LÄN</t>
        </is>
      </c>
      <c r="G101" t="inlineStr">
        <is>
          <t>FILIPSTAD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60296-2023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45257</v>
      </c>
      <c r="E102" s="1" t="n">
        <v>46279</v>
      </c>
      <c r="F102" t="inlineStr">
        <is>
          <t>VÄRMLANDS LÄN</t>
        </is>
      </c>
      <c r="G102" t="inlineStr">
        <is>
          <t>FILIPSTAD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17788-2024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45418</v>
      </c>
      <c r="E103" s="1" t="n">
        <v>46279</v>
      </c>
      <c r="F103" t="inlineStr">
        <is>
          <t>VÄRMLANDS LÄN</t>
        </is>
      </c>
      <c r="G103" t="inlineStr">
        <is>
          <t>FILIPSTAD</t>
        </is>
      </c>
      <c r="I103" t="n">
        <v>3.3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57026-2023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45244</v>
      </c>
      <c r="E104" s="1" t="n">
        <v>46279</v>
      </c>
      <c r="F104" t="inlineStr">
        <is>
          <t>VÄRMLANDS LÄN</t>
        </is>
      </c>
      <c r="G104" t="inlineStr">
        <is>
          <t>FILIPSTAD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32185-2024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45511</v>
      </c>
      <c r="E105" s="1" t="n">
        <v>46279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27400-2024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45474</v>
      </c>
      <c r="E106" s="1" t="n">
        <v>46279</v>
      </c>
      <c r="F106" t="inlineStr">
        <is>
          <t>VÄRMLANDS LÄN</t>
        </is>
      </c>
      <c r="G106" t="inlineStr">
        <is>
          <t>FILIPSTAD</t>
        </is>
      </c>
      <c r="I106" t="n">
        <v>2.6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32262-2023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45120</v>
      </c>
      <c r="E107" s="1" t="n">
        <v>46279</v>
      </c>
      <c r="F107" t="inlineStr">
        <is>
          <t>VÄRMLANDS LÄN</t>
        </is>
      </c>
      <c r="G107" t="inlineStr">
        <is>
          <t>FILIPSTAD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25468-2024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45463</v>
      </c>
      <c r="E108" s="1" t="n">
        <v>46279</v>
      </c>
      <c r="F108" t="inlineStr">
        <is>
          <t>VÄRMLANDS LÄN</t>
        </is>
      </c>
      <c r="G108" t="inlineStr">
        <is>
          <t>FILIPSTAD</t>
        </is>
      </c>
      <c r="I108" t="n">
        <v>13.2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14268-2024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45393</v>
      </c>
      <c r="E109" s="1" t="n">
        <v>46279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4191-2022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44588</v>
      </c>
      <c r="E110" s="1" t="n">
        <v>46279</v>
      </c>
      <c r="F110" t="inlineStr">
        <is>
          <t>VÄRMLANDS LÄN</t>
        </is>
      </c>
      <c r="G110" t="inlineStr">
        <is>
          <t>FILIPSTAD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45674</v>
      </c>
      <c r="E111" s="1" t="n">
        <v>46279</v>
      </c>
      <c r="F111" t="inlineStr">
        <is>
          <t>VÄRMLANDS LÄN</t>
        </is>
      </c>
      <c r="G111" t="inlineStr">
        <is>
          <t>FILIPSTAD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17794-2024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45418</v>
      </c>
      <c r="E112" s="1" t="n">
        <v>46279</v>
      </c>
      <c r="F112" t="inlineStr">
        <is>
          <t>VÄRMLANDS LÄN</t>
        </is>
      </c>
      <c r="G112" t="inlineStr">
        <is>
          <t>FILIPSTAD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45664</v>
      </c>
      <c r="E113" s="1" t="n">
        <v>46279</v>
      </c>
      <c r="F113" t="inlineStr">
        <is>
          <t>VÄRMLANDS LÄN</t>
        </is>
      </c>
      <c r="G113" t="inlineStr">
        <is>
          <t>FILIPSTAD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56151-2023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46279</v>
      </c>
      <c r="F114" t="inlineStr">
        <is>
          <t>VÄRMLANDS LÄN</t>
        </is>
      </c>
      <c r="G114" t="inlineStr">
        <is>
          <t>FILIPSTAD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16591-2022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44672</v>
      </c>
      <c r="E115" s="1" t="n">
        <v>46279</v>
      </c>
      <c r="F115" t="inlineStr">
        <is>
          <t>VÄRMLANDS LÄN</t>
        </is>
      </c>
      <c r="G115" t="inlineStr">
        <is>
          <t>FILIPSTAD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45511-2024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45578</v>
      </c>
      <c r="E116" s="1" t="n">
        <v>46279</v>
      </c>
      <c r="F116" t="inlineStr">
        <is>
          <t>VÄRMLANDS LÄN</t>
        </is>
      </c>
      <c r="G116" t="inlineStr">
        <is>
          <t>FILIPSTAD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69015-2021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44530</v>
      </c>
      <c r="E117" s="1" t="n">
        <v>46279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12.7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30049-2025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46279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29568-2025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45825</v>
      </c>
      <c r="E119" s="1" t="n">
        <v>46279</v>
      </c>
      <c r="F119" t="inlineStr">
        <is>
          <t>VÄRMLANDS LÄN</t>
        </is>
      </c>
      <c r="G119" t="inlineStr">
        <is>
          <t>FILIPSTAD</t>
        </is>
      </c>
      <c r="H119" t="inlineStr">
        <is>
          <t>Kyrkan</t>
        </is>
      </c>
      <c r="I119" t="n">
        <v>9.199999999999999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29660-2025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46279</v>
      </c>
      <c r="F120" t="inlineStr">
        <is>
          <t>VÄRMLANDS LÄN</t>
        </is>
      </c>
      <c r="G120" t="inlineStr">
        <is>
          <t>FILIPSTAD</t>
        </is>
      </c>
      <c r="I120" t="n">
        <v>23.3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29944-2025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46279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47344-2023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45202</v>
      </c>
      <c r="E122" s="1" t="n">
        <v>46279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45827</v>
      </c>
      <c r="E123" s="1" t="n">
        <v>46279</v>
      </c>
      <c r="F123" t="inlineStr">
        <is>
          <t>VÄRMLANDS LÄN</t>
        </is>
      </c>
      <c r="G123" t="inlineStr">
        <is>
          <t>FILIPSTAD</t>
        </is>
      </c>
      <c r="H123" t="inlineStr">
        <is>
          <t>Kyrkan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47436-2024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45587</v>
      </c>
      <c r="E124" s="1" t="n">
        <v>46279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31172-2025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45832</v>
      </c>
      <c r="E125" s="1" t="n">
        <v>46279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45592-2024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45579</v>
      </c>
      <c r="E126" s="1" t="n">
        <v>46279</v>
      </c>
      <c r="F126" t="inlineStr">
        <is>
          <t>VÄRMLANDS LÄN</t>
        </is>
      </c>
      <c r="G126" t="inlineStr">
        <is>
          <t>FILIPSTAD</t>
        </is>
      </c>
      <c r="H126" t="inlineStr">
        <is>
          <t>Kyrkan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31883-2025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45834</v>
      </c>
      <c r="E127" s="1" t="n">
        <v>46279</v>
      </c>
      <c r="F127" t="inlineStr">
        <is>
          <t>VÄRMLANDS LÄN</t>
        </is>
      </c>
      <c r="G127" t="inlineStr">
        <is>
          <t>FILIPSTAD</t>
        </is>
      </c>
      <c r="I127" t="n">
        <v>18.7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1170-2023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44935</v>
      </c>
      <c r="E128" s="1" t="n">
        <v>46279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32032-2025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45835</v>
      </c>
      <c r="E129" s="1" t="n">
        <v>46279</v>
      </c>
      <c r="F129" t="inlineStr">
        <is>
          <t>VÄRMLANDS LÄN</t>
        </is>
      </c>
      <c r="G129" t="inlineStr">
        <is>
          <t>FILIPSTAD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45827</v>
      </c>
      <c r="E130" s="1" t="n">
        <v>46279</v>
      </c>
      <c r="F130" t="inlineStr">
        <is>
          <t>VÄRMLANDS LÄN</t>
        </is>
      </c>
      <c r="G130" t="inlineStr">
        <is>
          <t>FILIPSTAD</t>
        </is>
      </c>
      <c r="H130" t="inlineStr">
        <is>
          <t>Kyrkan</t>
        </is>
      </c>
      <c r="I130" t="n">
        <v>6.5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4743-2025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45688</v>
      </c>
      <c r="E131" s="1" t="n">
        <v>46279</v>
      </c>
      <c r="F131" t="inlineStr">
        <is>
          <t>VÄRMLANDS LÄN</t>
        </is>
      </c>
      <c r="G131" t="inlineStr">
        <is>
          <t>FILIPSTAD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33407-2025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45841</v>
      </c>
      <c r="E132" s="1" t="n">
        <v>46279</v>
      </c>
      <c r="F132" t="inlineStr">
        <is>
          <t>VÄRMLANDS LÄN</t>
        </is>
      </c>
      <c r="G132" t="inlineStr">
        <is>
          <t>FILIPSTAD</t>
        </is>
      </c>
      <c r="H132" t="inlineStr">
        <is>
          <t>Bergvik skog väst AB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45364</v>
      </c>
      <c r="E133" s="1" t="n">
        <v>46279</v>
      </c>
      <c r="F133" t="inlineStr">
        <is>
          <t>VÄRMLANDS LÄN</t>
        </is>
      </c>
      <c r="G133" t="inlineStr">
        <is>
          <t>FILIPSTAD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41718-2025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45902</v>
      </c>
      <c r="E134" s="1" t="n">
        <v>46279</v>
      </c>
      <c r="F134" t="inlineStr">
        <is>
          <t>VÄRMLANDS LÄN</t>
        </is>
      </c>
      <c r="G134" t="inlineStr">
        <is>
          <t>FILIPSTAD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46279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33368-2022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44788</v>
      </c>
      <c r="E136" s="1" t="n">
        <v>46279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6.7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43064-2025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46279</v>
      </c>
      <c r="F137" t="inlineStr">
        <is>
          <t>VÄRMLANDS LÄN</t>
        </is>
      </c>
      <c r="G137" t="inlineStr">
        <is>
          <t>FILIPSTAD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10279-2026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46076</v>
      </c>
      <c r="E138" s="1" t="n">
        <v>46279</v>
      </c>
      <c r="F138" t="inlineStr">
        <is>
          <t>VÄRMLANDS LÄN</t>
        </is>
      </c>
      <c r="G138" t="inlineStr">
        <is>
          <t>FILIPSTAD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45911</v>
      </c>
      <c r="E139" s="1" t="n">
        <v>46279</v>
      </c>
      <c r="F139" t="inlineStr">
        <is>
          <t>VÄRMLANDS LÄN</t>
        </is>
      </c>
      <c r="G139" t="inlineStr">
        <is>
          <t>FILIPSTAD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45870</v>
      </c>
      <c r="E140" s="1" t="n">
        <v>46279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54398-2024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45617</v>
      </c>
      <c r="E141" s="1" t="n">
        <v>46279</v>
      </c>
      <c r="F141" t="inlineStr">
        <is>
          <t>VÄRMLANDS LÄN</t>
        </is>
      </c>
      <c r="G141" t="inlineStr">
        <is>
          <t>FILIPSTAD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43045-2024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45567</v>
      </c>
      <c r="E142" s="1" t="n">
        <v>46279</v>
      </c>
      <c r="F142" t="inlineStr">
        <is>
          <t>VÄRMLANDS LÄN</t>
        </is>
      </c>
      <c r="G142" t="inlineStr">
        <is>
          <t>FILIPSTAD</t>
        </is>
      </c>
      <c r="H142" t="inlineStr">
        <is>
          <t>Kyrkan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45924</v>
      </c>
      <c r="E143" s="1" t="n">
        <v>46279</v>
      </c>
      <c r="F143" t="inlineStr">
        <is>
          <t>VÄRMLANDS LÄN</t>
        </is>
      </c>
      <c r="G143" t="inlineStr">
        <is>
          <t>FILIPSTAD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38175-2025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45882</v>
      </c>
      <c r="E144" s="1" t="n">
        <v>46279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46282-2025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45925</v>
      </c>
      <c r="E145" s="1" t="n">
        <v>46279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46906-2025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45929</v>
      </c>
      <c r="E146" s="1" t="n">
        <v>46279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7.2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47566-2025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45931</v>
      </c>
      <c r="E147" s="1" t="n">
        <v>46279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4.5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12160-2023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44998</v>
      </c>
      <c r="E148" s="1" t="n">
        <v>46279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11.2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46279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46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47633-2025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45931</v>
      </c>
      <c r="E150" s="1" t="n">
        <v>46279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48103-2025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45933</v>
      </c>
      <c r="E151" s="1" t="n">
        <v>46279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20663-2024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45436</v>
      </c>
      <c r="E152" s="1" t="n">
        <v>46279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43633-2024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45569</v>
      </c>
      <c r="E153" s="1" t="n">
        <v>46279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12216-2026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46087</v>
      </c>
      <c r="E154" s="1" t="n">
        <v>46279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6.3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12943-2026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46092</v>
      </c>
      <c r="E155" s="1" t="n">
        <v>46279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12955-2026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46092</v>
      </c>
      <c r="E156" s="1" t="n">
        <v>46279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46094</v>
      </c>
      <c r="E157" s="1" t="n">
        <v>46279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4.8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46094</v>
      </c>
      <c r="E158" s="1" t="n">
        <v>46279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5.5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13387-2026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46094</v>
      </c>
      <c r="E159" s="1" t="n">
        <v>46279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13553-2026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46094</v>
      </c>
      <c r="E160" s="1" t="n">
        <v>46279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8.9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13393-2026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46094</v>
      </c>
      <c r="E161" s="1" t="n">
        <v>46279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13863-2026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46098</v>
      </c>
      <c r="E162" s="1" t="n">
        <v>46279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13.7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13955-2026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46098</v>
      </c>
      <c r="E163" s="1" t="n">
        <v>46279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14379-2026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46100</v>
      </c>
      <c r="E164" s="1" t="n">
        <v>46279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5.7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22866-2023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45072</v>
      </c>
      <c r="E165" s="1" t="n">
        <v>46279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51572-2025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46279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29473-2024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45484</v>
      </c>
      <c r="E167" s="1" t="n">
        <v>46279</v>
      </c>
      <c r="F167" t="inlineStr">
        <is>
          <t>VÄRMLANDS LÄN</t>
        </is>
      </c>
      <c r="G167" t="inlineStr">
        <is>
          <t>FILIPSTAD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14315-2026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46279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51790-2025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45951</v>
      </c>
      <c r="E169" s="1" t="n">
        <v>46279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52329-2025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45953</v>
      </c>
      <c r="E170" s="1" t="n">
        <v>46279</v>
      </c>
      <c r="F170" t="inlineStr">
        <is>
          <t>VÄRMLANDS LÄN</t>
        </is>
      </c>
      <c r="G170" t="inlineStr">
        <is>
          <t>FILIPSTAD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52518-2025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46279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2.9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46279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10338-2025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45720</v>
      </c>
      <c r="E173" s="1" t="n">
        <v>46279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53649-2025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45960</v>
      </c>
      <c r="E174" s="1" t="n">
        <v>46279</v>
      </c>
      <c r="F174" t="inlineStr">
        <is>
          <t>VÄRMLANDS LÄN</t>
        </is>
      </c>
      <c r="G174" t="inlineStr">
        <is>
          <t>FILIPSTAD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15848-2026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46279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53325-2025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45959</v>
      </c>
      <c r="E176" s="1" t="n">
        <v>46279</v>
      </c>
      <c r="F176" t="inlineStr">
        <is>
          <t>VÄRMLANDS LÄN</t>
        </is>
      </c>
      <c r="G176" t="inlineStr">
        <is>
          <t>FILIPSTAD</t>
        </is>
      </c>
      <c r="H176" t="inlineStr">
        <is>
          <t>Kyrkan</t>
        </is>
      </c>
      <c r="I176" t="n">
        <v>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53395-2025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45959</v>
      </c>
      <c r="E177" s="1" t="n">
        <v>46279</v>
      </c>
      <c r="F177" t="inlineStr">
        <is>
          <t>VÄRMLANDS LÄN</t>
        </is>
      </c>
      <c r="G177" t="inlineStr">
        <is>
          <t>FILIPSTAD</t>
        </is>
      </c>
      <c r="H177" t="inlineStr">
        <is>
          <t>Kyrkan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15619-2026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46106</v>
      </c>
      <c r="E178" s="1" t="n">
        <v>46279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15920-2026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46107</v>
      </c>
      <c r="E179" s="1" t="n">
        <v>46279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15889-2026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46107</v>
      </c>
      <c r="E180" s="1" t="n">
        <v>46279</v>
      </c>
      <c r="F180" t="inlineStr">
        <is>
          <t>VÄRMLANDS LÄN</t>
        </is>
      </c>
      <c r="G180" t="inlineStr">
        <is>
          <t>FILIPSTAD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15644-2026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46106</v>
      </c>
      <c r="E181" s="1" t="n">
        <v>46279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4.4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15645-2026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46106</v>
      </c>
      <c r="E182" s="1" t="n">
        <v>46279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16009-2026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46108</v>
      </c>
      <c r="E183" s="1" t="n">
        <v>46279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16040-2026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46108</v>
      </c>
      <c r="E184" s="1" t="n">
        <v>46279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16050-2026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46108</v>
      </c>
      <c r="E185" s="1" t="n">
        <v>46279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54497-2025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45965</v>
      </c>
      <c r="E186" s="1" t="n">
        <v>46279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54328-2025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45965</v>
      </c>
      <c r="E187" s="1" t="n">
        <v>46279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4.7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55173-2025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45968</v>
      </c>
      <c r="E188" s="1" t="n">
        <v>46279</v>
      </c>
      <c r="F188" t="inlineStr">
        <is>
          <t>VÄRMLANDS LÄN</t>
        </is>
      </c>
      <c r="G188" t="inlineStr">
        <is>
          <t>FILIPSTAD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55175-2025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45968</v>
      </c>
      <c r="E189" s="1" t="n">
        <v>46279</v>
      </c>
      <c r="F189" t="inlineStr">
        <is>
          <t>VÄRMLANDS LÄN</t>
        </is>
      </c>
      <c r="G189" t="inlineStr">
        <is>
          <t>FILIPSTAD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2440-2022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44579</v>
      </c>
      <c r="E190" s="1" t="n">
        <v>46279</v>
      </c>
      <c r="F190" t="inlineStr">
        <is>
          <t>VÄRMLANDS LÄN</t>
        </is>
      </c>
      <c r="G190" t="inlineStr">
        <is>
          <t>FILIPSTAD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55514-2025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45971</v>
      </c>
      <c r="E191" s="1" t="n">
        <v>46279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13.3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16975-2026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46114</v>
      </c>
      <c r="E192" s="1" t="n">
        <v>46279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8.1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55579-2025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45971</v>
      </c>
      <c r="E193" s="1" t="n">
        <v>46279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8.699999999999999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55668-2025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46279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19705-2025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45771</v>
      </c>
      <c r="E195" s="1" t="n">
        <v>46279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6.9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56086-2025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45973</v>
      </c>
      <c r="E196" s="1" t="n">
        <v>46279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56037-2025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46279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5.7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56201-2025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46279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56158-2025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45974</v>
      </c>
      <c r="E199" s="1" t="n">
        <v>46279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56167-2025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45974</v>
      </c>
      <c r="E200" s="1" t="n">
        <v>46279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56182-2025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45974</v>
      </c>
      <c r="E201" s="1" t="n">
        <v>46279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56184-2025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45974</v>
      </c>
      <c r="E202" s="1" t="n">
        <v>46279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56062-2025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45973</v>
      </c>
      <c r="E203" s="1" t="n">
        <v>46279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9.199999999999999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56028-2025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45973</v>
      </c>
      <c r="E204" s="1" t="n">
        <v>46279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17292-2026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46119</v>
      </c>
      <c r="E205" s="1" t="n">
        <v>46279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56008-2025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45973</v>
      </c>
      <c r="E206" s="1" t="n">
        <v>46279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8.199999999999999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56083-2025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46279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54828-2023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46279</v>
      </c>
      <c r="F208" t="inlineStr">
        <is>
          <t>VÄRMLANDS LÄN</t>
        </is>
      </c>
      <c r="G208" t="inlineStr">
        <is>
          <t>FILIPSTAD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56032-2025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46279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5.8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56045-2025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45973</v>
      </c>
      <c r="E210" s="1" t="n">
        <v>46279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17278-2026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46119</v>
      </c>
      <c r="E211" s="1" t="n">
        <v>46279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17326-2026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46119</v>
      </c>
      <c r="E212" s="1" t="n">
        <v>46279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17531-2026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46120</v>
      </c>
      <c r="E213" s="1" t="n">
        <v>46279</v>
      </c>
      <c r="F213" t="inlineStr">
        <is>
          <t>VÄRMLANDS LÄN</t>
        </is>
      </c>
      <c r="G213" t="inlineStr">
        <is>
          <t>FILIPSTAD</t>
        </is>
      </c>
      <c r="I213" t="n">
        <v>9.699999999999999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6728-2025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45700</v>
      </c>
      <c r="E214" s="1" t="n">
        <v>46279</v>
      </c>
      <c r="F214" t="inlineStr">
        <is>
          <t>VÄRMLANDS LÄN</t>
        </is>
      </c>
      <c r="G214" t="inlineStr">
        <is>
          <t>FILIPSTAD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56925-2025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45978</v>
      </c>
      <c r="E215" s="1" t="n">
        <v>46279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18.8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16100-2025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45750</v>
      </c>
      <c r="E216" s="1" t="n">
        <v>46279</v>
      </c>
      <c r="F216" t="inlineStr">
        <is>
          <t>VÄRMLANDS LÄN</t>
        </is>
      </c>
      <c r="G216" t="inlineStr">
        <is>
          <t>FILIPSTAD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17845-2026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46122</v>
      </c>
      <c r="E217" s="1" t="n">
        <v>46279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17931-2026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46122</v>
      </c>
      <c r="E218" s="1" t="n">
        <v>46279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18022-2026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46279</v>
      </c>
      <c r="F219" t="inlineStr">
        <is>
          <t>VÄRMLANDS LÄN</t>
        </is>
      </c>
      <c r="G219" t="inlineStr">
        <is>
          <t>FILIPSTAD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14459-2023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45012</v>
      </c>
      <c r="E220" s="1" t="n">
        <v>46279</v>
      </c>
      <c r="F220" t="inlineStr">
        <is>
          <t>VÄRMLANDS LÄN</t>
        </is>
      </c>
      <c r="G220" t="inlineStr">
        <is>
          <t>FILIPSTAD</t>
        </is>
      </c>
      <c r="I220" t="n">
        <v>2.3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45982</v>
      </c>
      <c r="E221" s="1" t="n">
        <v>46279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28.4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57872-2025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45981</v>
      </c>
      <c r="E222" s="1" t="n">
        <v>46279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17900-2026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46122</v>
      </c>
      <c r="E223" s="1" t="n">
        <v>46279</v>
      </c>
      <c r="F223" t="inlineStr">
        <is>
          <t>VÄRMLANDS LÄN</t>
        </is>
      </c>
      <c r="G223" t="inlineStr">
        <is>
          <t>FILIPSTAD</t>
        </is>
      </c>
      <c r="H223" t="inlineStr">
        <is>
          <t>Kommuner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17914-2026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46122</v>
      </c>
      <c r="E224" s="1" t="n">
        <v>46279</v>
      </c>
      <c r="F224" t="inlineStr">
        <is>
          <t>VÄRMLANDS LÄN</t>
        </is>
      </c>
      <c r="G224" t="inlineStr">
        <is>
          <t>FILIPSTAD</t>
        </is>
      </c>
      <c r="H224" t="inlineStr">
        <is>
          <t>Kommuner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58211-2025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45985</v>
      </c>
      <c r="E225" s="1" t="n">
        <v>46279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18507-2026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46127</v>
      </c>
      <c r="E226" s="1" t="n">
        <v>46279</v>
      </c>
      <c r="F226" t="inlineStr">
        <is>
          <t>VÄRMLANDS LÄN</t>
        </is>
      </c>
      <c r="G226" t="inlineStr">
        <is>
          <t>FILIPSTAD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18533-2026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46127</v>
      </c>
      <c r="E227" s="1" t="n">
        <v>46279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58389-2025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46279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44951</v>
      </c>
      <c r="E229" s="1" t="n">
        <v>46279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6.6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18443-2026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46127</v>
      </c>
      <c r="E230" s="1" t="n">
        <v>46279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59290-2025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46279</v>
      </c>
      <c r="F231" t="inlineStr">
        <is>
          <t>VÄRMLANDS LÄN</t>
        </is>
      </c>
      <c r="G231" t="inlineStr">
        <is>
          <t>FILIPSTAD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47455-2023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45202</v>
      </c>
      <c r="E232" s="1" t="n">
        <v>46279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5.1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18530-2026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46127</v>
      </c>
      <c r="E233" s="1" t="n">
        <v>46279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18445-2026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46127</v>
      </c>
      <c r="E234" s="1" t="n">
        <v>46279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18542-2026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46127</v>
      </c>
      <c r="E235" s="1" t="n">
        <v>46279</v>
      </c>
      <c r="F235" t="inlineStr">
        <is>
          <t>VÄRMLANDS LÄN</t>
        </is>
      </c>
      <c r="G235" t="inlineStr">
        <is>
          <t>FILIPSTAD</t>
        </is>
      </c>
      <c r="H235" t="inlineStr">
        <is>
          <t>Kommuner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18376-2026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46126</v>
      </c>
      <c r="E236" s="1" t="n">
        <v>46279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36377-2023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45152</v>
      </c>
      <c r="E237" s="1" t="n">
        <v>46279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18969-2026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46129</v>
      </c>
      <c r="E238" s="1" t="n">
        <v>46279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18892-2026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46279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24.9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45989</v>
      </c>
      <c r="E240" s="1" t="n">
        <v>46279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59712-2025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45992</v>
      </c>
      <c r="E241" s="1" t="n">
        <v>46279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45992</v>
      </c>
      <c r="E242" s="1" t="n">
        <v>46279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59709-2025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45992</v>
      </c>
      <c r="E243" s="1" t="n">
        <v>46279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18826-2026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46128</v>
      </c>
      <c r="E244" s="1" t="n">
        <v>46279</v>
      </c>
      <c r="F244" t="inlineStr">
        <is>
          <t>VÄRMLANDS LÄN</t>
        </is>
      </c>
      <c r="G244" t="inlineStr">
        <is>
          <t>FILIPSTAD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59423-2025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45989</v>
      </c>
      <c r="E245" s="1" t="n">
        <v>46279</v>
      </c>
      <c r="F245" t="inlineStr">
        <is>
          <t>VÄRMLANDS LÄN</t>
        </is>
      </c>
      <c r="G245" t="inlineStr">
        <is>
          <t>FILIPSTAD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59410-2025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45989</v>
      </c>
      <c r="E246" s="1" t="n">
        <v>46279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46279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8.9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14840-2023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45014</v>
      </c>
      <c r="E248" s="1" t="n">
        <v>46279</v>
      </c>
      <c r="F248" t="inlineStr">
        <is>
          <t>VÄRMLANDS LÄN</t>
        </is>
      </c>
      <c r="G248" t="inlineStr">
        <is>
          <t>FILIPSTAD</t>
        </is>
      </c>
      <c r="H248" t="inlineStr">
        <is>
          <t>Kyrkan</t>
        </is>
      </c>
      <c r="I248" t="n">
        <v>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18999-2024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45427</v>
      </c>
      <c r="E249" s="1" t="n">
        <v>46279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59929-2025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45993</v>
      </c>
      <c r="E250" s="1" t="n">
        <v>46279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19435-2026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46133</v>
      </c>
      <c r="E251" s="1" t="n">
        <v>46279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6.5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19676-2026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46134</v>
      </c>
      <c r="E252" s="1" t="n">
        <v>46279</v>
      </c>
      <c r="F252" t="inlineStr">
        <is>
          <t>VÄRMLANDS LÄN</t>
        </is>
      </c>
      <c r="G252" t="inlineStr">
        <is>
          <t>FILIPSTAD</t>
        </is>
      </c>
      <c r="I252" t="n">
        <v>4.6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19361-2026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46133</v>
      </c>
      <c r="E253" s="1" t="n">
        <v>46279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60653-2025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45996</v>
      </c>
      <c r="E254" s="1" t="n">
        <v>46279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7.5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25375-2023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45088</v>
      </c>
      <c r="E255" s="1" t="n">
        <v>46279</v>
      </c>
      <c r="F255" t="inlineStr">
        <is>
          <t>VÄRMLANDS LÄN</t>
        </is>
      </c>
      <c r="G255" t="inlineStr">
        <is>
          <t>FILIPSTAD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45995</v>
      </c>
      <c r="E256" s="1" t="n">
        <v>46279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60433-2025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45995</v>
      </c>
      <c r="E257" s="1" t="n">
        <v>46279</v>
      </c>
      <c r="F257" t="inlineStr">
        <is>
          <t>VÄRMLANDS LÄN</t>
        </is>
      </c>
      <c r="G257" t="inlineStr">
        <is>
          <t>FILIPSTAD</t>
        </is>
      </c>
      <c r="H257" t="inlineStr">
        <is>
          <t>Bergvik skog väst AB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19595-2026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46134</v>
      </c>
      <c r="E258" s="1" t="n">
        <v>46279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4.6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60396-2025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45995</v>
      </c>
      <c r="E259" s="1" t="n">
        <v>46279</v>
      </c>
      <c r="F259" t="inlineStr">
        <is>
          <t>VÄRMLANDS LÄN</t>
        </is>
      </c>
      <c r="G259" t="inlineStr">
        <is>
          <t>FILIPSTAD</t>
        </is>
      </c>
      <c r="H259" t="inlineStr">
        <is>
          <t>Bergvik skog väst AB</t>
        </is>
      </c>
      <c r="I259" t="n">
        <v>6.2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39566-2023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45167</v>
      </c>
      <c r="E260" s="1" t="n">
        <v>46279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19351-2025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45769</v>
      </c>
      <c r="E261" s="1" t="n">
        <v>46279</v>
      </c>
      <c r="F261" t="inlineStr">
        <is>
          <t>VÄRMLANDS LÄN</t>
        </is>
      </c>
      <c r="G261" t="inlineStr">
        <is>
          <t>FILIPSTAD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61069-2025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46000</v>
      </c>
      <c r="E262" s="1" t="n">
        <v>46279</v>
      </c>
      <c r="F262" t="inlineStr">
        <is>
          <t>VÄRMLANDS LÄN</t>
        </is>
      </c>
      <c r="G262" t="inlineStr">
        <is>
          <t>FILIPSTAD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19669-2026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46134</v>
      </c>
      <c r="E263" s="1" t="n">
        <v>46279</v>
      </c>
      <c r="F263" t="inlineStr">
        <is>
          <t>VÄRMLANDS LÄN</t>
        </is>
      </c>
      <c r="G263" t="inlineStr">
        <is>
          <t>FILIPSTAD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61047-2025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46279</v>
      </c>
      <c r="F264" t="inlineStr">
        <is>
          <t>VÄRMLANDS LÄN</t>
        </is>
      </c>
      <c r="G264" t="inlineStr">
        <is>
          <t>FILIPSTAD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61327-2025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46001</v>
      </c>
      <c r="E265" s="1" t="n">
        <v>46279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61362-2025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46001</v>
      </c>
      <c r="E266" s="1" t="n">
        <v>46279</v>
      </c>
      <c r="F266" t="inlineStr">
        <is>
          <t>VÄRMLANDS LÄN</t>
        </is>
      </c>
      <c r="G266" t="inlineStr">
        <is>
          <t>FILIPSTAD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61482-2025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46001</v>
      </c>
      <c r="E267" s="1" t="n">
        <v>46279</v>
      </c>
      <c r="F267" t="inlineStr">
        <is>
          <t>VÄRMLANDS LÄN</t>
        </is>
      </c>
      <c r="G267" t="inlineStr">
        <is>
          <t>FILIPSTAD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61717-2025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46002</v>
      </c>
      <c r="E268" s="1" t="n">
        <v>46279</v>
      </c>
      <c r="F268" t="inlineStr">
        <is>
          <t>VÄRMLANDS LÄN</t>
        </is>
      </c>
      <c r="G268" t="inlineStr">
        <is>
          <t>FILIPSTAD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61417-2025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46001</v>
      </c>
      <c r="E269" s="1" t="n">
        <v>46279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61719-2025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46002</v>
      </c>
      <c r="E270" s="1" t="n">
        <v>46279</v>
      </c>
      <c r="F270" t="inlineStr">
        <is>
          <t>VÄRMLANDS LÄN</t>
        </is>
      </c>
      <c r="G270" t="inlineStr">
        <is>
          <t>FILIPSTAD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61566-2025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46279</v>
      </c>
      <c r="F271" t="inlineStr">
        <is>
          <t>VÄRMLANDS LÄN</t>
        </is>
      </c>
      <c r="G271" t="inlineStr">
        <is>
          <t>FILIPSTAD</t>
        </is>
      </c>
      <c r="I271" t="n">
        <v>7.7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61793-2025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46002</v>
      </c>
      <c r="E272" s="1" t="n">
        <v>46279</v>
      </c>
      <c r="F272" t="inlineStr">
        <is>
          <t>VÄRMLANDS LÄN</t>
        </is>
      </c>
      <c r="G272" t="inlineStr">
        <is>
          <t>FILIPSTAD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25376-2023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45088</v>
      </c>
      <c r="E273" s="1" t="n">
        <v>46279</v>
      </c>
      <c r="F273" t="inlineStr">
        <is>
          <t>VÄRMLANDS LÄN</t>
        </is>
      </c>
      <c r="G273" t="inlineStr">
        <is>
          <t>FILIPSTAD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61492-2025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46001</v>
      </c>
      <c r="E274" s="1" t="n">
        <v>46279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61391-2025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46001</v>
      </c>
      <c r="E275" s="1" t="n">
        <v>46279</v>
      </c>
      <c r="F275" t="inlineStr">
        <is>
          <t>VÄRMLANDS LÄN</t>
        </is>
      </c>
      <c r="G275" t="inlineStr">
        <is>
          <t>FILIPSTAD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62034-2025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46004</v>
      </c>
      <c r="E276" s="1" t="n">
        <v>46279</v>
      </c>
      <c r="F276" t="inlineStr">
        <is>
          <t>VÄRMLANDS LÄN</t>
        </is>
      </c>
      <c r="G276" t="inlineStr">
        <is>
          <t>FILIPSTAD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46003</v>
      </c>
      <c r="E277" s="1" t="n">
        <v>46279</v>
      </c>
      <c r="F277" t="inlineStr">
        <is>
          <t>VÄRMLANDS LÄN</t>
        </is>
      </c>
      <c r="G277" t="inlineStr">
        <is>
          <t>FILIPSTAD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46004</v>
      </c>
      <c r="E278" s="1" t="n">
        <v>46279</v>
      </c>
      <c r="F278" t="inlineStr">
        <is>
          <t>VÄRMLANDS LÄN</t>
        </is>
      </c>
      <c r="G278" t="inlineStr">
        <is>
          <t>FILIPSTAD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20040-2026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46136</v>
      </c>
      <c r="E279" s="1" t="n">
        <v>46279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38075-2025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46279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21593-2023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45063</v>
      </c>
      <c r="E281" s="1" t="n">
        <v>46279</v>
      </c>
      <c r="F281" t="inlineStr">
        <is>
          <t>VÄRMLANDS LÄN</t>
        </is>
      </c>
      <c r="G281" t="inlineStr">
        <is>
          <t>FILIPSTAD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61823-2025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46003</v>
      </c>
      <c r="E282" s="1" t="n">
        <v>46279</v>
      </c>
      <c r="F282" t="inlineStr">
        <is>
          <t>VÄRMLANDS LÄN</t>
        </is>
      </c>
      <c r="G282" t="inlineStr">
        <is>
          <t>FILIPSTAD</t>
        </is>
      </c>
      <c r="H282" t="inlineStr">
        <is>
          <t>Bergvik skog väst AB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46279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62243-2025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46006</v>
      </c>
      <c r="E284" s="1" t="n">
        <v>46279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54127-2023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45232</v>
      </c>
      <c r="E285" s="1" t="n">
        <v>46279</v>
      </c>
      <c r="F285" t="inlineStr">
        <is>
          <t>VÄRMLANDS LÄN</t>
        </is>
      </c>
      <c r="G285" t="inlineStr">
        <is>
          <t>FILIPSTAD</t>
        </is>
      </c>
      <c r="I285" t="n">
        <v>15.5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46136</v>
      </c>
      <c r="E286" s="1" t="n">
        <v>46279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63186-2025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46010</v>
      </c>
      <c r="E287" s="1" t="n">
        <v>46279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20050-2026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46279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19882-2026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46135</v>
      </c>
      <c r="E289" s="1" t="n">
        <v>46279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8.800000000000001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18210-2024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45420</v>
      </c>
      <c r="E290" s="1" t="n">
        <v>46279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63678-2025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46014</v>
      </c>
      <c r="E291" s="1" t="n">
        <v>46279</v>
      </c>
      <c r="F291" t="inlineStr">
        <is>
          <t>VÄRMLANDS LÄN</t>
        </is>
      </c>
      <c r="G291" t="inlineStr">
        <is>
          <t>FILIPSTAD</t>
        </is>
      </c>
      <c r="I291" t="n">
        <v>9.9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40646-2025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46279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17763-2025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45758</v>
      </c>
      <c r="E293" s="1" t="n">
        <v>46279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13.1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41521-2025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45901</v>
      </c>
      <c r="E294" s="1" t="n">
        <v>46279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57456-2022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44896</v>
      </c>
      <c r="E295" s="1" t="n">
        <v>46279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22843-2025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46279</v>
      </c>
      <c r="F296" t="inlineStr">
        <is>
          <t>VÄRMLANDS LÄN</t>
        </is>
      </c>
      <c r="G296" t="inlineStr">
        <is>
          <t>FILIPSTAD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57212-2023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45245</v>
      </c>
      <c r="E297" s="1" t="n">
        <v>46279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20487-2026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46279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45106</v>
      </c>
      <c r="E299" s="1" t="n">
        <v>46279</v>
      </c>
      <c r="F299" t="inlineStr">
        <is>
          <t>VÄRMLANDS LÄN</t>
        </is>
      </c>
      <c r="G299" t="inlineStr">
        <is>
          <t>FILIPSTAD</t>
        </is>
      </c>
      <c r="H299" t="inlineStr">
        <is>
          <t>Kyrkan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28687-2025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45819</v>
      </c>
      <c r="E300" s="1" t="n">
        <v>46279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22558-2025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45789</v>
      </c>
      <c r="E301" s="1" t="n">
        <v>46279</v>
      </c>
      <c r="F301" t="inlineStr">
        <is>
          <t>VÄRMLANDS LÄN</t>
        </is>
      </c>
      <c r="G301" t="inlineStr">
        <is>
          <t>FILIPSTAD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58611-2025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45986</v>
      </c>
      <c r="E302" s="1" t="n">
        <v>46279</v>
      </c>
      <c r="F302" t="inlineStr">
        <is>
          <t>VÄRMLANDS LÄN</t>
        </is>
      </c>
      <c r="G302" t="inlineStr">
        <is>
          <t>FILIPSTAD</t>
        </is>
      </c>
      <c r="I302" t="n">
        <v>3.7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62787-2023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45271</v>
      </c>
      <c r="E303" s="1" t="n">
        <v>46279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14432-2025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45741</v>
      </c>
      <c r="E304" s="1" t="n">
        <v>46279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10.4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45133</v>
      </c>
      <c r="E305" s="1" t="n">
        <v>46279</v>
      </c>
      <c r="F305" t="inlineStr">
        <is>
          <t>VÄRMLANDS LÄN</t>
        </is>
      </c>
      <c r="G305" t="inlineStr">
        <is>
          <t>FILIPSTAD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54080-2025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45964</v>
      </c>
      <c r="E306" s="1" t="n">
        <v>46279</v>
      </c>
      <c r="F306" t="inlineStr">
        <is>
          <t>VÄRMLANDS LÄN</t>
        </is>
      </c>
      <c r="G306" t="inlineStr">
        <is>
          <t>FILIPSTAD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33379-2025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45841</v>
      </c>
      <c r="E307" s="1" t="n">
        <v>46279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46040</v>
      </c>
      <c r="E308" s="1" t="n">
        <v>46279</v>
      </c>
      <c r="F308" t="inlineStr">
        <is>
          <t>VÄRMLANDS LÄN</t>
        </is>
      </c>
      <c r="G308" t="inlineStr">
        <is>
          <t>FILIPSTAD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6573-2023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44960</v>
      </c>
      <c r="E309" s="1" t="n">
        <v>46279</v>
      </c>
      <c r="F309" t="inlineStr">
        <is>
          <t>VÄRMLANDS LÄN</t>
        </is>
      </c>
      <c r="G309" t="inlineStr">
        <is>
          <t>FILIPSTAD</t>
        </is>
      </c>
      <c r="H309" t="inlineStr">
        <is>
          <t>Kommuner</t>
        </is>
      </c>
      <c r="I309" t="n">
        <v>4.6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4819-2023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44957</v>
      </c>
      <c r="E310" s="1" t="n">
        <v>46279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14275-2024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45393</v>
      </c>
      <c r="E311" s="1" t="n">
        <v>46279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37733-2025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45880</v>
      </c>
      <c r="E312" s="1" t="n">
        <v>46279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7.6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9270-2023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44980</v>
      </c>
      <c r="E313" s="1" t="n">
        <v>46279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37945-2024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45544</v>
      </c>
      <c r="E314" s="1" t="n">
        <v>46279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33449-2025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45841</v>
      </c>
      <c r="E315" s="1" t="n">
        <v>46279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6593-2026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46056</v>
      </c>
      <c r="E316" s="1" t="n">
        <v>46279</v>
      </c>
      <c r="F316" t="inlineStr">
        <is>
          <t>VÄRMLANDS LÄN</t>
        </is>
      </c>
      <c r="G316" t="inlineStr">
        <is>
          <t>FILIPSTAD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6600-2026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46056</v>
      </c>
      <c r="E317" s="1" t="n">
        <v>46279</v>
      </c>
      <c r="F317" t="inlineStr">
        <is>
          <t>VÄRMLANDS LÄN</t>
        </is>
      </c>
      <c r="G317" t="inlineStr">
        <is>
          <t>FILIPSTAD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31358-2023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45114</v>
      </c>
      <c r="E318" s="1" t="n">
        <v>46279</v>
      </c>
      <c r="F318" t="inlineStr">
        <is>
          <t>VÄRMLANDS LÄN</t>
        </is>
      </c>
      <c r="G318" t="inlineStr">
        <is>
          <t>FILIPSTAD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20489-2026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46140</v>
      </c>
      <c r="E319" s="1" t="n">
        <v>46279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43059-2024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45567</v>
      </c>
      <c r="E320" s="1" t="n">
        <v>46279</v>
      </c>
      <c r="F320" t="inlineStr">
        <is>
          <t>VÄRMLANDS LÄN</t>
        </is>
      </c>
      <c r="G320" t="inlineStr">
        <is>
          <t>FILIPSTAD</t>
        </is>
      </c>
      <c r="H320" t="inlineStr">
        <is>
          <t>Kyrkan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54145-2024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46279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7430-2026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46059</v>
      </c>
      <c r="E322" s="1" t="n">
        <v>46279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39896-2025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45891</v>
      </c>
      <c r="E323" s="1" t="n">
        <v>46279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3.3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17795-2024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45418</v>
      </c>
      <c r="E324" s="1" t="n">
        <v>46279</v>
      </c>
      <c r="F324" t="inlineStr">
        <is>
          <t>VÄRMLANDS LÄN</t>
        </is>
      </c>
      <c r="G324" t="inlineStr">
        <is>
          <t>FILIPSTAD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47890-2024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45588</v>
      </c>
      <c r="E325" s="1" t="n">
        <v>46279</v>
      </c>
      <c r="F325" t="inlineStr">
        <is>
          <t>VÄRMLANDS LÄN</t>
        </is>
      </c>
      <c r="G325" t="inlineStr">
        <is>
          <t>FILIPSTAD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8139-2026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46064</v>
      </c>
      <c r="E326" s="1" t="n">
        <v>46279</v>
      </c>
      <c r="F326" t="inlineStr">
        <is>
          <t>VÄRMLANDS LÄN</t>
        </is>
      </c>
      <c r="G326" t="inlineStr">
        <is>
          <t>FILIPSTAD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44637</v>
      </c>
      <c r="E327" s="1" t="n">
        <v>46279</v>
      </c>
      <c r="F327" t="inlineStr">
        <is>
          <t>VÄRMLANDS LÄN</t>
        </is>
      </c>
      <c r="G327" t="inlineStr">
        <is>
          <t>FILIPSTAD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32059-2025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45835</v>
      </c>
      <c r="E328" s="1" t="n">
        <v>46279</v>
      </c>
      <c r="F328" t="inlineStr">
        <is>
          <t>VÄRMLANDS LÄN</t>
        </is>
      </c>
      <c r="G328" t="inlineStr">
        <is>
          <t>FILIPSTAD</t>
        </is>
      </c>
      <c r="I328" t="n">
        <v>5.5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20966-2024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45439</v>
      </c>
      <c r="E329" s="1" t="n">
        <v>46279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20661-2026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46279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20801-2026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46279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20554-2025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45775</v>
      </c>
      <c r="E332" s="1" t="n">
        <v>46279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1750-2025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45671</v>
      </c>
      <c r="E333" s="1" t="n">
        <v>46279</v>
      </c>
      <c r="F333" t="inlineStr">
        <is>
          <t>VÄRMLANDS LÄN</t>
        </is>
      </c>
      <c r="G333" t="inlineStr">
        <is>
          <t>FILIPSTAD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49602-2025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45939</v>
      </c>
      <c r="E334" s="1" t="n">
        <v>46279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20919-2026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46279</v>
      </c>
      <c r="F335" t="inlineStr">
        <is>
          <t>VÄRMLANDS LÄN</t>
        </is>
      </c>
      <c r="G335" t="inlineStr">
        <is>
          <t>FILIPSTAD</t>
        </is>
      </c>
      <c r="I335" t="n">
        <v>2.5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36272-2025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45867</v>
      </c>
      <c r="E336" s="1" t="n">
        <v>46279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5.7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31676-2025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45834</v>
      </c>
      <c r="E337" s="1" t="n">
        <v>46279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20874-2026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46142</v>
      </c>
      <c r="E338" s="1" t="n">
        <v>46279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63411-2023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45274</v>
      </c>
      <c r="E339" s="1" t="n">
        <v>46279</v>
      </c>
      <c r="F339" t="inlineStr">
        <is>
          <t>VÄRMLANDS LÄN</t>
        </is>
      </c>
      <c r="G339" t="inlineStr">
        <is>
          <t>FILIPSTAD</t>
        </is>
      </c>
      <c r="I339" t="n">
        <v>2.4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24139-2024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45456</v>
      </c>
      <c r="E340" s="1" t="n">
        <v>46279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16067-2026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46279</v>
      </c>
      <c r="F341" t="inlineStr">
        <is>
          <t>VÄRMLANDS LÄN</t>
        </is>
      </c>
      <c r="G341" t="inlineStr">
        <is>
          <t>FILIPSTAD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29474-2024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45484</v>
      </c>
      <c r="E342" s="1" t="n">
        <v>46279</v>
      </c>
      <c r="F342" t="inlineStr">
        <is>
          <t>VÄRMLANDS LÄN</t>
        </is>
      </c>
      <c r="G342" t="inlineStr">
        <is>
          <t>FILIPSTAD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63482-2021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44508</v>
      </c>
      <c r="E343" s="1" t="n">
        <v>46279</v>
      </c>
      <c r="F343" t="inlineStr">
        <is>
          <t>VÄRMLANDS LÄN</t>
        </is>
      </c>
      <c r="G343" t="inlineStr">
        <is>
          <t>FILIPSTAD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869-2025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45665</v>
      </c>
      <c r="E344" s="1" t="n">
        <v>46279</v>
      </c>
      <c r="F344" t="inlineStr">
        <is>
          <t>VÄRMLANDS LÄN</t>
        </is>
      </c>
      <c r="G344" t="inlineStr">
        <is>
          <t>FILIPSTAD</t>
        </is>
      </c>
      <c r="I344" t="n">
        <v>11.7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21542-2026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46279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70405-2021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44536</v>
      </c>
      <c r="E346" s="1" t="n">
        <v>46279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5754-2022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44596</v>
      </c>
      <c r="E347" s="1" t="n">
        <v>46279</v>
      </c>
      <c r="F347" t="inlineStr">
        <is>
          <t>VÄRMLANDS LÄN</t>
        </is>
      </c>
      <c r="G347" t="inlineStr">
        <is>
          <t>FILIPSTAD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22045-2026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46153</v>
      </c>
      <c r="E348" s="1" t="n">
        <v>46279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22112-2026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46153</v>
      </c>
      <c r="E349" s="1" t="n">
        <v>46279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22136-2026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46153</v>
      </c>
      <c r="E350" s="1" t="n">
        <v>46279</v>
      </c>
      <c r="F350" t="inlineStr">
        <is>
          <t>VÄRMLANDS LÄN</t>
        </is>
      </c>
      <c r="G350" t="inlineStr">
        <is>
          <t>FILIPSTAD</t>
        </is>
      </c>
      <c r="I350" t="n">
        <v>10.8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54735-2024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45618</v>
      </c>
      <c r="E351" s="1" t="n">
        <v>46279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22144-2026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46153</v>
      </c>
      <c r="E352" s="1" t="n">
        <v>46279</v>
      </c>
      <c r="F352" t="inlineStr">
        <is>
          <t>VÄRMLANDS LÄN</t>
        </is>
      </c>
      <c r="G352" t="inlineStr">
        <is>
          <t>FILIPSTAD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40244-2023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45169</v>
      </c>
      <c r="E353" s="1" t="n">
        <v>46279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22201-2026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46279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22176-2026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46153</v>
      </c>
      <c r="E355" s="1" t="n">
        <v>46279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22229-2026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46153</v>
      </c>
      <c r="E356" s="1" t="n">
        <v>46279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22032-2026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46279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22138-2026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46279</v>
      </c>
      <c r="F358" t="inlineStr">
        <is>
          <t>VÄRMLANDS LÄN</t>
        </is>
      </c>
      <c r="G358" t="inlineStr">
        <is>
          <t>FILIPSTAD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46279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5.6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22115-2026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46279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22051-2026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46153</v>
      </c>
      <c r="E361" s="1" t="n">
        <v>46279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22220-2026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46279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22152-2026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46279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45658</v>
      </c>
      <c r="E364" s="1" t="n">
        <v>46279</v>
      </c>
      <c r="F364" t="inlineStr">
        <is>
          <t>VÄRMLANDS LÄN</t>
        </is>
      </c>
      <c r="G364" t="inlineStr">
        <is>
          <t>FILIPSTAD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22533-2026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46155</v>
      </c>
      <c r="E365" s="1" t="n">
        <v>46279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21608-2023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45063</v>
      </c>
      <c r="E366" s="1" t="n">
        <v>46279</v>
      </c>
      <c r="F366" t="inlineStr">
        <is>
          <t>VÄRMLANDS LÄN</t>
        </is>
      </c>
      <c r="G366" t="inlineStr">
        <is>
          <t>FILIPSTAD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59436-2024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45638</v>
      </c>
      <c r="E367" s="1" t="n">
        <v>46279</v>
      </c>
      <c r="F367" t="inlineStr">
        <is>
          <t>VÄRMLANDS LÄN</t>
        </is>
      </c>
      <c r="G367" t="inlineStr">
        <is>
          <t>FILIPSTAD</t>
        </is>
      </c>
      <c r="H367" t="inlineStr">
        <is>
          <t>Kyrkan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54836-2023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45229</v>
      </c>
      <c r="E368" s="1" t="n">
        <v>46279</v>
      </c>
      <c r="F368" t="inlineStr">
        <is>
          <t>VÄRMLANDS LÄN</t>
        </is>
      </c>
      <c r="G368" t="inlineStr">
        <is>
          <t>FILIPSTAD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23620-2023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45077</v>
      </c>
      <c r="E369" s="1" t="n">
        <v>46279</v>
      </c>
      <c r="F369" t="inlineStr">
        <is>
          <t>VÄRMLANDS LÄN</t>
        </is>
      </c>
      <c r="G369" t="inlineStr">
        <is>
          <t>FILIPSTAD</t>
        </is>
      </c>
      <c r="I369" t="n">
        <v>7.5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23602-2026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46163</v>
      </c>
      <c r="E370" s="1" t="n">
        <v>46279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8.699999999999999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23576-2026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46163</v>
      </c>
      <c r="E371" s="1" t="n">
        <v>46279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17.9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23529-2026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46163</v>
      </c>
      <c r="E372" s="1" t="n">
        <v>46279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20.3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23440-2026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46163</v>
      </c>
      <c r="E373" s="1" t="n">
        <v>46279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23555-2026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46163</v>
      </c>
      <c r="E374" s="1" t="n">
        <v>46279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23500-2026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46163</v>
      </c>
      <c r="E375" s="1" t="n">
        <v>46279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5.4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23514-2026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46279</v>
      </c>
      <c r="F376" t="inlineStr">
        <is>
          <t>VÄRMLANDS LÄN</t>
        </is>
      </c>
      <c r="G376" t="inlineStr">
        <is>
          <t>FILIPSTAD</t>
        </is>
      </c>
      <c r="H376" t="inlineStr">
        <is>
          <t>Bergvik skog väst AB</t>
        </is>
      </c>
      <c r="I376" t="n">
        <v>1.9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29825-2023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45107</v>
      </c>
      <c r="E377" s="1" t="n">
        <v>46279</v>
      </c>
      <c r="F377" t="inlineStr">
        <is>
          <t>VÄRMLANDS LÄN</t>
        </is>
      </c>
      <c r="G377" t="inlineStr">
        <is>
          <t>FILIPSTAD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23943-2026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46167</v>
      </c>
      <c r="E378" s="1" t="n">
        <v>46279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49935-2025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45940</v>
      </c>
      <c r="E379" s="1" t="n">
        <v>46279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24027-2026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46167</v>
      </c>
      <c r="E380" s="1" t="n">
        <v>46279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23934-2026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46167</v>
      </c>
      <c r="E381" s="1" t="n">
        <v>46279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23959-2026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46167</v>
      </c>
      <c r="E382" s="1" t="n">
        <v>46279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23952-2026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46167</v>
      </c>
      <c r="E383" s="1" t="n">
        <v>46279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23922-2026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46167</v>
      </c>
      <c r="E384" s="1" t="n">
        <v>46279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23931-2026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46167</v>
      </c>
      <c r="E385" s="1" t="n">
        <v>46279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9.1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24005-2026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46167</v>
      </c>
      <c r="E386" s="1" t="n">
        <v>46279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3.7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46167</v>
      </c>
      <c r="E387" s="1" t="n">
        <v>46279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23886-2026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46167</v>
      </c>
      <c r="E388" s="1" t="n">
        <v>46279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4.5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24022-2026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46167</v>
      </c>
      <c r="E389" s="1" t="n">
        <v>46279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4462-2025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45686</v>
      </c>
      <c r="E390" s="1" t="n">
        <v>46279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27789-2022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44743</v>
      </c>
      <c r="E391" s="1" t="n">
        <v>46279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24008-2026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46279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23970-2026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46167</v>
      </c>
      <c r="E393" s="1" t="n">
        <v>46279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43484-2023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45184</v>
      </c>
      <c r="E394" s="1" t="n">
        <v>46279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24288-2026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46169</v>
      </c>
      <c r="E395" s="1" t="n">
        <v>46279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6674-2025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45700</v>
      </c>
      <c r="E396" s="1" t="n">
        <v>46279</v>
      </c>
      <c r="F396" t="inlineStr">
        <is>
          <t>VÄRMLANDS LÄN</t>
        </is>
      </c>
      <c r="G396" t="inlineStr">
        <is>
          <t>FILIPSTAD</t>
        </is>
      </c>
      <c r="I396" t="n">
        <v>5.7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28161-2023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45093</v>
      </c>
      <c r="E397" s="1" t="n">
        <v>46279</v>
      </c>
      <c r="F397" t="inlineStr">
        <is>
          <t>VÄRMLANDS LÄN</t>
        </is>
      </c>
      <c r="G397" t="inlineStr">
        <is>
          <t>FILIPSTAD</t>
        </is>
      </c>
      <c r="H397" t="inlineStr">
        <is>
          <t>Kommuner</t>
        </is>
      </c>
      <c r="I397" t="n">
        <v>15.4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24260-2026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46169</v>
      </c>
      <c r="E398" s="1" t="n">
        <v>46279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11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24291-2026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46169</v>
      </c>
      <c r="E399" s="1" t="n">
        <v>46279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24514-2026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46170</v>
      </c>
      <c r="E400" s="1" t="n">
        <v>46279</v>
      </c>
      <c r="F400" t="inlineStr">
        <is>
          <t>VÄRMLANDS LÄN</t>
        </is>
      </c>
      <c r="G400" t="inlineStr">
        <is>
          <t>FILIPSTAD</t>
        </is>
      </c>
      <c r="H400" t="inlineStr">
        <is>
          <t>Bergvik skog väst AB</t>
        </is>
      </c>
      <c r="I400" t="n">
        <v>14.3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24519-2026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46279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24520-2026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46170</v>
      </c>
      <c r="E402" s="1" t="n">
        <v>46279</v>
      </c>
      <c r="F402" t="inlineStr">
        <is>
          <t>VÄRMLANDS LÄN</t>
        </is>
      </c>
      <c r="G402" t="inlineStr">
        <is>
          <t>FILIPSTAD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24529-2026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46279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24537-2026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46279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24054-2024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45456</v>
      </c>
      <c r="E405" s="1" t="n">
        <v>46279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24452-2026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46170</v>
      </c>
      <c r="E406" s="1" t="n">
        <v>46279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24453-2026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46170</v>
      </c>
      <c r="E407" s="1" t="n">
        <v>46279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24745-2026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46171</v>
      </c>
      <c r="E408" s="1" t="n">
        <v>46279</v>
      </c>
      <c r="F408" t="inlineStr">
        <is>
          <t>VÄRMLANDS LÄN</t>
        </is>
      </c>
      <c r="G408" t="inlineStr">
        <is>
          <t>FILIPSTAD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32183-2025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45835</v>
      </c>
      <c r="E409" s="1" t="n">
        <v>46279</v>
      </c>
      <c r="F409" t="inlineStr">
        <is>
          <t>VÄRMLANDS LÄN</t>
        </is>
      </c>
      <c r="G409" t="inlineStr">
        <is>
          <t>FILIPSTAD</t>
        </is>
      </c>
      <c r="I409" t="n">
        <v>1.6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16063-2025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45749</v>
      </c>
      <c r="E410" s="1" t="n">
        <v>46279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4.1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19030-2022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44691</v>
      </c>
      <c r="E411" s="1" t="n">
        <v>46279</v>
      </c>
      <c r="F411" t="inlineStr">
        <is>
          <t>VÄRMLANDS LÄN</t>
        </is>
      </c>
      <c r="G411" t="inlineStr">
        <is>
          <t>FILIPSTAD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25205-2026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46175</v>
      </c>
      <c r="E412" s="1" t="n">
        <v>46279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16.5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37577-2023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45159</v>
      </c>
      <c r="E413" s="1" t="n">
        <v>46279</v>
      </c>
      <c r="F413" t="inlineStr">
        <is>
          <t>VÄRMLANDS LÄN</t>
        </is>
      </c>
      <c r="G413" t="inlineStr">
        <is>
          <t>FILIPSTAD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43233-2023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45180</v>
      </c>
      <c r="E414" s="1" t="n">
        <v>46279</v>
      </c>
      <c r="F414" t="inlineStr">
        <is>
          <t>VÄRMLANDS LÄN</t>
        </is>
      </c>
      <c r="G414" t="inlineStr">
        <is>
          <t>FILIPSTAD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16371-2024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45407</v>
      </c>
      <c r="E415" s="1" t="n">
        <v>46279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24886-2026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46279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25203-2026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46175</v>
      </c>
      <c r="E417" s="1" t="n">
        <v>46279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8.9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24941-2026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46174</v>
      </c>
      <c r="E418" s="1" t="n">
        <v>46279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8.5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25869-2026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46279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53210-2023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45222</v>
      </c>
      <c r="E420" s="1" t="n">
        <v>46279</v>
      </c>
      <c r="F420" t="inlineStr">
        <is>
          <t>VÄRMLANDS LÄN</t>
        </is>
      </c>
      <c r="G420" t="inlineStr">
        <is>
          <t>FILIPSTAD</t>
        </is>
      </c>
      <c r="I420" t="n">
        <v>4.9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39633-2023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45167</v>
      </c>
      <c r="E421" s="1" t="n">
        <v>46279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43635-2023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45186</v>
      </c>
      <c r="E422" s="1" t="n">
        <v>46279</v>
      </c>
      <c r="F422" t="inlineStr">
        <is>
          <t>VÄRMLANDS LÄN</t>
        </is>
      </c>
      <c r="G422" t="inlineStr">
        <is>
          <t>FILIPSTAD</t>
        </is>
      </c>
      <c r="I422" t="n">
        <v>15.3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16103-2025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45750</v>
      </c>
      <c r="E423" s="1" t="n">
        <v>46279</v>
      </c>
      <c r="F423" t="inlineStr">
        <is>
          <t>VÄRMLANDS LÄN</t>
        </is>
      </c>
      <c r="G423" t="inlineStr">
        <is>
          <t>FILIPSTAD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26107-2026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46181</v>
      </c>
      <c r="E424" s="1" t="n">
        <v>46279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20.9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25769-2026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46178</v>
      </c>
      <c r="E425" s="1" t="n">
        <v>46279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3.8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25786-2026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46178</v>
      </c>
      <c r="E426" s="1" t="n">
        <v>46279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26211-2026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46182</v>
      </c>
      <c r="E427" s="1" t="n">
        <v>46279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36251-2022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44803</v>
      </c>
      <c r="E428" s="1" t="n">
        <v>46279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26323-2026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46182</v>
      </c>
      <c r="E429" s="1" t="n">
        <v>46279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11.9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26229-2026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46182</v>
      </c>
      <c r="E430" s="1" t="n">
        <v>46279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26227-2026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46182</v>
      </c>
      <c r="E431" s="1" t="n">
        <v>46279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33671-2022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44789</v>
      </c>
      <c r="E432" s="1" t="n">
        <v>46279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10.6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26501-2026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46183</v>
      </c>
      <c r="E433" s="1" t="n">
        <v>46279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14.2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26298-2026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46182</v>
      </c>
      <c r="E434" s="1" t="n">
        <v>46279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4.7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25976-2026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46181</v>
      </c>
      <c r="E435" s="1" t="n">
        <v>46279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11.1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46257-2022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44847</v>
      </c>
      <c r="E436" s="1" t="n">
        <v>46279</v>
      </c>
      <c r="F436" t="inlineStr">
        <is>
          <t>VÄRMLANDS LÄN</t>
        </is>
      </c>
      <c r="G436" t="inlineStr">
        <is>
          <t>FILIPSTAD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36827-2022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46279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37611-2022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44809</v>
      </c>
      <c r="E438" s="1" t="n">
        <v>46279</v>
      </c>
      <c r="F438" t="inlineStr">
        <is>
          <t>VÄRMLANDS LÄN</t>
        </is>
      </c>
      <c r="G438" t="inlineStr">
        <is>
          <t>FILIPSTAD</t>
        </is>
      </c>
      <c r="I438" t="n">
        <v>5.4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26343-2026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46182</v>
      </c>
      <c r="E439" s="1" t="n">
        <v>46279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27007-2026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46185</v>
      </c>
      <c r="E440" s="1" t="n">
        <v>46279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57244-2023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45245</v>
      </c>
      <c r="E441" s="1" t="n">
        <v>46279</v>
      </c>
      <c r="F441" t="inlineStr">
        <is>
          <t>VÄRMLANDS LÄN</t>
        </is>
      </c>
      <c r="G441" t="inlineStr">
        <is>
          <t>FILIPSTAD</t>
        </is>
      </c>
      <c r="H441" t="inlineStr">
        <is>
          <t>Bergvik skog väst AB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27085-2026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46187</v>
      </c>
      <c r="E442" s="1" t="n">
        <v>46279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26549-2026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46183</v>
      </c>
      <c r="E443" s="1" t="n">
        <v>46279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27079-2026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46186</v>
      </c>
      <c r="E444" s="1" t="n">
        <v>46279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11.7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27300-2026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46188</v>
      </c>
      <c r="E445" s="1" t="n">
        <v>46279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27372-2026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46279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7.4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25338-2023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45087</v>
      </c>
      <c r="E447" s="1" t="n">
        <v>46279</v>
      </c>
      <c r="F447" t="inlineStr">
        <is>
          <t>VÄRMLANDS LÄN</t>
        </is>
      </c>
      <c r="G447" t="inlineStr">
        <is>
          <t>FILIPSTAD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27774-2026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46191</v>
      </c>
      <c r="E448" s="1" t="n">
        <v>46279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5.5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27595-2026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46190</v>
      </c>
      <c r="E449" s="1" t="n">
        <v>46279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27867-2026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46279</v>
      </c>
      <c r="F450" t="inlineStr">
        <is>
          <t>VÄRMLANDS LÄN</t>
        </is>
      </c>
      <c r="G450" t="inlineStr">
        <is>
          <t>FILIPSTAD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27968-2026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46195</v>
      </c>
      <c r="E451" s="1" t="n">
        <v>46279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6.3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32248-2026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46237</v>
      </c>
      <c r="E452" s="1" t="n">
        <v>46279</v>
      </c>
      <c r="F452" t="inlineStr">
        <is>
          <t>VÄRMLANDS LÄN</t>
        </is>
      </c>
      <c r="G452" t="inlineStr">
        <is>
          <t>FILIPSTAD</t>
        </is>
      </c>
      <c r="I452" t="n">
        <v>13.4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41983-2023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45177</v>
      </c>
      <c r="E453" s="1" t="n">
        <v>46279</v>
      </c>
      <c r="F453" t="inlineStr">
        <is>
          <t>VÄRMLANDS LÄN</t>
        </is>
      </c>
      <c r="G453" t="inlineStr">
        <is>
          <t>FILIPSTAD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28094-2026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46195</v>
      </c>
      <c r="E454" s="1" t="n">
        <v>46279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32249-2026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46237</v>
      </c>
      <c r="E455" s="1" t="n">
        <v>46279</v>
      </c>
      <c r="F455" t="inlineStr">
        <is>
          <t>VÄRMLANDS LÄN</t>
        </is>
      </c>
      <c r="G455" t="inlineStr">
        <is>
          <t>FILIPSTAD</t>
        </is>
      </c>
      <c r="H455" t="inlineStr">
        <is>
          <t>Kommuner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51031-2025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45947</v>
      </c>
      <c r="E456" s="1" t="n">
        <v>46279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53034-2022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44876</v>
      </c>
      <c r="E457" s="1" t="n">
        <v>46279</v>
      </c>
      <c r="F457" t="inlineStr">
        <is>
          <t>VÄRMLANDS LÄN</t>
        </is>
      </c>
      <c r="G457" t="inlineStr">
        <is>
          <t>FILIPSTAD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32563-2026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46239</v>
      </c>
      <c r="E458" s="1" t="n">
        <v>46279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32572-2026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46239</v>
      </c>
      <c r="E459" s="1" t="n">
        <v>46279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4.7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32600-2026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46240</v>
      </c>
      <c r="E460" s="1" t="n">
        <v>46279</v>
      </c>
      <c r="F460" t="inlineStr">
        <is>
          <t>VÄRMLANDS LÄN</t>
        </is>
      </c>
      <c r="G460" t="inlineStr">
        <is>
          <t>FILIPSTAD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32603-2026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46279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28516-2026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46197</v>
      </c>
      <c r="E462" s="1" t="n">
        <v>46279</v>
      </c>
      <c r="F462" t="inlineStr">
        <is>
          <t>VÄRMLANDS LÄN</t>
        </is>
      </c>
      <c r="G462" t="inlineStr">
        <is>
          <t>FILIPSTAD</t>
        </is>
      </c>
      <c r="I462" t="n">
        <v>3.8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32601-2026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46279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28419-2026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46197</v>
      </c>
      <c r="E464" s="1" t="n">
        <v>46279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53348-2023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45229</v>
      </c>
      <c r="E465" s="1" t="n">
        <v>46279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32588-2026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46240</v>
      </c>
      <c r="E466" s="1" t="n">
        <v>46279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51985-2023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45223</v>
      </c>
      <c r="E467" s="1" t="n">
        <v>46279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6.7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50904-2023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45218</v>
      </c>
      <c r="E468" s="1" t="n">
        <v>46279</v>
      </c>
      <c r="F468" t="inlineStr">
        <is>
          <t>VÄRMLANDS LÄN</t>
        </is>
      </c>
      <c r="G468" t="inlineStr">
        <is>
          <t>FILIPSTAD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32442-2026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46239</v>
      </c>
      <c r="E469" s="1" t="n">
        <v>46279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32978-2026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46244</v>
      </c>
      <c r="E470" s="1" t="n">
        <v>46279</v>
      </c>
      <c r="F470" t="inlineStr">
        <is>
          <t>VÄRMLANDS LÄN</t>
        </is>
      </c>
      <c r="G470" t="inlineStr">
        <is>
          <t>FILIPSTAD</t>
        </is>
      </c>
      <c r="I470" t="n">
        <v>7.5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55397-2022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44887</v>
      </c>
      <c r="E471" s="1" t="n">
        <v>46279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6520-2023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44960</v>
      </c>
      <c r="E472" s="1" t="n">
        <v>46279</v>
      </c>
      <c r="F472" t="inlineStr">
        <is>
          <t>VÄRMLANDS LÄN</t>
        </is>
      </c>
      <c r="G472" t="inlineStr">
        <is>
          <t>FILIPSTAD</t>
        </is>
      </c>
      <c r="H472" t="inlineStr">
        <is>
          <t>Kommuner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55978-2022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44889</v>
      </c>
      <c r="E473" s="1" t="n">
        <v>46279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32852-2026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46244</v>
      </c>
      <c r="E474" s="1" t="n">
        <v>46279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32783-2026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46241</v>
      </c>
      <c r="E475" s="1" t="n">
        <v>46279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32972-2026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46244</v>
      </c>
      <c r="E476" s="1" t="n">
        <v>46279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50856-2022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44867</v>
      </c>
      <c r="E477" s="1" t="n">
        <v>46279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3.5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61628-2022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44911</v>
      </c>
      <c r="E478" s="1" t="n">
        <v>46279</v>
      </c>
      <c r="F478" t="inlineStr">
        <is>
          <t>VÄRMLANDS LÄN</t>
        </is>
      </c>
      <c r="G478" t="inlineStr">
        <is>
          <t>FILIPSTAD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43264-2024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45568</v>
      </c>
      <c r="E479" s="1" t="n">
        <v>46279</v>
      </c>
      <c r="F479" t="inlineStr">
        <is>
          <t>VÄRMLANDS LÄN</t>
        </is>
      </c>
      <c r="G479" t="inlineStr">
        <is>
          <t>FILIPSTAD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32980-2026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46244</v>
      </c>
      <c r="E480" s="1" t="n">
        <v>46279</v>
      </c>
      <c r="F480" t="inlineStr">
        <is>
          <t>VÄRMLANDS LÄN</t>
        </is>
      </c>
      <c r="G480" t="inlineStr">
        <is>
          <t>FILIPSTAD</t>
        </is>
      </c>
      <c r="I480" t="n">
        <v>6.3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28977-2026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46279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5.6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59296-2023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45253</v>
      </c>
      <c r="E482" s="1" t="n">
        <v>46279</v>
      </c>
      <c r="F482" t="inlineStr">
        <is>
          <t>VÄRMLANDS LÄN</t>
        </is>
      </c>
      <c r="G482" t="inlineStr">
        <is>
          <t>FILIPSTAD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33130-2026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46245</v>
      </c>
      <c r="E483" s="1" t="n">
        <v>46279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22.4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29385-2026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46279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5.5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33324-2026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46246</v>
      </c>
      <c r="E485" s="1" t="n">
        <v>46279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23.8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29376-2026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46203</v>
      </c>
      <c r="E486" s="1" t="n">
        <v>46279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14.6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29127-2026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46202</v>
      </c>
      <c r="E487" s="1" t="n">
        <v>46279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29328-2026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46202</v>
      </c>
      <c r="E488" s="1" t="n">
        <v>46279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11680-2023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44994</v>
      </c>
      <c r="E489" s="1" t="n">
        <v>46279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36680-2023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45153</v>
      </c>
      <c r="E490" s="1" t="n">
        <v>46279</v>
      </c>
      <c r="F490" t="inlineStr">
        <is>
          <t>VÄRMLANDS LÄN</t>
        </is>
      </c>
      <c r="G490" t="inlineStr">
        <is>
          <t>FILIPSTAD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33092-2026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46245</v>
      </c>
      <c r="E491" s="1" t="n">
        <v>46279</v>
      </c>
      <c r="F491" t="inlineStr">
        <is>
          <t>VÄRMLANDS LÄN</t>
        </is>
      </c>
      <c r="G491" t="inlineStr">
        <is>
          <t>FILIPSTAD</t>
        </is>
      </c>
      <c r="I491" t="n">
        <v>6.4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29010-2026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46199</v>
      </c>
      <c r="E492" s="1" t="n">
        <v>46279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29821-2026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46205</v>
      </c>
      <c r="E493" s="1" t="n">
        <v>46279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5803-2023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44963</v>
      </c>
      <c r="E494" s="1" t="n">
        <v>46279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33493-2026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46247</v>
      </c>
      <c r="E495" s="1" t="n">
        <v>46279</v>
      </c>
      <c r="F495" t="inlineStr">
        <is>
          <t>VÄRMLANDS LÄN</t>
        </is>
      </c>
      <c r="G495" t="inlineStr">
        <is>
          <t>FILIPSTAD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29417-2026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46203</v>
      </c>
      <c r="E496" s="1" t="n">
        <v>46279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7.4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29591-2026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46204</v>
      </c>
      <c r="E497" s="1" t="n">
        <v>46279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46203</v>
      </c>
      <c r="E498" s="1" t="n">
        <v>46279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8.199999999999999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33468-2026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46247</v>
      </c>
      <c r="E499" s="1" t="n">
        <v>46279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51618-2022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44872</v>
      </c>
      <c r="E500" s="1" t="n">
        <v>46279</v>
      </c>
      <c r="F500" t="inlineStr">
        <is>
          <t>VÄRMLANDS LÄN</t>
        </is>
      </c>
      <c r="G500" t="inlineStr">
        <is>
          <t>FILIPSTAD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29863-2026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46279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26.6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12509-2026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46090</v>
      </c>
      <c r="E502" s="1" t="n">
        <v>46279</v>
      </c>
      <c r="F502" t="inlineStr">
        <is>
          <t>VÄRMLANDS LÄN</t>
        </is>
      </c>
      <c r="G502" t="inlineStr">
        <is>
          <t>FILIPSTAD</t>
        </is>
      </c>
      <c r="I502" t="n">
        <v>5.3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29814-2026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46205</v>
      </c>
      <c r="E503" s="1" t="n">
        <v>46279</v>
      </c>
      <c r="F503" t="inlineStr">
        <is>
          <t>VÄRMLANDS LÄN</t>
        </is>
      </c>
      <c r="G503" t="inlineStr">
        <is>
          <t>FILIPSTAD</t>
        </is>
      </c>
      <c r="I503" t="n">
        <v>1.2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33855-2026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46251</v>
      </c>
      <c r="E504" s="1" t="n">
        <v>46279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33866-2026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46251</v>
      </c>
      <c r="E505" s="1" t="n">
        <v>46279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3.1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34053-2026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46252</v>
      </c>
      <c r="E506" s="1" t="n">
        <v>46279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20.2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71971-2021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44544</v>
      </c>
      <c r="E507" s="1" t="n">
        <v>46279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6.1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31306-2023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45114</v>
      </c>
      <c r="E508" s="1" t="n">
        <v>46279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30984-2026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46213</v>
      </c>
      <c r="E509" s="1" t="n">
        <v>46279</v>
      </c>
      <c r="F509" t="inlineStr">
        <is>
          <t>VÄRMLANDS LÄN</t>
        </is>
      </c>
      <c r="G509" t="inlineStr">
        <is>
          <t>FILIPSTAD</t>
        </is>
      </c>
      <c r="I509" t="n">
        <v>4.5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33859-2026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46251</v>
      </c>
      <c r="E510" s="1" t="n">
        <v>46279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34054-2026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46252</v>
      </c>
      <c r="E511" s="1" t="n">
        <v>46279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33857-2026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46251</v>
      </c>
      <c r="E512" s="1" t="n">
        <v>46279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9370-2023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44981</v>
      </c>
      <c r="E513" s="1" t="n">
        <v>46279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8.1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33837-2026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46251</v>
      </c>
      <c r="E514" s="1" t="n">
        <v>46279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7.4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30074-2026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46279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12.8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54008-2021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44470</v>
      </c>
      <c r="E516" s="1" t="n">
        <v>46279</v>
      </c>
      <c r="F516" t="inlineStr">
        <is>
          <t>VÄRMLANDS LÄN</t>
        </is>
      </c>
      <c r="G516" t="inlineStr">
        <is>
          <t>FILIPSTAD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50786-2024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45602</v>
      </c>
      <c r="E517" s="1" t="n">
        <v>46279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44963</v>
      </c>
      <c r="E518" s="1" t="n">
        <v>46279</v>
      </c>
      <c r="F518" t="inlineStr">
        <is>
          <t>VÄRMLANDS LÄN</t>
        </is>
      </c>
      <c r="G518" t="inlineStr">
        <is>
          <t>FILIPSTAD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30540-2026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46210</v>
      </c>
      <c r="E519" s="1" t="n">
        <v>46279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4.9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36809-2022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44805</v>
      </c>
      <c r="E520" s="1" t="n">
        <v>46279</v>
      </c>
      <c r="F520" t="inlineStr">
        <is>
          <t>VÄRMLANDS LÄN</t>
        </is>
      </c>
      <c r="G520" t="inlineStr">
        <is>
          <t>FILIPSTAD</t>
        </is>
      </c>
      <c r="I520" t="n">
        <v>3.8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33967-2023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45124</v>
      </c>
      <c r="E521" s="1" t="n">
        <v>46279</v>
      </c>
      <c r="F521" t="inlineStr">
        <is>
          <t>VÄRMLANDS LÄN</t>
        </is>
      </c>
      <c r="G521" t="inlineStr">
        <is>
          <t>FILIPSTAD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33973-2023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45124</v>
      </c>
      <c r="E522" s="1" t="n">
        <v>46279</v>
      </c>
      <c r="F522" t="inlineStr">
        <is>
          <t>VÄRMLANDS LÄN</t>
        </is>
      </c>
      <c r="G522" t="inlineStr">
        <is>
          <t>FILIPSTAD</t>
        </is>
      </c>
      <c r="I522" t="n">
        <v>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61741-2022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44911</v>
      </c>
      <c r="E523" s="1" t="n">
        <v>46279</v>
      </c>
      <c r="F523" t="inlineStr">
        <is>
          <t>VÄRMLANDS LÄN</t>
        </is>
      </c>
      <c r="G523" t="inlineStr">
        <is>
          <t>FILIPSTAD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34493-2026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46279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19.2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34539-2026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46255</v>
      </c>
      <c r="E525" s="1" t="n">
        <v>46279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5.3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34442-2026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46254</v>
      </c>
      <c r="E526" s="1" t="n">
        <v>46279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10.4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25737-2023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45090</v>
      </c>
      <c r="E527" s="1" t="n">
        <v>46279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30799-2026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46212</v>
      </c>
      <c r="E528" s="1" t="n">
        <v>46279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2443-2022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44579</v>
      </c>
      <c r="E529" s="1" t="n">
        <v>46279</v>
      </c>
      <c r="F529" t="inlineStr">
        <is>
          <t>VÄRMLANDS LÄN</t>
        </is>
      </c>
      <c r="G529" t="inlineStr">
        <is>
          <t>FILIPSTAD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34982-2026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46259</v>
      </c>
      <c r="E530" s="1" t="n">
        <v>46279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16.1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15471-2024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45401</v>
      </c>
      <c r="E531" s="1" t="n">
        <v>46279</v>
      </c>
      <c r="F531" t="inlineStr">
        <is>
          <t>VÄRMLANDS LÄN</t>
        </is>
      </c>
      <c r="G531" t="inlineStr">
        <is>
          <t>FILIPSTAD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32786-2024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45516</v>
      </c>
      <c r="E532" s="1" t="n">
        <v>46279</v>
      </c>
      <c r="F532" t="inlineStr">
        <is>
          <t>VÄRMLANDS LÄN</t>
        </is>
      </c>
      <c r="G532" t="inlineStr">
        <is>
          <t>FILIPSTAD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34916-2026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46259</v>
      </c>
      <c r="E533" s="1" t="n">
        <v>46279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35290-2026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46261</v>
      </c>
      <c r="E534" s="1" t="n">
        <v>46279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62014-2024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45655</v>
      </c>
      <c r="E535" s="1" t="n">
        <v>46279</v>
      </c>
      <c r="F535" t="inlineStr">
        <is>
          <t>VÄRMLANDS LÄN</t>
        </is>
      </c>
      <c r="G535" t="inlineStr">
        <is>
          <t>FILIPSTAD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35423-2026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46261</v>
      </c>
      <c r="E536" s="1" t="n">
        <v>46279</v>
      </c>
      <c r="F536" t="inlineStr">
        <is>
          <t>VÄRMLANDS LÄN</t>
        </is>
      </c>
      <c r="G536" t="inlineStr">
        <is>
          <t>FILIPSTAD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17686-2023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45037</v>
      </c>
      <c r="E537" s="1" t="n">
        <v>46279</v>
      </c>
      <c r="F537" t="inlineStr">
        <is>
          <t>VÄRMLANDS LÄN</t>
        </is>
      </c>
      <c r="G537" t="inlineStr">
        <is>
          <t>FILIPSTAD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31316-2026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46219</v>
      </c>
      <c r="E538" s="1" t="n">
        <v>46279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35368-2026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46261</v>
      </c>
      <c r="E539" s="1" t="n">
        <v>46279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31283-2026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46218</v>
      </c>
      <c r="E540" s="1" t="n">
        <v>46279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4.6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4418-2024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45327</v>
      </c>
      <c r="E541" s="1" t="n">
        <v>46279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9.300000000000001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35314-2026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46261</v>
      </c>
      <c r="E542" s="1" t="n">
        <v>46279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8.4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35927-2026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46266</v>
      </c>
      <c r="E543" s="1" t="n">
        <v>46279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27.4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35614-2026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46264</v>
      </c>
      <c r="E544" s="1" t="n">
        <v>46279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20.8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45516-2024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45578</v>
      </c>
      <c r="E545" s="1" t="n">
        <v>46279</v>
      </c>
      <c r="F545" t="inlineStr">
        <is>
          <t>VÄRMLANDS LÄN</t>
        </is>
      </c>
      <c r="G545" t="inlineStr">
        <is>
          <t>FILIPSTAD</t>
        </is>
      </c>
      <c r="I545" t="n">
        <v>27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46680-2024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45583</v>
      </c>
      <c r="E546" s="1" t="n">
        <v>46279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35945-2026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46266</v>
      </c>
      <c r="E547" s="1" t="n">
        <v>46279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27426-2026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46189</v>
      </c>
      <c r="E548" s="1" t="n">
        <v>46279</v>
      </c>
      <c r="F548" t="inlineStr">
        <is>
          <t>VÄRMLANDS LÄN</t>
        </is>
      </c>
      <c r="G548" t="inlineStr">
        <is>
          <t>FILIPSTAD</t>
        </is>
      </c>
      <c r="I548" t="n">
        <v>5.6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22830-2023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45072</v>
      </c>
      <c r="E549" s="1" t="n">
        <v>46279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31548-2026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46223</v>
      </c>
      <c r="E550" s="1" t="n">
        <v>46279</v>
      </c>
      <c r="F550" t="inlineStr">
        <is>
          <t>VÄRMLANDS LÄN</t>
        </is>
      </c>
      <c r="G550" t="inlineStr">
        <is>
          <t>FILIPSTAD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35821-2026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46265</v>
      </c>
      <c r="E551" s="1" t="n">
        <v>46279</v>
      </c>
      <c r="F551" t="inlineStr">
        <is>
          <t>VÄRMLANDS LÄN</t>
        </is>
      </c>
      <c r="G551" t="inlineStr">
        <is>
          <t>FILIPSTAD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35948-2026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46266</v>
      </c>
      <c r="E552" s="1" t="n">
        <v>46279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35641-2026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46279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35615-2026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46264</v>
      </c>
      <c r="E554" s="1" t="n">
        <v>46279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35995-2026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46266</v>
      </c>
      <c r="E555" s="1" t="n">
        <v>46279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31537-2026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46223</v>
      </c>
      <c r="E556" s="1" t="n">
        <v>46279</v>
      </c>
      <c r="F556" t="inlineStr">
        <is>
          <t>VÄRMLANDS LÄN</t>
        </is>
      </c>
      <c r="G556" t="inlineStr">
        <is>
          <t>FILIPSTAD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36195-2026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46267</v>
      </c>
      <c r="E557" s="1" t="n">
        <v>46279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31648-2026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46225</v>
      </c>
      <c r="E558" s="1" t="n">
        <v>46279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62013-2024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45655</v>
      </c>
      <c r="E559" s="1" t="n">
        <v>46279</v>
      </c>
      <c r="F559" t="inlineStr">
        <is>
          <t>VÄRMLANDS LÄN</t>
        </is>
      </c>
      <c r="G559" t="inlineStr">
        <is>
          <t>FILIPSTAD</t>
        </is>
      </c>
      <c r="I559" t="n">
        <v>26.5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48040-2023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45204</v>
      </c>
      <c r="E560" s="1" t="n">
        <v>46279</v>
      </c>
      <c r="F560" t="inlineStr">
        <is>
          <t>VÄRMLANDS LÄN</t>
        </is>
      </c>
      <c r="G560" t="inlineStr">
        <is>
          <t>FILIPSTAD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36297-2026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46268</v>
      </c>
      <c r="E561" s="1" t="n">
        <v>46279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13.1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48908-2023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45195</v>
      </c>
      <c r="E562" s="1" t="n">
        <v>46279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1042-2023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44935</v>
      </c>
      <c r="E563" s="1" t="n">
        <v>46279</v>
      </c>
      <c r="F563" t="inlineStr">
        <is>
          <t>VÄRMLANDS LÄN</t>
        </is>
      </c>
      <c r="G563" t="inlineStr">
        <is>
          <t>FILIPSTAD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31688-2026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46226</v>
      </c>
      <c r="E564" s="1" t="n">
        <v>46279</v>
      </c>
      <c r="F564" t="inlineStr">
        <is>
          <t>VÄRMLANDS LÄN</t>
        </is>
      </c>
      <c r="G564" t="inlineStr">
        <is>
          <t>FILIPSTAD</t>
        </is>
      </c>
      <c r="H564" t="inlineStr">
        <is>
          <t>Bergvik skog väst AB</t>
        </is>
      </c>
      <c r="I564" t="n">
        <v>14.9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31699-2026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46226</v>
      </c>
      <c r="E565" s="1" t="n">
        <v>46279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20.1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31706-2026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46226</v>
      </c>
      <c r="E566" s="1" t="n">
        <v>46279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4.2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31726-2026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46227</v>
      </c>
      <c r="E567" s="1" t="n">
        <v>46279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31746-2026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46227</v>
      </c>
      <c r="E568" s="1" t="n">
        <v>46279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10.4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10306-2025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45720</v>
      </c>
      <c r="E569" s="1" t="n">
        <v>46279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3.1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36819-2026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46272</v>
      </c>
      <c r="E570" s="1" t="n">
        <v>46279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41075-2023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45173</v>
      </c>
      <c r="E571" s="1" t="n">
        <v>46279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4.6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36818-2026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46272</v>
      </c>
      <c r="E572" s="1" t="n">
        <v>46279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36456-2026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46269</v>
      </c>
      <c r="E573" s="1" t="n">
        <v>46279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36744-2026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46279</v>
      </c>
      <c r="F574" t="inlineStr">
        <is>
          <t>VÄRMLANDS LÄN</t>
        </is>
      </c>
      <c r="G574" t="inlineStr">
        <is>
          <t>FILIPSTAD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36508-2026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46269</v>
      </c>
      <c r="E575" s="1" t="n">
        <v>46279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18.6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36801-2026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46272</v>
      </c>
      <c r="E576" s="1" t="n">
        <v>46279</v>
      </c>
      <c r="F576" t="inlineStr">
        <is>
          <t>VÄRMLANDS LÄN</t>
        </is>
      </c>
      <c r="G576" t="inlineStr">
        <is>
          <t>FILIPSTAD</t>
        </is>
      </c>
      <c r="I576" t="n">
        <v>11.6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36455-2026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46269</v>
      </c>
      <c r="E577" s="1" t="n">
        <v>46279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16.4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36458-2026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46269</v>
      </c>
      <c r="E578" s="1" t="n">
        <v>46279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4.2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14582-2025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45742</v>
      </c>
      <c r="E579" s="1" t="n">
        <v>46279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46186</v>
      </c>
      <c r="E580" s="1" t="n">
        <v>46279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31914-2026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46231</v>
      </c>
      <c r="E581" s="1" t="n">
        <v>46279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3.6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56840-2024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45628</v>
      </c>
      <c r="E582" s="1" t="n">
        <v>46279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37249-2026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46274</v>
      </c>
      <c r="E583" s="1" t="n">
        <v>46279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7.4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36871-2026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46272</v>
      </c>
      <c r="E584" s="1" t="n">
        <v>46279</v>
      </c>
      <c r="F584" t="inlineStr">
        <is>
          <t>VÄRMLANDS LÄN</t>
        </is>
      </c>
      <c r="G584" t="inlineStr">
        <is>
          <t>FILIPSTAD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8692-2025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45712</v>
      </c>
      <c r="E585" s="1" t="n">
        <v>46279</v>
      </c>
      <c r="F585" t="inlineStr">
        <is>
          <t>VÄRMLANDS LÄN</t>
        </is>
      </c>
      <c r="G585" t="inlineStr">
        <is>
          <t>FILIPSTAD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23618-2023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45077</v>
      </c>
      <c r="E586" s="1" t="n">
        <v>46279</v>
      </c>
      <c r="F586" t="inlineStr">
        <is>
          <t>VÄRMLANDS LÄN</t>
        </is>
      </c>
      <c r="G586" t="inlineStr">
        <is>
          <t>FILIPSTAD</t>
        </is>
      </c>
      <c r="I586" t="n">
        <v>15.8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36955-2026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46273</v>
      </c>
      <c r="E587" s="1" t="n">
        <v>46279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14.7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60524-2024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45643</v>
      </c>
      <c r="E588" s="1" t="n">
        <v>46279</v>
      </c>
      <c r="F588" t="inlineStr">
        <is>
          <t>VÄRMLANDS LÄN</t>
        </is>
      </c>
      <c r="G588" t="inlineStr">
        <is>
          <t>FILIPSTAD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14328-2025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45740</v>
      </c>
      <c r="E589" s="1" t="n">
        <v>46279</v>
      </c>
      <c r="F589" t="inlineStr">
        <is>
          <t>VÄRMLANDS LÄN</t>
        </is>
      </c>
      <c r="G589" t="inlineStr">
        <is>
          <t>FILIPSTAD</t>
        </is>
      </c>
      <c r="I589" t="n">
        <v>4.3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36490-2026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46279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32008-2026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46233</v>
      </c>
      <c r="E591" s="1" t="n">
        <v>46279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32141-2026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46234</v>
      </c>
      <c r="E592" s="1" t="n">
        <v>46279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16.5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45744</v>
      </c>
      <c r="E593" s="1" t="n">
        <v>46279</v>
      </c>
      <c r="F593" t="inlineStr">
        <is>
          <t>VÄRMLANDS LÄN</t>
        </is>
      </c>
      <c r="G593" t="inlineStr">
        <is>
          <t>FILIPSTAD</t>
        </is>
      </c>
      <c r="H593" t="inlineStr">
        <is>
          <t>Kommuner</t>
        </is>
      </c>
      <c r="I593" t="n">
        <v>17.7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32031-2026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46233</v>
      </c>
      <c r="E594" s="1" t="n">
        <v>46279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4.7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31950-2026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46232</v>
      </c>
      <c r="E595" s="1" t="n">
        <v>46279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31957-2026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46232</v>
      </c>
      <c r="E596" s="1" t="n">
        <v>46279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31963-2026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46232</v>
      </c>
      <c r="E597" s="1" t="n">
        <v>46279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8.699999999999999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20661-2024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45436</v>
      </c>
      <c r="E598" s="1" t="n">
        <v>46279</v>
      </c>
      <c r="F598" t="inlineStr">
        <is>
          <t>VÄRMLANDS LÄN</t>
        </is>
      </c>
      <c r="G598" t="inlineStr">
        <is>
          <t>FILIPSTAD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32035-2026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46233</v>
      </c>
      <c r="E599" s="1" t="n">
        <v>46279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34262-2024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45524</v>
      </c>
      <c r="E600" s="1" t="n">
        <v>46279</v>
      </c>
      <c r="F600" t="inlineStr">
        <is>
          <t>VÄRMLANDS LÄN</t>
        </is>
      </c>
      <c r="G600" t="inlineStr">
        <is>
          <t>FILIPSTAD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37519-2026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46276</v>
      </c>
      <c r="E601" s="1" t="n">
        <v>46279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45299</v>
      </c>
      <c r="E602" s="1" t="n">
        <v>46279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30646-2024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45495</v>
      </c>
      <c r="E603" s="1" t="n">
        <v>46279</v>
      </c>
      <c r="F603" t="inlineStr">
        <is>
          <t>VÄRMLANDS LÄN</t>
        </is>
      </c>
      <c r="G603" t="inlineStr">
        <is>
          <t>FILIPSTAD</t>
        </is>
      </c>
      <c r="I603" t="n">
        <v>4.6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27139-2024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45471</v>
      </c>
      <c r="E604" s="1" t="n">
        <v>46279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17244-2024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45414</v>
      </c>
      <c r="E605" s="1" t="n">
        <v>46279</v>
      </c>
      <c r="F605" t="inlineStr">
        <is>
          <t>VÄRMLANDS LÄN</t>
        </is>
      </c>
      <c r="G605" t="inlineStr">
        <is>
          <t>FILIPSTAD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20875-2024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45439</v>
      </c>
      <c r="E606" s="1" t="n">
        <v>46279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6.8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47002-2024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45586</v>
      </c>
      <c r="E607" s="1" t="n">
        <v>46279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3.1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65167-2021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44515</v>
      </c>
      <c r="E608" s="1" t="n">
        <v>46279</v>
      </c>
      <c r="F608" t="inlineStr">
        <is>
          <t>VÄRMLANDS LÄN</t>
        </is>
      </c>
      <c r="G608" t="inlineStr">
        <is>
          <t>FILIPSTAD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22880-2025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45790</v>
      </c>
      <c r="E609" s="1" t="n">
        <v>46279</v>
      </c>
      <c r="F609" t="inlineStr">
        <is>
          <t>VÄRMLANDS LÄN</t>
        </is>
      </c>
      <c r="G609" t="inlineStr">
        <is>
          <t>FILIPSTAD</t>
        </is>
      </c>
      <c r="H609" t="inlineStr">
        <is>
          <t>Kyrkan</t>
        </is>
      </c>
      <c r="I609" t="n">
        <v>5.4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23266-2025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45791</v>
      </c>
      <c r="E610" s="1" t="n">
        <v>46279</v>
      </c>
      <c r="F610" t="inlineStr">
        <is>
          <t>VÄRMLANDS LÄN</t>
        </is>
      </c>
      <c r="G610" t="inlineStr">
        <is>
          <t>FILIPSTAD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23475-2025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45792</v>
      </c>
      <c r="E611" s="1" t="n">
        <v>46279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28357-2024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45477</v>
      </c>
      <c r="E612" s="1" t="n">
        <v>46279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5.9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48702-2024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45593</v>
      </c>
      <c r="E613" s="1" t="n">
        <v>46279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35304-2024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45530</v>
      </c>
      <c r="E614" s="1" t="n">
        <v>46279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6.6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23399-2025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45792</v>
      </c>
      <c r="E615" s="1" t="n">
        <v>46279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1350-2025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45667</v>
      </c>
      <c r="E616" s="1" t="n">
        <v>46279</v>
      </c>
      <c r="F616" t="inlineStr">
        <is>
          <t>VÄRMLANDS LÄN</t>
        </is>
      </c>
      <c r="G616" t="inlineStr">
        <is>
          <t>FILIPSTAD</t>
        </is>
      </c>
      <c r="H616" t="inlineStr">
        <is>
          <t>Kommuner</t>
        </is>
      </c>
      <c r="I616" t="n">
        <v>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20844-2024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45439</v>
      </c>
      <c r="E617" s="1" t="n">
        <v>46279</v>
      </c>
      <c r="F617" t="inlineStr">
        <is>
          <t>VÄRMLANDS LÄN</t>
        </is>
      </c>
      <c r="G617" t="inlineStr">
        <is>
          <t>FILIPSTAD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3979-2024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45322</v>
      </c>
      <c r="E618" s="1" t="n">
        <v>46279</v>
      </c>
      <c r="F618" t="inlineStr">
        <is>
          <t>VÄRMLANDS LÄN</t>
        </is>
      </c>
      <c r="G618" t="inlineStr">
        <is>
          <t>FILIPSTAD</t>
        </is>
      </c>
      <c r="I618" t="n">
        <v>8.199999999999999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72118-2021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44543</v>
      </c>
      <c r="E619" s="1" t="n">
        <v>46279</v>
      </c>
      <c r="F619" t="inlineStr">
        <is>
          <t>VÄRMLANDS LÄN</t>
        </is>
      </c>
      <c r="G619" t="inlineStr">
        <is>
          <t>FILIPSTAD</t>
        </is>
      </c>
      <c r="I619" t="n">
        <v>2.3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24143-2025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45796</v>
      </c>
      <c r="E620" s="1" t="n">
        <v>46279</v>
      </c>
      <c r="F620" t="inlineStr">
        <is>
          <t>VÄRMLANDS LÄN</t>
        </is>
      </c>
      <c r="G620" t="inlineStr">
        <is>
          <t>FILIPSTAD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15396-2025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45747</v>
      </c>
      <c r="E621" s="1" t="n">
        <v>46279</v>
      </c>
      <c r="F621" t="inlineStr">
        <is>
          <t>VÄRMLANDS LÄN</t>
        </is>
      </c>
      <c r="G621" t="inlineStr">
        <is>
          <t>FILIPSTAD</t>
        </is>
      </c>
      <c r="I621" t="n">
        <v>1.5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23775-2025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45793</v>
      </c>
      <c r="E622" s="1" t="n">
        <v>46279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1.9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8712-2024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45355</v>
      </c>
      <c r="E623" s="1" t="n">
        <v>46279</v>
      </c>
      <c r="F623" t="inlineStr">
        <is>
          <t>VÄRMLANDS LÄN</t>
        </is>
      </c>
      <c r="G623" t="inlineStr">
        <is>
          <t>FILIPSTAD</t>
        </is>
      </c>
      <c r="I623" t="n">
        <v>3.3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65174-2021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44515</v>
      </c>
      <c r="E624" s="1" t="n">
        <v>46279</v>
      </c>
      <c r="F624" t="inlineStr">
        <is>
          <t>VÄRMLANDS LÄN</t>
        </is>
      </c>
      <c r="G624" t="inlineStr">
        <is>
          <t>FILIPSTAD</t>
        </is>
      </c>
      <c r="I624" t="n">
        <v>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15406-2025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45747</v>
      </c>
      <c r="E625" s="1" t="n">
        <v>46279</v>
      </c>
      <c r="F625" t="inlineStr">
        <is>
          <t>VÄRMLANDS LÄN</t>
        </is>
      </c>
      <c r="G625" t="inlineStr">
        <is>
          <t>FILIPSTAD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35799-2022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44801</v>
      </c>
      <c r="E626" s="1" t="n">
        <v>46279</v>
      </c>
      <c r="F626" t="inlineStr">
        <is>
          <t>VÄRMLANDS LÄN</t>
        </is>
      </c>
      <c r="G626" t="inlineStr">
        <is>
          <t>FILIPSTAD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47261-2024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45586</v>
      </c>
      <c r="E627" s="1" t="n">
        <v>46279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3.3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26123-2025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45805</v>
      </c>
      <c r="E628" s="1" t="n">
        <v>46279</v>
      </c>
      <c r="F628" t="inlineStr">
        <is>
          <t>VÄRMLANDS LÄN</t>
        </is>
      </c>
      <c r="G628" t="inlineStr">
        <is>
          <t>FILIPSTAD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26116-2025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45805</v>
      </c>
      <c r="E629" s="1" t="n">
        <v>46279</v>
      </c>
      <c r="F629" t="inlineStr">
        <is>
          <t>VÄRMLANDS LÄN</t>
        </is>
      </c>
      <c r="G629" t="inlineStr">
        <is>
          <t>FILIPSTAD</t>
        </is>
      </c>
      <c r="I629" t="n">
        <v>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26812-2025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45810</v>
      </c>
      <c r="E630" s="1" t="n">
        <v>46279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5.8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26843-2024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45470</v>
      </c>
      <c r="E631" s="1" t="n">
        <v>46279</v>
      </c>
      <c r="F631" t="inlineStr">
        <is>
          <t>VÄRMLANDS LÄN</t>
        </is>
      </c>
      <c r="G631" t="inlineStr">
        <is>
          <t>FILIPSTAD</t>
        </is>
      </c>
      <c r="I631" t="n">
        <v>3.8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26599-2024</t>
        </is>
      </c>
      <c r="B632" t="inlineStr">
        <is>
          <t>avverkningsanmälan</t>
        </is>
      </c>
      <c r="C632" t="inlineStr">
        <is>
          <t>Avverkning för att bevara och utveckla /försöksver</t>
        </is>
      </c>
      <c r="D632" s="1" t="n">
        <v>45469</v>
      </c>
      <c r="E632" s="1" t="n">
        <v>46279</v>
      </c>
      <c r="F632" t="inlineStr">
        <is>
          <t>VÄRMLANDS LÄN</t>
        </is>
      </c>
      <c r="G632" t="inlineStr">
        <is>
          <t>FILIPSTAD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5757-2021</t>
        </is>
      </c>
      <c r="B633" t="inlineStr">
        <is>
          <t>samrådsanmälan</t>
        </is>
      </c>
      <c r="C633" t="inlineStr">
        <is>
          <t>Basväg</t>
        </is>
      </c>
      <c r="D633" s="1" t="n">
        <v>44438</v>
      </c>
      <c r="E633" s="1" t="n">
        <v>46279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1191-2021</t>
        </is>
      </c>
      <c r="B634" t="inlineStr">
        <is>
          <t>samrådsanmälan</t>
        </is>
      </c>
      <c r="C634" t="inlineStr">
        <is>
          <t>Åtgärd i nyckelbiotop</t>
        </is>
      </c>
      <c r="D634" s="1" t="n">
        <v>44328</v>
      </c>
      <c r="E634" s="1" t="n">
        <v>46279</v>
      </c>
      <c r="F634" t="inlineStr">
        <is>
          <t>VÄRMLANDS LÄN</t>
        </is>
      </c>
      <c r="G634" t="inlineStr">
        <is>
          <t>FILIPSTAD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4134-2023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46279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4115-2023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45246</v>
      </c>
      <c r="E636" s="1" t="n">
        <v>46279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4137-2023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46279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16.5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4132-2023</t>
        </is>
      </c>
      <c r="B638" t="inlineStr">
        <is>
          <t>samrådsanmälan</t>
        </is>
      </c>
      <c r="C638" t="inlineStr">
        <is>
          <t>Skogsgödsling</t>
        </is>
      </c>
      <c r="D638" s="1" t="n">
        <v>45247</v>
      </c>
      <c r="E638" s="1" t="n">
        <v>46279</v>
      </c>
      <c r="F638" t="inlineStr">
        <is>
          <t>VÄRMLANDS LÄN</t>
        </is>
      </c>
      <c r="G638" t="inlineStr">
        <is>
          <t>FILIPSTAD</t>
        </is>
      </c>
      <c r="H638" t="inlineStr">
        <is>
          <t>Bergvik skog väst AB</t>
        </is>
      </c>
      <c r="I638" t="n">
        <v>8.300000000000001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4130-2023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46279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14.6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4127-2023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45247</v>
      </c>
      <c r="E640" s="1" t="n">
        <v>46279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56.4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837-2023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44991</v>
      </c>
      <c r="E641" s="1" t="n">
        <v>46279</v>
      </c>
      <c r="F641" t="inlineStr">
        <is>
          <t>VÄRMLANDS LÄN</t>
        </is>
      </c>
      <c r="G641" t="inlineStr">
        <is>
          <t>FILIPSTAD</t>
        </is>
      </c>
      <c r="I641" t="n">
        <v>19.3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4129-2023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46279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13.9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3919-2023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45233</v>
      </c>
      <c r="E643" s="1" t="n">
        <v>46279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17.4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4135-2023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45247</v>
      </c>
      <c r="E644" s="1" t="n">
        <v>46279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18.9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4126-2023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45247</v>
      </c>
      <c r="E645" s="1" t="n">
        <v>46279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20.4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294-2025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45687</v>
      </c>
      <c r="E646" s="1" t="n">
        <v>46279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186.4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4116-2023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45246</v>
      </c>
      <c r="E647" s="1" t="n">
        <v>46279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6.4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661-2025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45716</v>
      </c>
      <c r="E648" s="1" t="n">
        <v>46279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161.7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3429-2025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45995</v>
      </c>
      <c r="E649" s="1" t="n">
        <v>46279</v>
      </c>
      <c r="F649" t="inlineStr">
        <is>
          <t>VÄRMLANDS LÄN</t>
        </is>
      </c>
      <c r="G649" t="inlineStr">
        <is>
          <t>FILIPSTAD</t>
        </is>
      </c>
      <c r="H649" t="inlineStr">
        <is>
          <t>Bergvik skog väst AB</t>
        </is>
      </c>
      <c r="I649" t="n">
        <v>12.1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3576-2025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46010</v>
      </c>
      <c r="E650" s="1" t="n">
        <v>46279</v>
      </c>
      <c r="F650" t="inlineStr">
        <is>
          <t>VÄRMLANDS LÄN</t>
        </is>
      </c>
      <c r="G650" t="inlineStr">
        <is>
          <t>FILIPSTAD</t>
        </is>
      </c>
      <c r="H650" t="inlineStr">
        <is>
          <t>Bergvik skog väst AB</t>
        </is>
      </c>
      <c r="I650" t="n">
        <v>27.1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>
      <c r="A651" t="inlineStr">
        <is>
          <t>S 105-2026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46036</v>
      </c>
      <c r="E651" s="1" t="n">
        <v>46279</v>
      </c>
      <c r="F651" t="inlineStr">
        <is>
          <t>VÄRMLANDS LÄN</t>
        </is>
      </c>
      <c r="G651" t="inlineStr">
        <is>
          <t>FILIPSTAD</t>
        </is>
      </c>
      <c r="H651" t="inlineStr">
        <is>
          <t>Bergvik skog väst AB</t>
        </is>
      </c>
      <c r="I651" t="n">
        <v>238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2026-09-14T02:12:34Z</dcterms:created>
  <dcterms:modified xmlns:dcterms="http://purl.org/dc/terms/" xmlns:xsi="http://www.w3.org/2001/XMLSchema-instance" xsi:type="dcterms:W3CDTF">2026-09-14T02:12:35Z</dcterms:modified>
</cp:coreProperties>
</file>