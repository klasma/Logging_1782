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45570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45570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45570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45570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45570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45570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45570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45570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45570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45570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45570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45570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45570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45570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45570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45570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45570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45570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45570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45570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45570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45570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38132-2024</t>
        </is>
      </c>
      <c r="B24" s="1" t="n">
        <v>45545</v>
      </c>
      <c r="C24" s="1" t="n">
        <v>45570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Fläcknycklar</t>
        </is>
      </c>
      <c r="S24">
        <f>HYPERLINK("https://klasma.github.io/Logging_1782/artfynd/A 38132-2024 artfynd.xlsx", "A 38132-2024")</f>
        <v/>
      </c>
      <c r="T24">
        <f>HYPERLINK("https://klasma.github.io/Logging_1782/kartor/A 38132-2024 karta.png", "A 38132-2024")</f>
        <v/>
      </c>
      <c r="V24">
        <f>HYPERLINK("https://klasma.github.io/Logging_1782/klagomål/A 38132-2024 FSC-klagomål.docx", "A 38132-2024")</f>
        <v/>
      </c>
      <c r="W24">
        <f>HYPERLINK("https://klasma.github.io/Logging_1782/klagomålsmail/A 38132-2024 FSC-klagomål mail.docx", "A 38132-2024")</f>
        <v/>
      </c>
      <c r="X24">
        <f>HYPERLINK("https://klasma.github.io/Logging_1782/tillsyn/A 38132-2024 tillsynsbegäran.docx", "A 38132-2024")</f>
        <v/>
      </c>
      <c r="Y24">
        <f>HYPERLINK("https://klasma.github.io/Logging_1782/tillsynsmail/A 38132-2024 tillsynsbegäran mail.docx", "A 38132-2024")</f>
        <v/>
      </c>
    </row>
    <row r="25" ht="15" customHeight="1">
      <c r="A25" t="inlineStr">
        <is>
          <t>A 38138-2024</t>
        </is>
      </c>
      <c r="B25" s="1" t="n">
        <v>45545</v>
      </c>
      <c r="C25" s="1" t="n">
        <v>45570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Fläcknycklar</t>
        </is>
      </c>
      <c r="S25">
        <f>HYPERLINK("https://klasma.github.io/Logging_1782/artfynd/A 38138-2024 artfynd.xlsx", "A 38138-2024")</f>
        <v/>
      </c>
      <c r="T25">
        <f>HYPERLINK("https://klasma.github.io/Logging_1782/kartor/A 38138-2024 karta.png", "A 38138-2024")</f>
        <v/>
      </c>
      <c r="V25">
        <f>HYPERLINK("https://klasma.github.io/Logging_1782/klagomål/A 38138-2024 FSC-klagomål.docx", "A 38138-2024")</f>
        <v/>
      </c>
      <c r="W25">
        <f>HYPERLINK("https://klasma.github.io/Logging_1782/klagomålsmail/A 38138-2024 FSC-klagomål mail.docx", "A 38138-2024")</f>
        <v/>
      </c>
      <c r="X25">
        <f>HYPERLINK("https://klasma.github.io/Logging_1782/tillsyn/A 38138-2024 tillsynsbegäran.docx", "A 38138-2024")</f>
        <v/>
      </c>
      <c r="Y25">
        <f>HYPERLINK("https://klasma.github.io/Logging_1782/tillsynsmail/A 38138-2024 tillsynsbegäran mail.docx", "A 38138-2024")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45570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45570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45570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45570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45570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45570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45570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45570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45570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45570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45570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45570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45570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45570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45570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45570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45570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45570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45570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45570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45570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45570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45570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45570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45570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45570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45570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45570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45570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45570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45570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45570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45570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45570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45570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45570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45570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45570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45570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45570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45570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45570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45570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45570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45570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45570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45570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45570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45570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45570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45570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45570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45570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45570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45570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45570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45570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45570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45570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45570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45570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45570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45570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45570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45570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45570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45570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45570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45570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45570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45570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45570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45570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45570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45570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45570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45570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45570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45570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45570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45570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45570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45570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45570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45570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45570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45570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45570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45570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45570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45570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45570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45570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45570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45570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45570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45570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45570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45570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45570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45570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45570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45570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45570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45570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45570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45570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45570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45570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45570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45570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45570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45570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45570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45570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45570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45570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45570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45570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45570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45570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45570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45570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45570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45570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45570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45570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45570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45570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45570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45570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45570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45570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45570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45570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45570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45570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45570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45570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45570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45570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45570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45570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45570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45570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45570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45570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45570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45570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45570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45570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45570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45570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45570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45570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45570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45570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45570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45570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45570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45570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45570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45570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45570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45570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45570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45570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45570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45570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45570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45570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45570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45570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45570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45570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45570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45570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45570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45570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45570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45570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45570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45570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45570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45570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45570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45570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45570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45570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45570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45570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45570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45570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45570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45570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45570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45570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45570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45570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45570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45570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45570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45570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45570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45570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45570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45570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45570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45570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45570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45570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45570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45570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45570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45570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45570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45570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45570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45570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45570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45570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45570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45570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45570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45570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45570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45570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45570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45570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45570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45570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45570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45570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45570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45570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45570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45570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45570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45570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45570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45570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45570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45570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45570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45570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45570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45570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45570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45570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45570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45570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45570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45570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45570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45570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45570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45570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45570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45570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45570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45570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45570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45570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45570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45570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45570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45570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45570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45570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45570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45570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45570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45570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45570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45570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45570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45570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45570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45570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45570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45570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45570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45570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45570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45570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45570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45570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45570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45570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45570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45570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45570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45570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45570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45570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45570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45570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45570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45570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45570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45570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45570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45570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45570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45570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45570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45570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45570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45570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45570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45570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45570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45570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45570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45570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45570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45570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45570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45570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45570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45570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45570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45570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45570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45570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45570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45570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45570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45570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45570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45570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45570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45570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45570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45570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45570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45570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45570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45570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45570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45570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45570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45570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45570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45570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45570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45570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45570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45570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45570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45570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45570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45570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45570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45570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45570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45570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45570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45570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45570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45570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45570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45570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45570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45570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45570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45570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45570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45570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45570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45570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45570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45570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45570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45570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45570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45570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45570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45570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45570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45570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45570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45570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45570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45570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45570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45570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45570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45570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45570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45570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45570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45570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45570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45570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45570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45570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45570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45570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45570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45570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45570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45570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45570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45570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45570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45570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45570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45570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45570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45570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45570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45570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45570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45570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45570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45570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45570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45570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45570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45570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45570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45570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45570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45570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45570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45570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45570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45570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45570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45570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45570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45570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45570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45570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45570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45570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45570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45570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45570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45570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45570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45570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45570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45570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45570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45570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45570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45570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45570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45570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45570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45570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45570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45570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45570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45570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45570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45570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45570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45570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45570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45570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45570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45570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45570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45570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45570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45570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45570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45570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45570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45570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45570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45570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45570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45570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45570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45570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45570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45570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45570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45570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45570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45570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45570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45570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45570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45570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45570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45570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45570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45570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45570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45570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45570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45570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45570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45570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45570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45570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45570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45570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45570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45570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45570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45570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45570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45570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45570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45570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45570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45570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45570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45570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45570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45570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45570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45570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45570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45570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45570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45570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45570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45570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45570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45570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45570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45570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45570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45570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45570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45570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45570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45570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45570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45570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45570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45570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45570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45570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45570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45570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45570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45570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45570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45570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45570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45570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45570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45570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45570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45570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45570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45570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45570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45570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45570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45570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45570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45570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45570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45570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45570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45570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45570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45570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45570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45570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45570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45570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45570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45570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45570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45570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45570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45570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45570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45570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45570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45570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45570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45570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45570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45570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45570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45570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45570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45570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45570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45570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45570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45570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45570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45570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45570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45570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45570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45570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45570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45570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45570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45570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45570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45570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45570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45570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45570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45570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45570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45570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45570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45570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45570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45570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45570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45570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45570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45570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45570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45570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45570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45570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45570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45570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45570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45570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45570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45570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45570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45570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45570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45570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45570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45570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45570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45570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45570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45570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45570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45570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45570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45570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45570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45570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45570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45570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45570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45570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45570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45570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45570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45570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45570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45570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45570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45570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45570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45570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45570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45570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45570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45570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45570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45570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45570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45570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45570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45570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45570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45570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45570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45570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45570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45570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45570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45570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45570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45570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45570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45570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45570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45570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45570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45570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45570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45570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45570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45570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45570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45570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45570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45570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45570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45570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45570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45570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45570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45570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45570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45570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45570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45570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45570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45570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45570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45570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45570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45570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45570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45570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45570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45570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45570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45570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45570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45570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45570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45570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45570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45570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45570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45570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45570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45570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45570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45570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45570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45570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45570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45570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45570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45570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45570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45570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45570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45570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45570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45570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45570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45570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45570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45570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45570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45570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45570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45570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45570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45570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45570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45570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45570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45570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45570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45570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45570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45570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45570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45570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45570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45570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45570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45570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45570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45570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45570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45570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45570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45570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45570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45570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45570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45570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45570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45570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45570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45570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45570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45570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45570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45570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45570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45570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45570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45570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45570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45570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45570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45570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45570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45570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45570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37512-2024</t>
        </is>
      </c>
      <c r="B818" s="1" t="n">
        <v>45541</v>
      </c>
      <c r="C818" s="1" t="n">
        <v>45570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18.2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45570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37670-2024</t>
        </is>
      </c>
      <c r="B820" s="1" t="n">
        <v>45541</v>
      </c>
      <c r="C820" s="1" t="n">
        <v>45570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45570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45570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45570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45570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45570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45570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45570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41673-2024</t>
        </is>
      </c>
      <c r="B828" s="1" t="n">
        <v>45560</v>
      </c>
      <c r="C828" s="1" t="n">
        <v>45570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45570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45570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41676-2024</t>
        </is>
      </c>
      <c r="B831" s="1" t="n">
        <v>45560</v>
      </c>
      <c r="C831" s="1" t="n">
        <v>45570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45570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42183-2024</t>
        </is>
      </c>
      <c r="B833" s="1" t="n">
        <v>45562</v>
      </c>
      <c r="C833" s="1" t="n">
        <v>45570</v>
      </c>
      <c r="D833" t="inlineStr">
        <is>
          <t>VÄRMLANDS LÄN</t>
        </is>
      </c>
      <c r="E833" t="inlineStr">
        <is>
          <t>FILIPSTAD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42280-2024</t>
        </is>
      </c>
      <c r="B834" s="1" t="n">
        <v>45562</v>
      </c>
      <c r="C834" s="1" t="n">
        <v>45570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42179-2024</t>
        </is>
      </c>
      <c r="B835" s="1" t="n">
        <v>45562</v>
      </c>
      <c r="C835" s="1" t="n">
        <v>45570</v>
      </c>
      <c r="D835" t="inlineStr">
        <is>
          <t>VÄRMLANDS LÄN</t>
        </is>
      </c>
      <c r="E835" t="inlineStr">
        <is>
          <t>FILIPSTAD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42177-2024</t>
        </is>
      </c>
      <c r="B836" s="1" t="n">
        <v>45562</v>
      </c>
      <c r="C836" s="1" t="n">
        <v>45570</v>
      </c>
      <c r="D836" t="inlineStr">
        <is>
          <t>VÄRMLANDS LÄN</t>
        </is>
      </c>
      <c r="E836" t="inlineStr">
        <is>
          <t>FILIPSTAD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45570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45570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45570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43264-2024</t>
        </is>
      </c>
      <c r="B840" s="1" t="n">
        <v>45568</v>
      </c>
      <c r="C840" s="1" t="n">
        <v>45570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45570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45570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43632-2024</t>
        </is>
      </c>
      <c r="B843" s="1" t="n">
        <v>45569</v>
      </c>
      <c r="C843" s="1" t="n">
        <v>45570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23.3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45570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43633-2024</t>
        </is>
      </c>
      <c r="B845" s="1" t="n">
        <v>45569</v>
      </c>
      <c r="C845" s="1" t="n">
        <v>45570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2024-10-05T13:02:11Z</dcterms:created>
  <dcterms:modified xmlns:dcterms="http://purl.org/dc/terms/" xmlns:xsi="http://www.w3.org/2001/XMLSchema-instance" xsi:type="dcterms:W3CDTF">2024-10-05T13:02:12Z</dcterms:modified>
</cp:coreProperties>
</file>