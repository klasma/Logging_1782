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46309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46309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46309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46309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36234-2026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46268</v>
      </c>
      <c r="E15" s="1" t="n">
        <v>46309</v>
      </c>
      <c r="F15" t="inlineStr">
        <is>
          <t>VÄRMLANDS LÄN</t>
        </is>
      </c>
      <c r="G15" t="inlineStr">
        <is>
          <t>FILIPSTAD</t>
        </is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5</v>
      </c>
      <c r="V15" s="2" t="inlineStr">
        <is>
          <t>Kattfot
Fläcknycklar
Nattviol</t>
        </is>
      </c>
      <c r="W15">
        <f>HYPERLINK("https://klasma.github.io/Logging_1782/artfynd/A 36234-2026 artfynd.xlsx", "A 36234-2026")</f>
        <v/>
      </c>
      <c r="X15">
        <f>HYPERLINK("https://klasma.github.io/Logging_1782/kartor/A 36234-2026 karta.png", "A 36234-2026")</f>
        <v/>
      </c>
      <c r="Y15">
        <f>HYPERLINK("https://klasma.github.io/Logging_1782/kartor_geotiff/A 36234-2026 georefererad karta.tif", "A 36234-2026")</f>
        <v/>
      </c>
      <c r="AA15">
        <f>HYPERLINK("https://klasma.github.io/Logging_1782/klagomål/A 36234-2026 FSC-klagomål.docx", "A 36234-2026")</f>
        <v/>
      </c>
      <c r="AB15">
        <f>HYPERLINK("https://klasma.github.io/Logging_1782/klagomålsmail/A 36234-2026 FSC-klagomål mail.docx", "A 36234-2026")</f>
        <v/>
      </c>
      <c r="AC15">
        <f>HYPERLINK("https://klasma.github.io/Logging_1782/tillsyn/A 36234-2026 tillsynsbegäran.docx", "A 36234-2026")</f>
        <v/>
      </c>
      <c r="AD15">
        <f>HYPERLINK("https://klasma.github.io/Logging_1782/tillsynsmail/A 36234-2026 tillsynsbegäran mail.docx", "A 36234-2026")</f>
        <v/>
      </c>
    </row>
    <row r="16" ht="15" customHeight="1">
      <c r="A16" t="inlineStr">
        <is>
          <t>A 37620-2026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46276</v>
      </c>
      <c r="E16" s="1" t="n">
        <v>46309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4.1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Garnlav
Kandelabersvamp
Tretåig hackspett</t>
        </is>
      </c>
      <c r="W16">
        <f>HYPERLINK("https://klasma.github.io/Logging_1782/artfynd/A 37620-2026 artfynd.xlsx", "A 37620-2026")</f>
        <v/>
      </c>
      <c r="X16">
        <f>HYPERLINK("https://klasma.github.io/Logging_1782/kartor/A 37620-2026 karta.png", "A 37620-2026")</f>
        <v/>
      </c>
      <c r="Y16">
        <f>HYPERLINK("https://klasma.github.io/Logging_1782/kartor_geotiff/A 37620-2026 georefererad karta.tif", "A 37620-2026")</f>
        <v/>
      </c>
      <c r="AA16">
        <f>HYPERLINK("https://klasma.github.io/Logging_1782/klagomål/A 37620-2026 FSC-klagomål.docx", "A 37620-2026")</f>
        <v/>
      </c>
      <c r="AB16">
        <f>HYPERLINK("https://klasma.github.io/Logging_1782/klagomålsmail/A 37620-2026 FSC-klagomål mail.docx", "A 37620-2026")</f>
        <v/>
      </c>
      <c r="AC16">
        <f>HYPERLINK("https://klasma.github.io/Logging_1782/tillsyn/A 37620-2026 tillsynsbegäran.docx", "A 37620-2026")</f>
        <v/>
      </c>
      <c r="AD16">
        <f>HYPERLINK("https://klasma.github.io/Logging_1782/tillsynsmail/A 37620-2026 tillsynsbegäran mail.docx", "A 37620-2026")</f>
        <v/>
      </c>
      <c r="AE16">
        <f>HYPERLINK("https://klasma.github.io/Logging_1782/fåglar/A 37620-2026 prioriterade fågelarter.docx", "A 37620-2026")</f>
        <v/>
      </c>
    </row>
    <row r="17" ht="15" customHeight="1">
      <c r="A17" t="inlineStr">
        <is>
          <t>A 38667-2026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46283</v>
      </c>
      <c r="E17" s="1" t="n">
        <v>46309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10.7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5</v>
      </c>
      <c r="U17" t="n">
        <v>0</v>
      </c>
      <c r="V17" s="2" t="inlineStr">
        <is>
          <t>Brunklöver
Tvåblad
Fläcknycklar</t>
        </is>
      </c>
      <c r="W17">
        <f>HYPERLINK("https://klasma.github.io/Logging_1782/artfynd/A 38667-2026 artfynd.xlsx", "A 38667-2026")</f>
        <v/>
      </c>
      <c r="X17">
        <f>HYPERLINK("https://klasma.github.io/Logging_1782/kartor/A 38667-2026 karta.png", "A 38667-2026")</f>
        <v/>
      </c>
      <c r="Y17">
        <f>HYPERLINK("https://klasma.github.io/Logging_1782/kartor_geotiff/A 38667-2026 georefererad karta.tif", "A 38667-2026")</f>
        <v/>
      </c>
      <c r="AA17">
        <f>HYPERLINK("https://klasma.github.io/Logging_1782/klagomål/A 38667-2026 FSC-klagomål.docx", "A 38667-2026")</f>
        <v/>
      </c>
      <c r="AB17">
        <f>HYPERLINK("https://klasma.github.io/Logging_1782/klagomålsmail/A 38667-2026 FSC-klagomål mail.docx", "A 38667-2026")</f>
        <v/>
      </c>
      <c r="AC17">
        <f>HYPERLINK("https://klasma.github.io/Logging_1782/tillsyn/A 38667-2026 tillsynsbegäran.docx", "A 38667-2026")</f>
        <v/>
      </c>
      <c r="AD17">
        <f>HYPERLINK("https://klasma.github.io/Logging_1782/tillsynsmail/A 38667-2026 tillsynsbegäran mail.docx", "A 38667-2026")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46309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34684-2026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46309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7.2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Bårdlav
Stuplav
Fläcknycklar</t>
        </is>
      </c>
      <c r="W19">
        <f>HYPERLINK("https://klasma.github.io/Logging_1782/artfynd/A 34684-2026 artfynd.xlsx", "A 34684-2026")</f>
        <v/>
      </c>
      <c r="X19">
        <f>HYPERLINK("https://klasma.github.io/Logging_1782/kartor/A 34684-2026 karta.png", "A 34684-2026")</f>
        <v/>
      </c>
      <c r="Y19">
        <f>HYPERLINK("https://klasma.github.io/Logging_1782/kartor_geotiff/A 34684-2026 georefererad karta.tif", "A 34684-2026")</f>
        <v/>
      </c>
      <c r="AA19">
        <f>HYPERLINK("https://klasma.github.io/Logging_1782/klagomål/A 34684-2026 FSC-klagomål.docx", "A 34684-2026")</f>
        <v/>
      </c>
      <c r="AB19">
        <f>HYPERLINK("https://klasma.github.io/Logging_1782/klagomålsmail/A 34684-2026 FSC-klagomål mail.docx", "A 34684-2026")</f>
        <v/>
      </c>
      <c r="AC19">
        <f>HYPERLINK("https://klasma.github.io/Logging_1782/tillsyn/A 34684-2026 tillsynsbegäran.docx", "A 34684-2026")</f>
        <v/>
      </c>
      <c r="AD19">
        <f>HYPERLINK("https://klasma.github.io/Logging_1782/tillsynsmail/A 34684-2026 tillsynsbegäran mail.docx", "A 34684-2026")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46309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19945-2023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46309</v>
      </c>
      <c r="F21" t="inlineStr">
        <is>
          <t>VÄRMLANDS LÄN</t>
        </is>
      </c>
      <c r="G21" t="inlineStr">
        <is>
          <t>FILIPSTAD</t>
        </is>
      </c>
      <c r="I21" t="n">
        <v>3.3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3</v>
      </c>
      <c r="V21" s="2" t="inlineStr">
        <is>
          <t>Guckusko
Kransrams</t>
        </is>
      </c>
      <c r="W21">
        <f>HYPERLINK("https://klasma.github.io/Logging_1782/artfynd/A 19945-2023 artfynd.xlsx", "A 19945-2023")</f>
        <v/>
      </c>
      <c r="X21">
        <f>HYPERLINK("https://klasma.github.io/Logging_1782/kartor/A 19945-2023 karta.png", "A 19945-2023")</f>
        <v/>
      </c>
      <c r="Y21">
        <f>HYPERLINK("https://klasma.github.io/Logging_1782/kartor_geotiff/A 19945-2023 georefererad karta.tif", "A 19945-2023")</f>
        <v/>
      </c>
      <c r="AA21">
        <f>HYPERLINK("https://klasma.github.io/Logging_1782/klagomål/A 19945-2023 FSC-klagomål.docx", "A 19945-2023")</f>
        <v/>
      </c>
      <c r="AB21">
        <f>HYPERLINK("https://klasma.github.io/Logging_1782/klagomålsmail/A 19945-2023 FSC-klagomål mail.docx", "A 19945-2023")</f>
        <v/>
      </c>
      <c r="AC21">
        <f>HYPERLINK("https://klasma.github.io/Logging_1782/tillsyn/A 19945-2023 tillsynsbegäran.docx", "A 19945-2023")</f>
        <v/>
      </c>
      <c r="AD21">
        <f>HYPERLINK("https://klasma.github.io/Logging_1782/tillsynsmail/A 19945-2023 tillsynsbegäran mail.docx", "A 19945-2023")</f>
        <v/>
      </c>
    </row>
    <row r="22" ht="15" customHeight="1">
      <c r="A22" t="inlineStr">
        <is>
          <t>A 17274-2024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45414</v>
      </c>
      <c r="E22" s="1" t="n">
        <v>46309</v>
      </c>
      <c r="F22" t="inlineStr">
        <is>
          <t>VÄRMLANDS LÄN</t>
        </is>
      </c>
      <c r="G22" t="inlineStr">
        <is>
          <t>FILIPSTAD</t>
        </is>
      </c>
      <c r="H22" t="inlineStr">
        <is>
          <t>Kommuner</t>
        </is>
      </c>
      <c r="I22" t="n">
        <v>5.8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Dropptaggsvamp
Talltita</t>
        </is>
      </c>
      <c r="W22">
        <f>HYPERLINK("https://klasma.github.io/Logging_1782/artfynd/A 17274-2024 artfynd.xlsx", "A 17274-2024")</f>
        <v/>
      </c>
      <c r="X22">
        <f>HYPERLINK("https://klasma.github.io/Logging_1782/kartor/A 17274-2024 karta.png", "A 17274-2024")</f>
        <v/>
      </c>
      <c r="Y22">
        <f>HYPERLINK("https://klasma.github.io/Logging_1782/kartor_geotiff/A 17274-2024 georefererad karta.tif", "A 17274-2024")</f>
        <v/>
      </c>
      <c r="AA22">
        <f>HYPERLINK("https://klasma.github.io/Logging_1782/klagomål/A 17274-2024 FSC-klagomål.docx", "A 17274-2024")</f>
        <v/>
      </c>
      <c r="AB22">
        <f>HYPERLINK("https://klasma.github.io/Logging_1782/klagomålsmail/A 17274-2024 FSC-klagomål mail.docx", "A 17274-2024")</f>
        <v/>
      </c>
      <c r="AC22">
        <f>HYPERLINK("https://klasma.github.io/Logging_1782/tillsyn/A 17274-2024 tillsynsbegäran.docx", "A 17274-2024")</f>
        <v/>
      </c>
      <c r="AD22">
        <f>HYPERLINK("https://klasma.github.io/Logging_1782/tillsynsmail/A 17274-2024 tillsynsbegäran mail.docx", "A 17274-2024")</f>
        <v/>
      </c>
      <c r="AE22">
        <f>HYPERLINK("https://klasma.github.io/Logging_1782/fåglar/A 17274-2024 prioriterade fågelarter.docx", "A 17274-2024")</f>
        <v/>
      </c>
    </row>
    <row r="23" ht="15" customHeight="1">
      <c r="A23" t="inlineStr">
        <is>
          <t>A 45523-2022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44845</v>
      </c>
      <c r="E23" s="1" t="n">
        <v>46309</v>
      </c>
      <c r="F23" t="inlineStr">
        <is>
          <t>VÄRMLANDS LÄN</t>
        </is>
      </c>
      <c r="G23" t="inlineStr">
        <is>
          <t>FILIPSTAD</t>
        </is>
      </c>
      <c r="I23" t="n">
        <v>7.7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Bronshjon
Korallblylav</t>
        </is>
      </c>
      <c r="W23">
        <f>HYPERLINK("https://klasma.github.io/Logging_1782/artfynd/A 45523-2022 artfynd.xlsx", "A 45523-2022")</f>
        <v/>
      </c>
      <c r="X23">
        <f>HYPERLINK("https://klasma.github.io/Logging_1782/kartor/A 45523-2022 karta.png", "A 45523-2022")</f>
        <v/>
      </c>
      <c r="Y23">
        <f>HYPERLINK("https://klasma.github.io/Logging_1782/kartor_geotiff/A 45523-2022 georefererad karta.tif", "A 45523-2022")</f>
        <v/>
      </c>
      <c r="AA23">
        <f>HYPERLINK("https://klasma.github.io/Logging_1782/klagomål/A 45523-2022 FSC-klagomål.docx", "A 45523-2022")</f>
        <v/>
      </c>
      <c r="AB23">
        <f>HYPERLINK("https://klasma.github.io/Logging_1782/klagomålsmail/A 45523-2022 FSC-klagomål mail.docx", "A 45523-2022")</f>
        <v/>
      </c>
      <c r="AC23">
        <f>HYPERLINK("https://klasma.github.io/Logging_1782/tillsyn/A 45523-2022 tillsynsbegäran.docx", "A 45523-2022")</f>
        <v/>
      </c>
      <c r="AD23">
        <f>HYPERLINK("https://klasma.github.io/Logging_1782/tillsynsmail/A 45523-2022 tillsynsbegäran mail.docx", "A 45523-2022")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46309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46309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29469-2026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46203</v>
      </c>
      <c r="E26" s="1" t="n">
        <v>46309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21.6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Igelkott
Fläcknycklar</t>
        </is>
      </c>
      <c r="W26">
        <f>HYPERLINK("https://klasma.github.io/Logging_1782/artfynd/A 29469-2026 artfynd.xlsx", "A 29469-2026")</f>
        <v/>
      </c>
      <c r="X26">
        <f>HYPERLINK("https://klasma.github.io/Logging_1782/kartor/A 29469-2026 karta.png", "A 29469-2026")</f>
        <v/>
      </c>
      <c r="Y26">
        <f>HYPERLINK("https://klasma.github.io/Logging_1782/kartor_geotiff/A 29469-2026 georefererad karta.tif", "A 29469-2026")</f>
        <v/>
      </c>
      <c r="AA26">
        <f>HYPERLINK("https://klasma.github.io/Logging_1782/klagomål/A 29469-2026 FSC-klagomål.docx", "A 29469-2026")</f>
        <v/>
      </c>
      <c r="AB26">
        <f>HYPERLINK("https://klasma.github.io/Logging_1782/klagomålsmail/A 29469-2026 FSC-klagomål mail.docx", "A 29469-2026")</f>
        <v/>
      </c>
      <c r="AC26">
        <f>HYPERLINK("https://klasma.github.io/Logging_1782/tillsyn/A 29469-2026 tillsynsbegäran.docx", "A 29469-2026")</f>
        <v/>
      </c>
      <c r="AD26">
        <f>HYPERLINK("https://klasma.github.io/Logging_1782/tillsynsmail/A 29469-2026 tillsynsbegäran mail.docx", "A 29469-2026")</f>
        <v/>
      </c>
    </row>
    <row r="27" ht="15" customHeight="1">
      <c r="A27" t="inlineStr">
        <is>
          <t>A 37534-2026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46276</v>
      </c>
      <c r="E27" s="1" t="n">
        <v>46309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8</v>
      </c>
      <c r="U27" t="n">
        <v>0</v>
      </c>
      <c r="V27" s="2" t="inlineStr">
        <is>
          <t>Garnlav
Spillkråka</t>
        </is>
      </c>
      <c r="W27">
        <f>HYPERLINK("https://klasma.github.io/Logging_1782/artfynd/A 37534-2026 artfynd.xlsx", "A 37534-2026")</f>
        <v/>
      </c>
      <c r="X27">
        <f>HYPERLINK("https://klasma.github.io/Logging_1782/kartor/A 37534-2026 karta.png", "A 37534-2026")</f>
        <v/>
      </c>
      <c r="Y27">
        <f>HYPERLINK("https://klasma.github.io/Logging_1782/kartor_geotiff/A 37534-2026 georefererad karta.tif", "A 37534-2026")</f>
        <v/>
      </c>
      <c r="AA27">
        <f>HYPERLINK("https://klasma.github.io/Logging_1782/klagomål/A 37534-2026 FSC-klagomål.docx", "A 37534-2026")</f>
        <v/>
      </c>
      <c r="AB27">
        <f>HYPERLINK("https://klasma.github.io/Logging_1782/klagomålsmail/A 37534-2026 FSC-klagomål mail.docx", "A 37534-2026")</f>
        <v/>
      </c>
      <c r="AC27">
        <f>HYPERLINK("https://klasma.github.io/Logging_1782/tillsyn/A 37534-2026 tillsynsbegäran.docx", "A 37534-2026")</f>
        <v/>
      </c>
      <c r="AD27">
        <f>HYPERLINK("https://klasma.github.io/Logging_1782/tillsynsmail/A 37534-2026 tillsynsbegäran mail.docx", "A 37534-2026")</f>
        <v/>
      </c>
      <c r="AE27">
        <f>HYPERLINK("https://klasma.github.io/Logging_1782/fåglar/A 37534-2026 prioriterade fågelarter.docx", "A 37534-2026")</f>
        <v/>
      </c>
    </row>
    <row r="28" ht="15" customHeight="1">
      <c r="A28" t="inlineStr">
        <is>
          <t>A 32438-2026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46239</v>
      </c>
      <c r="E28" s="1" t="n">
        <v>46309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Dubbelnycklar
Ängsnycklar</t>
        </is>
      </c>
      <c r="W28">
        <f>HYPERLINK("https://klasma.github.io/Logging_1782/artfynd/A 32438-2026 artfynd.xlsx", "A 32438-2026")</f>
        <v/>
      </c>
      <c r="X28">
        <f>HYPERLINK("https://klasma.github.io/Logging_1782/kartor/A 32438-2026 karta.png", "A 32438-2026")</f>
        <v/>
      </c>
      <c r="Y28">
        <f>HYPERLINK("https://klasma.github.io/Logging_1782/kartor_geotiff/A 32438-2026 georefererad karta.tif", "A 32438-2026")</f>
        <v/>
      </c>
      <c r="AA28">
        <f>HYPERLINK("https://klasma.github.io/Logging_1782/klagomål/A 32438-2026 FSC-klagomål.docx", "A 32438-2026")</f>
        <v/>
      </c>
      <c r="AB28">
        <f>HYPERLINK("https://klasma.github.io/Logging_1782/klagomålsmail/A 32438-2026 FSC-klagomål mail.docx", "A 32438-2026")</f>
        <v/>
      </c>
      <c r="AC28">
        <f>HYPERLINK("https://klasma.github.io/Logging_1782/tillsyn/A 32438-2026 tillsynsbegäran.docx", "A 32438-2026")</f>
        <v/>
      </c>
      <c r="AD28">
        <f>HYPERLINK("https://klasma.github.io/Logging_1782/tillsynsmail/A 32438-2026 tillsynsbegäran mail.docx", "A 32438-2026")</f>
        <v/>
      </c>
    </row>
    <row r="29" ht="15" customHeight="1">
      <c r="A29" t="inlineStr">
        <is>
          <t>A 16139-2025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45750</v>
      </c>
      <c r="E29" s="1" t="n">
        <v>46309</v>
      </c>
      <c r="F29" t="inlineStr">
        <is>
          <t>VÄRMLANDS LÄN</t>
        </is>
      </c>
      <c r="G29" t="inlineStr">
        <is>
          <t>FILIPSTAD</t>
        </is>
      </c>
      <c r="I29" t="n">
        <v>18.2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Bronshjon</t>
        </is>
      </c>
      <c r="W29">
        <f>HYPERLINK("https://klasma.github.io/Logging_1782/artfynd/A 16139-2025 artfynd.xlsx", "A 16139-2025")</f>
        <v/>
      </c>
      <c r="X29">
        <f>HYPERLINK("https://klasma.github.io/Logging_1782/kartor/A 16139-2025 karta.png", "A 16139-2025")</f>
        <v/>
      </c>
      <c r="Y29">
        <f>HYPERLINK("https://klasma.github.io/Logging_1782/kartor_geotiff/A 16139-2025 georefererad karta.tif", "A 16139-2025")</f>
        <v/>
      </c>
      <c r="AA29">
        <f>HYPERLINK("https://klasma.github.io/Logging_1782/klagomål/A 16139-2025 FSC-klagomål.docx", "A 16139-2025")</f>
        <v/>
      </c>
      <c r="AB29">
        <f>HYPERLINK("https://klasma.github.io/Logging_1782/klagomålsmail/A 16139-2025 FSC-klagomål mail.docx", "A 16139-2025")</f>
        <v/>
      </c>
      <c r="AC29">
        <f>HYPERLINK("https://klasma.github.io/Logging_1782/tillsyn/A 16139-2025 tillsynsbegäran.docx", "A 16139-2025")</f>
        <v/>
      </c>
      <c r="AD29">
        <f>HYPERLINK("https://klasma.github.io/Logging_1782/tillsynsmail/A 16139-2025 tillsynsbegäran mail.docx", "A 16139-2025")</f>
        <v/>
      </c>
    </row>
    <row r="30" ht="15" customHeight="1">
      <c r="A30" t="inlineStr">
        <is>
          <t>A 33583-2026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46248</v>
      </c>
      <c r="E30" s="1" t="n">
        <v>46309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16.4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Bårdlav
Stuplav</t>
        </is>
      </c>
      <c r="W30">
        <f>HYPERLINK("https://klasma.github.io/Logging_1782/artfynd/A 33583-2026 artfynd.xlsx", "A 33583-2026")</f>
        <v/>
      </c>
      <c r="X30">
        <f>HYPERLINK("https://klasma.github.io/Logging_1782/kartor/A 33583-2026 karta.png", "A 33583-2026")</f>
        <v/>
      </c>
      <c r="Y30">
        <f>HYPERLINK("https://klasma.github.io/Logging_1782/kartor_geotiff/A 33583-2026 georefererad karta.tif", "A 33583-2026")</f>
        <v/>
      </c>
      <c r="AA30">
        <f>HYPERLINK("https://klasma.github.io/Logging_1782/klagomål/A 33583-2026 FSC-klagomål.docx", "A 33583-2026")</f>
        <v/>
      </c>
      <c r="AB30">
        <f>HYPERLINK("https://klasma.github.io/Logging_1782/klagomålsmail/A 33583-2026 FSC-klagomål mail.docx", "A 33583-2026")</f>
        <v/>
      </c>
      <c r="AC30">
        <f>HYPERLINK("https://klasma.github.io/Logging_1782/tillsyn/A 33583-2026 tillsynsbegäran.docx", "A 33583-2026")</f>
        <v/>
      </c>
      <c r="AD30">
        <f>HYPERLINK("https://klasma.github.io/Logging_1782/tillsynsmail/A 33583-2026 tillsynsbegäran mail.docx", "A 33583-2026")</f>
        <v/>
      </c>
    </row>
    <row r="31" ht="15" customHeight="1">
      <c r="A31" t="inlineStr">
        <is>
          <t>A 42542-2026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46308</v>
      </c>
      <c r="E31" s="1" t="n">
        <v>46309</v>
      </c>
      <c r="F31" t="inlineStr">
        <is>
          <t>VÄRMLANDS LÄN</t>
        </is>
      </c>
      <c r="G31" t="inlineStr">
        <is>
          <t>FILIPSTAD</t>
        </is>
      </c>
      <c r="I31" t="n">
        <v>3.2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Nattviol</t>
        </is>
      </c>
      <c r="W31">
        <f>HYPERLINK("https://klasma.github.io/Logging_1782/artfynd/A 42542-2026 artfynd.xlsx", "A 42542-2026")</f>
        <v/>
      </c>
      <c r="X31">
        <f>HYPERLINK("https://klasma.github.io/Logging_1782/kartor/A 42542-2026 karta.png", "A 42542-2026")</f>
        <v/>
      </c>
      <c r="Y31">
        <f>HYPERLINK("https://klasma.github.io/Logging_1782/kartor_geotiff/A 42542-2026 georefererad karta.tif", "A 42542-2026")</f>
        <v/>
      </c>
      <c r="AA31">
        <f>HYPERLINK("https://klasma.github.io/Logging_1782/klagomål/A 42542-2026 FSC-klagomål.docx", "A 42542-2026")</f>
        <v/>
      </c>
      <c r="AB31">
        <f>HYPERLINK("https://klasma.github.io/Logging_1782/klagomålsmail/A 42542-2026 FSC-klagomål mail.docx", "A 42542-2026")</f>
        <v/>
      </c>
      <c r="AC31">
        <f>HYPERLINK("https://klasma.github.io/Logging_1782/tillsyn/A 42542-2026 tillsynsbegäran.docx", "A 42542-2026")</f>
        <v/>
      </c>
      <c r="AD31">
        <f>HYPERLINK("https://klasma.github.io/Logging_1782/tillsynsmail/A 42542-2026 tillsynsbegäran mail.docx", "A 42542-2026")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46309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46309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46309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11453-2025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45726</v>
      </c>
      <c r="E36" s="1" t="n">
        <v>46309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Purpurknipprot</t>
        </is>
      </c>
      <c r="W36">
        <f>HYPERLINK("https://klasma.github.io/Logging_1782/artfynd/A 11453-2025 artfynd.xlsx", "A 11453-2025")</f>
        <v/>
      </c>
      <c r="X36">
        <f>HYPERLINK("https://klasma.github.io/Logging_1782/kartor/A 11453-2025 karta.png", "A 11453-2025")</f>
        <v/>
      </c>
      <c r="Y36">
        <f>HYPERLINK("https://klasma.github.io/Logging_1782/kartor_geotiff/A 11453-2025 georefererad karta.tif", "A 11453-2025")</f>
        <v/>
      </c>
      <c r="AA36">
        <f>HYPERLINK("https://klasma.github.io/Logging_1782/klagomål/A 11453-2025 FSC-klagomål.docx", "A 11453-2025")</f>
        <v/>
      </c>
      <c r="AB36">
        <f>HYPERLINK("https://klasma.github.io/Logging_1782/klagomålsmail/A 11453-2025 FSC-klagomål mail.docx", "A 11453-2025")</f>
        <v/>
      </c>
      <c r="AC36">
        <f>HYPERLINK("https://klasma.github.io/Logging_1782/tillsyn/A 11453-2025 tillsynsbegäran.docx", "A 11453-2025")</f>
        <v/>
      </c>
      <c r="AD36">
        <f>HYPERLINK("https://klasma.github.io/Logging_1782/tillsynsmail/A 11453-2025 tillsynsbegäran mail.docx", "A 11453-2025")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46309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46309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25916-2025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45804</v>
      </c>
      <c r="E39" s="1" t="n">
        <v>46309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26.4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HYPERLINK("https://klasma.github.io/Logging_1782/artfynd/A 25916-2025 artfynd.xlsx", "A 25916-2025")</f>
        <v/>
      </c>
      <c r="X39">
        <f>HYPERLINK("https://klasma.github.io/Logging_1782/kartor/A 25916-2025 karta.png", "A 25916-2025")</f>
        <v/>
      </c>
      <c r="Y39">
        <f>HYPERLINK("https://klasma.github.io/Logging_1782/kartor_geotiff/A 25916-2025 georefererad karta.tif", "A 25916-2025")</f>
        <v/>
      </c>
      <c r="AA39">
        <f>HYPERLINK("https://klasma.github.io/Logging_1782/klagomål/A 25916-2025 FSC-klagomål.docx", "A 25916-2025")</f>
        <v/>
      </c>
      <c r="AB39">
        <f>HYPERLINK("https://klasma.github.io/Logging_1782/klagomålsmail/A 25916-2025 FSC-klagomål mail.docx", "A 25916-2025")</f>
        <v/>
      </c>
      <c r="AC39">
        <f>HYPERLINK("https://klasma.github.io/Logging_1782/tillsyn/A 25916-2025 tillsynsbegäran.docx", "A 25916-2025")</f>
        <v/>
      </c>
      <c r="AD39">
        <f>HYPERLINK("https://klasma.github.io/Logging_1782/tillsynsmail/A 25916-2025 tillsynsbegäran mail.docx", "A 25916-2025")</f>
        <v/>
      </c>
    </row>
    <row r="40" ht="15" customHeight="1">
      <c r="A40" t="inlineStr">
        <is>
          <t>A 23046-2023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45075</v>
      </c>
      <c r="E40" s="1" t="n">
        <v>46309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HYPERLINK("https://klasma.github.io/Logging_1782/artfynd/A 23046-2023 artfynd.xlsx", "A 23046-2023")</f>
        <v/>
      </c>
      <c r="X40">
        <f>HYPERLINK("https://klasma.github.io/Logging_1782/kartor/A 23046-2023 karta.png", "A 23046-2023")</f>
        <v/>
      </c>
      <c r="Y40">
        <f>HYPERLINK("https://klasma.github.io/Logging_1782/kartor_geotiff/A 23046-2023 georefererad karta.tif", "A 23046-2023")</f>
        <v/>
      </c>
      <c r="Z40">
        <f>HYPERLINK("https://klasma.github.io/Logging_1782/knärot/A 23046-2023 karta knärot.png", "A 23046-2023")</f>
        <v/>
      </c>
      <c r="AA40">
        <f>HYPERLINK("https://klasma.github.io/Logging_1782/klagomål/A 23046-2023 FSC-klagomål.docx", "A 23046-2023")</f>
        <v/>
      </c>
      <c r="AB40">
        <f>HYPERLINK("https://klasma.github.io/Logging_1782/klagomålsmail/A 23046-2023 FSC-klagomål mail.docx", "A 23046-2023")</f>
        <v/>
      </c>
      <c r="AC40">
        <f>HYPERLINK("https://klasma.github.io/Logging_1782/tillsyn/A 23046-2023 tillsynsbegäran.docx", "A 23046-2023")</f>
        <v/>
      </c>
      <c r="AD40">
        <f>HYPERLINK("https://klasma.github.io/Logging_1782/tillsynsmail/A 23046-2023 tillsynsbegäran mail.docx", "A 23046-2023")</f>
        <v/>
      </c>
    </row>
    <row r="41" ht="15" customHeight="1">
      <c r="A41" t="inlineStr">
        <is>
          <t>A 45781-2025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45923</v>
      </c>
      <c r="E41" s="1" t="n">
        <v>46309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Brunklöver</t>
        </is>
      </c>
      <c r="W41">
        <f>HYPERLINK("https://klasma.github.io/Logging_1782/artfynd/A 45781-2025 artfynd.xlsx", "A 45781-2025")</f>
        <v/>
      </c>
      <c r="X41">
        <f>HYPERLINK("https://klasma.github.io/Logging_1782/kartor/A 45781-2025 karta.png", "A 45781-2025")</f>
        <v/>
      </c>
      <c r="Y41">
        <f>HYPERLINK("https://klasma.github.io/Logging_1782/kartor_geotiff/A 45781-2025 georefererad karta.tif", "A 45781-2025")</f>
        <v/>
      </c>
      <c r="AA41">
        <f>HYPERLINK("https://klasma.github.io/Logging_1782/klagomål/A 45781-2025 FSC-klagomål.docx", "A 45781-2025")</f>
        <v/>
      </c>
      <c r="AB41">
        <f>HYPERLINK("https://klasma.github.io/Logging_1782/klagomålsmail/A 45781-2025 FSC-klagomål mail.docx", "A 45781-2025")</f>
        <v/>
      </c>
      <c r="AC41">
        <f>HYPERLINK("https://klasma.github.io/Logging_1782/tillsyn/A 45781-2025 tillsynsbegäran.docx", "A 45781-2025")</f>
        <v/>
      </c>
      <c r="AD41">
        <f>HYPERLINK("https://klasma.github.io/Logging_1782/tillsynsmail/A 45781-2025 tillsynsbegäran mail.docx", "A 45781-2025")</f>
        <v/>
      </c>
    </row>
    <row r="42" ht="15" customHeight="1">
      <c r="A42" t="inlineStr">
        <is>
          <t>A 30652-2025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45831</v>
      </c>
      <c r="E42" s="1" t="n">
        <v>46309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4.3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HYPERLINK("https://klasma.github.io/Logging_1782/artfynd/A 30652-2025 artfynd.xlsx", "A 30652-2025")</f>
        <v/>
      </c>
      <c r="X42">
        <f>HYPERLINK("https://klasma.github.io/Logging_1782/kartor/A 30652-2025 karta.png", "A 30652-2025")</f>
        <v/>
      </c>
      <c r="Y42">
        <f>HYPERLINK("https://klasma.github.io/Logging_1782/kartor_geotiff/A 30652-2025 georefererad karta.tif", "A 30652-2025")</f>
        <v/>
      </c>
      <c r="AA42">
        <f>HYPERLINK("https://klasma.github.io/Logging_1782/klagomål/A 30652-2025 FSC-klagomål.docx", "A 30652-2025")</f>
        <v/>
      </c>
      <c r="AB42">
        <f>HYPERLINK("https://klasma.github.io/Logging_1782/klagomålsmail/A 30652-2025 FSC-klagomål mail.docx", "A 30652-2025")</f>
        <v/>
      </c>
      <c r="AC42">
        <f>HYPERLINK("https://klasma.github.io/Logging_1782/tillsyn/A 30652-2025 tillsynsbegäran.docx", "A 30652-2025")</f>
        <v/>
      </c>
      <c r="AD42">
        <f>HYPERLINK("https://klasma.github.io/Logging_1782/tillsynsmail/A 30652-2025 tillsynsbegäran mail.docx", "A 30652-2025")</f>
        <v/>
      </c>
      <c r="AE42">
        <f>HYPERLINK("https://klasma.github.io/Logging_1782/fåglar/A 30652-2025 prioriterade fågelarter.docx", "A 30652-2025")</f>
        <v/>
      </c>
    </row>
    <row r="43" ht="15" customHeight="1">
      <c r="A43" t="inlineStr">
        <is>
          <t>A 58734-2025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45986</v>
      </c>
      <c r="E43" s="1" t="n">
        <v>46309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Tretåig hackspett</t>
        </is>
      </c>
      <c r="W43">
        <f>HYPERLINK("https://klasma.github.io/Logging_1782/artfynd/A 58734-2025 artfynd.xlsx", "A 58734-2025")</f>
        <v/>
      </c>
      <c r="X43">
        <f>HYPERLINK("https://klasma.github.io/Logging_1782/kartor/A 58734-2025 karta.png", "A 58734-2025")</f>
        <v/>
      </c>
      <c r="Y43">
        <f>HYPERLINK("https://klasma.github.io/Logging_1782/kartor_geotiff/A 58734-2025 georefererad karta.tif", "A 58734-2025")</f>
        <v/>
      </c>
      <c r="AA43">
        <f>HYPERLINK("https://klasma.github.io/Logging_1782/klagomål/A 58734-2025 FSC-klagomål.docx", "A 58734-2025")</f>
        <v/>
      </c>
      <c r="AB43">
        <f>HYPERLINK("https://klasma.github.io/Logging_1782/klagomålsmail/A 58734-2025 FSC-klagomål mail.docx", "A 58734-2025")</f>
        <v/>
      </c>
      <c r="AC43">
        <f>HYPERLINK("https://klasma.github.io/Logging_1782/tillsyn/A 58734-2025 tillsynsbegäran.docx", "A 58734-2025")</f>
        <v/>
      </c>
      <c r="AD43">
        <f>HYPERLINK("https://klasma.github.io/Logging_1782/tillsynsmail/A 58734-2025 tillsynsbegäran mail.docx", "A 58734-2025")</f>
        <v/>
      </c>
      <c r="AE43">
        <f>HYPERLINK("https://klasma.github.io/Logging_1782/fåglar/A 58734-2025 prioriterade fågelarter.docx", "A 58734-2025")</f>
        <v/>
      </c>
    </row>
    <row r="44" ht="15" customHeight="1">
      <c r="A44" t="inlineStr">
        <is>
          <t>A 46978-2023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45195</v>
      </c>
      <c r="E44" s="1" t="n">
        <v>46309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HYPERLINK("https://klasma.github.io/Logging_1782/artfynd/A 46978-2023 artfynd.xlsx", "A 46978-2023")</f>
        <v/>
      </c>
      <c r="X44">
        <f>HYPERLINK("https://klasma.github.io/Logging_1782/kartor/A 46978-2023 karta.png", "A 46978-2023")</f>
        <v/>
      </c>
      <c r="Y44">
        <f>HYPERLINK("https://klasma.github.io/Logging_1782/kartor_geotiff/A 46978-2023 georefererad karta.tif", "A 46978-2023")</f>
        <v/>
      </c>
      <c r="AA44">
        <f>HYPERLINK("https://klasma.github.io/Logging_1782/klagomål/A 46978-2023 FSC-klagomål.docx", "A 46978-2023")</f>
        <v/>
      </c>
      <c r="AB44">
        <f>HYPERLINK("https://klasma.github.io/Logging_1782/klagomålsmail/A 46978-2023 FSC-klagomål mail.docx", "A 46978-2023")</f>
        <v/>
      </c>
      <c r="AC44">
        <f>HYPERLINK("https://klasma.github.io/Logging_1782/tillsyn/A 46978-2023 tillsynsbegäran.docx", "A 46978-2023")</f>
        <v/>
      </c>
      <c r="AD44">
        <f>HYPERLINK("https://klasma.github.io/Logging_1782/tillsynsmail/A 46978-2023 tillsynsbegäran mail.docx", "A 46978-2023")</f>
        <v/>
      </c>
    </row>
    <row r="45" ht="15" customHeight="1">
      <c r="A45" t="inlineStr">
        <is>
          <t>A 18138-2022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44684</v>
      </c>
      <c r="E45" s="1" t="n">
        <v>46309</v>
      </c>
      <c r="F45" t="inlineStr">
        <is>
          <t>VÄRMLANDS LÄN</t>
        </is>
      </c>
      <c r="G45" t="inlineStr">
        <is>
          <t>FILIPSTAD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18138-2022 artfynd.xlsx", "A 18138-2022")</f>
        <v/>
      </c>
      <c r="X45">
        <f>HYPERLINK("https://klasma.github.io/Logging_1782/kartor/A 18138-2022 karta.png", "A 18138-2022")</f>
        <v/>
      </c>
      <c r="Y45">
        <f>HYPERLINK("https://klasma.github.io/Logging_1782/kartor_geotiff/A 18138-2022 georefererad karta.tif", "A 18138-2022")</f>
        <v/>
      </c>
      <c r="AA45">
        <f>HYPERLINK("https://klasma.github.io/Logging_1782/klagomål/A 18138-2022 FSC-klagomål.docx", "A 18138-2022")</f>
        <v/>
      </c>
      <c r="AB45">
        <f>HYPERLINK("https://klasma.github.io/Logging_1782/klagomålsmail/A 18138-2022 FSC-klagomål mail.docx", "A 18138-2022")</f>
        <v/>
      </c>
      <c r="AC45">
        <f>HYPERLINK("https://klasma.github.io/Logging_1782/tillsyn/A 18138-2022 tillsynsbegäran.docx", "A 18138-2022")</f>
        <v/>
      </c>
      <c r="AD45">
        <f>HYPERLINK("https://klasma.github.io/Logging_1782/tillsynsmail/A 18138-2022 tillsynsbegäran mail.docx", "A 18138-2022")</f>
        <v/>
      </c>
    </row>
    <row r="46" ht="15" customHeight="1">
      <c r="A46" t="inlineStr">
        <is>
          <t>A 17529-2026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46309</v>
      </c>
      <c r="F46" t="inlineStr">
        <is>
          <t>VÄRMLANDS LÄN</t>
        </is>
      </c>
      <c r="G46" t="inlineStr">
        <is>
          <t>FILIPSTAD</t>
        </is>
      </c>
      <c r="I46" t="n">
        <v>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Ädellav</t>
        </is>
      </c>
      <c r="W46">
        <f>HYPERLINK("https://klasma.github.io/Logging_1782/artfynd/A 17529-2026 artfynd.xlsx", "A 17529-2026")</f>
        <v/>
      </c>
      <c r="X46">
        <f>HYPERLINK("https://klasma.github.io/Logging_1782/kartor/A 17529-2026 karta.png", "A 17529-2026")</f>
        <v/>
      </c>
      <c r="Y46">
        <f>HYPERLINK("https://klasma.github.io/Logging_1782/kartor_geotiff/A 17529-2026 georefererad karta.tif", "A 17529-2026")</f>
        <v/>
      </c>
      <c r="AA46">
        <f>HYPERLINK("https://klasma.github.io/Logging_1782/klagomål/A 17529-2026 FSC-klagomål.docx", "A 17529-2026")</f>
        <v/>
      </c>
      <c r="AB46">
        <f>HYPERLINK("https://klasma.github.io/Logging_1782/klagomålsmail/A 17529-2026 FSC-klagomål mail.docx", "A 17529-2026")</f>
        <v/>
      </c>
      <c r="AC46">
        <f>HYPERLINK("https://klasma.github.io/Logging_1782/tillsyn/A 17529-2026 tillsynsbegäran.docx", "A 17529-2026")</f>
        <v/>
      </c>
      <c r="AD46">
        <f>HYPERLINK("https://klasma.github.io/Logging_1782/tillsynsmail/A 17529-2026 tillsynsbegäran mail.docx", "A 17529-2026")</f>
        <v/>
      </c>
    </row>
    <row r="47" ht="15" customHeight="1">
      <c r="A47" t="inlineStr">
        <is>
          <t>A 874-2025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45665</v>
      </c>
      <c r="E47" s="1" t="n">
        <v>46309</v>
      </c>
      <c r="F47" t="inlineStr">
        <is>
          <t>VÄRMLANDS LÄN</t>
        </is>
      </c>
      <c r="G47" t="inlineStr">
        <is>
          <t>FILIPSTAD</t>
        </is>
      </c>
      <c r="H47" t="inlineStr">
        <is>
          <t>Kyrkan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Kamjordstjärna</t>
        </is>
      </c>
      <c r="W47">
        <f>HYPERLINK("https://klasma.github.io/Logging_1782/artfynd/A 874-2025 artfynd.xlsx", "A 874-2025")</f>
        <v/>
      </c>
      <c r="X47">
        <f>HYPERLINK("https://klasma.github.io/Logging_1782/kartor/A 874-2025 karta.png", "A 874-2025")</f>
        <v/>
      </c>
      <c r="Y47">
        <f>HYPERLINK("https://klasma.github.io/Logging_1782/kartor_geotiff/A 874-2025 georefererad karta.tif", "A 874-2025")</f>
        <v/>
      </c>
      <c r="AA47">
        <f>HYPERLINK("https://klasma.github.io/Logging_1782/klagomål/A 874-2025 FSC-klagomål.docx", "A 874-2025")</f>
        <v/>
      </c>
      <c r="AB47">
        <f>HYPERLINK("https://klasma.github.io/Logging_1782/klagomålsmail/A 874-2025 FSC-klagomål mail.docx", "A 874-2025")</f>
        <v/>
      </c>
      <c r="AC47">
        <f>HYPERLINK("https://klasma.github.io/Logging_1782/tillsyn/A 874-2025 tillsynsbegäran.docx", "A 874-2025")</f>
        <v/>
      </c>
      <c r="AD47">
        <f>HYPERLINK("https://klasma.github.io/Logging_1782/tillsynsmail/A 874-2025 tillsynsbegäran mail.docx", "A 874-2025")</f>
        <v/>
      </c>
    </row>
    <row r="48" ht="15" customHeight="1">
      <c r="A48" t="inlineStr">
        <is>
          <t>A 25862-2026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46309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3.5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Talltaggsvamp</t>
        </is>
      </c>
      <c r="W48">
        <f>HYPERLINK("https://klasma.github.io/Logging_1782/artfynd/A 25862-2026 artfynd.xlsx", "A 25862-2026")</f>
        <v/>
      </c>
      <c r="X48">
        <f>HYPERLINK("https://klasma.github.io/Logging_1782/kartor/A 25862-2026 karta.png", "A 25862-2026")</f>
        <v/>
      </c>
      <c r="Y48">
        <f>HYPERLINK("https://klasma.github.io/Logging_1782/kartor_geotiff/A 25862-2026 georefererad karta.tif", "A 25862-2026")</f>
        <v/>
      </c>
      <c r="AA48">
        <f>HYPERLINK("https://klasma.github.io/Logging_1782/klagomål/A 25862-2026 FSC-klagomål.docx", "A 25862-2026")</f>
        <v/>
      </c>
      <c r="AB48">
        <f>HYPERLINK("https://klasma.github.io/Logging_1782/klagomålsmail/A 25862-2026 FSC-klagomål mail.docx", "A 25862-2026")</f>
        <v/>
      </c>
      <c r="AC48">
        <f>HYPERLINK("https://klasma.github.io/Logging_1782/tillsyn/A 25862-2026 tillsynsbegäran.docx", "A 25862-2026")</f>
        <v/>
      </c>
      <c r="AD48">
        <f>HYPERLINK("https://klasma.github.io/Logging_1782/tillsynsmail/A 25862-2026 tillsynsbegäran mail.docx", "A 25862-2026")</f>
        <v/>
      </c>
    </row>
    <row r="49" ht="15" customHeight="1">
      <c r="A49" t="inlineStr">
        <is>
          <t>A 28989-2026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46309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7.2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HYPERLINK("https://klasma.github.io/Logging_1782/artfynd/A 28989-2026 artfynd.xlsx", "A 28989-2026")</f>
        <v/>
      </c>
      <c r="X49">
        <f>HYPERLINK("https://klasma.github.io/Logging_1782/kartor/A 28989-2026 karta.png", "A 28989-2026")</f>
        <v/>
      </c>
      <c r="Y49">
        <f>HYPERLINK("https://klasma.github.io/Logging_1782/kartor_geotiff/A 28989-2026 georefererad karta.tif", "A 28989-2026")</f>
        <v/>
      </c>
      <c r="AA49">
        <f>HYPERLINK("https://klasma.github.io/Logging_1782/klagomål/A 28989-2026 FSC-klagomål.docx", "A 28989-2026")</f>
        <v/>
      </c>
      <c r="AB49">
        <f>HYPERLINK("https://klasma.github.io/Logging_1782/klagomålsmail/A 28989-2026 FSC-klagomål mail.docx", "A 28989-2026")</f>
        <v/>
      </c>
      <c r="AC49">
        <f>HYPERLINK("https://klasma.github.io/Logging_1782/tillsyn/A 28989-2026 tillsynsbegäran.docx", "A 28989-2026")</f>
        <v/>
      </c>
      <c r="AD49">
        <f>HYPERLINK("https://klasma.github.io/Logging_1782/tillsynsmail/A 28989-2026 tillsynsbegäran mail.docx", "A 28989-2026")</f>
        <v/>
      </c>
    </row>
    <row r="50" ht="15" customHeight="1">
      <c r="A50" t="inlineStr">
        <is>
          <t>A 51522-2022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46309</v>
      </c>
      <c r="F50" t="inlineStr">
        <is>
          <t>VÄRMLANDS LÄN</t>
        </is>
      </c>
      <c r="G50" t="inlineStr">
        <is>
          <t>FILIPSTAD</t>
        </is>
      </c>
      <c r="I50" t="n">
        <v>4.1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HYPERLINK("https://klasma.github.io/Logging_1782/artfynd/A 51522-2022 artfynd.xlsx", "A 51522-2022")</f>
        <v/>
      </c>
      <c r="X50">
        <f>HYPERLINK("https://klasma.github.io/Logging_1782/kartor/A 51522-2022 karta.png", "A 51522-2022")</f>
        <v/>
      </c>
      <c r="Y50">
        <f>HYPERLINK("https://klasma.github.io/Logging_1782/kartor_geotiff/A 51522-2022 georefererad karta.tif", "A 51522-2022")</f>
        <v/>
      </c>
      <c r="AA50">
        <f>HYPERLINK("https://klasma.github.io/Logging_1782/klagomål/A 51522-2022 FSC-klagomål.docx", "A 51522-2022")</f>
        <v/>
      </c>
      <c r="AB50">
        <f>HYPERLINK("https://klasma.github.io/Logging_1782/klagomålsmail/A 51522-2022 FSC-klagomål mail.docx", "A 51522-2022")</f>
        <v/>
      </c>
      <c r="AC50">
        <f>HYPERLINK("https://klasma.github.io/Logging_1782/tillsyn/A 51522-2022 tillsynsbegäran.docx", "A 51522-2022")</f>
        <v/>
      </c>
      <c r="AD50">
        <f>HYPERLINK("https://klasma.github.io/Logging_1782/tillsynsmail/A 51522-2022 tillsynsbegäran mail.docx", "A 51522-2022")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46309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50776-2024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46309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15.5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HYPERLINK("https://klasma.github.io/Logging_1782/artfynd/A 50776-2024 artfynd.xlsx", "A 50776-2024")</f>
        <v/>
      </c>
      <c r="X52">
        <f>HYPERLINK("https://klasma.github.io/Logging_1782/kartor/A 50776-2024 karta.png", "A 50776-2024")</f>
        <v/>
      </c>
      <c r="Y52">
        <f>HYPERLINK("https://klasma.github.io/Logging_1782/kartor_geotiff/A 50776-2024 georefererad karta.tif", "A 50776-2024")</f>
        <v/>
      </c>
      <c r="AA52">
        <f>HYPERLINK("https://klasma.github.io/Logging_1782/klagomål/A 50776-2024 FSC-klagomål.docx", "A 50776-2024")</f>
        <v/>
      </c>
      <c r="AB52">
        <f>HYPERLINK("https://klasma.github.io/Logging_1782/klagomålsmail/A 50776-2024 FSC-klagomål mail.docx", "A 50776-2024")</f>
        <v/>
      </c>
      <c r="AC52">
        <f>HYPERLINK("https://klasma.github.io/Logging_1782/tillsyn/A 50776-2024 tillsynsbegäran.docx", "A 50776-2024")</f>
        <v/>
      </c>
      <c r="AD52">
        <f>HYPERLINK("https://klasma.github.io/Logging_1782/tillsynsmail/A 50776-2024 tillsynsbegäran mail.docx", "A 50776-2024")</f>
        <v/>
      </c>
    </row>
    <row r="53" ht="15" customHeight="1">
      <c r="A53" t="inlineStr">
        <is>
          <t>A 5992-2023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44959</v>
      </c>
      <c r="E53" s="1" t="n">
        <v>46309</v>
      </c>
      <c r="F53" t="inlineStr">
        <is>
          <t>VÄRMLANDS LÄN</t>
        </is>
      </c>
      <c r="G53" t="inlineStr">
        <is>
          <t>FILIPSTAD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5992-2023 artfynd.xlsx", "A 5992-2023")</f>
        <v/>
      </c>
      <c r="X53">
        <f>HYPERLINK("https://klasma.github.io/Logging_1782/kartor/A 5992-2023 karta.png", "A 5992-2023")</f>
        <v/>
      </c>
      <c r="Y53">
        <f>HYPERLINK("https://klasma.github.io/Logging_1782/kartor_geotiff/A 5992-2023 georefererad karta.tif", "A 5992-2023")</f>
        <v/>
      </c>
      <c r="AA53">
        <f>HYPERLINK("https://klasma.github.io/Logging_1782/klagomål/A 5992-2023 FSC-klagomål.docx", "A 5992-2023")</f>
        <v/>
      </c>
      <c r="AB53">
        <f>HYPERLINK("https://klasma.github.io/Logging_1782/klagomålsmail/A 5992-2023 FSC-klagomål mail.docx", "A 5992-2023")</f>
        <v/>
      </c>
      <c r="AC53">
        <f>HYPERLINK("https://klasma.github.io/Logging_1782/tillsyn/A 5992-2023 tillsynsbegäran.docx", "A 5992-2023")</f>
        <v/>
      </c>
      <c r="AD53">
        <f>HYPERLINK("https://klasma.github.io/Logging_1782/tillsynsmail/A 5992-2023 tillsynsbegäran mail.docx", "A 5992-2023")</f>
        <v/>
      </c>
    </row>
    <row r="54" ht="15" customHeight="1">
      <c r="A54" t="inlineStr">
        <is>
          <t>A 30988-2026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46213</v>
      </c>
      <c r="E54" s="1" t="n">
        <v>46309</v>
      </c>
      <c r="F54" t="inlineStr">
        <is>
          <t>VÄRMLANDS LÄN</t>
        </is>
      </c>
      <c r="G54" t="inlineStr">
        <is>
          <t>FILIPSTAD</t>
        </is>
      </c>
      <c r="I54" t="n">
        <v>2.4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Skuggblåslav</t>
        </is>
      </c>
      <c r="W54">
        <f>HYPERLINK("https://klasma.github.io/Logging_1782/artfynd/A 30988-2026 artfynd.xlsx", "A 30988-2026")</f>
        <v/>
      </c>
      <c r="X54">
        <f>HYPERLINK("https://klasma.github.io/Logging_1782/kartor/A 30988-2026 karta.png", "A 30988-2026")</f>
        <v/>
      </c>
      <c r="Y54">
        <f>HYPERLINK("https://klasma.github.io/Logging_1782/kartor_geotiff/A 30988-2026 georefererad karta.tif", "A 30988-2026")</f>
        <v/>
      </c>
      <c r="AA54">
        <f>HYPERLINK("https://klasma.github.io/Logging_1782/klagomål/A 30988-2026 FSC-klagomål.docx", "A 30988-2026")</f>
        <v/>
      </c>
      <c r="AB54">
        <f>HYPERLINK("https://klasma.github.io/Logging_1782/klagomålsmail/A 30988-2026 FSC-klagomål mail.docx", "A 30988-2026")</f>
        <v/>
      </c>
      <c r="AC54">
        <f>HYPERLINK("https://klasma.github.io/Logging_1782/tillsyn/A 30988-2026 tillsynsbegäran.docx", "A 30988-2026")</f>
        <v/>
      </c>
      <c r="AD54">
        <f>HYPERLINK("https://klasma.github.io/Logging_1782/tillsynsmail/A 30988-2026 tillsynsbegäran mail.docx", "A 30988-2026")</f>
        <v/>
      </c>
    </row>
    <row r="55" ht="15" customHeight="1">
      <c r="A55" t="inlineStr">
        <is>
          <t>A 1346-2025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45667</v>
      </c>
      <c r="E55" s="1" t="n">
        <v>46309</v>
      </c>
      <c r="F55" t="inlineStr">
        <is>
          <t>VÄRMLANDS LÄN</t>
        </is>
      </c>
      <c r="G55" t="inlineStr">
        <is>
          <t>FILIPSTAD</t>
        </is>
      </c>
      <c r="H55" t="inlineStr">
        <is>
          <t>Kommuner</t>
        </is>
      </c>
      <c r="I55" t="n">
        <v>6.9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Fläcknycklar</t>
        </is>
      </c>
      <c r="W55">
        <f>HYPERLINK("https://klasma.github.io/Logging_1782/artfynd/A 1346-2025 artfynd.xlsx", "A 1346-2025")</f>
        <v/>
      </c>
      <c r="X55">
        <f>HYPERLINK("https://klasma.github.io/Logging_1782/kartor/A 1346-2025 karta.png", "A 1346-2025")</f>
        <v/>
      </c>
      <c r="Y55">
        <f>HYPERLINK("https://klasma.github.io/Logging_1782/kartor_geotiff/A 1346-2025 georefererad karta.tif", "A 1346-2025")</f>
        <v/>
      </c>
      <c r="AA55">
        <f>HYPERLINK("https://klasma.github.io/Logging_1782/klagomål/A 1346-2025 FSC-klagomål.docx", "A 1346-2025")</f>
        <v/>
      </c>
      <c r="AB55">
        <f>HYPERLINK("https://klasma.github.io/Logging_1782/klagomålsmail/A 1346-2025 FSC-klagomål mail.docx", "A 1346-2025")</f>
        <v/>
      </c>
      <c r="AC55">
        <f>HYPERLINK("https://klasma.github.io/Logging_1782/tillsyn/A 1346-2025 tillsynsbegäran.docx", "A 1346-2025")</f>
        <v/>
      </c>
      <c r="AD55">
        <f>HYPERLINK("https://klasma.github.io/Logging_1782/tillsynsmail/A 1346-2025 tillsynsbegäran mail.docx", "A 1346-2025")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46309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46309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46309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46309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46309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46309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46309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46309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46309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46309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46309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46309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46309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44651</v>
      </c>
      <c r="E73" s="1" t="n">
        <v>46309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66376-2021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44518</v>
      </c>
      <c r="E74" s="1" t="n">
        <v>46309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9.800000000000001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46309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46309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46309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45230</v>
      </c>
      <c r="E78" s="1" t="n">
        <v>46309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9.9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46309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46309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46309</v>
      </c>
      <c r="F81" t="inlineStr">
        <is>
          <t>VÄRMLANDS LÄN</t>
        </is>
      </c>
      <c r="G81" t="inlineStr">
        <is>
          <t>FILIPSTAD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46309</v>
      </c>
      <c r="F82" t="inlineStr">
        <is>
          <t>VÄRMLANDS LÄN</t>
        </is>
      </c>
      <c r="G82" t="inlineStr">
        <is>
          <t>FILIPSTAD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46309</v>
      </c>
      <c r="F83" t="inlineStr">
        <is>
          <t>VÄRMLANDS LÄN</t>
        </is>
      </c>
      <c r="G83" t="inlineStr">
        <is>
          <t>FILIPSTAD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45391</v>
      </c>
      <c r="E84" s="1" t="n">
        <v>46309</v>
      </c>
      <c r="F84" t="inlineStr">
        <is>
          <t>VÄRMLANDS LÄN</t>
        </is>
      </c>
      <c r="G84" t="inlineStr">
        <is>
          <t>FILIPSTAD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46309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46309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46309</v>
      </c>
      <c r="F87" t="inlineStr">
        <is>
          <t>VÄRMLANDS LÄN</t>
        </is>
      </c>
      <c r="G87" t="inlineStr">
        <is>
          <t>FILIPSTAD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51945-2023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45223</v>
      </c>
      <c r="E88" s="1" t="n">
        <v>46309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46309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45408</v>
      </c>
      <c r="E90" s="1" t="n">
        <v>46309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45384</v>
      </c>
      <c r="E91" s="1" t="n">
        <v>46309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46309</v>
      </c>
      <c r="F92" t="inlineStr">
        <is>
          <t>VÄRMLANDS LÄN</t>
        </is>
      </c>
      <c r="G92" t="inlineStr">
        <is>
          <t>FILIPSTAD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45791</v>
      </c>
      <c r="E93" s="1" t="n">
        <v>46309</v>
      </c>
      <c r="F93" t="inlineStr">
        <is>
          <t>VÄRMLANDS LÄN</t>
        </is>
      </c>
      <c r="G93" t="inlineStr">
        <is>
          <t>FILIPSTAD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45267</v>
      </c>
      <c r="E94" s="1" t="n">
        <v>46309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46309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45593</v>
      </c>
      <c r="E96" s="1" t="n">
        <v>46309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35304-2024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45530</v>
      </c>
      <c r="E97" s="1" t="n">
        <v>46309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46309</v>
      </c>
      <c r="F98" t="inlineStr">
        <is>
          <t>VÄRMLANDS LÄN</t>
        </is>
      </c>
      <c r="G98" t="inlineStr">
        <is>
          <t>FILIPSTAD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45418</v>
      </c>
      <c r="E99" s="1" t="n">
        <v>46309</v>
      </c>
      <c r="F99" t="inlineStr">
        <is>
          <t>VÄRMLANDS LÄN</t>
        </is>
      </c>
      <c r="G99" t="inlineStr">
        <is>
          <t>FILIPSTAD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23399-2025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45792</v>
      </c>
      <c r="E100" s="1" t="n">
        <v>46309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45667</v>
      </c>
      <c r="E101" s="1" t="n">
        <v>46309</v>
      </c>
      <c r="F101" t="inlineStr">
        <is>
          <t>VÄRMLANDS LÄN</t>
        </is>
      </c>
      <c r="G101" t="inlineStr">
        <is>
          <t>FILIPSTAD</t>
        </is>
      </c>
      <c r="H101" t="inlineStr">
        <is>
          <t>Kommuner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46309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13.1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20844-2024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46309</v>
      </c>
      <c r="F103" t="inlineStr">
        <is>
          <t>VÄRMLANDS LÄN</t>
        </is>
      </c>
      <c r="G103" t="inlineStr">
        <is>
          <t>FILIPSTAD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45322</v>
      </c>
      <c r="E104" s="1" t="n">
        <v>46309</v>
      </c>
      <c r="F104" t="inlineStr">
        <is>
          <t>VÄRMLANDS LÄN</t>
        </is>
      </c>
      <c r="G104" t="inlineStr">
        <is>
          <t>FILIPSTAD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72118-2021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44543</v>
      </c>
      <c r="E105" s="1" t="n">
        <v>46309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45796</v>
      </c>
      <c r="E106" s="1" t="n">
        <v>46309</v>
      </c>
      <c r="F106" t="inlineStr">
        <is>
          <t>VÄRMLANDS LÄN</t>
        </is>
      </c>
      <c r="G106" t="inlineStr">
        <is>
          <t>FILIPSTAD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46309</v>
      </c>
      <c r="F107" t="inlineStr">
        <is>
          <t>VÄRMLANDS LÄN</t>
        </is>
      </c>
      <c r="G107" t="inlineStr">
        <is>
          <t>FILIPSTAD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46309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8712-2024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46309</v>
      </c>
      <c r="F109" t="inlineStr">
        <is>
          <t>VÄRMLANDS LÄN</t>
        </is>
      </c>
      <c r="G109" t="inlineStr">
        <is>
          <t>FILIPSTAD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65174-2021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44515</v>
      </c>
      <c r="E110" s="1" t="n">
        <v>46309</v>
      </c>
      <c r="F110" t="inlineStr">
        <is>
          <t>VÄRMLANDS LÄN</t>
        </is>
      </c>
      <c r="G110" t="inlineStr">
        <is>
          <t>FILIPSTAD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57026-2023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45244</v>
      </c>
      <c r="E111" s="1" t="n">
        <v>46309</v>
      </c>
      <c r="F111" t="inlineStr">
        <is>
          <t>VÄRMLANDS LÄN</t>
        </is>
      </c>
      <c r="G111" t="inlineStr">
        <is>
          <t>FILIPSTAD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45747</v>
      </c>
      <c r="E112" s="1" t="n">
        <v>46309</v>
      </c>
      <c r="F112" t="inlineStr">
        <is>
          <t>VÄRMLANDS LÄN</t>
        </is>
      </c>
      <c r="G112" t="inlineStr">
        <is>
          <t>FILIPSTAD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25468-2024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45463</v>
      </c>
      <c r="E113" s="1" t="n">
        <v>46309</v>
      </c>
      <c r="F113" t="inlineStr">
        <is>
          <t>VÄRMLANDS LÄN</t>
        </is>
      </c>
      <c r="G113" t="inlineStr">
        <is>
          <t>FILIPSTAD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44801</v>
      </c>
      <c r="E114" s="1" t="n">
        <v>46309</v>
      </c>
      <c r="F114" t="inlineStr">
        <is>
          <t>VÄRMLANDS LÄN</t>
        </is>
      </c>
      <c r="G114" t="inlineStr">
        <is>
          <t>FILIPSTAD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32185-2024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45511</v>
      </c>
      <c r="E115" s="1" t="n">
        <v>46309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47261-2024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46309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32262-2023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45120</v>
      </c>
      <c r="E117" s="1" t="n">
        <v>46309</v>
      </c>
      <c r="F117" t="inlineStr">
        <is>
          <t>VÄRMLANDS LÄN</t>
        </is>
      </c>
      <c r="G117" t="inlineStr">
        <is>
          <t>FILIPSTAD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26123-2025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45805</v>
      </c>
      <c r="E118" s="1" t="n">
        <v>46309</v>
      </c>
      <c r="F118" t="inlineStr">
        <is>
          <t>VÄRMLANDS LÄN</t>
        </is>
      </c>
      <c r="G118" t="inlineStr">
        <is>
          <t>FILIPSTAD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46309</v>
      </c>
      <c r="F119" t="inlineStr">
        <is>
          <t>VÄRMLANDS LÄN</t>
        </is>
      </c>
      <c r="G119" t="inlineStr">
        <is>
          <t>FILIPSTAD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26116-2025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45805</v>
      </c>
      <c r="E120" s="1" t="n">
        <v>46309</v>
      </c>
      <c r="F120" t="inlineStr">
        <is>
          <t>VÄRMLANDS LÄN</t>
        </is>
      </c>
      <c r="G120" t="inlineStr">
        <is>
          <t>FILIPSTAD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45810</v>
      </c>
      <c r="E121" s="1" t="n">
        <v>46309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26843-2024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45470</v>
      </c>
      <c r="E122" s="1" t="n">
        <v>46309</v>
      </c>
      <c r="F122" t="inlineStr">
        <is>
          <t>VÄRMLANDS LÄN</t>
        </is>
      </c>
      <c r="G122" t="inlineStr">
        <is>
          <t>FILIPSTAD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41718-2025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45902</v>
      </c>
      <c r="E123" s="1" t="n">
        <v>46309</v>
      </c>
      <c r="F123" t="inlineStr">
        <is>
          <t>VÄRMLANDS LÄN</t>
        </is>
      </c>
      <c r="G123" t="inlineStr">
        <is>
          <t>FILIPSTAD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26599-2024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45469</v>
      </c>
      <c r="E124" s="1" t="n">
        <v>46309</v>
      </c>
      <c r="F124" t="inlineStr">
        <is>
          <t>VÄRMLANDS LÄN</t>
        </is>
      </c>
      <c r="G124" t="inlineStr">
        <is>
          <t>FILIPSTAD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46309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46309</v>
      </c>
      <c r="F126" t="inlineStr">
        <is>
          <t>VÄRMLANDS LÄN</t>
        </is>
      </c>
      <c r="G126" t="inlineStr">
        <is>
          <t>FILIPSTAD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46309</v>
      </c>
      <c r="F127" t="inlineStr">
        <is>
          <t>VÄRMLANDS LÄN</t>
        </is>
      </c>
      <c r="G127" t="inlineStr">
        <is>
          <t>FILIPSTAD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46309</v>
      </c>
      <c r="F128" t="inlineStr">
        <is>
          <t>VÄRMLANDS LÄN</t>
        </is>
      </c>
      <c r="G128" t="inlineStr">
        <is>
          <t>FILIPSTAD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58611-2025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45986</v>
      </c>
      <c r="E129" s="1" t="n">
        <v>46309</v>
      </c>
      <c r="F129" t="inlineStr">
        <is>
          <t>VÄRMLANDS LÄN</t>
        </is>
      </c>
      <c r="G129" t="inlineStr">
        <is>
          <t>FILIPSTAD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46309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45674</v>
      </c>
      <c r="E131" s="1" t="n">
        <v>46309</v>
      </c>
      <c r="F131" t="inlineStr">
        <is>
          <t>VÄRMLANDS LÄN</t>
        </is>
      </c>
      <c r="G131" t="inlineStr">
        <is>
          <t>FILIPSTAD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46309</v>
      </c>
      <c r="F132" t="inlineStr">
        <is>
          <t>VÄRMLANDS LÄN</t>
        </is>
      </c>
      <c r="G132" t="inlineStr">
        <is>
          <t>FILIPSTAD</t>
        </is>
      </c>
      <c r="H132" t="inlineStr">
        <is>
          <t>Kyrkan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29660-2025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46309</v>
      </c>
      <c r="F133" t="inlineStr">
        <is>
          <t>VÄRMLANDS LÄN</t>
        </is>
      </c>
      <c r="G133" t="inlineStr">
        <is>
          <t>FILIPSTAD</t>
        </is>
      </c>
      <c r="I133" t="n">
        <v>23.3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46309</v>
      </c>
      <c r="F134" t="inlineStr">
        <is>
          <t>VÄRMLANDS LÄN</t>
        </is>
      </c>
      <c r="G134" t="inlineStr">
        <is>
          <t>FILIPSTAD</t>
        </is>
      </c>
      <c r="H134" t="inlineStr">
        <is>
          <t>Kyrkan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31172-2025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45832</v>
      </c>
      <c r="E135" s="1" t="n">
        <v>46309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46309</v>
      </c>
      <c r="F136" t="inlineStr">
        <is>
          <t>VÄRMLANDS LÄN</t>
        </is>
      </c>
      <c r="G136" t="inlineStr">
        <is>
          <t>FILIPSTAD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31883-2025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46309</v>
      </c>
      <c r="F137" t="inlineStr">
        <is>
          <t>VÄRMLANDS LÄN</t>
        </is>
      </c>
      <c r="G137" t="inlineStr">
        <is>
          <t>FILIPSTAD</t>
        </is>
      </c>
      <c r="I137" t="n">
        <v>18.7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46309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32032-2025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45835</v>
      </c>
      <c r="E139" s="1" t="n">
        <v>46309</v>
      </c>
      <c r="F139" t="inlineStr">
        <is>
          <t>VÄRMLANDS LÄN</t>
        </is>
      </c>
      <c r="G139" t="inlineStr">
        <is>
          <t>FILIPSTAD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46309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45827</v>
      </c>
      <c r="E141" s="1" t="n">
        <v>46309</v>
      </c>
      <c r="F141" t="inlineStr">
        <is>
          <t>VÄRMLANDS LÄN</t>
        </is>
      </c>
      <c r="G141" t="inlineStr">
        <is>
          <t>FILIPSTAD</t>
        </is>
      </c>
      <c r="H141" t="inlineStr">
        <is>
          <t>Kyrkan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45688</v>
      </c>
      <c r="E142" s="1" t="n">
        <v>46309</v>
      </c>
      <c r="F142" t="inlineStr">
        <is>
          <t>VÄRMLANDS LÄN</t>
        </is>
      </c>
      <c r="G142" t="inlineStr">
        <is>
          <t>FILIPSTAD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46309</v>
      </c>
      <c r="F143" t="inlineStr">
        <is>
          <t>VÄRMLANDS LÄN</t>
        </is>
      </c>
      <c r="G143" t="inlineStr">
        <is>
          <t>FILIPSTAD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45418</v>
      </c>
      <c r="E144" s="1" t="n">
        <v>46309</v>
      </c>
      <c r="F144" t="inlineStr">
        <is>
          <t>VÄRMLANDS LÄN</t>
        </is>
      </c>
      <c r="G144" t="inlineStr">
        <is>
          <t>FILIPSTAD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33407-2025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45841</v>
      </c>
      <c r="E145" s="1" t="n">
        <v>46309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48103-2025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45933</v>
      </c>
      <c r="E146" s="1" t="n">
        <v>46309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16591-2022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46309</v>
      </c>
      <c r="F147" t="inlineStr">
        <is>
          <t>VÄRMLANDS LÄN</t>
        </is>
      </c>
      <c r="G147" t="inlineStr">
        <is>
          <t>FILIPSTAD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45511-2024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45578</v>
      </c>
      <c r="E148" s="1" t="n">
        <v>46309</v>
      </c>
      <c r="F148" t="inlineStr">
        <is>
          <t>VÄRMLANDS LÄN</t>
        </is>
      </c>
      <c r="G148" t="inlineStr">
        <is>
          <t>FILIPSTAD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46309</v>
      </c>
      <c r="F149" t="inlineStr">
        <is>
          <t>VÄRMLANDS LÄN</t>
        </is>
      </c>
      <c r="G149" t="inlineStr">
        <is>
          <t>FILIPSTAD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45826</v>
      </c>
      <c r="E150" s="1" t="n">
        <v>46309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46040</v>
      </c>
      <c r="E151" s="1" t="n">
        <v>46309</v>
      </c>
      <c r="F151" t="inlineStr">
        <is>
          <t>VÄRMLANDS LÄN</t>
        </is>
      </c>
      <c r="G151" t="inlineStr">
        <is>
          <t>FILIPSTAD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69015-2021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46309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45202</v>
      </c>
      <c r="E153" s="1" t="n">
        <v>46309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46309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46309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47436-2024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45587</v>
      </c>
      <c r="E156" s="1" t="n">
        <v>46309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36582-2025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45870</v>
      </c>
      <c r="E157" s="1" t="n">
        <v>46309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46309</v>
      </c>
      <c r="F158" t="inlineStr">
        <is>
          <t>VÄRMLANDS LÄN</t>
        </is>
      </c>
      <c r="G158" t="inlineStr">
        <is>
          <t>FILIPSTAD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45579</v>
      </c>
      <c r="E159" s="1" t="n">
        <v>46309</v>
      </c>
      <c r="F159" t="inlineStr">
        <is>
          <t>VÄRMLANDS LÄN</t>
        </is>
      </c>
      <c r="G159" t="inlineStr">
        <is>
          <t>FILIPSTAD</t>
        </is>
      </c>
      <c r="H159" t="inlineStr">
        <is>
          <t>Kyrkan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46309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44935</v>
      </c>
      <c r="E161" s="1" t="n">
        <v>46309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46309</v>
      </c>
      <c r="F162" t="inlineStr">
        <is>
          <t>VÄRMLANDS LÄN</t>
        </is>
      </c>
      <c r="G162" t="inlineStr">
        <is>
          <t>FILIPSTAD</t>
        </is>
      </c>
      <c r="H162" t="inlineStr">
        <is>
          <t>Kyrkan</t>
        </is>
      </c>
      <c r="I162" t="n">
        <v>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46309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45882</v>
      </c>
      <c r="E164" s="1" t="n">
        <v>46309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46309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54328-2025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46309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45364</v>
      </c>
      <c r="E167" s="1" t="n">
        <v>46309</v>
      </c>
      <c r="F167" t="inlineStr">
        <is>
          <t>VÄRMLANDS LÄN</t>
        </is>
      </c>
      <c r="G167" t="inlineStr">
        <is>
          <t>FILIPSTAD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55173-2025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45968</v>
      </c>
      <c r="E168" s="1" t="n">
        <v>46309</v>
      </c>
      <c r="F168" t="inlineStr">
        <is>
          <t>VÄRMLANDS LÄN</t>
        </is>
      </c>
      <c r="G168" t="inlineStr">
        <is>
          <t>FILIPSTAD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45968</v>
      </c>
      <c r="E169" s="1" t="n">
        <v>46309</v>
      </c>
      <c r="F169" t="inlineStr">
        <is>
          <t>VÄRMLANDS LÄN</t>
        </is>
      </c>
      <c r="G169" t="inlineStr">
        <is>
          <t>FILIPSTAD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55514-2025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46309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46309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46309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46309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45974</v>
      </c>
      <c r="E174" s="1" t="n">
        <v>46309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46309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46309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56184-2025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46309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56062-2025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46309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46309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46309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44788</v>
      </c>
      <c r="E181" s="1" t="n">
        <v>46309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46309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46056</v>
      </c>
      <c r="E183" s="1" t="n">
        <v>46309</v>
      </c>
      <c r="F183" t="inlineStr">
        <is>
          <t>VÄRMLANDS LÄN</t>
        </is>
      </c>
      <c r="G183" t="inlineStr">
        <is>
          <t>FILIPSTAD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46056</v>
      </c>
      <c r="E184" s="1" t="n">
        <v>46309</v>
      </c>
      <c r="F184" t="inlineStr">
        <is>
          <t>VÄRMLANDS LÄN</t>
        </is>
      </c>
      <c r="G184" t="inlineStr">
        <is>
          <t>FILIPSTAD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45982</v>
      </c>
      <c r="E185" s="1" t="n">
        <v>46309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46309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46309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46309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46309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46309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43045-2024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46309</v>
      </c>
      <c r="F191" t="inlineStr">
        <is>
          <t>VÄRMLANDS LÄN</t>
        </is>
      </c>
      <c r="G191" t="inlineStr">
        <is>
          <t>FILIPSTAD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46309</v>
      </c>
      <c r="F192" t="inlineStr">
        <is>
          <t>VÄRMLANDS LÄN</t>
        </is>
      </c>
      <c r="G192" t="inlineStr">
        <is>
          <t>FILIPSTAD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46309</v>
      </c>
      <c r="F193" t="inlineStr">
        <is>
          <t>VÄRMLANDS LÄN</t>
        </is>
      </c>
      <c r="G193" t="inlineStr">
        <is>
          <t>FILIPSTAD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46309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46309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46309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46309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59423-2025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45989</v>
      </c>
      <c r="E198" s="1" t="n">
        <v>46309</v>
      </c>
      <c r="F198" t="inlineStr">
        <is>
          <t>VÄRMLANDS LÄN</t>
        </is>
      </c>
      <c r="G198" t="inlineStr">
        <is>
          <t>FILIPSTAD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46309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46309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45993</v>
      </c>
      <c r="E201" s="1" t="n">
        <v>46309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60653-2025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45996</v>
      </c>
      <c r="E202" s="1" t="n">
        <v>46309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60550-2025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45995</v>
      </c>
      <c r="E203" s="1" t="n">
        <v>46309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45995</v>
      </c>
      <c r="E204" s="1" t="n">
        <v>46309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60396-2025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45995</v>
      </c>
      <c r="E205" s="1" t="n">
        <v>46309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46309</v>
      </c>
      <c r="F206" t="inlineStr">
        <is>
          <t>VÄRMLANDS LÄN</t>
        </is>
      </c>
      <c r="G206" t="inlineStr">
        <is>
          <t>FILIPSTAD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46309</v>
      </c>
      <c r="F207" t="inlineStr">
        <is>
          <t>VÄRMLANDS LÄN</t>
        </is>
      </c>
      <c r="G207" t="inlineStr">
        <is>
          <t>FILIPSTAD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61327-2025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46001</v>
      </c>
      <c r="E208" s="1" t="n">
        <v>46309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46309</v>
      </c>
      <c r="F209" t="inlineStr">
        <is>
          <t>VÄRMLANDS LÄN</t>
        </is>
      </c>
      <c r="G209" t="inlineStr">
        <is>
          <t>FILIPSTAD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46309</v>
      </c>
      <c r="F210" t="inlineStr">
        <is>
          <t>VÄRMLANDS LÄN</t>
        </is>
      </c>
      <c r="G210" t="inlineStr">
        <is>
          <t>FILIPSTAD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61717-2025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46002</v>
      </c>
      <c r="E211" s="1" t="n">
        <v>46309</v>
      </c>
      <c r="F211" t="inlineStr">
        <is>
          <t>VÄRMLANDS LÄN</t>
        </is>
      </c>
      <c r="G211" t="inlineStr">
        <is>
          <t>FILIPSTAD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61417-2025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46001</v>
      </c>
      <c r="E212" s="1" t="n">
        <v>46309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46002</v>
      </c>
      <c r="E213" s="1" t="n">
        <v>46309</v>
      </c>
      <c r="F213" t="inlineStr">
        <is>
          <t>VÄRMLANDS LÄN</t>
        </is>
      </c>
      <c r="G213" t="inlineStr">
        <is>
          <t>FILIPSTAD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46001</v>
      </c>
      <c r="E214" s="1" t="n">
        <v>46309</v>
      </c>
      <c r="F214" t="inlineStr">
        <is>
          <t>VÄRMLANDS LÄN</t>
        </is>
      </c>
      <c r="G214" t="inlineStr">
        <is>
          <t>FILIPSTAD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46002</v>
      </c>
      <c r="E215" s="1" t="n">
        <v>46309</v>
      </c>
      <c r="F215" t="inlineStr">
        <is>
          <t>VÄRMLANDS LÄN</t>
        </is>
      </c>
      <c r="G215" t="inlineStr">
        <is>
          <t>FILIPSTAD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10279-2026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46309</v>
      </c>
      <c r="F216" t="inlineStr">
        <is>
          <t>VÄRMLANDS LÄN</t>
        </is>
      </c>
      <c r="G216" t="inlineStr">
        <is>
          <t>FILIPSTAD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12160-2023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46309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61492-2025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46001</v>
      </c>
      <c r="E218" s="1" t="n">
        <v>46309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46309</v>
      </c>
      <c r="F219" t="inlineStr">
        <is>
          <t>VÄRMLANDS LÄN</t>
        </is>
      </c>
      <c r="G219" t="inlineStr">
        <is>
          <t>FILIPSTAD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62034-2025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46004</v>
      </c>
      <c r="E220" s="1" t="n">
        <v>46309</v>
      </c>
      <c r="F220" t="inlineStr">
        <is>
          <t>VÄRMLANDS LÄN</t>
        </is>
      </c>
      <c r="G220" t="inlineStr">
        <is>
          <t>FILIPSTAD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46003</v>
      </c>
      <c r="E221" s="1" t="n">
        <v>46309</v>
      </c>
      <c r="F221" t="inlineStr">
        <is>
          <t>VÄRMLANDS LÄN</t>
        </is>
      </c>
      <c r="G221" t="inlineStr">
        <is>
          <t>FILIPSTAD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45436</v>
      </c>
      <c r="E222" s="1" t="n">
        <v>46309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62033-2025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46004</v>
      </c>
      <c r="E223" s="1" t="n">
        <v>46309</v>
      </c>
      <c r="F223" t="inlineStr">
        <is>
          <t>VÄRMLANDS LÄN</t>
        </is>
      </c>
      <c r="G223" t="inlineStr">
        <is>
          <t>FILIPSTAD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61823-2025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46003</v>
      </c>
      <c r="E224" s="1" t="n">
        <v>46309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46309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46006</v>
      </c>
      <c r="E226" s="1" t="n">
        <v>46309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46309</v>
      </c>
      <c r="F227" t="inlineStr">
        <is>
          <t>VÄRMLANDS LÄN</t>
        </is>
      </c>
      <c r="G227" t="inlineStr">
        <is>
          <t>FILIPSTAD</t>
        </is>
      </c>
      <c r="I227" t="n">
        <v>15.5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63186-2025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46309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43633-2024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46309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46309</v>
      </c>
      <c r="F230" t="inlineStr">
        <is>
          <t>VÄRMLANDS LÄN</t>
        </is>
      </c>
      <c r="G230" t="inlineStr">
        <is>
          <t>FILIPSTAD</t>
        </is>
      </c>
      <c r="I230" t="n">
        <v>9.9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46087</v>
      </c>
      <c r="E231" s="1" t="n">
        <v>46309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22866-2023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45072</v>
      </c>
      <c r="E232" s="1" t="n">
        <v>46309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29473-2024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45484</v>
      </c>
      <c r="E233" s="1" t="n">
        <v>46309</v>
      </c>
      <c r="F233" t="inlineStr">
        <is>
          <t>VÄRMLANDS LÄN</t>
        </is>
      </c>
      <c r="G233" t="inlineStr">
        <is>
          <t>FILIPSTAD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46309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46309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46309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46309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13553-2026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46309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8.9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46098</v>
      </c>
      <c r="E239" s="1" t="n">
        <v>46309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46309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45720</v>
      </c>
      <c r="E241" s="1" t="n">
        <v>46309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46309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46309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46105</v>
      </c>
      <c r="E244" s="1" t="n">
        <v>46309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46309</v>
      </c>
      <c r="F245" t="inlineStr">
        <is>
          <t>VÄRMLANDS LÄN</t>
        </is>
      </c>
      <c r="G245" t="inlineStr">
        <is>
          <t>FILIPSTAD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15848-2026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46107</v>
      </c>
      <c r="E246" s="1" t="n">
        <v>46309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46309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46309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46107</v>
      </c>
      <c r="E249" s="1" t="n">
        <v>46309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46309</v>
      </c>
      <c r="F250" t="inlineStr">
        <is>
          <t>VÄRMLANDS LÄN</t>
        </is>
      </c>
      <c r="G250" t="inlineStr">
        <is>
          <t>FILIPSTAD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46309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15645-2026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46309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45229</v>
      </c>
      <c r="E253" s="1" t="n">
        <v>46309</v>
      </c>
      <c r="F253" t="inlineStr">
        <is>
          <t>VÄRMLANDS LÄN</t>
        </is>
      </c>
      <c r="G253" t="inlineStr">
        <is>
          <t>FILIPSTAD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16040-2026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46108</v>
      </c>
      <c r="E254" s="1" t="n">
        <v>46309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46309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46309</v>
      </c>
      <c r="F256" t="inlineStr">
        <is>
          <t>VÄRMLANDS LÄN</t>
        </is>
      </c>
      <c r="G256" t="inlineStr">
        <is>
          <t>FILIPSTAD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45750</v>
      </c>
      <c r="E257" s="1" t="n">
        <v>46309</v>
      </c>
      <c r="F257" t="inlineStr">
        <is>
          <t>VÄRMLANDS LÄN</t>
        </is>
      </c>
      <c r="G257" t="inlineStr">
        <is>
          <t>FILIPSTAD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46114</v>
      </c>
      <c r="E258" s="1" t="n">
        <v>46309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8.1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45012</v>
      </c>
      <c r="E259" s="1" t="n">
        <v>46309</v>
      </c>
      <c r="F259" t="inlineStr">
        <is>
          <t>VÄRMLANDS LÄN</t>
        </is>
      </c>
      <c r="G259" t="inlineStr">
        <is>
          <t>FILIPSTAD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17292-2026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46119</v>
      </c>
      <c r="E260" s="1" t="n">
        <v>46309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17278-2026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46119</v>
      </c>
      <c r="E261" s="1" t="n">
        <v>46309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46119</v>
      </c>
      <c r="E262" s="1" t="n">
        <v>46309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17531-2026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46120</v>
      </c>
      <c r="E263" s="1" t="n">
        <v>46309</v>
      </c>
      <c r="F263" t="inlineStr">
        <is>
          <t>VÄRMLANDS LÄN</t>
        </is>
      </c>
      <c r="G263" t="inlineStr">
        <is>
          <t>FILIPSTAD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46122</v>
      </c>
      <c r="E264" s="1" t="n">
        <v>46309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18022-2026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46309</v>
      </c>
      <c r="F265" t="inlineStr">
        <is>
          <t>VÄRMLANDS LÄN</t>
        </is>
      </c>
      <c r="G265" t="inlineStr">
        <is>
          <t>FILIPSTAD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45202</v>
      </c>
      <c r="E266" s="1" t="n">
        <v>46309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18507-2026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46127</v>
      </c>
      <c r="E267" s="1" t="n">
        <v>46309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46309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44951</v>
      </c>
      <c r="E269" s="1" t="n">
        <v>46309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46127</v>
      </c>
      <c r="E270" s="1" t="n">
        <v>46309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46127</v>
      </c>
      <c r="E271" s="1" t="n">
        <v>46309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46309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46309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45014</v>
      </c>
      <c r="E274" s="1" t="n">
        <v>46309</v>
      </c>
      <c r="F274" t="inlineStr">
        <is>
          <t>VÄRMLANDS LÄN</t>
        </is>
      </c>
      <c r="G274" t="inlineStr">
        <is>
          <t>FILIPSTAD</t>
        </is>
      </c>
      <c r="H274" t="inlineStr">
        <is>
          <t>Kyrkan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45152</v>
      </c>
      <c r="E275" s="1" t="n">
        <v>46309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45427</v>
      </c>
      <c r="E276" s="1" t="n">
        <v>46309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46129</v>
      </c>
      <c r="E277" s="1" t="n">
        <v>46309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25375-2023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45088</v>
      </c>
      <c r="E278" s="1" t="n">
        <v>46309</v>
      </c>
      <c r="F278" t="inlineStr">
        <is>
          <t>VÄRMLANDS LÄN</t>
        </is>
      </c>
      <c r="G278" t="inlineStr">
        <is>
          <t>FILIPSTAD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18826-2026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46128</v>
      </c>
      <c r="E279" s="1" t="n">
        <v>46309</v>
      </c>
      <c r="F279" t="inlineStr">
        <is>
          <t>VÄRMLANDS LÄN</t>
        </is>
      </c>
      <c r="G279" t="inlineStr">
        <is>
          <t>FILIPSTAD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39566-2023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46309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19351-2025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45769</v>
      </c>
      <c r="E281" s="1" t="n">
        <v>46309</v>
      </c>
      <c r="F281" t="inlineStr">
        <is>
          <t>VÄRMLANDS LÄN</t>
        </is>
      </c>
      <c r="G281" t="inlineStr">
        <is>
          <t>FILIPSTAD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45088</v>
      </c>
      <c r="E282" s="1" t="n">
        <v>46309</v>
      </c>
      <c r="F282" t="inlineStr">
        <is>
          <t>VÄRMLANDS LÄN</t>
        </is>
      </c>
      <c r="G282" t="inlineStr">
        <is>
          <t>FILIPSTAD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46309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46309</v>
      </c>
      <c r="F284" t="inlineStr">
        <is>
          <t>VÄRMLANDS LÄN</t>
        </is>
      </c>
      <c r="G284" t="inlineStr">
        <is>
          <t>FILIPSTAD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46133</v>
      </c>
      <c r="E285" s="1" t="n">
        <v>46309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46309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19669-2026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46134</v>
      </c>
      <c r="E287" s="1" t="n">
        <v>46309</v>
      </c>
      <c r="F287" t="inlineStr">
        <is>
          <t>VÄRMLANDS LÄN</t>
        </is>
      </c>
      <c r="G287" t="inlineStr">
        <is>
          <t>FILIPSTAD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46309</v>
      </c>
      <c r="F288" t="inlineStr">
        <is>
          <t>VÄRMLANDS LÄN</t>
        </is>
      </c>
      <c r="G288" t="inlineStr">
        <is>
          <t>FILIPSTAD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46309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20045-2026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46136</v>
      </c>
      <c r="E290" s="1" t="n">
        <v>46309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20050-2026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46309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19882-2026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46135</v>
      </c>
      <c r="E292" s="1" t="n">
        <v>46309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18210-2024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45420</v>
      </c>
      <c r="E293" s="1" t="n">
        <v>46309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46309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46309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46309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45790</v>
      </c>
      <c r="E297" s="1" t="n">
        <v>46309</v>
      </c>
      <c r="F297" t="inlineStr">
        <is>
          <t>VÄRMLANDS LÄN</t>
        </is>
      </c>
      <c r="G297" t="inlineStr">
        <is>
          <t>FILIPSTAD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46309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45106</v>
      </c>
      <c r="E299" s="1" t="n">
        <v>46309</v>
      </c>
      <c r="F299" t="inlineStr">
        <is>
          <t>VÄRMLANDS LÄN</t>
        </is>
      </c>
      <c r="G299" t="inlineStr">
        <is>
          <t>FILIPSTAD</t>
        </is>
      </c>
      <c r="H299" t="inlineStr">
        <is>
          <t>Kyrkan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46309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45789</v>
      </c>
      <c r="E301" s="1" t="n">
        <v>46309</v>
      </c>
      <c r="F301" t="inlineStr">
        <is>
          <t>VÄRMLANDS LÄN</t>
        </is>
      </c>
      <c r="G301" t="inlineStr">
        <is>
          <t>FILIPSTAD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45271</v>
      </c>
      <c r="E302" s="1" t="n">
        <v>46309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14432-2025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46309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45133</v>
      </c>
      <c r="E304" s="1" t="n">
        <v>46309</v>
      </c>
      <c r="F304" t="inlineStr">
        <is>
          <t>VÄRMLANDS LÄN</t>
        </is>
      </c>
      <c r="G304" t="inlineStr">
        <is>
          <t>FILIPSTAD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54080-2025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46309</v>
      </c>
      <c r="F305" t="inlineStr">
        <is>
          <t>VÄRMLANDS LÄN</t>
        </is>
      </c>
      <c r="G305" t="inlineStr">
        <is>
          <t>FILIPSTAD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46309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44960</v>
      </c>
      <c r="E307" s="1" t="n">
        <v>46309</v>
      </c>
      <c r="F307" t="inlineStr">
        <is>
          <t>VÄRMLANDS LÄN</t>
        </is>
      </c>
      <c r="G307" t="inlineStr">
        <is>
          <t>FILIPSTAD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4819-2023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44957</v>
      </c>
      <c r="E308" s="1" t="n">
        <v>46309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14275-2024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45393</v>
      </c>
      <c r="E309" s="1" t="n">
        <v>46309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9270-2023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44980</v>
      </c>
      <c r="E310" s="1" t="n">
        <v>46309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46309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37945-2024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45544</v>
      </c>
      <c r="E312" s="1" t="n">
        <v>46309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33449-2025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46309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46309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45114</v>
      </c>
      <c r="E315" s="1" t="n">
        <v>46309</v>
      </c>
      <c r="F315" t="inlineStr">
        <is>
          <t>VÄRMLANDS LÄN</t>
        </is>
      </c>
      <c r="G315" t="inlineStr">
        <is>
          <t>FILIPSTAD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46309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43059-2024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45567</v>
      </c>
      <c r="E317" s="1" t="n">
        <v>46309</v>
      </c>
      <c r="F317" t="inlineStr">
        <is>
          <t>VÄRMLANDS LÄN</t>
        </is>
      </c>
      <c r="G317" t="inlineStr">
        <is>
          <t>FILIPSTAD</t>
        </is>
      </c>
      <c r="H317" t="inlineStr">
        <is>
          <t>Kyrkan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46309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17795-2024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45418</v>
      </c>
      <c r="E319" s="1" t="n">
        <v>46309</v>
      </c>
      <c r="F319" t="inlineStr">
        <is>
          <t>VÄRMLANDS LÄN</t>
        </is>
      </c>
      <c r="G319" t="inlineStr">
        <is>
          <t>FILIPSTAD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47890-2024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45588</v>
      </c>
      <c r="E320" s="1" t="n">
        <v>46309</v>
      </c>
      <c r="F320" t="inlineStr">
        <is>
          <t>VÄRMLANDS LÄN</t>
        </is>
      </c>
      <c r="G320" t="inlineStr">
        <is>
          <t>FILIPSTAD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46309</v>
      </c>
      <c r="F321" t="inlineStr">
        <is>
          <t>VÄRMLANDS LÄN</t>
        </is>
      </c>
      <c r="G321" t="inlineStr">
        <is>
          <t>FILIPSTAD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20661-2026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46141</v>
      </c>
      <c r="E322" s="1" t="n">
        <v>46309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46141</v>
      </c>
      <c r="E323" s="1" t="n">
        <v>46309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12247-2022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44637</v>
      </c>
      <c r="E324" s="1" t="n">
        <v>46309</v>
      </c>
      <c r="F324" t="inlineStr">
        <is>
          <t>VÄRMLANDS LÄN</t>
        </is>
      </c>
      <c r="G324" t="inlineStr">
        <is>
          <t>FILIPSTAD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20966-2024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45439</v>
      </c>
      <c r="E325" s="1" t="n">
        <v>46309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20554-2025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45775</v>
      </c>
      <c r="E326" s="1" t="n">
        <v>46309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46309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20919-2026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46142</v>
      </c>
      <c r="E328" s="1" t="n">
        <v>46309</v>
      </c>
      <c r="F328" t="inlineStr">
        <is>
          <t>VÄRMLANDS LÄN</t>
        </is>
      </c>
      <c r="G328" t="inlineStr">
        <is>
          <t>FILIPSTAD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36272-2025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45867</v>
      </c>
      <c r="E329" s="1" t="n">
        <v>46309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45834</v>
      </c>
      <c r="E330" s="1" t="n">
        <v>46309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46309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24139-2024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45456</v>
      </c>
      <c r="E332" s="1" t="n">
        <v>46309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46309</v>
      </c>
      <c r="F333" t="inlineStr">
        <is>
          <t>VÄRMLANDS LÄN</t>
        </is>
      </c>
      <c r="G333" t="inlineStr">
        <is>
          <t>FILIPSTAD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46309</v>
      </c>
      <c r="F334" t="inlineStr">
        <is>
          <t>VÄRMLANDS LÄN</t>
        </is>
      </c>
      <c r="G334" t="inlineStr">
        <is>
          <t>FILIPSTAD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46309</v>
      </c>
      <c r="F335" t="inlineStr">
        <is>
          <t>VÄRMLANDS LÄN</t>
        </is>
      </c>
      <c r="G335" t="inlineStr">
        <is>
          <t>FILIPSTAD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45484</v>
      </c>
      <c r="E336" s="1" t="n">
        <v>46309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46148</v>
      </c>
      <c r="E337" s="1" t="n">
        <v>46309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63482-2021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44508</v>
      </c>
      <c r="E338" s="1" t="n">
        <v>46309</v>
      </c>
      <c r="F338" t="inlineStr">
        <is>
          <t>VÄRMLANDS LÄN</t>
        </is>
      </c>
      <c r="G338" t="inlineStr">
        <is>
          <t>FILIPSTAD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45665</v>
      </c>
      <c r="E339" s="1" t="n">
        <v>46309</v>
      </c>
      <c r="F339" t="inlineStr">
        <is>
          <t>VÄRMLANDS LÄN</t>
        </is>
      </c>
      <c r="G339" t="inlineStr">
        <is>
          <t>FILIPSTAD</t>
        </is>
      </c>
      <c r="I339" t="n">
        <v>11.7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46309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46309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46309</v>
      </c>
      <c r="F342" t="inlineStr">
        <is>
          <t>VÄRMLANDS LÄN</t>
        </is>
      </c>
      <c r="G342" t="inlineStr">
        <is>
          <t>FILIPSTAD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46309</v>
      </c>
      <c r="F343" t="inlineStr">
        <is>
          <t>VÄRMLANDS LÄN</t>
        </is>
      </c>
      <c r="G343" t="inlineStr">
        <is>
          <t>FILIPSTAD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46309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46309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22229-2026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46309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70405-2021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46309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44596</v>
      </c>
      <c r="E348" s="1" t="n">
        <v>46309</v>
      </c>
      <c r="F348" t="inlineStr">
        <is>
          <t>VÄRMLANDS LÄN</t>
        </is>
      </c>
      <c r="G348" t="inlineStr">
        <is>
          <t>FILIPSTAD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46309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46309</v>
      </c>
      <c r="F350" t="inlineStr">
        <is>
          <t>VÄRMLANDS LÄN</t>
        </is>
      </c>
      <c r="G350" t="inlineStr">
        <is>
          <t>FILIPSTAD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22021-2026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46153</v>
      </c>
      <c r="E351" s="1" t="n">
        <v>46309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46309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46309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45618</v>
      </c>
      <c r="E354" s="1" t="n">
        <v>46309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40244-2023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46309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46309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22152-2026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46309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46155</v>
      </c>
      <c r="E358" s="1" t="n">
        <v>46309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45658</v>
      </c>
      <c r="E359" s="1" t="n">
        <v>46309</v>
      </c>
      <c r="F359" t="inlineStr">
        <is>
          <t>VÄRMLANDS LÄN</t>
        </is>
      </c>
      <c r="G359" t="inlineStr">
        <is>
          <t>FILIPSTAD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21608-2023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45063</v>
      </c>
      <c r="E360" s="1" t="n">
        <v>46309</v>
      </c>
      <c r="F360" t="inlineStr">
        <is>
          <t>VÄRMLANDS LÄN</t>
        </is>
      </c>
      <c r="G360" t="inlineStr">
        <is>
          <t>FILIPSTAD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45638</v>
      </c>
      <c r="E361" s="1" t="n">
        <v>46309</v>
      </c>
      <c r="F361" t="inlineStr">
        <is>
          <t>VÄRMLANDS LÄN</t>
        </is>
      </c>
      <c r="G361" t="inlineStr">
        <is>
          <t>FILIPSTAD</t>
        </is>
      </c>
      <c r="H361" t="inlineStr">
        <is>
          <t>Kyrkan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45077</v>
      </c>
      <c r="E362" s="1" t="n">
        <v>46309</v>
      </c>
      <c r="F362" t="inlineStr">
        <is>
          <t>VÄRMLANDS LÄN</t>
        </is>
      </c>
      <c r="G362" t="inlineStr">
        <is>
          <t>FILIPSTAD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46309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46309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46163</v>
      </c>
      <c r="E365" s="1" t="n">
        <v>46309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54836-2023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45229</v>
      </c>
      <c r="E366" s="1" t="n">
        <v>46309</v>
      </c>
      <c r="F366" t="inlineStr">
        <is>
          <t>VÄRMLANDS LÄN</t>
        </is>
      </c>
      <c r="G366" t="inlineStr">
        <is>
          <t>FILIPSTAD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46309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23555-2026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46309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23943-2026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46309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49935-2025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45940</v>
      </c>
      <c r="E370" s="1" t="n">
        <v>46309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46309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23934-2026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46309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23959-2026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46309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46309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23922-2026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46309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23931-2026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46309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46309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46309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46309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46309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46309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46309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9.300000000000001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24288-2026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46169</v>
      </c>
      <c r="E383" s="1" t="n">
        <v>46309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29825-2023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45107</v>
      </c>
      <c r="E384" s="1" t="n">
        <v>46309</v>
      </c>
      <c r="F384" t="inlineStr">
        <is>
          <t>VÄRMLANDS LÄN</t>
        </is>
      </c>
      <c r="G384" t="inlineStr">
        <is>
          <t>FILIPSTAD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24260-2026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46309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46169</v>
      </c>
      <c r="E386" s="1" t="n">
        <v>46309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46309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46309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46309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46309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46309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46309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46309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46171</v>
      </c>
      <c r="E394" s="1" t="n">
        <v>46309</v>
      </c>
      <c r="F394" t="inlineStr">
        <is>
          <t>VÄRMLANDS LÄN</t>
        </is>
      </c>
      <c r="G394" t="inlineStr">
        <is>
          <t>FILIPSTAD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46309</v>
      </c>
      <c r="F395" t="inlineStr">
        <is>
          <t>VÄRMLANDS LÄN</t>
        </is>
      </c>
      <c r="G395" t="inlineStr">
        <is>
          <t>FILIPSTAD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45686</v>
      </c>
      <c r="E396" s="1" t="n">
        <v>46309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45749</v>
      </c>
      <c r="E397" s="1" t="n">
        <v>46309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27789-2022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44743</v>
      </c>
      <c r="E398" s="1" t="n">
        <v>46309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43484-2023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45184</v>
      </c>
      <c r="E399" s="1" t="n">
        <v>46309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46309</v>
      </c>
      <c r="F400" t="inlineStr">
        <is>
          <t>VÄRMLANDS LÄN</t>
        </is>
      </c>
      <c r="G400" t="inlineStr">
        <is>
          <t>FILIPSTAD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28161-2023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45093</v>
      </c>
      <c r="E401" s="1" t="n">
        <v>46309</v>
      </c>
      <c r="F401" t="inlineStr">
        <is>
          <t>VÄRMLANDS LÄN</t>
        </is>
      </c>
      <c r="G401" t="inlineStr">
        <is>
          <t>FILIPSTAD</t>
        </is>
      </c>
      <c r="H401" t="inlineStr">
        <is>
          <t>Kommuner</t>
        </is>
      </c>
      <c r="I401" t="n">
        <v>15.4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45456</v>
      </c>
      <c r="E402" s="1" t="n">
        <v>46309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46309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24886-2026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46174</v>
      </c>
      <c r="E404" s="1" t="n">
        <v>46309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46309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46309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19030-2022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44691</v>
      </c>
      <c r="E407" s="1" t="n">
        <v>46309</v>
      </c>
      <c r="F407" t="inlineStr">
        <is>
          <t>VÄRMLANDS LÄN</t>
        </is>
      </c>
      <c r="G407" t="inlineStr">
        <is>
          <t>FILIPSTAD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46309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45159</v>
      </c>
      <c r="E409" s="1" t="n">
        <v>46309</v>
      </c>
      <c r="F409" t="inlineStr">
        <is>
          <t>VÄRMLANDS LÄN</t>
        </is>
      </c>
      <c r="G409" t="inlineStr">
        <is>
          <t>FILIPSTAD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43233-2023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45180</v>
      </c>
      <c r="E410" s="1" t="n">
        <v>46309</v>
      </c>
      <c r="F410" t="inlineStr">
        <is>
          <t>VÄRMLANDS LÄN</t>
        </is>
      </c>
      <c r="G410" t="inlineStr">
        <is>
          <t>FILIPSTAD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26107-2026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46309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46309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25786-2026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46178</v>
      </c>
      <c r="E413" s="1" t="n">
        <v>46309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26211-2026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46182</v>
      </c>
      <c r="E414" s="1" t="n">
        <v>46309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46309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46309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46309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53210-2023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45222</v>
      </c>
      <c r="E418" s="1" t="n">
        <v>46309</v>
      </c>
      <c r="F418" t="inlineStr">
        <is>
          <t>VÄRMLANDS LÄN</t>
        </is>
      </c>
      <c r="G418" t="inlineStr">
        <is>
          <t>FILIPSTAD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46309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26298-2026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46309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46309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39633-2023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45167</v>
      </c>
      <c r="E422" s="1" t="n">
        <v>46309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26343-2026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46309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43635-2023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45186</v>
      </c>
      <c r="E424" s="1" t="n">
        <v>46309</v>
      </c>
      <c r="F424" t="inlineStr">
        <is>
          <t>VÄRMLANDS LÄN</t>
        </is>
      </c>
      <c r="G424" t="inlineStr">
        <is>
          <t>FILIPSTAD</t>
        </is>
      </c>
      <c r="I424" t="n">
        <v>15.3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27007-2026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46309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16103-2025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45750</v>
      </c>
      <c r="E426" s="1" t="n">
        <v>46309</v>
      </c>
      <c r="F426" t="inlineStr">
        <is>
          <t>VÄRMLANDS LÄN</t>
        </is>
      </c>
      <c r="G426" t="inlineStr">
        <is>
          <t>FILIPSTAD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46187</v>
      </c>
      <c r="E427" s="1" t="n">
        <v>46309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46309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46186</v>
      </c>
      <c r="E429" s="1" t="n">
        <v>46309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46309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36251-2022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44803</v>
      </c>
      <c r="E431" s="1" t="n">
        <v>46309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46188</v>
      </c>
      <c r="E432" s="1" t="n">
        <v>46309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7.4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33671-2022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44789</v>
      </c>
      <c r="E433" s="1" t="n">
        <v>46309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46257-2022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44847</v>
      </c>
      <c r="E434" s="1" t="n">
        <v>46309</v>
      </c>
      <c r="F434" t="inlineStr">
        <is>
          <t>VÄRMLANDS LÄN</t>
        </is>
      </c>
      <c r="G434" t="inlineStr">
        <is>
          <t>FILIPSTAD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36827-2022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44805</v>
      </c>
      <c r="E435" s="1" t="n">
        <v>46309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37611-2022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44809</v>
      </c>
      <c r="E436" s="1" t="n">
        <v>46309</v>
      </c>
      <c r="F436" t="inlineStr">
        <is>
          <t>VÄRMLANDS LÄN</t>
        </is>
      </c>
      <c r="G436" t="inlineStr">
        <is>
          <t>FILIPSTAD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46309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46190</v>
      </c>
      <c r="E438" s="1" t="n">
        <v>46309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57244-2023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45245</v>
      </c>
      <c r="E439" s="1" t="n">
        <v>46309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46191</v>
      </c>
      <c r="E440" s="1" t="n">
        <v>46309</v>
      </c>
      <c r="F440" t="inlineStr">
        <is>
          <t>VÄRMLANDS LÄN</t>
        </is>
      </c>
      <c r="G440" t="inlineStr">
        <is>
          <t>FILIPSTAD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27968-2026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46309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46309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23.8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45947</v>
      </c>
      <c r="E443" s="1" t="n">
        <v>46309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46309</v>
      </c>
      <c r="F444" t="inlineStr">
        <is>
          <t>VÄRMLANDS LÄN</t>
        </is>
      </c>
      <c r="G444" t="inlineStr">
        <is>
          <t>FILIPSTAD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46309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25338-2023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45087</v>
      </c>
      <c r="E446" s="1" t="n">
        <v>46309</v>
      </c>
      <c r="F446" t="inlineStr">
        <is>
          <t>VÄRMLANDS LÄN</t>
        </is>
      </c>
      <c r="G446" t="inlineStr">
        <is>
          <t>FILIPSTAD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28977-2026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46309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41983-2023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45177</v>
      </c>
      <c r="E448" s="1" t="n">
        <v>46309</v>
      </c>
      <c r="F448" t="inlineStr">
        <is>
          <t>VÄRMLANDS LÄN</t>
        </is>
      </c>
      <c r="G448" t="inlineStr">
        <is>
          <t>FILIPSTAD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46309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46309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46309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53034-2022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44876</v>
      </c>
      <c r="E452" s="1" t="n">
        <v>46309</v>
      </c>
      <c r="F452" t="inlineStr">
        <is>
          <t>VÄRMLANDS LÄN</t>
        </is>
      </c>
      <c r="G452" t="inlineStr">
        <is>
          <t>FILIPSTAD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46309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46309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46309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29591-2026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46204</v>
      </c>
      <c r="E456" s="1" t="n">
        <v>46309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29389-2026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46203</v>
      </c>
      <c r="E457" s="1" t="n">
        <v>46309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53348-2023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45229</v>
      </c>
      <c r="E458" s="1" t="n">
        <v>46309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51985-2023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45223</v>
      </c>
      <c r="E459" s="1" t="n">
        <v>46309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50904-2023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45218</v>
      </c>
      <c r="E460" s="1" t="n">
        <v>46309</v>
      </c>
      <c r="F460" t="inlineStr">
        <is>
          <t>VÄRMLANDS LÄN</t>
        </is>
      </c>
      <c r="G460" t="inlineStr">
        <is>
          <t>FILIPSTAD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46309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12509-2026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46090</v>
      </c>
      <c r="E462" s="1" t="n">
        <v>46309</v>
      </c>
      <c r="F462" t="inlineStr">
        <is>
          <t>VÄRMLANDS LÄN</t>
        </is>
      </c>
      <c r="G462" t="inlineStr">
        <is>
          <t>FILIPSTAD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29814-2026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46309</v>
      </c>
      <c r="F463" t="inlineStr">
        <is>
          <t>VÄRMLANDS LÄN</t>
        </is>
      </c>
      <c r="G463" t="inlineStr">
        <is>
          <t>FILIPSTAD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55397-2022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44887</v>
      </c>
      <c r="E464" s="1" t="n">
        <v>46309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44960</v>
      </c>
      <c r="E465" s="1" t="n">
        <v>46309</v>
      </c>
      <c r="F465" t="inlineStr">
        <is>
          <t>VÄRMLANDS LÄN</t>
        </is>
      </c>
      <c r="G465" t="inlineStr">
        <is>
          <t>FILIPSTAD</t>
        </is>
      </c>
      <c r="H465" t="inlineStr">
        <is>
          <t>Kommuner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55978-2022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44889</v>
      </c>
      <c r="E466" s="1" t="n">
        <v>46309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46309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50856-2022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44867</v>
      </c>
      <c r="E468" s="1" t="n">
        <v>46309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61628-2022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44911</v>
      </c>
      <c r="E469" s="1" t="n">
        <v>46309</v>
      </c>
      <c r="F469" t="inlineStr">
        <is>
          <t>VÄRMLANDS LÄN</t>
        </is>
      </c>
      <c r="G469" t="inlineStr">
        <is>
          <t>FILIPSTAD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43264-2024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45568</v>
      </c>
      <c r="E470" s="1" t="n">
        <v>46309</v>
      </c>
      <c r="F470" t="inlineStr">
        <is>
          <t>VÄRMLANDS LÄN</t>
        </is>
      </c>
      <c r="G470" t="inlineStr">
        <is>
          <t>FILIPSTAD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46309</v>
      </c>
      <c r="F471" t="inlineStr">
        <is>
          <t>VÄRMLANDS LÄN</t>
        </is>
      </c>
      <c r="G471" t="inlineStr">
        <is>
          <t>FILIPSTAD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46210</v>
      </c>
      <c r="E472" s="1" t="n">
        <v>46309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46212</v>
      </c>
      <c r="E473" s="1" t="n">
        <v>46309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11680-2023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44994</v>
      </c>
      <c r="E474" s="1" t="n">
        <v>46309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36680-2023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45153</v>
      </c>
      <c r="E475" s="1" t="n">
        <v>46309</v>
      </c>
      <c r="F475" t="inlineStr">
        <is>
          <t>VÄRMLANDS LÄN</t>
        </is>
      </c>
      <c r="G475" t="inlineStr">
        <is>
          <t>FILIPSTAD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31316-2026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46219</v>
      </c>
      <c r="E476" s="1" t="n">
        <v>46309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31283-2026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46218</v>
      </c>
      <c r="E477" s="1" t="n">
        <v>46309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5803-2023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44963</v>
      </c>
      <c r="E478" s="1" t="n">
        <v>46309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46309</v>
      </c>
      <c r="F479" t="inlineStr">
        <is>
          <t>VÄRMLANDS LÄN</t>
        </is>
      </c>
      <c r="G479" t="inlineStr">
        <is>
          <t>FILIPSTAD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31548-2026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46223</v>
      </c>
      <c r="E480" s="1" t="n">
        <v>46309</v>
      </c>
      <c r="F480" t="inlineStr">
        <is>
          <t>VÄRMLANDS LÄN</t>
        </is>
      </c>
      <c r="G480" t="inlineStr">
        <is>
          <t>FILIPSTAD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31537-2026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46223</v>
      </c>
      <c r="E481" s="1" t="n">
        <v>46309</v>
      </c>
      <c r="F481" t="inlineStr">
        <is>
          <t>VÄRMLANDS LÄN</t>
        </is>
      </c>
      <c r="G481" t="inlineStr">
        <is>
          <t>FILIPSTAD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36195-2026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46267</v>
      </c>
      <c r="E482" s="1" t="n">
        <v>46309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31648-2026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46225</v>
      </c>
      <c r="E483" s="1" t="n">
        <v>46309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51618-2022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44872</v>
      </c>
      <c r="E484" s="1" t="n">
        <v>46309</v>
      </c>
      <c r="F484" t="inlineStr">
        <is>
          <t>VÄRMLANDS LÄN</t>
        </is>
      </c>
      <c r="G484" t="inlineStr">
        <is>
          <t>FILIPSTAD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46268</v>
      </c>
      <c r="E485" s="1" t="n">
        <v>46309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46226</v>
      </c>
      <c r="E486" s="1" t="n">
        <v>46309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31699-2026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46226</v>
      </c>
      <c r="E487" s="1" t="n">
        <v>46309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20.1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31706-2026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46226</v>
      </c>
      <c r="E488" s="1" t="n">
        <v>46309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46227</v>
      </c>
      <c r="E489" s="1" t="n">
        <v>46309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31746-2026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46227</v>
      </c>
      <c r="E490" s="1" t="n">
        <v>46309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36819-2026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46272</v>
      </c>
      <c r="E491" s="1" t="n">
        <v>46309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71971-2021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46309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36818-2026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46272</v>
      </c>
      <c r="E493" s="1" t="n">
        <v>46309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45114</v>
      </c>
      <c r="E494" s="1" t="n">
        <v>46309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46269</v>
      </c>
      <c r="E495" s="1" t="n">
        <v>46309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46309</v>
      </c>
      <c r="F496" t="inlineStr">
        <is>
          <t>VÄRMLANDS LÄN</t>
        </is>
      </c>
      <c r="G496" t="inlineStr">
        <is>
          <t>FILIPSTAD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36508-2026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46269</v>
      </c>
      <c r="E497" s="1" t="n">
        <v>46309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18.6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46272</v>
      </c>
      <c r="E498" s="1" t="n">
        <v>46309</v>
      </c>
      <c r="F498" t="inlineStr">
        <is>
          <t>VÄRMLANDS LÄN</t>
        </is>
      </c>
      <c r="G498" t="inlineStr">
        <is>
          <t>FILIPSTAD</t>
        </is>
      </c>
      <c r="I498" t="n">
        <v>11.6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36455-2026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46269</v>
      </c>
      <c r="E499" s="1" t="n">
        <v>46309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16.4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36458-2026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46269</v>
      </c>
      <c r="E500" s="1" t="n">
        <v>46309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27078-2026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46186</v>
      </c>
      <c r="E501" s="1" t="n">
        <v>46309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31914-2026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46231</v>
      </c>
      <c r="E502" s="1" t="n">
        <v>46309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37249-2026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46274</v>
      </c>
      <c r="E503" s="1" t="n">
        <v>46309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7.4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44981</v>
      </c>
      <c r="E504" s="1" t="n">
        <v>46309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8.1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46273</v>
      </c>
      <c r="E505" s="1" t="n">
        <v>46309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36490-2026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46269</v>
      </c>
      <c r="E506" s="1" t="n">
        <v>46309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32008-2026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46233</v>
      </c>
      <c r="E507" s="1" t="n">
        <v>46309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44963</v>
      </c>
      <c r="E508" s="1" t="n">
        <v>46309</v>
      </c>
      <c r="F508" t="inlineStr">
        <is>
          <t>VÄRMLANDS LÄN</t>
        </is>
      </c>
      <c r="G508" t="inlineStr">
        <is>
          <t>FILIPSTAD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36809-2022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44805</v>
      </c>
      <c r="E509" s="1" t="n">
        <v>46309</v>
      </c>
      <c r="F509" t="inlineStr">
        <is>
          <t>VÄRMLANDS LÄN</t>
        </is>
      </c>
      <c r="G509" t="inlineStr">
        <is>
          <t>FILIPSTAD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33967-2023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45124</v>
      </c>
      <c r="E510" s="1" t="n">
        <v>46309</v>
      </c>
      <c r="F510" t="inlineStr">
        <is>
          <t>VÄRMLANDS LÄN</t>
        </is>
      </c>
      <c r="G510" t="inlineStr">
        <is>
          <t>FILIPSTAD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33973-2023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45124</v>
      </c>
      <c r="E511" s="1" t="n">
        <v>46309</v>
      </c>
      <c r="F511" t="inlineStr">
        <is>
          <t>VÄRMLANDS LÄN</t>
        </is>
      </c>
      <c r="G511" t="inlineStr">
        <is>
          <t>FILIPSTAD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61741-2022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44911</v>
      </c>
      <c r="E512" s="1" t="n">
        <v>46309</v>
      </c>
      <c r="F512" t="inlineStr">
        <is>
          <t>VÄRMLANDS LÄN</t>
        </is>
      </c>
      <c r="G512" t="inlineStr">
        <is>
          <t>FILIPSTAD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46232</v>
      </c>
      <c r="E513" s="1" t="n">
        <v>46309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46232</v>
      </c>
      <c r="E514" s="1" t="n">
        <v>46309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31963-2026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46232</v>
      </c>
      <c r="E515" s="1" t="n">
        <v>46309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8.699999999999999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32035-2026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46233</v>
      </c>
      <c r="E516" s="1" t="n">
        <v>46309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37519-2026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46276</v>
      </c>
      <c r="E517" s="1" t="n">
        <v>46309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25737-2023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45090</v>
      </c>
      <c r="E518" s="1" t="n">
        <v>46309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32249-2026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46237</v>
      </c>
      <c r="E519" s="1" t="n">
        <v>46309</v>
      </c>
      <c r="F519" t="inlineStr">
        <is>
          <t>VÄRMLANDS LÄN</t>
        </is>
      </c>
      <c r="G519" t="inlineStr">
        <is>
          <t>FILIPSTAD</t>
        </is>
      </c>
      <c r="H519" t="inlineStr">
        <is>
          <t>Kommuner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46234</v>
      </c>
      <c r="E520" s="1" t="n">
        <v>46309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37757-2026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46279</v>
      </c>
      <c r="E521" s="1" t="n">
        <v>46309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32248-2026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46237</v>
      </c>
      <c r="E522" s="1" t="n">
        <v>46309</v>
      </c>
      <c r="F522" t="inlineStr">
        <is>
          <t>VÄRMLANDS LÄN</t>
        </is>
      </c>
      <c r="G522" t="inlineStr">
        <is>
          <t>FILIPSTAD</t>
        </is>
      </c>
      <c r="I522" t="n">
        <v>13.4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44579</v>
      </c>
      <c r="E523" s="1" t="n">
        <v>46309</v>
      </c>
      <c r="F523" t="inlineStr">
        <is>
          <t>VÄRMLANDS LÄN</t>
        </is>
      </c>
      <c r="G523" t="inlineStr">
        <is>
          <t>FILIPSTAD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32031-2026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46233</v>
      </c>
      <c r="E524" s="1" t="n">
        <v>46309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15471-2024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46309</v>
      </c>
      <c r="F525" t="inlineStr">
        <is>
          <t>VÄRMLANDS LÄN</t>
        </is>
      </c>
      <c r="G525" t="inlineStr">
        <is>
          <t>FILIPSTAD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32563-2026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46239</v>
      </c>
      <c r="E526" s="1" t="n">
        <v>46309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32786-2024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45516</v>
      </c>
      <c r="E527" s="1" t="n">
        <v>46309</v>
      </c>
      <c r="F527" t="inlineStr">
        <is>
          <t>VÄRMLANDS LÄN</t>
        </is>
      </c>
      <c r="G527" t="inlineStr">
        <is>
          <t>FILIPSTAD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38325-2026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46282</v>
      </c>
      <c r="E528" s="1" t="n">
        <v>46309</v>
      </c>
      <c r="F528" t="inlineStr">
        <is>
          <t>VÄRMLANDS LÄN</t>
        </is>
      </c>
      <c r="G528" t="inlineStr">
        <is>
          <t>FILIPSTAD</t>
        </is>
      </c>
      <c r="H528" t="inlineStr">
        <is>
          <t>Kyrkan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32572-2026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46239</v>
      </c>
      <c r="E529" s="1" t="n">
        <v>46309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62014-2024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45655</v>
      </c>
      <c r="E530" s="1" t="n">
        <v>46309</v>
      </c>
      <c r="F530" t="inlineStr">
        <is>
          <t>VÄRMLANDS LÄN</t>
        </is>
      </c>
      <c r="G530" t="inlineStr">
        <is>
          <t>FILIPSTAD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17686-2023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45037</v>
      </c>
      <c r="E531" s="1" t="n">
        <v>46309</v>
      </c>
      <c r="F531" t="inlineStr">
        <is>
          <t>VÄRMLANDS LÄN</t>
        </is>
      </c>
      <c r="G531" t="inlineStr">
        <is>
          <t>FILIPSTAD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46309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46239</v>
      </c>
      <c r="E533" s="1" t="n">
        <v>46309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45327</v>
      </c>
      <c r="E534" s="1" t="n">
        <v>46309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32588-2026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46240</v>
      </c>
      <c r="E535" s="1" t="n">
        <v>46309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32603-2026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46240</v>
      </c>
      <c r="E536" s="1" t="n">
        <v>46309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46309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38820-2026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46286</v>
      </c>
      <c r="E538" s="1" t="n">
        <v>46309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38578-2026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46283</v>
      </c>
      <c r="E539" s="1" t="n">
        <v>46309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46241</v>
      </c>
      <c r="E540" s="1" t="n">
        <v>46309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45516-2024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45578</v>
      </c>
      <c r="E541" s="1" t="n">
        <v>46309</v>
      </c>
      <c r="F541" t="inlineStr">
        <is>
          <t>VÄRMLANDS LÄN</t>
        </is>
      </c>
      <c r="G541" t="inlineStr">
        <is>
          <t>FILIPSTAD</t>
        </is>
      </c>
      <c r="I541" t="n">
        <v>27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45583</v>
      </c>
      <c r="E542" s="1" t="n">
        <v>46309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22830-2023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45072</v>
      </c>
      <c r="E543" s="1" t="n">
        <v>46309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32600-2026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46240</v>
      </c>
      <c r="E544" s="1" t="n">
        <v>46309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38575-2026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46283</v>
      </c>
      <c r="E545" s="1" t="n">
        <v>46309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38664-2026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46283</v>
      </c>
      <c r="E546" s="1" t="n">
        <v>46309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32852-2026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46244</v>
      </c>
      <c r="E547" s="1" t="n">
        <v>46309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39373-2026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46288</v>
      </c>
      <c r="E548" s="1" t="n">
        <v>46309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46309</v>
      </c>
      <c r="F549" t="inlineStr">
        <is>
          <t>VÄRMLANDS LÄN</t>
        </is>
      </c>
      <c r="G549" t="inlineStr">
        <is>
          <t>FILIPSTAD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46309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22.4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62013-2024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45655</v>
      </c>
      <c r="E551" s="1" t="n">
        <v>46309</v>
      </c>
      <c r="F551" t="inlineStr">
        <is>
          <t>VÄRMLANDS LÄN</t>
        </is>
      </c>
      <c r="G551" t="inlineStr">
        <is>
          <t>FILIPSTAD</t>
        </is>
      </c>
      <c r="I551" t="n">
        <v>26.5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18892-2026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46129</v>
      </c>
      <c r="E552" s="1" t="n">
        <v>46309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48040-2023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46309</v>
      </c>
      <c r="F553" t="inlineStr">
        <is>
          <t>VÄRMLANDS LÄN</t>
        </is>
      </c>
      <c r="G553" t="inlineStr">
        <is>
          <t>FILIPSTAD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32980-2026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46309</v>
      </c>
      <c r="F554" t="inlineStr">
        <is>
          <t>VÄRMLANDS LÄN</t>
        </is>
      </c>
      <c r="G554" t="inlineStr">
        <is>
          <t>FILIPSTAD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39080-2026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46287</v>
      </c>
      <c r="E555" s="1" t="n">
        <v>46309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39333-2026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46288</v>
      </c>
      <c r="E556" s="1" t="n">
        <v>46309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48908-2023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46309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44935</v>
      </c>
      <c r="E558" s="1" t="n">
        <v>46309</v>
      </c>
      <c r="F558" t="inlineStr">
        <is>
          <t>VÄRMLANDS LÄN</t>
        </is>
      </c>
      <c r="G558" t="inlineStr">
        <is>
          <t>FILIPSTAD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10306-2025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45720</v>
      </c>
      <c r="E559" s="1" t="n">
        <v>46309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32972-2026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46309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46289</v>
      </c>
      <c r="E561" s="1" t="n">
        <v>46309</v>
      </c>
      <c r="F561" t="inlineStr">
        <is>
          <t>VÄRMLANDS LÄN</t>
        </is>
      </c>
      <c r="G561" t="inlineStr">
        <is>
          <t>FILIPSTAD</t>
        </is>
      </c>
      <c r="H561" t="inlineStr">
        <is>
          <t>Kyrkan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41075-2023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45173</v>
      </c>
      <c r="E562" s="1" t="n">
        <v>46309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35945-2026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46266</v>
      </c>
      <c r="E563" s="1" t="n">
        <v>46309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46309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23.8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14582-2025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45742</v>
      </c>
      <c r="E565" s="1" t="n">
        <v>46309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56840-2024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45628</v>
      </c>
      <c r="E566" s="1" t="n">
        <v>46309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8692-2025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45712</v>
      </c>
      <c r="E567" s="1" t="n">
        <v>46309</v>
      </c>
      <c r="F567" t="inlineStr">
        <is>
          <t>VÄRMLANDS LÄN</t>
        </is>
      </c>
      <c r="G567" t="inlineStr">
        <is>
          <t>FILIPSTAD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33468-2026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46247</v>
      </c>
      <c r="E568" s="1" t="n">
        <v>46309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45077</v>
      </c>
      <c r="E569" s="1" t="n">
        <v>46309</v>
      </c>
      <c r="F569" t="inlineStr">
        <is>
          <t>VÄRMLANDS LÄN</t>
        </is>
      </c>
      <c r="G569" t="inlineStr">
        <is>
          <t>FILIPSTAD</t>
        </is>
      </c>
      <c r="I569" t="n">
        <v>15.8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39893-2026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46290</v>
      </c>
      <c r="E570" s="1" t="n">
        <v>46309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33493-2026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46247</v>
      </c>
      <c r="E571" s="1" t="n">
        <v>46309</v>
      </c>
      <c r="F571" t="inlineStr">
        <is>
          <t>VÄRMLANDS LÄN</t>
        </is>
      </c>
      <c r="G571" t="inlineStr">
        <is>
          <t>FILIPSTAD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40121-2026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46309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46309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60524-2024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45643</v>
      </c>
      <c r="E574" s="1" t="n">
        <v>46309</v>
      </c>
      <c r="F574" t="inlineStr">
        <is>
          <t>VÄRMLANDS LÄN</t>
        </is>
      </c>
      <c r="G574" t="inlineStr">
        <is>
          <t>FILIPSTAD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14328-2025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45740</v>
      </c>
      <c r="E575" s="1" t="n">
        <v>46309</v>
      </c>
      <c r="F575" t="inlineStr">
        <is>
          <t>VÄRMLANDS LÄN</t>
        </is>
      </c>
      <c r="G575" t="inlineStr">
        <is>
          <t>FILIPSTAD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46309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15228-2025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45744</v>
      </c>
      <c r="E577" s="1" t="n">
        <v>46309</v>
      </c>
      <c r="F577" t="inlineStr">
        <is>
          <t>VÄRMLANDS LÄN</t>
        </is>
      </c>
      <c r="G577" t="inlineStr">
        <is>
          <t>FILIPSTAD</t>
        </is>
      </c>
      <c r="H577" t="inlineStr">
        <is>
          <t>Kommuner</t>
        </is>
      </c>
      <c r="I577" t="n">
        <v>17.7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20661-2024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45436</v>
      </c>
      <c r="E578" s="1" t="n">
        <v>46309</v>
      </c>
      <c r="F578" t="inlineStr">
        <is>
          <t>VÄRMLANDS LÄN</t>
        </is>
      </c>
      <c r="G578" t="inlineStr">
        <is>
          <t>FILIPSTAD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34262-2024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45524</v>
      </c>
      <c r="E579" s="1" t="n">
        <v>46309</v>
      </c>
      <c r="F579" t="inlineStr">
        <is>
          <t>VÄRMLANDS LÄN</t>
        </is>
      </c>
      <c r="G579" t="inlineStr">
        <is>
          <t>FILIPSTAD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45299</v>
      </c>
      <c r="E580" s="1" t="n">
        <v>46309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33837-2026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46309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33855-2026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46251</v>
      </c>
      <c r="E582" s="1" t="n">
        <v>46309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33859-2026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46309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46309</v>
      </c>
      <c r="F584" t="inlineStr">
        <is>
          <t>VÄRMLANDS LÄN</t>
        </is>
      </c>
      <c r="G584" t="inlineStr">
        <is>
          <t>FILIPSTAD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46309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46252</v>
      </c>
      <c r="E586" s="1" t="n">
        <v>46309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40378-2026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46294</v>
      </c>
      <c r="E587" s="1" t="n">
        <v>46309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40386-2026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46294</v>
      </c>
      <c r="E588" s="1" t="n">
        <v>46309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46309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30646-2024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45495</v>
      </c>
      <c r="E590" s="1" t="n">
        <v>46309</v>
      </c>
      <c r="F590" t="inlineStr">
        <is>
          <t>VÄRMLANDS LÄN</t>
        </is>
      </c>
      <c r="G590" t="inlineStr">
        <is>
          <t>FILIPSTAD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34053-2026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46252</v>
      </c>
      <c r="E591" s="1" t="n">
        <v>46309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27139-2024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45471</v>
      </c>
      <c r="E592" s="1" t="n">
        <v>46309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17244-2024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45414</v>
      </c>
      <c r="E593" s="1" t="n">
        <v>46309</v>
      </c>
      <c r="F593" t="inlineStr">
        <is>
          <t>VÄRMLANDS LÄN</t>
        </is>
      </c>
      <c r="G593" t="inlineStr">
        <is>
          <t>FILIPSTAD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30984-2026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46213</v>
      </c>
      <c r="E594" s="1" t="n">
        <v>46309</v>
      </c>
      <c r="F594" t="inlineStr">
        <is>
          <t>VÄRMLANDS LÄN</t>
        </is>
      </c>
      <c r="G594" t="inlineStr">
        <is>
          <t>FILIPSTAD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20875-2024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45439</v>
      </c>
      <c r="E595" s="1" t="n">
        <v>46309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47002-2024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45586</v>
      </c>
      <c r="E596" s="1" t="n">
        <v>46309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46309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65167-2021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44515</v>
      </c>
      <c r="E598" s="1" t="n">
        <v>46309</v>
      </c>
      <c r="F598" t="inlineStr">
        <is>
          <t>VÄRMLANDS LÄN</t>
        </is>
      </c>
      <c r="G598" t="inlineStr">
        <is>
          <t>FILIPSTAD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45790</v>
      </c>
      <c r="E599" s="1" t="n">
        <v>46309</v>
      </c>
      <c r="F599" t="inlineStr">
        <is>
          <t>VÄRMLANDS LÄN</t>
        </is>
      </c>
      <c r="G599" t="inlineStr">
        <is>
          <t>FILIPSTAD</t>
        </is>
      </c>
      <c r="H599" t="inlineStr">
        <is>
          <t>Kyrkan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46255</v>
      </c>
      <c r="E600" s="1" t="n">
        <v>46309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46309</v>
      </c>
      <c r="F601" t="inlineStr">
        <is>
          <t>VÄRMLANDS LÄN</t>
        </is>
      </c>
      <c r="G601" t="inlineStr">
        <is>
          <t>FILIPSTAD</t>
        </is>
      </c>
      <c r="I601" t="n">
        <v>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46255</v>
      </c>
      <c r="E602" s="1" t="n">
        <v>46309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19.2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46259</v>
      </c>
      <c r="E603" s="1" t="n">
        <v>46309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41229-2026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46297</v>
      </c>
      <c r="E604" s="1" t="n">
        <v>46309</v>
      </c>
      <c r="F604" t="inlineStr">
        <is>
          <t>VÄRMLANDS LÄN</t>
        </is>
      </c>
      <c r="G604" t="inlineStr">
        <is>
          <t>FILIPSTAD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46309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35368-2026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46261</v>
      </c>
      <c r="E606" s="1" t="n">
        <v>46309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42117-2026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46304</v>
      </c>
      <c r="E607" s="1" t="n">
        <v>46309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46309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8.4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35290-2026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46309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35423-2026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46309</v>
      </c>
      <c r="F610" t="inlineStr">
        <is>
          <t>VÄRMLANDS LÄN</t>
        </is>
      </c>
      <c r="G610" t="inlineStr">
        <is>
          <t>FILIPSTAD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42123-2026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46304</v>
      </c>
      <c r="E611" s="1" t="n">
        <v>46309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56037-2025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45973</v>
      </c>
      <c r="E612" s="1" t="n">
        <v>46309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50786-2024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45602</v>
      </c>
      <c r="E613" s="1" t="n">
        <v>46309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46265</v>
      </c>
      <c r="E614" s="1" t="n">
        <v>46309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35948-2026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46266</v>
      </c>
      <c r="E615" s="1" t="n">
        <v>46309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46094</v>
      </c>
      <c r="E616" s="1" t="n">
        <v>46309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35614-2026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46264</v>
      </c>
      <c r="E617" s="1" t="n">
        <v>46309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20.8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35615-2026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46264</v>
      </c>
      <c r="E618" s="1" t="n">
        <v>46309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35995-2026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46266</v>
      </c>
      <c r="E619" s="1" t="n">
        <v>46309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35821-2026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46265</v>
      </c>
      <c r="E620" s="1" t="n">
        <v>46309</v>
      </c>
      <c r="F620" t="inlineStr">
        <is>
          <t>VÄRMLANDS LÄN</t>
        </is>
      </c>
      <c r="G620" t="inlineStr">
        <is>
          <t>FILIPSTAD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35927-2026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46266</v>
      </c>
      <c r="E621" s="1" t="n">
        <v>46309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16009-2026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46108</v>
      </c>
      <c r="E622" s="1" t="n">
        <v>46309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42582-2026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46308</v>
      </c>
      <c r="E623" s="1" t="n">
        <v>46309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29328-2026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46202</v>
      </c>
      <c r="E624" s="1" t="n">
        <v>46309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47566-2025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45931</v>
      </c>
      <c r="E625" s="1" t="n">
        <v>46309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46309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46309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46309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46309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46309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46309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46309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46309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46309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46309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46309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46309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46309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46309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46309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46309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46309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46309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46309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2026-10-14T02:04:41Z</dcterms:created>
  <dcterms:modified xmlns:dcterms="http://purl.org/dc/terms/" xmlns:xsi="http://www.w3.org/2001/XMLSchema-instance" xsi:type="dcterms:W3CDTF">2026-10-14T02:04:42Z</dcterms:modified>
</cp:coreProperties>
</file>