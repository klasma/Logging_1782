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46216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46216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46216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Vårärt
Grönkulla
Skogsknipprot
Svart trolldruva
Tibast
Tvåblad
Underviol</t>
        </is>
      </c>
      <c r="V4">
        <f>HYPERLINK("https://klasma.github.io/Logging_1782/artfynd/A 47888-2021 artfynd.xlsx", "A 47888-2021")</f>
        <v/>
      </c>
      <c r="W4">
        <f>HYPERLINK("https://klasma.github.io/Logging_1782/kartor/A 47888-2021 karta.png", "A 47888-2021")</f>
        <v/>
      </c>
      <c r="Y4">
        <f>HYPERLINK("https://klasma.github.io/Logging_1782/klagomål/A 47888-2021 FSC-klagomål.docx", "A 47888-2021")</f>
        <v/>
      </c>
      <c r="Z4">
        <f>HYPERLINK("https://klasma.github.io/Logging_1782/klagomålsmail/A 47888-2021 FSC-klagomål mail.docx", "A 47888-2021")</f>
        <v/>
      </c>
      <c r="AA4">
        <f>HYPERLINK("https://klasma.github.io/Logging_1782/tillsyn/A 47888-2021 tillsynsbegäran.docx", "A 47888-2021")</f>
        <v/>
      </c>
      <c r="AB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46216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s="2" t="inlineStr">
        <is>
          <t>Garnlav
Dropptaggsvamp
Skuggblåslav
Ullticka
Vedtrappmossa
Bollvitmossa
Bronshjon</t>
        </is>
      </c>
      <c r="V5">
        <f>HYPERLINK("https://klasma.github.io/Logging_1782/artfynd/A 58718-2021 artfynd.xlsx", "A 58718-2021")</f>
        <v/>
      </c>
      <c r="W5">
        <f>HYPERLINK("https://klasma.github.io/Logging_1782/kartor/A 58718-2021 karta.png", "A 58718-2021")</f>
        <v/>
      </c>
      <c r="Y5">
        <f>HYPERLINK("https://klasma.github.io/Logging_1782/klagomål/A 58718-2021 FSC-klagomål.docx", "A 58718-2021")</f>
        <v/>
      </c>
      <c r="Z5">
        <f>HYPERLINK("https://klasma.github.io/Logging_1782/klagomålsmail/A 58718-2021 FSC-klagomål mail.docx", "A 58718-2021")</f>
        <v/>
      </c>
      <c r="AA5">
        <f>HYPERLINK("https://klasma.github.io/Logging_1782/tillsyn/A 58718-2021 tillsynsbegäran.docx", "A 58718-2021")</f>
        <v/>
      </c>
      <c r="AB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46216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46216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46216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46216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46216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46216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46216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s="2" t="inlineStr">
        <is>
          <t>Brunklöver
Skuggblåslav
Bårdlav</t>
        </is>
      </c>
      <c r="V12">
        <f>HYPERLINK("https://klasma.github.io/Logging_1782/artfynd/A 45714-2025 artfynd.xlsx", "A 45714-2025")</f>
        <v/>
      </c>
      <c r="W12">
        <f>HYPERLINK("https://klasma.github.io/Logging_1782/kartor/A 45714-2025 karta.png", "A 45714-2025")</f>
        <v/>
      </c>
      <c r="Y12">
        <f>HYPERLINK("https://klasma.github.io/Logging_1782/klagomål/A 45714-2025 FSC-klagomål.docx", "A 45714-2025")</f>
        <v/>
      </c>
      <c r="Z12">
        <f>HYPERLINK("https://klasma.github.io/Logging_1782/klagomålsmail/A 45714-2025 FSC-klagomål mail.docx", "A 45714-2025")</f>
        <v/>
      </c>
      <c r="AA12">
        <f>HYPERLINK("https://klasma.github.io/Logging_1782/tillsyn/A 45714-2025 tillsynsbegäran.docx", "A 45714-2025")</f>
        <v/>
      </c>
      <c r="AB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46216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s="2" t="inlineStr">
        <is>
          <t>Norsk näverlav
Skuggblåslav
Grön sköldmossa</t>
        </is>
      </c>
      <c r="V13">
        <f>HYPERLINK("https://klasma.github.io/Logging_1782/artfynd/A 43333-2023 artfynd.xlsx", "A 43333-2023")</f>
        <v/>
      </c>
      <c r="W13">
        <f>HYPERLINK("https://klasma.github.io/Logging_1782/kartor/A 43333-2023 karta.png", "A 43333-2023")</f>
        <v/>
      </c>
      <c r="Y13">
        <f>HYPERLINK("https://klasma.github.io/Logging_1782/klagomål/A 43333-2023 FSC-klagomål.docx", "A 43333-2023")</f>
        <v/>
      </c>
      <c r="Z13">
        <f>HYPERLINK("https://klasma.github.io/Logging_1782/klagomålsmail/A 43333-2023 FSC-klagomål mail.docx", "A 43333-2023")</f>
        <v/>
      </c>
      <c r="AA13">
        <f>HYPERLINK("https://klasma.github.io/Logging_1782/tillsyn/A 43333-2023 tillsynsbegäran.docx", "A 43333-2023")</f>
        <v/>
      </c>
      <c r="AB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46216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Tjäder
Orre
Fläcknycklar</t>
        </is>
      </c>
      <c r="V14">
        <f>HYPERLINK("https://klasma.github.io/Logging_1782/artfynd/A 62116-2025 artfynd.xlsx", "A 62116-2025")</f>
        <v/>
      </c>
      <c r="W14">
        <f>HYPERLINK("https://klasma.github.io/Logging_1782/kartor/A 62116-2025 karta.png", "A 62116-2025")</f>
        <v/>
      </c>
      <c r="Y14">
        <f>HYPERLINK("https://klasma.github.io/Logging_1782/klagomål/A 62116-2025 FSC-klagomål.docx", "A 62116-2025")</f>
        <v/>
      </c>
      <c r="Z14">
        <f>HYPERLINK("https://klasma.github.io/Logging_1782/klagomålsmail/A 62116-2025 FSC-klagomål mail.docx", "A 62116-2025")</f>
        <v/>
      </c>
      <c r="AA14">
        <f>HYPERLINK("https://klasma.github.io/Logging_1782/tillsyn/A 62116-2025 tillsynsbegäran.docx", "A 62116-2025")</f>
        <v/>
      </c>
      <c r="AB14">
        <f>HYPERLINK("https://klasma.github.io/Logging_1782/tillsynsmail/A 62116-2025 tillsynsbegäran mail.docx", "A 62116-2025")</f>
        <v/>
      </c>
      <c r="AC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46216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Garnlav
Dropptaggsvamp
Skuggblåslav</t>
        </is>
      </c>
      <c r="V15">
        <f>HYPERLINK("https://klasma.github.io/Logging_1782/artfynd/A 38134-2024 artfynd.xlsx", "A 38134-2024")</f>
        <v/>
      </c>
      <c r="W15">
        <f>HYPERLINK("https://klasma.github.io/Logging_1782/kartor/A 38134-2024 karta.png", "A 38134-2024")</f>
        <v/>
      </c>
      <c r="Y15">
        <f>HYPERLINK("https://klasma.github.io/Logging_1782/klagomål/A 38134-2024 FSC-klagomål.docx", "A 38134-2024")</f>
        <v/>
      </c>
      <c r="Z15">
        <f>HYPERLINK("https://klasma.github.io/Logging_1782/klagomålsmail/A 38134-2024 FSC-klagomål mail.docx", "A 38134-2024")</f>
        <v/>
      </c>
      <c r="AA15">
        <f>HYPERLINK("https://klasma.github.io/Logging_1782/tillsyn/A 38134-2024 tillsynsbegäran.docx", "A 38134-2024")</f>
        <v/>
      </c>
      <c r="AB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46216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46216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46216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Korallblylav</t>
        </is>
      </c>
      <c r="V18">
        <f>HYPERLINK("https://klasma.github.io/Logging_1782/artfynd/A 45523-2022 artfynd.xlsx", "A 45523-2022")</f>
        <v/>
      </c>
      <c r="W18">
        <f>HYPERLINK("https://klasma.github.io/Logging_1782/kartor/A 45523-2022 karta.png", "A 45523-2022")</f>
        <v/>
      </c>
      <c r="Y18">
        <f>HYPERLINK("https://klasma.github.io/Logging_1782/klagomål/A 45523-2022 FSC-klagomål.docx", "A 45523-2022")</f>
        <v/>
      </c>
      <c r="Z18">
        <f>HYPERLINK("https://klasma.github.io/Logging_1782/klagomålsmail/A 45523-2022 FSC-klagomål mail.docx", "A 45523-2022")</f>
        <v/>
      </c>
      <c r="AA18">
        <f>HYPERLINK("https://klasma.github.io/Logging_1782/tillsyn/A 45523-2022 tillsynsbegäran.docx", "A 45523-2022")</f>
        <v/>
      </c>
      <c r="AB18">
        <f>HYPERLINK("https://klasma.github.io/Logging_1782/tillsynsmail/A 45523-2022 tillsynsbegäran mail.docx", "A 45523-2022")</f>
        <v/>
      </c>
    </row>
    <row r="19" ht="15" customHeight="1">
      <c r="A19" t="inlineStr">
        <is>
          <t>A 51103-2025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46216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8.300000000000001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Grönsiska
Smålom</t>
        </is>
      </c>
      <c r="V19">
        <f>HYPERLINK("https://klasma.github.io/Logging_1782/artfynd/A 51103-2025 artfynd.xlsx", "A 51103-2025")</f>
        <v/>
      </c>
      <c r="W19">
        <f>HYPERLINK("https://klasma.github.io/Logging_1782/kartor/A 51103-2025 karta.png", "A 51103-2025")</f>
        <v/>
      </c>
      <c r="Y19">
        <f>HYPERLINK("https://klasma.github.io/Logging_1782/klagomål/A 51103-2025 FSC-klagomål.docx", "A 51103-2025")</f>
        <v/>
      </c>
      <c r="Z19">
        <f>HYPERLINK("https://klasma.github.io/Logging_1782/klagomålsmail/A 51103-2025 FSC-klagomål mail.docx", "A 51103-2025")</f>
        <v/>
      </c>
      <c r="AA19">
        <f>HYPERLINK("https://klasma.github.io/Logging_1782/tillsyn/A 51103-2025 tillsynsbegäran.docx", "A 51103-2025")</f>
        <v/>
      </c>
      <c r="AB19">
        <f>HYPERLINK("https://klasma.github.io/Logging_1782/tillsynsmail/A 51103-2025 tillsynsbegäran mail.docx", "A 51103-2025")</f>
        <v/>
      </c>
      <c r="AC19">
        <f>HYPERLINK("https://klasma.github.io/Logging_1782/fåglar/A 51103-2025 prioriterade fågelarter.docx", "A 51103-2025")</f>
        <v/>
      </c>
    </row>
    <row r="20" ht="15" customHeight="1">
      <c r="A20" t="inlineStr">
        <is>
          <t>A 38132-2024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46216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Bronshjon
Fläcknycklar</t>
        </is>
      </c>
      <c r="V20">
        <f>HYPERLINK("https://klasma.github.io/Logging_1782/artfynd/A 38132-2024 artfynd.xlsx", "A 38132-2024")</f>
        <v/>
      </c>
      <c r="W20">
        <f>HYPERLINK("https://klasma.github.io/Logging_1782/kartor/A 38132-2024 karta.png", "A 38132-2024")</f>
        <v/>
      </c>
      <c r="Y20">
        <f>HYPERLINK("https://klasma.github.io/Logging_1782/klagomål/A 38132-2024 FSC-klagomål.docx", "A 38132-2024")</f>
        <v/>
      </c>
      <c r="Z20">
        <f>HYPERLINK("https://klasma.github.io/Logging_1782/klagomålsmail/A 38132-2024 FSC-klagomål mail.docx", "A 38132-2024")</f>
        <v/>
      </c>
      <c r="AA20">
        <f>HYPERLINK("https://klasma.github.io/Logging_1782/tillsyn/A 38132-2024 tillsynsbegäran.docx", "A 38132-2024")</f>
        <v/>
      </c>
      <c r="AB20">
        <f>HYPERLINK("https://klasma.github.io/Logging_1782/tillsynsmail/A 38132-2024 tillsynsbegäran mail.docx", "A 38132-2024")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46216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Garnlav
Bronshjon</t>
        </is>
      </c>
      <c r="V21">
        <f>HYPERLINK("https://klasma.github.io/Logging_1782/artfynd/A 16139-2025 artfynd.xlsx", "A 16139-2025")</f>
        <v/>
      </c>
      <c r="W21">
        <f>HYPERLINK("https://klasma.github.io/Logging_1782/kartor/A 16139-2025 karta.png", "A 16139-2025")</f>
        <v/>
      </c>
      <c r="Y21">
        <f>HYPERLINK("https://klasma.github.io/Logging_1782/klagomål/A 16139-2025 FSC-klagomål.docx", "A 16139-2025")</f>
        <v/>
      </c>
      <c r="Z21">
        <f>HYPERLINK("https://klasma.github.io/Logging_1782/klagomålsmail/A 16139-2025 FSC-klagomål mail.docx", "A 16139-2025")</f>
        <v/>
      </c>
      <c r="AA21">
        <f>HYPERLINK("https://klasma.github.io/Logging_1782/tillsyn/A 16139-2025 tillsynsbegäran.docx", "A 16139-2025")</f>
        <v/>
      </c>
      <c r="AB21">
        <f>HYPERLINK("https://klasma.github.io/Logging_1782/tillsynsmail/A 16139-2025 tillsynsbegäran mail.docx", "A 16139-2025")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46216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Läderlappslav
Tjäder</t>
        </is>
      </c>
      <c r="V22">
        <f>HYPERLINK("https://klasma.github.io/Logging_1782/artfynd/A 51922-2024 artfynd.xlsx", "A 51922-2024")</f>
        <v/>
      </c>
      <c r="W22">
        <f>HYPERLINK("https://klasma.github.io/Logging_1782/kartor/A 51922-2024 karta.png", "A 51922-2024")</f>
        <v/>
      </c>
      <c r="Y22">
        <f>HYPERLINK("https://klasma.github.io/Logging_1782/klagomål/A 51922-2024 FSC-klagomål.docx", "A 51922-2024")</f>
        <v/>
      </c>
      <c r="Z22">
        <f>HYPERLINK("https://klasma.github.io/Logging_1782/klagomålsmail/A 51922-2024 FSC-klagomål mail.docx", "A 51922-2024")</f>
        <v/>
      </c>
      <c r="AA22">
        <f>HYPERLINK("https://klasma.github.io/Logging_1782/tillsyn/A 51922-2024 tillsynsbegäran.docx", "A 51922-2024")</f>
        <v/>
      </c>
      <c r="AB22">
        <f>HYPERLINK("https://klasma.github.io/Logging_1782/tillsynsmail/A 51922-2024 tillsynsbegäran mail.docx", "A 51922-2024")</f>
        <v/>
      </c>
      <c r="AC22">
        <f>HYPERLINK("https://klasma.github.io/Logging_1782/fåglar/A 51922-2024 prioriterade fågelarter.docx", "A 51922-2024")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46216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Igelkott
Fläcknycklar</t>
        </is>
      </c>
      <c r="V23">
        <f>HYPERLINK("https://klasma.github.io/Logging_1782/artfynd/A 29469-2026 artfynd.xlsx", "A 29469-2026")</f>
        <v/>
      </c>
      <c r="W23">
        <f>HYPERLINK("https://klasma.github.io/Logging_1782/kartor/A 29469-2026 karta.png", "A 29469-2026")</f>
        <v/>
      </c>
      <c r="Y23">
        <f>HYPERLINK("https://klasma.github.io/Logging_1782/klagomål/A 29469-2026 FSC-klagomål.docx", "A 29469-2026")</f>
        <v/>
      </c>
      <c r="Z23">
        <f>HYPERLINK("https://klasma.github.io/Logging_1782/klagomålsmail/A 29469-2026 FSC-klagomål mail.docx", "A 29469-2026")</f>
        <v/>
      </c>
      <c r="AA23">
        <f>HYPERLINK("https://klasma.github.io/Logging_1782/tillsyn/A 29469-2026 tillsynsbegäran.docx", "A 29469-2026")</f>
        <v/>
      </c>
      <c r="AB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46216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Dropptaggsvamp
Talltita</t>
        </is>
      </c>
      <c r="V24">
        <f>HYPERLINK("https://klasma.github.io/Logging_1782/artfynd/A 17274-2024 artfynd.xlsx", "A 17274-2024")</f>
        <v/>
      </c>
      <c r="W24">
        <f>HYPERLINK("https://klasma.github.io/Logging_1782/kartor/A 17274-2024 karta.png", "A 17274-2024")</f>
        <v/>
      </c>
      <c r="Y24">
        <f>HYPERLINK("https://klasma.github.io/Logging_1782/klagomål/A 17274-2024 FSC-klagomål.docx", "A 17274-2024")</f>
        <v/>
      </c>
      <c r="Z24">
        <f>HYPERLINK("https://klasma.github.io/Logging_1782/klagomålsmail/A 17274-2024 FSC-klagomål mail.docx", "A 17274-2024")</f>
        <v/>
      </c>
      <c r="AA24">
        <f>HYPERLINK("https://klasma.github.io/Logging_1782/tillsyn/A 17274-2024 tillsynsbegäran.docx", "A 17274-2024")</f>
        <v/>
      </c>
      <c r="AB24">
        <f>HYPERLINK("https://klasma.github.io/Logging_1782/tillsynsmail/A 17274-2024 tillsynsbegäran mail.docx", "A 17274-2024")</f>
        <v/>
      </c>
      <c r="AC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46216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s="2" t="inlineStr">
        <is>
          <t>Guckusko
Kransrams</t>
        </is>
      </c>
      <c r="V25">
        <f>HYPERLINK("https://klasma.github.io/Logging_1782/artfynd/A 19945-2023 artfynd.xlsx", "A 19945-2023")</f>
        <v/>
      </c>
      <c r="W25">
        <f>HYPERLINK("https://klasma.github.io/Logging_1782/kartor/A 19945-2023 karta.png", "A 19945-2023")</f>
        <v/>
      </c>
      <c r="Y25">
        <f>HYPERLINK("https://klasma.github.io/Logging_1782/klagomål/A 19945-2023 FSC-klagomål.docx", "A 19945-2023")</f>
        <v/>
      </c>
      <c r="Z25">
        <f>HYPERLINK("https://klasma.github.io/Logging_1782/klagomålsmail/A 19945-2023 FSC-klagomål mail.docx", "A 19945-2023")</f>
        <v/>
      </c>
      <c r="AA25">
        <f>HYPERLINK("https://klasma.github.io/Logging_1782/tillsyn/A 19945-2023 tillsynsbegäran.docx", "A 19945-2023")</f>
        <v/>
      </c>
      <c r="AB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46216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46216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46216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4560-2025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45687</v>
      </c>
      <c r="E29" s="1" t="n">
        <v>46216</v>
      </c>
      <c r="F29" t="inlineStr">
        <is>
          <t>VÄRMLANDS LÄN</t>
        </is>
      </c>
      <c r="G29" t="inlineStr">
        <is>
          <t>FILIPSTAD</t>
        </is>
      </c>
      <c r="I29" t="n">
        <v>13.6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Skrovlig taggsvamp</t>
        </is>
      </c>
      <c r="V29">
        <f>HYPERLINK("https://klasma.github.io/Logging_1782/artfynd/A 4560-2025 artfynd.xlsx", "A 4560-2025")</f>
        <v/>
      </c>
      <c r="W29">
        <f>HYPERLINK("https://klasma.github.io/Logging_1782/kartor/A 4560-2025 karta.png", "A 4560-2025")</f>
        <v/>
      </c>
      <c r="Y29">
        <f>HYPERLINK("https://klasma.github.io/Logging_1782/klagomål/A 4560-2025 FSC-klagomål.docx", "A 4560-2025")</f>
        <v/>
      </c>
      <c r="Z29">
        <f>HYPERLINK("https://klasma.github.io/Logging_1782/klagomålsmail/A 4560-2025 FSC-klagomål mail.docx", "A 4560-2025")</f>
        <v/>
      </c>
      <c r="AA29">
        <f>HYPERLINK("https://klasma.github.io/Logging_1782/tillsyn/A 4560-2025 tillsynsbegäran.docx", "A 4560-2025")</f>
        <v/>
      </c>
      <c r="AB29">
        <f>HYPERLINK("https://klasma.github.io/Logging_1782/tillsynsmail/A 4560-2025 tillsynsbegäran mail.docx", "A 4560-2025")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46216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Lunglav</t>
        </is>
      </c>
      <c r="V30">
        <f>HYPERLINK("https://klasma.github.io/Logging_1782/artfynd/A 25916-2025 artfynd.xlsx", "A 25916-2025")</f>
        <v/>
      </c>
      <c r="W30">
        <f>HYPERLINK("https://klasma.github.io/Logging_1782/kartor/A 25916-2025 karta.png", "A 25916-2025")</f>
        <v/>
      </c>
      <c r="Y30">
        <f>HYPERLINK("https://klasma.github.io/Logging_1782/klagomål/A 25916-2025 FSC-klagomål.docx", "A 25916-2025")</f>
        <v/>
      </c>
      <c r="Z30">
        <f>HYPERLINK("https://klasma.github.io/Logging_1782/klagomålsmail/A 25916-2025 FSC-klagomål mail.docx", "A 25916-2025")</f>
        <v/>
      </c>
      <c r="AA30">
        <f>HYPERLINK("https://klasma.github.io/Logging_1782/tillsyn/A 25916-2025 tillsynsbegäran.docx", "A 25916-2025")</f>
        <v/>
      </c>
      <c r="AB30">
        <f>HYPERLINK("https://klasma.github.io/Logging_1782/tillsynsmail/A 25916-2025 tillsynsbegäran mail.docx", "A 25916-2025")</f>
        <v/>
      </c>
    </row>
    <row r="31" ht="15" customHeight="1">
      <c r="A31" t="inlineStr">
        <is>
          <t>A 30652-2025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45831</v>
      </c>
      <c r="E31" s="1" t="n">
        <v>46216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Tjäder</t>
        </is>
      </c>
      <c r="V31">
        <f>HYPERLINK("https://klasma.github.io/Logging_1782/artfynd/A 30652-2025 artfynd.xlsx", "A 30652-2025")</f>
        <v/>
      </c>
      <c r="W31">
        <f>HYPERLINK("https://klasma.github.io/Logging_1782/kartor/A 30652-2025 karta.png", "A 30652-2025")</f>
        <v/>
      </c>
      <c r="Y31">
        <f>HYPERLINK("https://klasma.github.io/Logging_1782/klagomål/A 30652-2025 FSC-klagomål.docx", "A 30652-2025")</f>
        <v/>
      </c>
      <c r="Z31">
        <f>HYPERLINK("https://klasma.github.io/Logging_1782/klagomålsmail/A 30652-2025 FSC-klagomål mail.docx", "A 30652-2025")</f>
        <v/>
      </c>
      <c r="AA31">
        <f>HYPERLINK("https://klasma.github.io/Logging_1782/tillsyn/A 30652-2025 tillsynsbegäran.docx", "A 30652-2025")</f>
        <v/>
      </c>
      <c r="AB31">
        <f>HYPERLINK("https://klasma.github.io/Logging_1782/tillsynsmail/A 30652-2025 tillsynsbegäran mail.docx", "A 30652-2025")</f>
        <v/>
      </c>
      <c r="AC31">
        <f>HYPERLINK("https://klasma.github.io/Logging_1782/fåglar/A 30652-2025 prioriterade fågelarter.docx", "A 30652-2025")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46216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Brunklöver</t>
        </is>
      </c>
      <c r="V32">
        <f>HYPERLINK("https://klasma.github.io/Logging_1782/artfynd/A 45781-2025 artfynd.xlsx", "A 45781-2025")</f>
        <v/>
      </c>
      <c r="W32">
        <f>HYPERLINK("https://klasma.github.io/Logging_1782/kartor/A 45781-2025 karta.png", "A 45781-2025")</f>
        <v/>
      </c>
      <c r="Y32">
        <f>HYPERLINK("https://klasma.github.io/Logging_1782/klagomål/A 45781-2025 FSC-klagomål.docx", "A 45781-2025")</f>
        <v/>
      </c>
      <c r="Z32">
        <f>HYPERLINK("https://klasma.github.io/Logging_1782/klagomålsmail/A 45781-2025 FSC-klagomål mail.docx", "A 45781-2025")</f>
        <v/>
      </c>
      <c r="AA32">
        <f>HYPERLINK("https://klasma.github.io/Logging_1782/tillsyn/A 45781-2025 tillsynsbegäran.docx", "A 45781-2025")</f>
        <v/>
      </c>
      <c r="AB32">
        <f>HYPERLINK("https://klasma.github.io/Logging_1782/tillsynsmail/A 45781-2025 tillsynsbegäran mail.docx", "A 45781-2025")</f>
        <v/>
      </c>
    </row>
    <row r="33" ht="15" customHeight="1">
      <c r="A33" t="inlineStr">
        <is>
          <t>A 874-2025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45665</v>
      </c>
      <c r="E33" s="1" t="n">
        <v>46216</v>
      </c>
      <c r="F33" t="inlineStr">
        <is>
          <t>VÄRMLANDS LÄN</t>
        </is>
      </c>
      <c r="G33" t="inlineStr">
        <is>
          <t>FILIPSTAD</t>
        </is>
      </c>
      <c r="H33" t="inlineStr">
        <is>
          <t>Kyrkan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Kamjordstjärna</t>
        </is>
      </c>
      <c r="V33">
        <f>HYPERLINK("https://klasma.github.io/Logging_1782/artfynd/A 874-2025 artfynd.xlsx", "A 874-2025")</f>
        <v/>
      </c>
      <c r="W33">
        <f>HYPERLINK("https://klasma.github.io/Logging_1782/kartor/A 874-2025 karta.png", "A 874-2025")</f>
        <v/>
      </c>
      <c r="Y33">
        <f>HYPERLINK("https://klasma.github.io/Logging_1782/klagomål/A 874-2025 FSC-klagomål.docx", "A 874-2025")</f>
        <v/>
      </c>
      <c r="Z33">
        <f>HYPERLINK("https://klasma.github.io/Logging_1782/klagomålsmail/A 874-2025 FSC-klagomål mail.docx", "A 874-2025")</f>
        <v/>
      </c>
      <c r="AA33">
        <f>HYPERLINK("https://klasma.github.io/Logging_1782/tillsyn/A 874-2025 tillsynsbegäran.docx", "A 874-2025")</f>
        <v/>
      </c>
      <c r="AB33">
        <f>HYPERLINK("https://klasma.github.io/Logging_1782/tillsynsmail/A 874-2025 tillsynsbegäran mail.docx", "A 874-2025")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46216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Dropptaggsvamp</t>
        </is>
      </c>
      <c r="V34">
        <f>HYPERLINK("https://klasma.github.io/Logging_1782/artfynd/A 38140-2024 artfynd.xlsx", "A 38140-2024")</f>
        <v/>
      </c>
      <c r="W34">
        <f>HYPERLINK("https://klasma.github.io/Logging_1782/kartor/A 38140-2024 karta.png", "A 38140-2024")</f>
        <v/>
      </c>
      <c r="Y34">
        <f>HYPERLINK("https://klasma.github.io/Logging_1782/klagomål/A 38140-2024 FSC-klagomål.docx", "A 38140-2024")</f>
        <v/>
      </c>
      <c r="Z34">
        <f>HYPERLINK("https://klasma.github.io/Logging_1782/klagomålsmail/A 38140-2024 FSC-klagomål mail.docx", "A 38140-2024")</f>
        <v/>
      </c>
      <c r="AA34">
        <f>HYPERLINK("https://klasma.github.io/Logging_1782/tillsyn/A 38140-2024 tillsynsbegäran.docx", "A 38140-2024")</f>
        <v/>
      </c>
      <c r="AB34">
        <f>HYPERLINK("https://klasma.github.io/Logging_1782/tillsynsmail/A 38140-2024 tillsynsbegäran mail.docx", "A 38140-2024")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46216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HYPERLINK("https://klasma.github.io/Logging_1782/artfynd/A 58734-2025 artfynd.xlsx", "A 58734-2025")</f>
        <v/>
      </c>
      <c r="W35">
        <f>HYPERLINK("https://klasma.github.io/Logging_1782/kartor/A 58734-2025 karta.png", "A 58734-2025")</f>
        <v/>
      </c>
      <c r="Y35">
        <f>HYPERLINK("https://klasma.github.io/Logging_1782/klagomål/A 58734-2025 FSC-klagomål.docx", "A 58734-2025")</f>
        <v/>
      </c>
      <c r="Z35">
        <f>HYPERLINK("https://klasma.github.io/Logging_1782/klagomålsmail/A 58734-2025 FSC-klagomål mail.docx", "A 58734-2025")</f>
        <v/>
      </c>
      <c r="AA35">
        <f>HYPERLINK("https://klasma.github.io/Logging_1782/tillsyn/A 58734-2025 tillsynsbegäran.docx", "A 58734-2025")</f>
        <v/>
      </c>
      <c r="AB35">
        <f>HYPERLINK("https://klasma.github.io/Logging_1782/tillsynsmail/A 58734-2025 tillsynsbegäran mail.docx", "A 58734-2025")</f>
        <v/>
      </c>
      <c r="AC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46216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Ädellav</t>
        </is>
      </c>
      <c r="V36">
        <f>HYPERLINK("https://klasma.github.io/Logging_1782/artfynd/A 17529-2026 artfynd.xlsx", "A 17529-2026")</f>
        <v/>
      </c>
      <c r="W36">
        <f>HYPERLINK("https://klasma.github.io/Logging_1782/kartor/A 17529-2026 karta.png", "A 17529-2026")</f>
        <v/>
      </c>
      <c r="Y36">
        <f>HYPERLINK("https://klasma.github.io/Logging_1782/klagomål/A 17529-2026 FSC-klagomål.docx", "A 17529-2026")</f>
        <v/>
      </c>
      <c r="Z36">
        <f>HYPERLINK("https://klasma.github.io/Logging_1782/klagomålsmail/A 17529-2026 FSC-klagomål mail.docx", "A 17529-2026")</f>
        <v/>
      </c>
      <c r="AA36">
        <f>HYPERLINK("https://klasma.github.io/Logging_1782/tillsyn/A 17529-2026 tillsynsbegäran.docx", "A 17529-2026")</f>
        <v/>
      </c>
      <c r="AB36">
        <f>HYPERLINK("https://klasma.github.io/Logging_1782/tillsynsmail/A 17529-2026 tillsynsbegäran mail.docx", "A 17529-2026")</f>
        <v/>
      </c>
    </row>
    <row r="37" ht="15" customHeight="1">
      <c r="A37" t="inlineStr">
        <is>
          <t>A 10138-2024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45364</v>
      </c>
      <c r="E37" s="1" t="n">
        <v>46216</v>
      </c>
      <c r="F37" t="inlineStr">
        <is>
          <t>VÄRMLANDS LÄN</t>
        </is>
      </c>
      <c r="G37" t="inlineStr">
        <is>
          <t>FILIPSTAD</t>
        </is>
      </c>
      <c r="H37" t="inlineStr">
        <is>
          <t>Kommuner</t>
        </is>
      </c>
      <c r="I37" t="n">
        <v>6.8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Purpurknipprot</t>
        </is>
      </c>
      <c r="V37">
        <f>HYPERLINK("https://klasma.github.io/Logging_1782/artfynd/A 10138-2024 artfynd.xlsx", "A 10138-2024")</f>
        <v/>
      </c>
      <c r="W37">
        <f>HYPERLINK("https://klasma.github.io/Logging_1782/kartor/A 10138-2024 karta.png", "A 10138-2024")</f>
        <v/>
      </c>
      <c r="Y37">
        <f>HYPERLINK("https://klasma.github.io/Logging_1782/klagomål/A 10138-2024 FSC-klagomål.docx", "A 10138-2024")</f>
        <v/>
      </c>
      <c r="Z37">
        <f>HYPERLINK("https://klasma.github.io/Logging_1782/klagomålsmail/A 10138-2024 FSC-klagomål mail.docx", "A 10138-2024")</f>
        <v/>
      </c>
      <c r="AA37">
        <f>HYPERLINK("https://klasma.github.io/Logging_1782/tillsyn/A 10138-2024 tillsynsbegäran.docx", "A 10138-2024")</f>
        <v/>
      </c>
      <c r="AB37">
        <f>HYPERLINK("https://klasma.github.io/Logging_1782/tillsynsmail/A 10138-2024 tillsynsbegäran mail.docx", "A 10138-2024")</f>
        <v/>
      </c>
    </row>
    <row r="38" ht="15" customHeight="1">
      <c r="A38" t="inlineStr">
        <is>
          <t>A 25862-2026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46216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Talltaggsvamp</t>
        </is>
      </c>
      <c r="V38">
        <f>HYPERLINK("https://klasma.github.io/Logging_1782/artfynd/A 25862-2026 artfynd.xlsx", "A 25862-2026")</f>
        <v/>
      </c>
      <c r="W38">
        <f>HYPERLINK("https://klasma.github.io/Logging_1782/kartor/A 25862-2026 karta.png", "A 25862-2026")</f>
        <v/>
      </c>
      <c r="Y38">
        <f>HYPERLINK("https://klasma.github.io/Logging_1782/klagomål/A 25862-2026 FSC-klagomål.docx", "A 25862-2026")</f>
        <v/>
      </c>
      <c r="Z38">
        <f>HYPERLINK("https://klasma.github.io/Logging_1782/klagomålsmail/A 25862-2026 FSC-klagomål mail.docx", "A 25862-2026")</f>
        <v/>
      </c>
      <c r="AA38">
        <f>HYPERLINK("https://klasma.github.io/Logging_1782/tillsyn/A 25862-2026 tillsynsbegäran.docx", "A 25862-2026")</f>
        <v/>
      </c>
      <c r="AB38">
        <f>HYPERLINK("https://klasma.github.io/Logging_1782/tillsynsmail/A 25862-2026 tillsynsbegäran mail.docx", "A 25862-2026")</f>
        <v/>
      </c>
    </row>
    <row r="39" ht="15" customHeight="1">
      <c r="A39" t="inlineStr">
        <is>
          <t>A 34145-2024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45524</v>
      </c>
      <c r="E39" s="1" t="n">
        <v>46216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Brunklöver</t>
        </is>
      </c>
      <c r="V39">
        <f>HYPERLINK("https://klasma.github.io/Logging_1782/artfynd/A 34145-2024 artfynd.xlsx", "A 34145-2024")</f>
        <v/>
      </c>
      <c r="W39">
        <f>HYPERLINK("https://klasma.github.io/Logging_1782/kartor/A 34145-2024 karta.png", "A 34145-2024")</f>
        <v/>
      </c>
      <c r="Y39">
        <f>HYPERLINK("https://klasma.github.io/Logging_1782/klagomål/A 34145-2024 FSC-klagomål.docx", "A 34145-2024")</f>
        <v/>
      </c>
      <c r="Z39">
        <f>HYPERLINK("https://klasma.github.io/Logging_1782/klagomålsmail/A 34145-2024 FSC-klagomål mail.docx", "A 34145-2024")</f>
        <v/>
      </c>
      <c r="AA39">
        <f>HYPERLINK("https://klasma.github.io/Logging_1782/tillsyn/A 34145-2024 tillsynsbegäran.docx", "A 34145-2024")</f>
        <v/>
      </c>
      <c r="AB39">
        <f>HYPERLINK("https://klasma.github.io/Logging_1782/tillsynsmail/A 34145-2024 tillsynsbegäran mail.docx", "A 34145-2024")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46216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HYPERLINK("https://klasma.github.io/Logging_1782/artfynd/A 51522-2022 artfynd.xlsx", "A 51522-2022")</f>
        <v/>
      </c>
      <c r="W40">
        <f>HYPERLINK("https://klasma.github.io/Logging_1782/kartor/A 51522-2022 karta.png", "A 51522-2022")</f>
        <v/>
      </c>
      <c r="Y40">
        <f>HYPERLINK("https://klasma.github.io/Logging_1782/klagomål/A 51522-2022 FSC-klagomål.docx", "A 51522-2022")</f>
        <v/>
      </c>
      <c r="Z40">
        <f>HYPERLINK("https://klasma.github.io/Logging_1782/klagomålsmail/A 51522-2022 FSC-klagomål mail.docx", "A 51522-2022")</f>
        <v/>
      </c>
      <c r="AA40">
        <f>HYPERLINK("https://klasma.github.io/Logging_1782/tillsyn/A 51522-2022 tillsynsbegäran.docx", "A 51522-2022")</f>
        <v/>
      </c>
      <c r="AB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46216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Stjärnstarr</t>
        </is>
      </c>
      <c r="V41">
        <f>HYPERLINK("https://klasma.github.io/Logging_1782/artfynd/A 28915-2026 artfynd.xlsx", "A 28915-2026")</f>
        <v/>
      </c>
      <c r="W41">
        <f>HYPERLINK("https://klasma.github.io/Logging_1782/kartor/A 28915-2026 karta.png", "A 28915-2026")</f>
        <v/>
      </c>
      <c r="Y41">
        <f>HYPERLINK("https://klasma.github.io/Logging_1782/klagomål/A 28915-2026 FSC-klagomål.docx", "A 28915-2026")</f>
        <v/>
      </c>
      <c r="Z41">
        <f>HYPERLINK("https://klasma.github.io/Logging_1782/klagomålsmail/A 28915-2026 FSC-klagomål mail.docx", "A 28915-2026")</f>
        <v/>
      </c>
      <c r="AA41">
        <f>HYPERLINK("https://klasma.github.io/Logging_1782/tillsyn/A 28915-2026 tillsynsbegäran.docx", "A 28915-2026")</f>
        <v/>
      </c>
      <c r="AB41">
        <f>HYPERLINK("https://klasma.github.io/Logging_1782/tillsynsmail/A 28915-2026 tillsynsbegäran mail.docx", "A 28915-2026")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46216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HYPERLINK("https://klasma.github.io/Logging_1782/artfynd/A 23046-2023 artfynd.xlsx", "A 23046-2023")</f>
        <v/>
      </c>
      <c r="W42">
        <f>HYPERLINK("https://klasma.github.io/Logging_1782/kartor/A 23046-2023 karta.png", "A 23046-2023")</f>
        <v/>
      </c>
      <c r="X42">
        <f>HYPERLINK("https://klasma.github.io/Logging_1782/knärot/A 23046-2023 karta knärot.png", "A 23046-2023")</f>
        <v/>
      </c>
      <c r="Y42">
        <f>HYPERLINK("https://klasma.github.io/Logging_1782/klagomål/A 23046-2023 FSC-klagomål.docx", "A 23046-2023")</f>
        <v/>
      </c>
      <c r="Z42">
        <f>HYPERLINK("https://klasma.github.io/Logging_1782/klagomålsmail/A 23046-2023 FSC-klagomål mail.docx", "A 23046-2023")</f>
        <v/>
      </c>
      <c r="AA42">
        <f>HYPERLINK("https://klasma.github.io/Logging_1782/tillsyn/A 23046-2023 tillsynsbegäran.docx", "A 23046-2023")</f>
        <v/>
      </c>
      <c r="AB42">
        <f>HYPERLINK("https://klasma.github.io/Logging_1782/tillsynsmail/A 23046-2023 tillsynsbegäran mail.docx", "A 23046-2023")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46216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Purpurknipprot</t>
        </is>
      </c>
      <c r="V43">
        <f>HYPERLINK("https://klasma.github.io/Logging_1782/artfynd/A 11453-2025 artfynd.xlsx", "A 11453-2025")</f>
        <v/>
      </c>
      <c r="W43">
        <f>HYPERLINK("https://klasma.github.io/Logging_1782/kartor/A 11453-2025 karta.png", "A 11453-2025")</f>
        <v/>
      </c>
      <c r="Y43">
        <f>HYPERLINK("https://klasma.github.io/Logging_1782/klagomål/A 11453-2025 FSC-klagomål.docx", "A 11453-2025")</f>
        <v/>
      </c>
      <c r="Z43">
        <f>HYPERLINK("https://klasma.github.io/Logging_1782/klagomålsmail/A 11453-2025 FSC-klagomål mail.docx", "A 11453-2025")</f>
        <v/>
      </c>
      <c r="AA43">
        <f>HYPERLINK("https://klasma.github.io/Logging_1782/tillsyn/A 11453-2025 tillsynsbegäran.docx", "A 11453-2025")</f>
        <v/>
      </c>
      <c r="AB43">
        <f>HYPERLINK("https://klasma.github.io/Logging_1782/tillsynsmail/A 11453-2025 tillsynsbegäran mail.docx", "A 11453-2025")</f>
        <v/>
      </c>
    </row>
    <row r="44" ht="15" customHeight="1">
      <c r="A44" t="inlineStr">
        <is>
          <t>S 264-2022</t>
        </is>
      </c>
      <c r="B44" t="inlineStr">
        <is>
          <t>samrådsanmälan</t>
        </is>
      </c>
      <c r="C44" t="inlineStr">
        <is>
          <t>Skogsgödsling</t>
        </is>
      </c>
      <c r="D44" s="1" t="n">
        <v>44578</v>
      </c>
      <c r="E44" s="1" t="n">
        <v>46216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398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Slaguggla</t>
        </is>
      </c>
      <c r="V44">
        <f>HYPERLINK("https://klasma.github.io/Logging_1782/artfynd/S 264-2022 artfynd.xlsx", "S 264-2022")</f>
        <v/>
      </c>
      <c r="W44">
        <f>HYPERLINK("https://klasma.github.io/Logging_1782/kartor/S 264-2022 karta.png", "S 264-2022")</f>
        <v/>
      </c>
      <c r="Y44">
        <f>HYPERLINK("https://klasma.github.io/Logging_1782/klagomål/S 264-2022 FSC-klagomål.docx", "S 264-2022")</f>
        <v/>
      </c>
      <c r="Z44">
        <f>HYPERLINK("https://klasma.github.io/Logging_1782/klagomålsmail/S 264-2022 FSC-klagomål mail.docx", "S 264-2022")</f>
        <v/>
      </c>
      <c r="AA44">
        <f>HYPERLINK("https://klasma.github.io/Logging_1782/tillsyn/S 264-2022 tillsynsbegäran.docx", "S 264-2022")</f>
        <v/>
      </c>
      <c r="AB44">
        <f>HYPERLINK("https://klasma.github.io/Logging_1782/tillsynsmail/S 264-2022 tillsynsbegäran mail.docx", "S 264-2022")</f>
        <v/>
      </c>
      <c r="AC44">
        <f>HYPERLINK("https://klasma.github.io/Logging_1782/fåglar/S 264-2022 prioriterade fågelarter.docx", "S 264-2022")</f>
        <v/>
      </c>
    </row>
    <row r="45" ht="15" customHeight="1">
      <c r="A45" t="inlineStr">
        <is>
          <t>S 383-2025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45691</v>
      </c>
      <c r="E45" s="1" t="n">
        <v>46216</v>
      </c>
      <c r="F45" t="inlineStr">
        <is>
          <t>VÄRMLANDS LÄN</t>
        </is>
      </c>
      <c r="G45" t="inlineStr">
        <is>
          <t>FILIPSTAD</t>
        </is>
      </c>
      <c r="I45" t="n">
        <v>18.6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Skrovlig taggsvamp</t>
        </is>
      </c>
      <c r="V45">
        <f>HYPERLINK("https://klasma.github.io/Logging_1782/artfynd/S 383-2025 artfynd.xlsx", "S 383-2025")</f>
        <v/>
      </c>
      <c r="W45">
        <f>HYPERLINK("https://klasma.github.io/Logging_1782/kartor/S 383-2025 karta.png", "S 383-2025")</f>
        <v/>
      </c>
      <c r="Y45">
        <f>HYPERLINK("https://klasma.github.io/Logging_1782/klagomål/S 383-2025 FSC-klagomål.docx", "S 383-2025")</f>
        <v/>
      </c>
      <c r="Z45">
        <f>HYPERLINK("https://klasma.github.io/Logging_1782/klagomålsmail/S 383-2025 FSC-klagomål mail.docx", "S 383-2025")</f>
        <v/>
      </c>
      <c r="AA45">
        <f>HYPERLINK("https://klasma.github.io/Logging_1782/tillsyn/S 383-2025 tillsynsbegäran.docx", "S 383-2025")</f>
        <v/>
      </c>
      <c r="AB45">
        <f>HYPERLINK("https://klasma.github.io/Logging_1782/tillsynsmail/S 383-2025 tillsynsbegäran mail.docx", "S 383-2025")</f>
        <v/>
      </c>
    </row>
    <row r="46" ht="15" customHeight="1">
      <c r="A46" t="inlineStr">
        <is>
          <t>A 8482-2022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44613</v>
      </c>
      <c r="E46" s="1" t="n">
        <v>46216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52992-2021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44467</v>
      </c>
      <c r="E47" s="1" t="n">
        <v>46216</v>
      </c>
      <c r="F47" t="inlineStr">
        <is>
          <t>VÄRMLANDS LÄN</t>
        </is>
      </c>
      <c r="G47" t="inlineStr">
        <is>
          <t>FILIPSTAD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46216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63144-2021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46216</v>
      </c>
      <c r="F49" t="inlineStr">
        <is>
          <t>VÄRMLANDS LÄN</t>
        </is>
      </c>
      <c r="G49" t="inlineStr">
        <is>
          <t>FILIPSTAD</t>
        </is>
      </c>
      <c r="I49" t="n">
        <v>24.3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46216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46216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46216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46216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46216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52384-2021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44465</v>
      </c>
      <c r="E55" s="1" t="n">
        <v>46216</v>
      </c>
      <c r="F55" t="inlineStr">
        <is>
          <t>VÄRMLANDS LÄN</t>
        </is>
      </c>
      <c r="G55" t="inlineStr">
        <is>
          <t>FILIPSTAD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46216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46216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46216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46216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46216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46216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46216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46216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46216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46216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46216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46216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46216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46216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46216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46216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46216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46216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46216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46216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46216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46216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46216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46216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46216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46216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34116-2024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46216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12247-2022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44637</v>
      </c>
      <c r="E83" s="1" t="n">
        <v>46216</v>
      </c>
      <c r="F83" t="inlineStr">
        <is>
          <t>VÄRMLANDS LÄN</t>
        </is>
      </c>
      <c r="G83" t="inlineStr">
        <is>
          <t>FILIPSTAD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46216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46216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5803-2023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44963</v>
      </c>
      <c r="E86" s="1" t="n">
        <v>46216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46216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45511-2024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46216</v>
      </c>
      <c r="F88" t="inlineStr">
        <is>
          <t>VÄRMLANDS LÄN</t>
        </is>
      </c>
      <c r="G88" t="inlineStr">
        <is>
          <t>FILIPSTAD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46216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57531-2024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45630</v>
      </c>
      <c r="E90" s="1" t="n">
        <v>46216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27789-2022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46216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39566-2023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46216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14582-2025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45742</v>
      </c>
      <c r="E93" s="1" t="n">
        <v>46216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19705-2025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46216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14268-2024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46216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27107-2024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46216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53034-2022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46216</v>
      </c>
      <c r="F97" t="inlineStr">
        <is>
          <t>VÄRMLANDS LÄN</t>
        </is>
      </c>
      <c r="G97" t="inlineStr">
        <is>
          <t>FILIPSTAD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55978-2022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44889</v>
      </c>
      <c r="E98" s="1" t="n">
        <v>46216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51985-2023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46216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18138-2022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44684</v>
      </c>
      <c r="E100" s="1" t="n">
        <v>46216</v>
      </c>
      <c r="F100" t="inlineStr">
        <is>
          <t>VÄRMLANDS LÄN</t>
        </is>
      </c>
      <c r="G100" t="inlineStr">
        <is>
          <t>FILIPSTAD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46216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46216</v>
      </c>
      <c r="F102" t="inlineStr">
        <is>
          <t>VÄRMLANDS LÄN</t>
        </is>
      </c>
      <c r="G102" t="inlineStr">
        <is>
          <t>FILIPSTAD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46216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43059-2024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46216</v>
      </c>
      <c r="F104" t="inlineStr">
        <is>
          <t>VÄRMLANDS LÄN</t>
        </is>
      </c>
      <c r="G104" t="inlineStr">
        <is>
          <t>FILIPSTAD</t>
        </is>
      </c>
      <c r="H104" t="inlineStr">
        <is>
          <t>Kyrkan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46216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46546-2021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46216</v>
      </c>
      <c r="F106" t="inlineStr">
        <is>
          <t>VÄRMLANDS LÄN</t>
        </is>
      </c>
      <c r="G106" t="inlineStr">
        <is>
          <t>FILIPSTAD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35799-2022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44801</v>
      </c>
      <c r="E107" s="1" t="n">
        <v>46216</v>
      </c>
      <c r="F107" t="inlineStr">
        <is>
          <t>VÄRMLANDS LÄN</t>
        </is>
      </c>
      <c r="G107" t="inlineStr">
        <is>
          <t>FILIPSTAD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23382-2024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46216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46216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37945-2024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46216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47261-2024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46216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36680-2023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45153</v>
      </c>
      <c r="E112" s="1" t="n">
        <v>46216</v>
      </c>
      <c r="F112" t="inlineStr">
        <is>
          <t>VÄRMLANDS LÄN</t>
        </is>
      </c>
      <c r="G112" t="inlineStr">
        <is>
          <t>FILIPSTAD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46216</v>
      </c>
      <c r="F113" t="inlineStr">
        <is>
          <t>VÄRMLANDS LÄN</t>
        </is>
      </c>
      <c r="G113" t="inlineStr">
        <is>
          <t>FILIPSTAD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26116-2025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45805</v>
      </c>
      <c r="E114" s="1" t="n">
        <v>46216</v>
      </c>
      <c r="F114" t="inlineStr">
        <is>
          <t>VÄRMLANDS LÄN</t>
        </is>
      </c>
      <c r="G114" t="inlineStr">
        <is>
          <t>FILIPSTAD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26123-2025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45805</v>
      </c>
      <c r="E115" s="1" t="n">
        <v>46216</v>
      </c>
      <c r="F115" t="inlineStr">
        <is>
          <t>VÄRMLANDS LÄN</t>
        </is>
      </c>
      <c r="G115" t="inlineStr">
        <is>
          <t>FILIPSTAD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41983-2023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46216</v>
      </c>
      <c r="F116" t="inlineStr">
        <is>
          <t>VÄRMLANDS LÄN</t>
        </is>
      </c>
      <c r="G116" t="inlineStr">
        <is>
          <t>FILIPSTAD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26812-2025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46216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46216</v>
      </c>
      <c r="F118" t="inlineStr">
        <is>
          <t>VÄRMLANDS LÄN</t>
        </is>
      </c>
      <c r="G118" t="inlineStr">
        <is>
          <t>FILIPSTAD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46216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26843-2024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45470</v>
      </c>
      <c r="E120" s="1" t="n">
        <v>46216</v>
      </c>
      <c r="F120" t="inlineStr">
        <is>
          <t>VÄRMLANDS LÄN</t>
        </is>
      </c>
      <c r="G120" t="inlineStr">
        <is>
          <t>FILIPSTAD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26599-2024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45469</v>
      </c>
      <c r="E121" s="1" t="n">
        <v>46216</v>
      </c>
      <c r="F121" t="inlineStr">
        <is>
          <t>VÄRMLANDS LÄN</t>
        </is>
      </c>
      <c r="G121" t="inlineStr">
        <is>
          <t>FILIPSTAD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58611-2025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45986</v>
      </c>
      <c r="E122" s="1" t="n">
        <v>46216</v>
      </c>
      <c r="F122" t="inlineStr">
        <is>
          <t>VÄRMLANDS LÄN</t>
        </is>
      </c>
      <c r="G122" t="inlineStr">
        <is>
          <t>FILIPSTAD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46216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50856-2022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44867</v>
      </c>
      <c r="E124" s="1" t="n">
        <v>46216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29568-2025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46216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29660-2025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46216</v>
      </c>
      <c r="F126" t="inlineStr">
        <is>
          <t>VÄRMLANDS LÄN</t>
        </is>
      </c>
      <c r="G126" t="inlineStr">
        <is>
          <t>FILIPSTAD</t>
        </is>
      </c>
      <c r="I126" t="n">
        <v>23.3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29944-2025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46216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41718-2025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45902</v>
      </c>
      <c r="E128" s="1" t="n">
        <v>46216</v>
      </c>
      <c r="F128" t="inlineStr">
        <is>
          <t>VÄRMLANDS LÄN</t>
        </is>
      </c>
      <c r="G128" t="inlineStr">
        <is>
          <t>FILIPSTAD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30049-2025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45826</v>
      </c>
      <c r="E129" s="1" t="n">
        <v>46216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29885-2025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46216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46216</v>
      </c>
      <c r="F131" t="inlineStr">
        <is>
          <t>VÄRMLANDS LÄN</t>
        </is>
      </c>
      <c r="G131" t="inlineStr">
        <is>
          <t>FILIPSTAD</t>
        </is>
      </c>
      <c r="H131" t="inlineStr">
        <is>
          <t>Kyrkan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46216</v>
      </c>
      <c r="F132" t="inlineStr">
        <is>
          <t>VÄRMLANDS LÄN</t>
        </is>
      </c>
      <c r="G132" t="inlineStr">
        <is>
          <t>FILIPSTAD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45063</v>
      </c>
      <c r="E133" s="1" t="n">
        <v>46216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71971-2021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44544</v>
      </c>
      <c r="E134" s="1" t="n">
        <v>46216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46216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31172-2025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45832</v>
      </c>
      <c r="E136" s="1" t="n">
        <v>46216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46216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46216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32032-2025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45835</v>
      </c>
      <c r="E139" s="1" t="n">
        <v>46216</v>
      </c>
      <c r="F139" t="inlineStr">
        <is>
          <t>VÄRMLANDS LÄN</t>
        </is>
      </c>
      <c r="G139" t="inlineStr">
        <is>
          <t>FILIPSTAD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32183-2025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46216</v>
      </c>
      <c r="F140" t="inlineStr">
        <is>
          <t>VÄRMLANDS LÄN</t>
        </is>
      </c>
      <c r="G140" t="inlineStr">
        <is>
          <t>FILIPSTAD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31883-2025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46216</v>
      </c>
      <c r="F141" t="inlineStr">
        <is>
          <t>VÄRMLANDS LÄN</t>
        </is>
      </c>
      <c r="G141" t="inlineStr">
        <is>
          <t>FILIPSTAD</t>
        </is>
      </c>
      <c r="I141" t="n">
        <v>18.7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30165-2025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46216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46216</v>
      </c>
      <c r="F143" t="inlineStr">
        <is>
          <t>VÄRMLANDS LÄN</t>
        </is>
      </c>
      <c r="G143" t="inlineStr">
        <is>
          <t>FILIPSTAD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33407-2025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45841</v>
      </c>
      <c r="E144" s="1" t="n">
        <v>46216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60524-2024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45643</v>
      </c>
      <c r="E145" s="1" t="n">
        <v>46216</v>
      </c>
      <c r="F145" t="inlineStr">
        <is>
          <t>VÄRMLANDS LÄN</t>
        </is>
      </c>
      <c r="G145" t="inlineStr">
        <is>
          <t>FILIPSTAD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29426-2023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46216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46216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46204-2025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46216</v>
      </c>
      <c r="F148" t="inlineStr">
        <is>
          <t>VÄRMLANDS LÄN</t>
        </is>
      </c>
      <c r="G148" t="inlineStr">
        <is>
          <t>FILIPSTAD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45826</v>
      </c>
      <c r="E149" s="1" t="n">
        <v>46216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46216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47566-2025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46216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47633-2025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46216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46040</v>
      </c>
      <c r="E153" s="1" t="n">
        <v>46216</v>
      </c>
      <c r="F153" t="inlineStr">
        <is>
          <t>VÄRMLANDS LÄN</t>
        </is>
      </c>
      <c r="G153" t="inlineStr">
        <is>
          <t>FILIPSTAD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10338-2025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46216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44788</v>
      </c>
      <c r="E155" s="1" t="n">
        <v>46216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18999-2024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46216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59436-2024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46216</v>
      </c>
      <c r="F157" t="inlineStr">
        <is>
          <t>VÄRMLANDS LÄN</t>
        </is>
      </c>
      <c r="G157" t="inlineStr">
        <is>
          <t>FILIPSTAD</t>
        </is>
      </c>
      <c r="H157" t="inlineStr">
        <is>
          <t>Kyrkan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29825-2023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45107</v>
      </c>
      <c r="E158" s="1" t="n">
        <v>46216</v>
      </c>
      <c r="F158" t="inlineStr">
        <is>
          <t>VÄRMLANDS LÄN</t>
        </is>
      </c>
      <c r="G158" t="inlineStr">
        <is>
          <t>FILIPSTAD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47911-2025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46216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48103-2025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45933</v>
      </c>
      <c r="E160" s="1" t="n">
        <v>46216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36582-2025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45870</v>
      </c>
      <c r="E161" s="1" t="n">
        <v>46216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31306-2023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46216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8692-2025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45712</v>
      </c>
      <c r="E163" s="1" t="n">
        <v>46216</v>
      </c>
      <c r="F163" t="inlineStr">
        <is>
          <t>VÄRMLANDS LÄN</t>
        </is>
      </c>
      <c r="G163" t="inlineStr">
        <is>
          <t>FILIPSTAD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50199-2025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46216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50195-2025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45943</v>
      </c>
      <c r="E165" s="1" t="n">
        <v>46216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50032-2025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45943</v>
      </c>
      <c r="E166" s="1" t="n">
        <v>46216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45943</v>
      </c>
      <c r="E167" s="1" t="n">
        <v>46216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49878-2025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46216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46216</v>
      </c>
      <c r="F169" t="inlineStr">
        <is>
          <t>VÄRMLANDS LÄN</t>
        </is>
      </c>
      <c r="G169" t="inlineStr">
        <is>
          <t>FILIPSTAD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38175-2025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46216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57244-2023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46216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46216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46216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46216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51355-2025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46216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45951</v>
      </c>
      <c r="E176" s="1" t="n">
        <v>46216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46216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43233-2023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46216</v>
      </c>
      <c r="F178" t="inlineStr">
        <is>
          <t>VÄRMLANDS LÄN</t>
        </is>
      </c>
      <c r="G178" t="inlineStr">
        <is>
          <t>FILIPSTAD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22830-2023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45072</v>
      </c>
      <c r="E179" s="1" t="n">
        <v>46216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22866-2023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45072</v>
      </c>
      <c r="E180" s="1" t="n">
        <v>46216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46216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52518-2025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46216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62787-2023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46216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46216</v>
      </c>
      <c r="F184" t="inlineStr">
        <is>
          <t>VÄRMLANDS LÄN</t>
        </is>
      </c>
      <c r="G184" t="inlineStr">
        <is>
          <t>FILIPSTAD</t>
        </is>
      </c>
      <c r="H184" t="inlineStr">
        <is>
          <t>Kyrkan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46216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40244-2023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46216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46216</v>
      </c>
      <c r="F187" t="inlineStr">
        <is>
          <t>VÄRMLANDS LÄN</t>
        </is>
      </c>
      <c r="G187" t="inlineStr">
        <is>
          <t>FILIPSTAD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53575-2025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46216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53649-2025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46216</v>
      </c>
      <c r="F189" t="inlineStr">
        <is>
          <t>VÄRMLANDS LÄN</t>
        </is>
      </c>
      <c r="G189" t="inlineStr">
        <is>
          <t>FILIPSTAD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54328-2025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46216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54497-2025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46216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46216</v>
      </c>
      <c r="F192" t="inlineStr">
        <is>
          <t>VÄRMLANDS LÄN</t>
        </is>
      </c>
      <c r="G192" t="inlineStr">
        <is>
          <t>FILIPSTAD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55173-2025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45968</v>
      </c>
      <c r="E193" s="1" t="n">
        <v>46216</v>
      </c>
      <c r="F193" t="inlineStr">
        <is>
          <t>VÄRMLANDS LÄN</t>
        </is>
      </c>
      <c r="G193" t="inlineStr">
        <is>
          <t>FILIPSTAD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55175-2025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45968</v>
      </c>
      <c r="E194" s="1" t="n">
        <v>46216</v>
      </c>
      <c r="F194" t="inlineStr">
        <is>
          <t>VÄRMLANDS LÄN</t>
        </is>
      </c>
      <c r="G194" t="inlineStr">
        <is>
          <t>FILIPSTAD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46216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55514-2025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46216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46216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46216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56028-2025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46216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46216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46216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56045-2025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46216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46216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46216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46216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19351-2025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45769</v>
      </c>
      <c r="E206" s="1" t="n">
        <v>46216</v>
      </c>
      <c r="F206" t="inlineStr">
        <is>
          <t>VÄRMLANDS LÄN</t>
        </is>
      </c>
      <c r="G206" t="inlineStr">
        <is>
          <t>FILIPSTAD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46216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46216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56201-2025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46216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46216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46216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46216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46216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46216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18.8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46216</v>
      </c>
      <c r="F215" t="inlineStr">
        <is>
          <t>VÄRMLANDS LÄN</t>
        </is>
      </c>
      <c r="G215" t="inlineStr">
        <is>
          <t>FILIPSTAD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46216</v>
      </c>
      <c r="F216" t="inlineStr">
        <is>
          <t>VÄRMLANDS LÄN</t>
        </is>
      </c>
      <c r="G216" t="inlineStr">
        <is>
          <t>FILIPSTAD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6600-2026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46216</v>
      </c>
      <c r="F217" t="inlineStr">
        <is>
          <t>VÄRMLANDS LÄN</t>
        </is>
      </c>
      <c r="G217" t="inlineStr">
        <is>
          <t>FILIPSTAD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46216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45407</v>
      </c>
      <c r="E219" s="1" t="n">
        <v>46216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7430-2026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46216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57872-2025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46216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46216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58389-2025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46216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46216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46216</v>
      </c>
      <c r="F225" t="inlineStr">
        <is>
          <t>VÄRMLANDS LÄN</t>
        </is>
      </c>
      <c r="G225" t="inlineStr">
        <is>
          <t>FILIPSTAD</t>
        </is>
      </c>
      <c r="I225" t="n">
        <v>11.7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33967-2023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46216</v>
      </c>
      <c r="F226" t="inlineStr">
        <is>
          <t>VÄRMLANDS LÄN</t>
        </is>
      </c>
      <c r="G226" t="inlineStr">
        <is>
          <t>FILIPSTAD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46216</v>
      </c>
      <c r="F227" t="inlineStr">
        <is>
          <t>VÄRMLANDS LÄN</t>
        </is>
      </c>
      <c r="G227" t="inlineStr">
        <is>
          <t>FILIPSTAD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46216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46216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59410-2025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46216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59423-2025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46216</v>
      </c>
      <c r="F231" t="inlineStr">
        <is>
          <t>VÄRMLANDS LÄN</t>
        </is>
      </c>
      <c r="G231" t="inlineStr">
        <is>
          <t>FILIPSTAD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59712-2025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46216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8139-2026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46216</v>
      </c>
      <c r="F233" t="inlineStr">
        <is>
          <t>VÄRMLANDS LÄN</t>
        </is>
      </c>
      <c r="G233" t="inlineStr">
        <is>
          <t>FILIPSTAD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59707-2025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46216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59709-2025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46216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59966-2025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46216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46216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62540-2023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46216</v>
      </c>
      <c r="F238" t="inlineStr">
        <is>
          <t>VÄRMLANDS LÄN</t>
        </is>
      </c>
      <c r="G238" t="inlineStr">
        <is>
          <t>FILIPSTAD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63482-2021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44508</v>
      </c>
      <c r="E239" s="1" t="n">
        <v>46216</v>
      </c>
      <c r="F239" t="inlineStr">
        <is>
          <t>VÄRMLANDS LÄN</t>
        </is>
      </c>
      <c r="G239" t="inlineStr">
        <is>
          <t>FILIPSTAD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46216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60550-2025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46216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60396-2025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46216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15228-2025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45744</v>
      </c>
      <c r="E243" s="1" t="n">
        <v>46216</v>
      </c>
      <c r="F243" t="inlineStr">
        <is>
          <t>VÄRMLANDS LÄN</t>
        </is>
      </c>
      <c r="G243" t="inlineStr">
        <is>
          <t>FILIPSTAD</t>
        </is>
      </c>
      <c r="H243" t="inlineStr">
        <is>
          <t>Kommuner</t>
        </is>
      </c>
      <c r="I243" t="n">
        <v>17.7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59296-2023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46216</v>
      </c>
      <c r="F244" t="inlineStr">
        <is>
          <t>VÄRMLANDS LÄN</t>
        </is>
      </c>
      <c r="G244" t="inlineStr">
        <is>
          <t>FILIPSTAD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56840-2024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45628</v>
      </c>
      <c r="E245" s="1" t="n">
        <v>46216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16584-2024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45408</v>
      </c>
      <c r="E246" s="1" t="n">
        <v>46216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60653-2025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45996</v>
      </c>
      <c r="E247" s="1" t="n">
        <v>46216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46216</v>
      </c>
      <c r="F248" t="inlineStr">
        <is>
          <t>VÄRMLANDS LÄN</t>
        </is>
      </c>
      <c r="G248" t="inlineStr">
        <is>
          <t>FILIPSTAD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61492-2025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46001</v>
      </c>
      <c r="E249" s="1" t="n">
        <v>46216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61047-2025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46216</v>
      </c>
      <c r="F250" t="inlineStr">
        <is>
          <t>VÄRMLANDS LÄN</t>
        </is>
      </c>
      <c r="G250" t="inlineStr">
        <is>
          <t>FILIPSTAD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46216</v>
      </c>
      <c r="F251" t="inlineStr">
        <is>
          <t>VÄRMLANDS LÄN</t>
        </is>
      </c>
      <c r="G251" t="inlineStr">
        <is>
          <t>FILIPSTAD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61362-2025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46216</v>
      </c>
      <c r="F252" t="inlineStr">
        <is>
          <t>VÄRMLANDS LÄN</t>
        </is>
      </c>
      <c r="G252" t="inlineStr">
        <is>
          <t>FILIPSTAD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61417-2025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46001</v>
      </c>
      <c r="E253" s="1" t="n">
        <v>46216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61482-2025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46216</v>
      </c>
      <c r="F254" t="inlineStr">
        <is>
          <t>VÄRMLANDS LÄN</t>
        </is>
      </c>
      <c r="G254" t="inlineStr">
        <is>
          <t>FILIPSTAD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46216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61823-2025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46003</v>
      </c>
      <c r="E256" s="1" t="n">
        <v>46216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62021-2025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46216</v>
      </c>
      <c r="F257" t="inlineStr">
        <is>
          <t>VÄRMLANDS LÄN</t>
        </is>
      </c>
      <c r="G257" t="inlineStr">
        <is>
          <t>FILIPSTAD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25338-2023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45087</v>
      </c>
      <c r="E258" s="1" t="n">
        <v>46216</v>
      </c>
      <c r="F258" t="inlineStr">
        <is>
          <t>VÄRMLANDS LÄN</t>
        </is>
      </c>
      <c r="G258" t="inlineStr">
        <is>
          <t>FILIPSTAD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46216</v>
      </c>
      <c r="F259" t="inlineStr">
        <is>
          <t>VÄRMLANDS LÄN</t>
        </is>
      </c>
      <c r="G259" t="inlineStr">
        <is>
          <t>FILIPSTAD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25375-2023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45088</v>
      </c>
      <c r="E260" s="1" t="n">
        <v>46216</v>
      </c>
      <c r="F260" t="inlineStr">
        <is>
          <t>VÄRMLANDS LÄN</t>
        </is>
      </c>
      <c r="G260" t="inlineStr">
        <is>
          <t>FILIPSTAD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10279-2026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46216</v>
      </c>
      <c r="F261" t="inlineStr">
        <is>
          <t>VÄRMLANDS LÄN</t>
        </is>
      </c>
      <c r="G261" t="inlineStr">
        <is>
          <t>FILIPSTAD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46216</v>
      </c>
      <c r="F262" t="inlineStr">
        <is>
          <t>VÄRMLANDS LÄN</t>
        </is>
      </c>
      <c r="G262" t="inlineStr">
        <is>
          <t>FILIPSTAD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46216</v>
      </c>
      <c r="F263" t="inlineStr">
        <is>
          <t>VÄRMLANDS LÄN</t>
        </is>
      </c>
      <c r="G263" t="inlineStr">
        <is>
          <t>FILIPSTAD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61717-2025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46216</v>
      </c>
      <c r="F264" t="inlineStr">
        <is>
          <t>VÄRMLANDS LÄN</t>
        </is>
      </c>
      <c r="G264" t="inlineStr">
        <is>
          <t>FILIPSTAD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62252-2025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46216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46216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54127-2023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45232</v>
      </c>
      <c r="E267" s="1" t="n">
        <v>46216</v>
      </c>
      <c r="F267" t="inlineStr">
        <is>
          <t>VÄRMLANDS LÄN</t>
        </is>
      </c>
      <c r="G267" t="inlineStr">
        <is>
          <t>FILIPSTAD</t>
        </is>
      </c>
      <c r="I267" t="n">
        <v>15.5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45328</v>
      </c>
      <c r="E268" s="1" t="n">
        <v>46216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62034-2025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46004</v>
      </c>
      <c r="E269" s="1" t="n">
        <v>46216</v>
      </c>
      <c r="F269" t="inlineStr">
        <is>
          <t>VÄRMLANDS LÄN</t>
        </is>
      </c>
      <c r="G269" t="inlineStr">
        <is>
          <t>FILIPSTAD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46004</v>
      </c>
      <c r="E270" s="1" t="n">
        <v>46216</v>
      </c>
      <c r="F270" t="inlineStr">
        <is>
          <t>VÄRMLANDS LÄN</t>
        </is>
      </c>
      <c r="G270" t="inlineStr">
        <is>
          <t>FILIPSTAD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45750</v>
      </c>
      <c r="E271" s="1" t="n">
        <v>46216</v>
      </c>
      <c r="F271" t="inlineStr">
        <is>
          <t>VÄRMLANDS LÄN</t>
        </is>
      </c>
      <c r="G271" t="inlineStr">
        <is>
          <t>FILIPSTAD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39633-2023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46216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61741-2022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46216</v>
      </c>
      <c r="F273" t="inlineStr">
        <is>
          <t>VÄRMLANDS LÄN</t>
        </is>
      </c>
      <c r="G273" t="inlineStr">
        <is>
          <t>FILIPSTAD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46216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63629-2025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46216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63678-2025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46216</v>
      </c>
      <c r="F276" t="inlineStr">
        <is>
          <t>VÄRMLANDS LÄN</t>
        </is>
      </c>
      <c r="G276" t="inlineStr">
        <is>
          <t>FILIPSTAD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60296-2023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45257</v>
      </c>
      <c r="E277" s="1" t="n">
        <v>46216</v>
      </c>
      <c r="F277" t="inlineStr">
        <is>
          <t>VÄRMLANDS LÄN</t>
        </is>
      </c>
      <c r="G277" t="inlineStr">
        <is>
          <t>FILIPSTAD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28161-2023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45093</v>
      </c>
      <c r="E278" s="1" t="n">
        <v>46216</v>
      </c>
      <c r="F278" t="inlineStr">
        <is>
          <t>VÄRMLANDS LÄN</t>
        </is>
      </c>
      <c r="G278" t="inlineStr">
        <is>
          <t>FILIPSTAD</t>
        </is>
      </c>
      <c r="H278" t="inlineStr">
        <is>
          <t>Kommuner</t>
        </is>
      </c>
      <c r="I278" t="n">
        <v>15.4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46216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46216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12509-2026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46216</v>
      </c>
      <c r="F281" t="inlineStr">
        <is>
          <t>VÄRMLANDS LÄN</t>
        </is>
      </c>
      <c r="G281" t="inlineStr">
        <is>
          <t>FILIPSTAD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12491-2026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46216</v>
      </c>
      <c r="F282" t="inlineStr">
        <is>
          <t>VÄRMLANDS LÄN</t>
        </is>
      </c>
      <c r="G282" t="inlineStr">
        <is>
          <t>FILIPSTAD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20663-2024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45436</v>
      </c>
      <c r="E283" s="1" t="n">
        <v>46216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17795-2024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45418</v>
      </c>
      <c r="E284" s="1" t="n">
        <v>46216</v>
      </c>
      <c r="F284" t="inlineStr">
        <is>
          <t>VÄRMLANDS LÄN</t>
        </is>
      </c>
      <c r="G284" t="inlineStr">
        <is>
          <t>FILIPSTAD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12216-2026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46087</v>
      </c>
      <c r="E285" s="1" t="n">
        <v>46216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12498-2026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46216</v>
      </c>
      <c r="F286" t="inlineStr">
        <is>
          <t>VÄRMLANDS LÄN</t>
        </is>
      </c>
      <c r="G286" t="inlineStr">
        <is>
          <t>FILIPSTAD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44384-2021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44435</v>
      </c>
      <c r="E287" s="1" t="n">
        <v>46216</v>
      </c>
      <c r="F287" t="inlineStr">
        <is>
          <t>VÄRMLANDS LÄN</t>
        </is>
      </c>
      <c r="G287" t="inlineStr">
        <is>
          <t>FILIPSTAD</t>
        </is>
      </c>
      <c r="I287" t="n">
        <v>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12943-2026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46216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12955-2026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46216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13553-2026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46216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53348-2023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46216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46216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14275-2024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46216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13555-2026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46216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14459-2023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45012</v>
      </c>
      <c r="E295" s="1" t="n">
        <v>46216</v>
      </c>
      <c r="F295" t="inlineStr">
        <is>
          <t>VÄRMLANDS LÄN</t>
        </is>
      </c>
      <c r="G295" t="inlineStr">
        <is>
          <t>FILIPSTAD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13387-2026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46216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13520-2026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46216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13955-2026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46098</v>
      </c>
      <c r="E298" s="1" t="n">
        <v>46216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13863-2026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46216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14315-2026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46216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19159-2024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45428</v>
      </c>
      <c r="E301" s="1" t="n">
        <v>46216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14379-2026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46216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36251-2022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44803</v>
      </c>
      <c r="E303" s="1" t="n">
        <v>46216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10136-2024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46216</v>
      </c>
      <c r="F304" t="inlineStr">
        <is>
          <t>VÄRMLANDS LÄN</t>
        </is>
      </c>
      <c r="G304" t="inlineStr">
        <is>
          <t>FILIPSTAD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45658</v>
      </c>
      <c r="E305" s="1" t="n">
        <v>46216</v>
      </c>
      <c r="F305" t="inlineStr">
        <is>
          <t>VÄRMLANDS LÄN</t>
        </is>
      </c>
      <c r="G305" t="inlineStr">
        <is>
          <t>FILIPSTAD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15644-2026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46216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15619-2026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46216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15645-2026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46216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15471-2024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46216</v>
      </c>
      <c r="F309" t="inlineStr">
        <is>
          <t>VÄRMLANDS LÄN</t>
        </is>
      </c>
      <c r="G309" t="inlineStr">
        <is>
          <t>FILIPSTAD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54735-2024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45618</v>
      </c>
      <c r="E310" s="1" t="n">
        <v>46216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12837-2024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45384</v>
      </c>
      <c r="E311" s="1" t="n">
        <v>46216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15197-2026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46216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16009-2026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46216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15848-2026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46216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54828-2023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45229</v>
      </c>
      <c r="E315" s="1" t="n">
        <v>46216</v>
      </c>
      <c r="F315" t="inlineStr">
        <is>
          <t>VÄRMLANDS LÄN</t>
        </is>
      </c>
      <c r="G315" t="inlineStr">
        <is>
          <t>FILIPSTAD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29474-2024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45484</v>
      </c>
      <c r="E316" s="1" t="n">
        <v>46216</v>
      </c>
      <c r="F316" t="inlineStr">
        <is>
          <t>VÄRMLANDS LÄN</t>
        </is>
      </c>
      <c r="G316" t="inlineStr">
        <is>
          <t>FILIPSTAD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45327</v>
      </c>
      <c r="E317" s="1" t="n">
        <v>46216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15920-2026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46216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15889-2026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46107</v>
      </c>
      <c r="E319" s="1" t="n">
        <v>46216</v>
      </c>
      <c r="F319" t="inlineStr">
        <is>
          <t>VÄRMLANDS LÄN</t>
        </is>
      </c>
      <c r="G319" t="inlineStr">
        <is>
          <t>FILIPSTAD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16050-2026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46216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16040-2026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46108</v>
      </c>
      <c r="E321" s="1" t="n">
        <v>46216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14328-2025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46216</v>
      </c>
      <c r="F322" t="inlineStr">
        <is>
          <t>VÄRMLANDS LÄN</t>
        </is>
      </c>
      <c r="G322" t="inlineStr">
        <is>
          <t>FILIPSTAD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53210-2023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46216</v>
      </c>
      <c r="F323" t="inlineStr">
        <is>
          <t>VÄRMLANDS LÄN</t>
        </is>
      </c>
      <c r="G323" t="inlineStr">
        <is>
          <t>FILIPSTAD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16975-2026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46216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17278-2026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46216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17326-2026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46119</v>
      </c>
      <c r="E326" s="1" t="n">
        <v>46216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17292-2026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46216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17531-2026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46216</v>
      </c>
      <c r="F328" t="inlineStr">
        <is>
          <t>VÄRMLANDS LÄN</t>
        </is>
      </c>
      <c r="G328" t="inlineStr">
        <is>
          <t>FILIPSTAD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50786-2024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45602</v>
      </c>
      <c r="E329" s="1" t="n">
        <v>46216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17949-2026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46216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46216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17900-2026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46216</v>
      </c>
      <c r="F332" t="inlineStr">
        <is>
          <t>VÄRMLANDS LÄN</t>
        </is>
      </c>
      <c r="G332" t="inlineStr">
        <is>
          <t>FILIPSTAD</t>
        </is>
      </c>
      <c r="H332" t="inlineStr">
        <is>
          <t>Kommuner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17931-2026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46216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17914-2026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46216</v>
      </c>
      <c r="F334" t="inlineStr">
        <is>
          <t>VÄRMLANDS LÄN</t>
        </is>
      </c>
      <c r="G334" t="inlineStr">
        <is>
          <t>FILIPSTAD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18022-2026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46125</v>
      </c>
      <c r="E335" s="1" t="n">
        <v>46216</v>
      </c>
      <c r="F335" t="inlineStr">
        <is>
          <t>VÄRMLANDS LÄN</t>
        </is>
      </c>
      <c r="G335" t="inlineStr">
        <is>
          <t>FILIPSTAD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47890-2024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45588</v>
      </c>
      <c r="E336" s="1" t="n">
        <v>46216</v>
      </c>
      <c r="F336" t="inlineStr">
        <is>
          <t>VÄRMLANDS LÄN</t>
        </is>
      </c>
      <c r="G336" t="inlineStr">
        <is>
          <t>FILIPSTAD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18376-2026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46216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13918-2024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46216</v>
      </c>
      <c r="F338" t="inlineStr">
        <is>
          <t>VÄRMLANDS LÄN</t>
        </is>
      </c>
      <c r="G338" t="inlineStr">
        <is>
          <t>FILIPSTAD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70405-2021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46216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44579</v>
      </c>
      <c r="E340" s="1" t="n">
        <v>46216</v>
      </c>
      <c r="F340" t="inlineStr">
        <is>
          <t>VÄRMLANDS LÄN</t>
        </is>
      </c>
      <c r="G340" t="inlineStr">
        <is>
          <t>FILIPSTAD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18969-2026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46216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61628-2022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46216</v>
      </c>
      <c r="F342" t="inlineStr">
        <is>
          <t>VÄRMLANDS LÄN</t>
        </is>
      </c>
      <c r="G342" t="inlineStr">
        <is>
          <t>FILIPSTAD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18443-2026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46216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18892-2026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46216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18530-2026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46127</v>
      </c>
      <c r="E345" s="1" t="n">
        <v>46216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36377-2023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45152</v>
      </c>
      <c r="E346" s="1" t="n">
        <v>46216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3844-2023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46216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46216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46216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18826-2026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46216</v>
      </c>
      <c r="F350" t="inlineStr">
        <is>
          <t>VÄRMLANDS LÄN</t>
        </is>
      </c>
      <c r="G350" t="inlineStr">
        <is>
          <t>FILIPSTAD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18542-2026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46216</v>
      </c>
      <c r="F351" t="inlineStr">
        <is>
          <t>VÄRMLANDS LÄN</t>
        </is>
      </c>
      <c r="G351" t="inlineStr">
        <is>
          <t>FILIPSTAD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18507-2026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46216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19361-2026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46216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24941-2026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46216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25205-2026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46216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24886-2026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46216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45139-2021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46216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46216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19435-2026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46216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17686-2023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45037</v>
      </c>
      <c r="E360" s="1" t="n">
        <v>46216</v>
      </c>
      <c r="F360" t="inlineStr">
        <is>
          <t>VÄRMLANDS LÄN</t>
        </is>
      </c>
      <c r="G360" t="inlineStr">
        <is>
          <t>FILIPSTAD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33671-2022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44789</v>
      </c>
      <c r="E361" s="1" t="n">
        <v>46216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36827-2022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46216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47455-2023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46216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34512-2023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46216</v>
      </c>
      <c r="F364" t="inlineStr">
        <is>
          <t>VÄRMLANDS LÄN</t>
        </is>
      </c>
      <c r="G364" t="inlineStr">
        <is>
          <t>FILIPSTAD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24054-2024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46216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54008-2021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44470</v>
      </c>
      <c r="E366" s="1" t="n">
        <v>46216</v>
      </c>
      <c r="F366" t="inlineStr">
        <is>
          <t>VÄRMLANDS LÄN</t>
        </is>
      </c>
      <c r="G366" t="inlineStr">
        <is>
          <t>FILIPSTAD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19882-2026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46216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8.800000000000001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19595-2026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46216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19676-2026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46216</v>
      </c>
      <c r="F369" t="inlineStr">
        <is>
          <t>VÄRMLANDS LÄN</t>
        </is>
      </c>
      <c r="G369" t="inlineStr">
        <is>
          <t>FILIPSTAD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19760-2026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46216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19669-2026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46216</v>
      </c>
      <c r="F371" t="inlineStr">
        <is>
          <t>VÄRMLANDS LÄN</t>
        </is>
      </c>
      <c r="G371" t="inlineStr">
        <is>
          <t>FILIPSTAD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46257-2022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44847</v>
      </c>
      <c r="E372" s="1" t="n">
        <v>46216</v>
      </c>
      <c r="F372" t="inlineStr">
        <is>
          <t>VÄRMLANDS LÄN</t>
        </is>
      </c>
      <c r="G372" t="inlineStr">
        <is>
          <t>FILIPSTAD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46216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54836-2023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46216</v>
      </c>
      <c r="F374" t="inlineStr">
        <is>
          <t>VÄRMLANDS LÄN</t>
        </is>
      </c>
      <c r="G374" t="inlineStr">
        <is>
          <t>FILIPSTAD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54080-2025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46216</v>
      </c>
      <c r="F375" t="inlineStr">
        <is>
          <t>VÄRMLANDS LÄN</t>
        </is>
      </c>
      <c r="G375" t="inlineStr">
        <is>
          <t>FILIPSTAD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38075-2025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45882</v>
      </c>
      <c r="E376" s="1" t="n">
        <v>46216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45077</v>
      </c>
      <c r="E377" s="1" t="n">
        <v>46216</v>
      </c>
      <c r="F377" t="inlineStr">
        <is>
          <t>VÄRMLANDS LÄN</t>
        </is>
      </c>
      <c r="G377" t="inlineStr">
        <is>
          <t>FILIPSTAD</t>
        </is>
      </c>
      <c r="I377" t="n">
        <v>15.8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57456-2022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46216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46216</v>
      </c>
      <c r="F379" t="inlineStr">
        <is>
          <t>VÄRMLANDS LÄN</t>
        </is>
      </c>
      <c r="G379" t="inlineStr">
        <is>
          <t>FILIPSTAD</t>
        </is>
      </c>
      <c r="H379" t="inlineStr">
        <is>
          <t>Kommuner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29473-2024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45484</v>
      </c>
      <c r="E380" s="1" t="n">
        <v>46216</v>
      </c>
      <c r="F380" t="inlineStr">
        <is>
          <t>VÄRMLANDS LÄN</t>
        </is>
      </c>
      <c r="G380" t="inlineStr">
        <is>
          <t>FILIPSTAD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40646-2025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45896</v>
      </c>
      <c r="E381" s="1" t="n">
        <v>46216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46216</v>
      </c>
      <c r="F382" t="inlineStr">
        <is>
          <t>VÄRMLANDS LÄN</t>
        </is>
      </c>
      <c r="G382" t="inlineStr">
        <is>
          <t>FILIPSTAD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21593-2023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46216</v>
      </c>
      <c r="F383" t="inlineStr">
        <is>
          <t>VÄRMLANDS LÄN</t>
        </is>
      </c>
      <c r="G383" t="inlineStr">
        <is>
          <t>FILIPSTAD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26107-2026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46216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9370-2023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46216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47536-2023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46216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25468-2024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46216</v>
      </c>
      <c r="F387" t="inlineStr">
        <is>
          <t>VÄRMLANDS LÄN</t>
        </is>
      </c>
      <c r="G387" t="inlineStr">
        <is>
          <t>FILIPSTAD</t>
        </is>
      </c>
      <c r="I387" t="n">
        <v>13.2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44579</v>
      </c>
      <c r="E388" s="1" t="n">
        <v>46216</v>
      </c>
      <c r="F388" t="inlineStr">
        <is>
          <t>VÄRMLANDS LÄN</t>
        </is>
      </c>
      <c r="G388" t="inlineStr">
        <is>
          <t>FILIPSTAD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20045-2026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46216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43634-2021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44433</v>
      </c>
      <c r="E390" s="1" t="n">
        <v>46216</v>
      </c>
      <c r="F390" t="inlineStr">
        <is>
          <t>VÄRMLANDS LÄN</t>
        </is>
      </c>
      <c r="G390" t="inlineStr">
        <is>
          <t>FILIPSTAD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18210-2024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45420</v>
      </c>
      <c r="E391" s="1" t="n">
        <v>46216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25869-2026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46178</v>
      </c>
      <c r="E392" s="1" t="n">
        <v>46216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33449-2025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46216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22843-2025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46216</v>
      </c>
      <c r="F394" t="inlineStr">
        <is>
          <t>VÄRMLANDS LÄN</t>
        </is>
      </c>
      <c r="G394" t="inlineStr">
        <is>
          <t>FILIPSTAD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41521-2025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45901</v>
      </c>
      <c r="E395" s="1" t="n">
        <v>46216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32059-2025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46216</v>
      </c>
      <c r="F396" t="inlineStr">
        <is>
          <t>VÄRMLANDS LÄN</t>
        </is>
      </c>
      <c r="G396" t="inlineStr">
        <is>
          <t>FILIPSTAD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20050-2026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46216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45516-2024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45578</v>
      </c>
      <c r="E398" s="1" t="n">
        <v>46216</v>
      </c>
      <c r="F398" t="inlineStr">
        <is>
          <t>VÄRMLANDS LÄN</t>
        </is>
      </c>
      <c r="G398" t="inlineStr">
        <is>
          <t>FILIPSTAD</t>
        </is>
      </c>
      <c r="I398" t="n">
        <v>27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20040-2026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46216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32262-2023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45120</v>
      </c>
      <c r="E400" s="1" t="n">
        <v>46216</v>
      </c>
      <c r="F400" t="inlineStr">
        <is>
          <t>VÄRMLANDS LÄN</t>
        </is>
      </c>
      <c r="G400" t="inlineStr">
        <is>
          <t>FILIPSTAD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20014-2026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46136</v>
      </c>
      <c r="E401" s="1" t="n">
        <v>46216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46216</v>
      </c>
      <c r="F402" t="inlineStr">
        <is>
          <t>VÄRMLANDS LÄN</t>
        </is>
      </c>
      <c r="G402" t="inlineStr">
        <is>
          <t>FILIPSTAD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22558-2025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45789</v>
      </c>
      <c r="E403" s="1" t="n">
        <v>46216</v>
      </c>
      <c r="F403" t="inlineStr">
        <is>
          <t>VÄRMLANDS LÄN</t>
        </is>
      </c>
      <c r="G403" t="inlineStr">
        <is>
          <t>FILIPSTAD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33379-2025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46216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45891</v>
      </c>
      <c r="E405" s="1" t="n">
        <v>46216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47344-2023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46216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28687-2025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46216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26501-2026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46216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20489-2026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46216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38866-2024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45547</v>
      </c>
      <c r="E410" s="1" t="n">
        <v>46216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17794-2024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45418</v>
      </c>
      <c r="E411" s="1" t="n">
        <v>46216</v>
      </c>
      <c r="F411" t="inlineStr">
        <is>
          <t>VÄRMLANDS LÄN</t>
        </is>
      </c>
      <c r="G411" t="inlineStr">
        <is>
          <t>FILIPSTAD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49602-2025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46216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11680-2023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46216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31676-2025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45834</v>
      </c>
      <c r="E414" s="1" t="n">
        <v>46216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20487-2026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46216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16067-2026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46216</v>
      </c>
      <c r="F416" t="inlineStr">
        <is>
          <t>VÄRMLANDS LÄN</t>
        </is>
      </c>
      <c r="G416" t="inlineStr">
        <is>
          <t>FILIPSTAD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54145-2024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45616</v>
      </c>
      <c r="E417" s="1" t="n">
        <v>46216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26343-2026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46216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55397-2022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44887</v>
      </c>
      <c r="E419" s="1" t="n">
        <v>46216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36272-2025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45867</v>
      </c>
      <c r="E420" s="1" t="n">
        <v>46216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25976-2026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46216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26211-2026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46216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26227-2026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46216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20661-2026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46216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41075-2023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46216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24139-2024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45456</v>
      </c>
      <c r="E426" s="1" t="n">
        <v>46216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37733-2025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46216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20554-2025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45775</v>
      </c>
      <c r="E428" s="1" t="n">
        <v>46216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26323-2026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46216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45014</v>
      </c>
      <c r="E430" s="1" t="n">
        <v>46216</v>
      </c>
      <c r="F430" t="inlineStr">
        <is>
          <t>VÄRMLANDS LÄN</t>
        </is>
      </c>
      <c r="G430" t="inlineStr">
        <is>
          <t>FILIPSTAD</t>
        </is>
      </c>
      <c r="H430" t="inlineStr">
        <is>
          <t>Kyrkan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25786-2026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46216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20801-2026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46216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4819-2023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44957</v>
      </c>
      <c r="E433" s="1" t="n">
        <v>46216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25769-2026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46216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46216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26298-2026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46216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27400-2024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46216</v>
      </c>
      <c r="F437" t="inlineStr">
        <is>
          <t>VÄRMLANDS LÄN</t>
        </is>
      </c>
      <c r="G437" t="inlineStr">
        <is>
          <t>FILIPSTAD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26549-2026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46216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20919-2026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46216</v>
      </c>
      <c r="F439" t="inlineStr">
        <is>
          <t>VÄRMLANDS LÄN</t>
        </is>
      </c>
      <c r="G439" t="inlineStr">
        <is>
          <t>FILIPSTAD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32185-2024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45511</v>
      </c>
      <c r="E440" s="1" t="n">
        <v>46216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5754-2022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46216</v>
      </c>
      <c r="F441" t="inlineStr">
        <is>
          <t>VÄRMLANDS LÄN</t>
        </is>
      </c>
      <c r="G441" t="inlineStr">
        <is>
          <t>FILIPSTAD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43635-2023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45186</v>
      </c>
      <c r="E442" s="1" t="n">
        <v>46216</v>
      </c>
      <c r="F442" t="inlineStr">
        <is>
          <t>VÄRMLANDS LÄN</t>
        </is>
      </c>
      <c r="G442" t="inlineStr">
        <is>
          <t>FILIPSTAD</t>
        </is>
      </c>
      <c r="I442" t="n">
        <v>15.3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20874-2026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46216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27085-2026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46187</v>
      </c>
      <c r="E444" s="1" t="n">
        <v>46216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27426-2026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46216</v>
      </c>
      <c r="F445" t="inlineStr">
        <is>
          <t>VÄRMLANDS LÄN</t>
        </is>
      </c>
      <c r="G445" t="inlineStr">
        <is>
          <t>FILIPSTAD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43633-2024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45569</v>
      </c>
      <c r="E446" s="1" t="n">
        <v>46216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31358-2023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46216</v>
      </c>
      <c r="F447" t="inlineStr">
        <is>
          <t>VÄRMLANDS LÄN</t>
        </is>
      </c>
      <c r="G447" t="inlineStr">
        <is>
          <t>FILIPSTAD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57026-2023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45244</v>
      </c>
      <c r="E448" s="1" t="n">
        <v>46216</v>
      </c>
      <c r="F448" t="inlineStr">
        <is>
          <t>VÄRMLANDS LÄN</t>
        </is>
      </c>
      <c r="G448" t="inlineStr">
        <is>
          <t>FILIPSTAD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27372-2026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46216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20528-2025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46216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46680-2024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45583</v>
      </c>
      <c r="E451" s="1" t="n">
        <v>46216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27300-2026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46216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19030-2022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44691</v>
      </c>
      <c r="E453" s="1" t="n">
        <v>46216</v>
      </c>
      <c r="F453" t="inlineStr">
        <is>
          <t>VÄRMLANDS LÄN</t>
        </is>
      </c>
      <c r="G453" t="inlineStr">
        <is>
          <t>FILIPSTAD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27080-2023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45096</v>
      </c>
      <c r="E454" s="1" t="n">
        <v>46216</v>
      </c>
      <c r="F454" t="inlineStr">
        <is>
          <t>VÄRMLANDS LÄN</t>
        </is>
      </c>
      <c r="G454" t="inlineStr">
        <is>
          <t>FILIPSTAD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46186</v>
      </c>
      <c r="E455" s="1" t="n">
        <v>46216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48908-2023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46216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62013-2024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45655</v>
      </c>
      <c r="E457" s="1" t="n">
        <v>46216</v>
      </c>
      <c r="F457" t="inlineStr">
        <is>
          <t>VÄRMLANDS LÄN</t>
        </is>
      </c>
      <c r="G457" t="inlineStr">
        <is>
          <t>FILIPSTAD</t>
        </is>
      </c>
      <c r="I457" t="n">
        <v>26.5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62014-2024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45655</v>
      </c>
      <c r="E458" s="1" t="n">
        <v>46216</v>
      </c>
      <c r="F458" t="inlineStr">
        <is>
          <t>VÄRMLANDS LÄN</t>
        </is>
      </c>
      <c r="G458" t="inlineStr">
        <is>
          <t>FILIPSTAD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21542-2026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46216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27595-2026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46216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27079-2026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46186</v>
      </c>
      <c r="E461" s="1" t="n">
        <v>46216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27007-2026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46216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1170-2023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44935</v>
      </c>
      <c r="E463" s="1" t="n">
        <v>46216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5992-2023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44959</v>
      </c>
      <c r="E464" s="1" t="n">
        <v>46216</v>
      </c>
      <c r="F464" t="inlineStr">
        <is>
          <t>VÄRMLANDS LÄN</t>
        </is>
      </c>
      <c r="G464" t="inlineStr">
        <is>
          <t>FILIPSTAD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27774-2026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46191</v>
      </c>
      <c r="E465" s="1" t="n">
        <v>46216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27867-2026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46191</v>
      </c>
      <c r="E466" s="1" t="n">
        <v>46216</v>
      </c>
      <c r="F466" t="inlineStr">
        <is>
          <t>VÄRMLANDS LÄN</t>
        </is>
      </c>
      <c r="G466" t="inlineStr">
        <is>
          <t>FILIPSTAD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22045-2026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46216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22051-2026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46216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53562-2023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45230</v>
      </c>
      <c r="E469" s="1" t="n">
        <v>46216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22144-2026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46216</v>
      </c>
      <c r="F470" t="inlineStr">
        <is>
          <t>VÄRMLANDS LÄN</t>
        </is>
      </c>
      <c r="G470" t="inlineStr">
        <is>
          <t>FILIPSTAD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27968-2026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46216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46216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22201-2026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46216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22220-2026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46216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22176-2026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46216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22112-2026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46216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22152-2026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46216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22136-2026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46216</v>
      </c>
      <c r="F478" t="inlineStr">
        <is>
          <t>VÄRMLANDS LÄN</t>
        </is>
      </c>
      <c r="G478" t="inlineStr">
        <is>
          <t>FILIPSTAD</t>
        </is>
      </c>
      <c r="I478" t="n">
        <v>10.8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22021-2026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46216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63411-2023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46216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22115-2026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46216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28094-2026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46216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22138-2026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46216</v>
      </c>
      <c r="F483" t="inlineStr">
        <is>
          <t>VÄRMLANDS LÄN</t>
        </is>
      </c>
      <c r="G483" t="inlineStr">
        <is>
          <t>FILIPSTAD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28419-2026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46216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43484-2023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46216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22229-2026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46216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28516-2026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46216</v>
      </c>
      <c r="F487" t="inlineStr">
        <is>
          <t>VÄRMLANDS LÄN</t>
        </is>
      </c>
      <c r="G487" t="inlineStr">
        <is>
          <t>FILIPSTAD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33973-2023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45124</v>
      </c>
      <c r="E488" s="1" t="n">
        <v>46216</v>
      </c>
      <c r="F488" t="inlineStr">
        <is>
          <t>VÄRMLANDS LÄN</t>
        </is>
      </c>
      <c r="G488" t="inlineStr">
        <is>
          <t>FILIPSTAD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34262-2024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45524</v>
      </c>
      <c r="E489" s="1" t="n">
        <v>46216</v>
      </c>
      <c r="F489" t="inlineStr">
        <is>
          <t>VÄRMLANDS LÄN</t>
        </is>
      </c>
      <c r="G489" t="inlineStr">
        <is>
          <t>FILIPSTAD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22533-2026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46216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45592-2024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46216</v>
      </c>
      <c r="F491" t="inlineStr">
        <is>
          <t>VÄRMLANDS LÄN</t>
        </is>
      </c>
      <c r="G491" t="inlineStr">
        <is>
          <t>FILIPSTAD</t>
        </is>
      </c>
      <c r="H491" t="inlineStr">
        <is>
          <t>Kyrkan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43264-2024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46216</v>
      </c>
      <c r="F492" t="inlineStr">
        <is>
          <t>VÄRMLANDS LÄN</t>
        </is>
      </c>
      <c r="G492" t="inlineStr">
        <is>
          <t>FILIPSTAD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6860-2024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45342</v>
      </c>
      <c r="E493" s="1" t="n">
        <v>46216</v>
      </c>
      <c r="F493" t="inlineStr">
        <is>
          <t>VÄRMLANDS LÄN</t>
        </is>
      </c>
      <c r="G493" t="inlineStr">
        <is>
          <t>FILIPSTAD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28977-2026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46216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29328-2026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46216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29385-2026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46216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29127-2026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46202</v>
      </c>
      <c r="E497" s="1" t="n">
        <v>46216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29376-2026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46216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23440-2026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46216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23500-2026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46216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29591-2026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46216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23514-2026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46216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29814-2026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46216</v>
      </c>
      <c r="F503" t="inlineStr">
        <is>
          <t>VÄRMLANDS LÄN</t>
        </is>
      </c>
      <c r="G503" t="inlineStr">
        <is>
          <t>FILIPSTAD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43045-2024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45567</v>
      </c>
      <c r="E504" s="1" t="n">
        <v>46216</v>
      </c>
      <c r="F504" t="inlineStr">
        <is>
          <t>VÄRMLANDS LÄN</t>
        </is>
      </c>
      <c r="G504" t="inlineStr">
        <is>
          <t>FILIPSTAD</t>
        </is>
      </c>
      <c r="H504" t="inlineStr">
        <is>
          <t>Kyrkan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28989-2026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46216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29010-2026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46216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23555-2026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46216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6683-2025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46216</v>
      </c>
      <c r="F508" t="inlineStr">
        <is>
          <t>VÄRMLANDS LÄN</t>
        </is>
      </c>
      <c r="G508" t="inlineStr">
        <is>
          <t>FILIPSTAD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23602-2026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46216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29389-2026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46216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29821-2026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46216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29417-2026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46216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23620-2023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45077</v>
      </c>
      <c r="E513" s="1" t="n">
        <v>46216</v>
      </c>
      <c r="F513" t="inlineStr">
        <is>
          <t>VÄRMLANDS LÄN</t>
        </is>
      </c>
      <c r="G513" t="inlineStr">
        <is>
          <t>FILIPSTAD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29863-2026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46216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46216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23529-2026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46216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25376-2023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45088</v>
      </c>
      <c r="E517" s="1" t="n">
        <v>46216</v>
      </c>
      <c r="F517" t="inlineStr">
        <is>
          <t>VÄRMLANDS LÄN</t>
        </is>
      </c>
      <c r="G517" t="inlineStr">
        <is>
          <t>FILIPSTAD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20606-2025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46216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69015-2021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44530</v>
      </c>
      <c r="E519" s="1" t="n">
        <v>46216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23943-2026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46216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23952-2026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46216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20966-2024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46216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23931-2026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46216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30074-2026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46206</v>
      </c>
      <c r="E524" s="1" t="n">
        <v>46216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6520-2023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44960</v>
      </c>
      <c r="E525" s="1" t="n">
        <v>46216</v>
      </c>
      <c r="F525" t="inlineStr">
        <is>
          <t>VÄRMLANDS LÄN</t>
        </is>
      </c>
      <c r="G525" t="inlineStr">
        <is>
          <t>FILIPSTAD</t>
        </is>
      </c>
      <c r="H525" t="inlineStr">
        <is>
          <t>Kommuner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23886-2026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46167</v>
      </c>
      <c r="E526" s="1" t="n">
        <v>46216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24026-2026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46167</v>
      </c>
      <c r="E527" s="1" t="n">
        <v>46216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20661-2024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45436</v>
      </c>
      <c r="E528" s="1" t="n">
        <v>46216</v>
      </c>
      <c r="F528" t="inlineStr">
        <is>
          <t>VÄRMLANDS LÄN</t>
        </is>
      </c>
      <c r="G528" t="inlineStr">
        <is>
          <t>FILIPSTAD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24022-2026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46216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46216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9.300000000000001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24005-2026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46216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23922-2026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46216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24008-2026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46216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53690-2022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44880</v>
      </c>
      <c r="E534" s="1" t="n">
        <v>46216</v>
      </c>
      <c r="F534" t="inlineStr">
        <is>
          <t>VÄRMLANDS LÄN</t>
        </is>
      </c>
      <c r="G534" t="inlineStr">
        <is>
          <t>FILIPSTAD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24027-2026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46216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6728-2025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45700</v>
      </c>
      <c r="E536" s="1" t="n">
        <v>46216</v>
      </c>
      <c r="F536" t="inlineStr">
        <is>
          <t>VÄRMLANDS LÄN</t>
        </is>
      </c>
      <c r="G536" t="inlineStr">
        <is>
          <t>FILIPSTAD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23934-2026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46216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23959-2026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46216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48040-2023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46216</v>
      </c>
      <c r="F539" t="inlineStr">
        <is>
          <t>VÄRMLANDS LÄN</t>
        </is>
      </c>
      <c r="G539" t="inlineStr">
        <is>
          <t>FILIPSTAD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30540-2026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46210</v>
      </c>
      <c r="E540" s="1" t="n">
        <v>46216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52981-2021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44467</v>
      </c>
      <c r="E541" s="1" t="n">
        <v>46216</v>
      </c>
      <c r="F541" t="inlineStr">
        <is>
          <t>VÄRMLANDS LÄN</t>
        </is>
      </c>
      <c r="G541" t="inlineStr">
        <is>
          <t>FILIPSTAD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15459-2026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46216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10306-2025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45720</v>
      </c>
      <c r="E543" s="1" t="n">
        <v>46216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24260-2026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46169</v>
      </c>
      <c r="E544" s="1" t="n">
        <v>46216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24291-2026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46216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24288-2026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46216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49935-2025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45940</v>
      </c>
      <c r="E547" s="1" t="n">
        <v>46216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51266-2021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44461</v>
      </c>
      <c r="E548" s="1" t="n">
        <v>46216</v>
      </c>
      <c r="F548" t="inlineStr">
        <is>
          <t>VÄRMLANDS LÄN</t>
        </is>
      </c>
      <c r="G548" t="inlineStr">
        <is>
          <t>FILIPSTAD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51618-2022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44872</v>
      </c>
      <c r="E549" s="1" t="n">
        <v>46216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32786-2024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45516</v>
      </c>
      <c r="E550" s="1" t="n">
        <v>46216</v>
      </c>
      <c r="F550" t="inlineStr">
        <is>
          <t>VÄRMLANDS LÄN</t>
        </is>
      </c>
      <c r="G550" t="inlineStr">
        <is>
          <t>FILIPSTAD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37611-2022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44809</v>
      </c>
      <c r="E551" s="1" t="n">
        <v>46216</v>
      </c>
      <c r="F551" t="inlineStr">
        <is>
          <t>VÄRMLANDS LÄN</t>
        </is>
      </c>
      <c r="G551" t="inlineStr">
        <is>
          <t>FILIPSTAD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24514-2026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46216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24519-2026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46216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16591-2022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44672</v>
      </c>
      <c r="E554" s="1" t="n">
        <v>46216</v>
      </c>
      <c r="F554" t="inlineStr">
        <is>
          <t>VÄRMLANDS LÄN</t>
        </is>
      </c>
      <c r="G554" t="inlineStr">
        <is>
          <t>FILIPSTAD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24529-2026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46216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12160-2023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44998</v>
      </c>
      <c r="E556" s="1" t="n">
        <v>46216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46978-2023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46216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24745-2026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46216</v>
      </c>
      <c r="F558" t="inlineStr">
        <is>
          <t>VÄRMLANDS LÄN</t>
        </is>
      </c>
      <c r="G558" t="inlineStr">
        <is>
          <t>FILIPSTAD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24520-2026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46216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30799-2026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46216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24537-2026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46216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24452-2026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46216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24453-2026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46216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46216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27139-2024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45471</v>
      </c>
      <c r="E565" s="1" t="n">
        <v>46216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17244-2024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45414</v>
      </c>
      <c r="E566" s="1" t="n">
        <v>46216</v>
      </c>
      <c r="F566" t="inlineStr">
        <is>
          <t>VÄRMLANDS LÄN</t>
        </is>
      </c>
      <c r="G566" t="inlineStr">
        <is>
          <t>FILIPSTAD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47002-2024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45586</v>
      </c>
      <c r="E567" s="1" t="n">
        <v>46216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30646-2024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45495</v>
      </c>
      <c r="E568" s="1" t="n">
        <v>46216</v>
      </c>
      <c r="F568" t="inlineStr">
        <is>
          <t>VÄRMLANDS LÄN</t>
        </is>
      </c>
      <c r="G568" t="inlineStr">
        <is>
          <t>FILIPSTAD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45667</v>
      </c>
      <c r="E569" s="1" t="n">
        <v>46216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20875-2024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46216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65167-2021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46216</v>
      </c>
      <c r="F571" t="inlineStr">
        <is>
          <t>VÄRMLANDS LÄN</t>
        </is>
      </c>
      <c r="G571" t="inlineStr">
        <is>
          <t>FILIPSTAD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28357-2024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46216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35304-2024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46216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23266-2025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46216</v>
      </c>
      <c r="F574" t="inlineStr">
        <is>
          <t>VÄRMLANDS LÄN</t>
        </is>
      </c>
      <c r="G574" t="inlineStr">
        <is>
          <t>FILIPSTAD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48702-2024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45593</v>
      </c>
      <c r="E575" s="1" t="n">
        <v>46216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22880-2025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45790</v>
      </c>
      <c r="E576" s="1" t="n">
        <v>46216</v>
      </c>
      <c r="F576" t="inlineStr">
        <is>
          <t>VÄRMLANDS LÄN</t>
        </is>
      </c>
      <c r="G576" t="inlineStr">
        <is>
          <t>FILIPSTAD</t>
        </is>
      </c>
      <c r="H576" t="inlineStr">
        <is>
          <t>Kyrkan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46216</v>
      </c>
      <c r="F577" t="inlineStr">
        <is>
          <t>VÄRMLANDS LÄN</t>
        </is>
      </c>
      <c r="G577" t="inlineStr">
        <is>
          <t>FILIPSTAD</t>
        </is>
      </c>
      <c r="H577" t="inlineStr">
        <is>
          <t>Kommuner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23775-2025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46216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23399-2025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45792</v>
      </c>
      <c r="E579" s="1" t="n">
        <v>46216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23475-2025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45792</v>
      </c>
      <c r="E580" s="1" t="n">
        <v>46216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8712-2024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45355</v>
      </c>
      <c r="E581" s="1" t="n">
        <v>46216</v>
      </c>
      <c r="F581" t="inlineStr">
        <is>
          <t>VÄRMLANDS LÄN</t>
        </is>
      </c>
      <c r="G581" t="inlineStr">
        <is>
          <t>FILIPSTAD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72118-2021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46216</v>
      </c>
      <c r="F582" t="inlineStr">
        <is>
          <t>VÄRMLANDS LÄN</t>
        </is>
      </c>
      <c r="G582" t="inlineStr">
        <is>
          <t>FILIPSTAD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15396-2025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45747</v>
      </c>
      <c r="E583" s="1" t="n">
        <v>46216</v>
      </c>
      <c r="F583" t="inlineStr">
        <is>
          <t>VÄRMLANDS LÄN</t>
        </is>
      </c>
      <c r="G583" t="inlineStr">
        <is>
          <t>FILIPSTAD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65174-2021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44515</v>
      </c>
      <c r="E584" s="1" t="n">
        <v>46216</v>
      </c>
      <c r="F584" t="inlineStr">
        <is>
          <t>VÄRMLANDS LÄN</t>
        </is>
      </c>
      <c r="G584" t="inlineStr">
        <is>
          <t>FILIPSTAD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24143-2025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46216</v>
      </c>
      <c r="F585" t="inlineStr">
        <is>
          <t>VÄRMLANDS LÄN</t>
        </is>
      </c>
      <c r="G585" t="inlineStr">
        <is>
          <t>FILIPSTAD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20844-2024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46216</v>
      </c>
      <c r="F586" t="inlineStr">
        <is>
          <t>VÄRMLANDS LÄN</t>
        </is>
      </c>
      <c r="G586" t="inlineStr">
        <is>
          <t>FILIPSTAD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3979-2024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45322</v>
      </c>
      <c r="E587" s="1" t="n">
        <v>46216</v>
      </c>
      <c r="F587" t="inlineStr">
        <is>
          <t>VÄRMLANDS LÄN</t>
        </is>
      </c>
      <c r="G587" t="inlineStr">
        <is>
          <t>FILIPSTAD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15406-2025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46216</v>
      </c>
      <c r="F588" t="inlineStr">
        <is>
          <t>VÄRMLANDS LÄN</t>
        </is>
      </c>
      <c r="G588" t="inlineStr">
        <is>
          <t>FILIPSTAD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5757-2021</t>
        </is>
      </c>
      <c r="B589" t="inlineStr">
        <is>
          <t>samrådsanmälan</t>
        </is>
      </c>
      <c r="C589" t="inlineStr">
        <is>
          <t>Basväg</t>
        </is>
      </c>
      <c r="D589" s="1" t="n">
        <v>44438</v>
      </c>
      <c r="E589" s="1" t="n">
        <v>46216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1191-2021</t>
        </is>
      </c>
      <c r="B590" t="inlineStr">
        <is>
          <t>samrådsanmälan</t>
        </is>
      </c>
      <c r="C590" t="inlineStr">
        <is>
          <t>Åtgärd i nyckelbiotop</t>
        </is>
      </c>
      <c r="D590" s="1" t="n">
        <v>44328</v>
      </c>
      <c r="E590" s="1" t="n">
        <v>46216</v>
      </c>
      <c r="F590" t="inlineStr">
        <is>
          <t>VÄRMLANDS LÄN</t>
        </is>
      </c>
      <c r="G590" t="inlineStr">
        <is>
          <t>FILIPSTAD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4134-2023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45247</v>
      </c>
      <c r="E591" s="1" t="n">
        <v>46216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4115-2023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45246</v>
      </c>
      <c r="E592" s="1" t="n">
        <v>46216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4137-2023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46216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4132-2023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46216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4130-2023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46216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4127-2023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46216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56.4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837-2023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44991</v>
      </c>
      <c r="E597" s="1" t="n">
        <v>46216</v>
      </c>
      <c r="F597" t="inlineStr">
        <is>
          <t>VÄRMLANDS LÄN</t>
        </is>
      </c>
      <c r="G597" t="inlineStr">
        <is>
          <t>FILIPSTAD</t>
        </is>
      </c>
      <c r="I597" t="n">
        <v>19.3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4129-2023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46216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3919-2023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45233</v>
      </c>
      <c r="E599" s="1" t="n">
        <v>46216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4135-2023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46216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18.9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6078-2021</t>
        </is>
      </c>
      <c r="B601" t="inlineStr">
        <is>
          <t>samrådsanmälan</t>
        </is>
      </c>
      <c r="C601" t="inlineStr">
        <is>
          <t>Åtgärd i nyckelbiotop</t>
        </is>
      </c>
      <c r="D601" s="1" t="n">
        <v>44442</v>
      </c>
      <c r="E601" s="1" t="n">
        <v>46216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4126-2023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46216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294-2025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45687</v>
      </c>
      <c r="E603" s="1" t="n">
        <v>46216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4116-2023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45246</v>
      </c>
      <c r="E604" s="1" t="n">
        <v>46216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661-2025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45716</v>
      </c>
      <c r="E605" s="1" t="n">
        <v>46216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161.7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3429-2025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45995</v>
      </c>
      <c r="E606" s="1" t="n">
        <v>46216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3576-2025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46010</v>
      </c>
      <c r="E607" s="1" t="n">
        <v>46216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>
      <c r="A608" t="inlineStr">
        <is>
          <t>S 105-2026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46036</v>
      </c>
      <c r="E608" s="1" t="n">
        <v>46216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238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2026-07-13T14:51:31Z</dcterms:created>
  <dcterms:modified xmlns:dcterms="http://purl.org/dc/terms/" xmlns:xsi="http://www.w3.org/2001/XMLSchema-instance" xsi:type="dcterms:W3CDTF">2026-07-13T14:51:32Z</dcterms:modified>
</cp:coreProperties>
</file>