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46234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46234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46234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46234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46234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46234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46234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46234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46234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46234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63625-2023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46234</v>
      </c>
      <c r="F12" t="inlineStr">
        <is>
          <t>VÄRMLANDS LÄN</t>
        </is>
      </c>
      <c r="G12" t="inlineStr">
        <is>
          <t>FILIPSTAD</t>
        </is>
      </c>
      <c r="I12" t="n">
        <v>1.9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Smalfotad taggsvamp
Vaddporing
Utter</t>
        </is>
      </c>
      <c r="W12">
        <f>HYPERLINK("https://klasma.github.io/Logging_1782/artfynd/A 63625-2023 artfynd.xlsx", "A 63625-2023")</f>
        <v/>
      </c>
      <c r="X12">
        <f>HYPERLINK("https://klasma.github.io/Logging_1782/kartor/A 63625-2023 karta.png", "A 63625-2023")</f>
        <v/>
      </c>
      <c r="Y12">
        <f>HYPERLINK("https://klasma.github.io/Logging_1782/kartor_geotiff/A 63625-2023 georefererad karta.tif", "A 63625-2023")</f>
        <v/>
      </c>
      <c r="AA12">
        <f>HYPERLINK("https://klasma.github.io/Logging_1782/klagomål/A 63625-2023 FSC-klagomål.docx", "A 63625-2023")</f>
        <v/>
      </c>
      <c r="AB12">
        <f>HYPERLINK("https://klasma.github.io/Logging_1782/klagomålsmail/A 63625-2023 FSC-klagomål mail.docx", "A 63625-2023")</f>
        <v/>
      </c>
      <c r="AC12">
        <f>HYPERLINK("https://klasma.github.io/Logging_1782/tillsyn/A 63625-2023 tillsynsbegäran.docx", "A 63625-2023")</f>
        <v/>
      </c>
      <c r="AD12">
        <f>HYPERLINK("https://klasma.github.io/Logging_1782/tillsynsmail/A 63625-2023 tillsynsbegäran mail.docx", "A 63625-2023")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46234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46234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43333-2023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45183</v>
      </c>
      <c r="E15" s="1" t="n">
        <v>46234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19.4</v>
      </c>
      <c r="J15" t="n">
        <v>1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Norsk näverlav
Skuggblåslav
Grön sköldmossa</t>
        </is>
      </c>
      <c r="W15">
        <f>HYPERLINK("https://klasma.github.io/Logging_1782/artfynd/A 43333-2023 artfynd.xlsx", "A 43333-2023")</f>
        <v/>
      </c>
      <c r="X15">
        <f>HYPERLINK("https://klasma.github.io/Logging_1782/kartor/A 43333-2023 karta.png", "A 43333-2023")</f>
        <v/>
      </c>
      <c r="Y15">
        <f>HYPERLINK("https://klasma.github.io/Logging_1782/kartor_geotiff/A 43333-2023 georefererad karta.tif", "A 43333-2023")</f>
        <v/>
      </c>
      <c r="AA15">
        <f>HYPERLINK("https://klasma.github.io/Logging_1782/klagomål/A 43333-2023 FSC-klagomål.docx", "A 43333-2023")</f>
        <v/>
      </c>
      <c r="AB15">
        <f>HYPERLINK("https://klasma.github.io/Logging_1782/klagomålsmail/A 43333-2023 FSC-klagomål mail.docx", "A 43333-2023")</f>
        <v/>
      </c>
      <c r="AC15">
        <f>HYPERLINK("https://klasma.github.io/Logging_1782/tillsyn/A 43333-2023 tillsynsbegäran.docx", "A 43333-2023")</f>
        <v/>
      </c>
      <c r="AD15">
        <f>HYPERLINK("https://klasma.github.io/Logging_1782/tillsynsmail/A 43333-2023 tillsynsbegäran mail.docx", "A 43333-2023")</f>
        <v/>
      </c>
    </row>
    <row r="16" ht="15" customHeight="1">
      <c r="A16" t="inlineStr">
        <is>
          <t>A 38134-2024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45545</v>
      </c>
      <c r="E16" s="1" t="n">
        <v>46234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2.4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Garnlav
Dropptaggsvamp
Skuggblåslav</t>
        </is>
      </c>
      <c r="W16">
        <f>HYPERLINK("https://klasma.github.io/Logging_1782/artfynd/A 38134-2024 artfynd.xlsx", "A 38134-2024")</f>
        <v/>
      </c>
      <c r="X16">
        <f>HYPERLINK("https://klasma.github.io/Logging_1782/kartor/A 38134-2024 karta.png", "A 38134-2024")</f>
        <v/>
      </c>
      <c r="Y16">
        <f>HYPERLINK("https://klasma.github.io/Logging_1782/kartor_geotiff/A 38134-2024 georefererad karta.tif", "A 38134-2024")</f>
        <v/>
      </c>
      <c r="AA16">
        <f>HYPERLINK("https://klasma.github.io/Logging_1782/klagomål/A 38134-2024 FSC-klagomål.docx", "A 38134-2024")</f>
        <v/>
      </c>
      <c r="AB16">
        <f>HYPERLINK("https://klasma.github.io/Logging_1782/klagomålsmail/A 38134-2024 FSC-klagomål mail.docx", "A 38134-2024")</f>
        <v/>
      </c>
      <c r="AC16">
        <f>HYPERLINK("https://klasma.github.io/Logging_1782/tillsyn/A 38134-2024 tillsynsbegäran.docx", "A 38134-2024")</f>
        <v/>
      </c>
      <c r="AD16">
        <f>HYPERLINK("https://klasma.github.io/Logging_1782/tillsynsmail/A 38134-2024 tillsynsbegäran mail.docx", "A 38134-2024")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46234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17274-2024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45414</v>
      </c>
      <c r="E18" s="1" t="n">
        <v>46234</v>
      </c>
      <c r="F18" t="inlineStr">
        <is>
          <t>VÄRMLANDS LÄN</t>
        </is>
      </c>
      <c r="G18" t="inlineStr">
        <is>
          <t>FILIPSTAD</t>
        </is>
      </c>
      <c r="H18" t="inlineStr">
        <is>
          <t>Kommuner</t>
        </is>
      </c>
      <c r="I18" t="n">
        <v>5.8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Dropptaggsvamp
Talltita</t>
        </is>
      </c>
      <c r="W18">
        <f>HYPERLINK("https://klasma.github.io/Logging_1782/artfynd/A 17274-2024 artfynd.xlsx", "A 17274-2024")</f>
        <v/>
      </c>
      <c r="X18">
        <f>HYPERLINK("https://klasma.github.io/Logging_1782/kartor/A 17274-2024 karta.png", "A 17274-2024")</f>
        <v/>
      </c>
      <c r="Y18">
        <f>HYPERLINK("https://klasma.github.io/Logging_1782/kartor_geotiff/A 17274-2024 georefererad karta.tif", "A 17274-2024")</f>
        <v/>
      </c>
      <c r="AA18">
        <f>HYPERLINK("https://klasma.github.io/Logging_1782/klagomål/A 17274-2024 FSC-klagomål.docx", "A 17274-2024")</f>
        <v/>
      </c>
      <c r="AB18">
        <f>HYPERLINK("https://klasma.github.io/Logging_1782/klagomålsmail/A 17274-2024 FSC-klagomål mail.docx", "A 17274-2024")</f>
        <v/>
      </c>
      <c r="AC18">
        <f>HYPERLINK("https://klasma.github.io/Logging_1782/tillsyn/A 17274-2024 tillsynsbegäran.docx", "A 17274-2024")</f>
        <v/>
      </c>
      <c r="AD18">
        <f>HYPERLINK("https://klasma.github.io/Logging_1782/tillsynsmail/A 17274-2024 tillsynsbegäran mail.docx", "A 17274-2024")</f>
        <v/>
      </c>
      <c r="AE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45054</v>
      </c>
      <c r="E19" s="1" t="n">
        <v>46234</v>
      </c>
      <c r="F19" t="inlineStr">
        <is>
          <t>VÄRMLANDS LÄN</t>
        </is>
      </c>
      <c r="G19" t="inlineStr">
        <is>
          <t>FILIPSTAD</t>
        </is>
      </c>
      <c r="I19" t="n">
        <v>3.3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3</v>
      </c>
      <c r="V19" s="2" t="inlineStr">
        <is>
          <t>Guckusko
Kransrams</t>
        </is>
      </c>
      <c r="W19">
        <f>HYPERLINK("https://klasma.github.io/Logging_1782/artfynd/A 19945-2023 artfynd.xlsx", "A 19945-2023")</f>
        <v/>
      </c>
      <c r="X19">
        <f>HYPERLINK("https://klasma.github.io/Logging_1782/kartor/A 19945-2023 karta.png", "A 19945-2023")</f>
        <v/>
      </c>
      <c r="Y19">
        <f>HYPERLINK("https://klasma.github.io/Logging_1782/kartor_geotiff/A 19945-2023 georefererad karta.tif", "A 19945-2023")</f>
        <v/>
      </c>
      <c r="AA19">
        <f>HYPERLINK("https://klasma.github.io/Logging_1782/klagomål/A 19945-2023 FSC-klagomål.docx", "A 19945-2023")</f>
        <v/>
      </c>
      <c r="AB19">
        <f>HYPERLINK("https://klasma.github.io/Logging_1782/klagomålsmail/A 19945-2023 FSC-klagomål mail.docx", "A 19945-2023")</f>
        <v/>
      </c>
      <c r="AC19">
        <f>HYPERLINK("https://klasma.github.io/Logging_1782/tillsyn/A 19945-2023 tillsynsbegäran.docx", "A 19945-2023")</f>
        <v/>
      </c>
      <c r="AD19">
        <f>HYPERLINK("https://klasma.github.io/Logging_1782/tillsynsmail/A 19945-2023 tillsynsbegäran mail.docx", "A 19945-2023")</f>
        <v/>
      </c>
    </row>
    <row r="20" ht="15" customHeight="1">
      <c r="A20" t="inlineStr">
        <is>
          <t>A 51103-2025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46234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8.300000000000001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Grönsiska
Smålom</t>
        </is>
      </c>
      <c r="W20">
        <f>HYPERLINK("https://klasma.github.io/Logging_1782/artfynd/A 51103-2025 artfynd.xlsx", "A 51103-2025")</f>
        <v/>
      </c>
      <c r="X20">
        <f>HYPERLINK("https://klasma.github.io/Logging_1782/kartor/A 51103-2025 karta.png", "A 51103-2025")</f>
        <v/>
      </c>
      <c r="Y20">
        <f>HYPERLINK("https://klasma.github.io/Logging_1782/kartor_geotiff/A 51103-2025 georefererad karta.tif", "A 51103-2025")</f>
        <v/>
      </c>
      <c r="AA20">
        <f>HYPERLINK("https://klasma.github.io/Logging_1782/klagomål/A 51103-2025 FSC-klagomål.docx", "A 51103-2025")</f>
        <v/>
      </c>
      <c r="AB20">
        <f>HYPERLINK("https://klasma.github.io/Logging_1782/klagomålsmail/A 51103-2025 FSC-klagomål mail.docx", "A 51103-2025")</f>
        <v/>
      </c>
      <c r="AC20">
        <f>HYPERLINK("https://klasma.github.io/Logging_1782/tillsyn/A 51103-2025 tillsynsbegäran.docx", "A 51103-2025")</f>
        <v/>
      </c>
      <c r="AD20">
        <f>HYPERLINK("https://klasma.github.io/Logging_1782/tillsynsmail/A 51103-2025 tillsynsbegäran mail.docx", "A 51103-2025")</f>
        <v/>
      </c>
      <c r="AE20">
        <f>HYPERLINK("https://klasma.github.io/Logging_1782/fåglar/A 51103-2025 prioriterade fågelarter.docx", "A 51103-2025")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46234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38132-2024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46234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Bronshjon
Fläcknycklar</t>
        </is>
      </c>
      <c r="W22">
        <f>HYPERLINK("https://klasma.github.io/Logging_1782/artfynd/A 38132-2024 artfynd.xlsx", "A 38132-2024")</f>
        <v/>
      </c>
      <c r="X22">
        <f>HYPERLINK("https://klasma.github.io/Logging_1782/kartor/A 38132-2024 karta.png", "A 38132-2024")</f>
        <v/>
      </c>
      <c r="Y22">
        <f>HYPERLINK("https://klasma.github.io/Logging_1782/kartor_geotiff/A 38132-2024 georefererad karta.tif", "A 38132-2024")</f>
        <v/>
      </c>
      <c r="AA22">
        <f>HYPERLINK("https://klasma.github.io/Logging_1782/klagomål/A 38132-2024 FSC-klagomål.docx", "A 38132-2024")</f>
        <v/>
      </c>
      <c r="AB22">
        <f>HYPERLINK("https://klasma.github.io/Logging_1782/klagomålsmail/A 38132-2024 FSC-klagomål mail.docx", "A 38132-2024")</f>
        <v/>
      </c>
      <c r="AC22">
        <f>HYPERLINK("https://klasma.github.io/Logging_1782/tillsyn/A 38132-2024 tillsynsbegäran.docx", "A 38132-2024")</f>
        <v/>
      </c>
      <c r="AD22">
        <f>HYPERLINK("https://klasma.github.io/Logging_1782/tillsynsmail/A 38132-2024 tillsynsbegäran mail.docx", "A 38132-2024")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46234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51922-2024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46234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Läderlappslav
Tjäder</t>
        </is>
      </c>
      <c r="W24">
        <f>HYPERLINK("https://klasma.github.io/Logging_1782/artfynd/A 51922-2024 artfynd.xlsx", "A 51922-2024")</f>
        <v/>
      </c>
      <c r="X24">
        <f>HYPERLINK("https://klasma.github.io/Logging_1782/kartor/A 51922-2024 karta.png", "A 51922-2024")</f>
        <v/>
      </c>
      <c r="Y24">
        <f>HYPERLINK("https://klasma.github.io/Logging_1782/kartor_geotiff/A 51922-2024 georefererad karta.tif", "A 51922-2024")</f>
        <v/>
      </c>
      <c r="AA24">
        <f>HYPERLINK("https://klasma.github.io/Logging_1782/klagomål/A 51922-2024 FSC-klagomål.docx", "A 51922-2024")</f>
        <v/>
      </c>
      <c r="AB24">
        <f>HYPERLINK("https://klasma.github.io/Logging_1782/klagomålsmail/A 51922-2024 FSC-klagomål mail.docx", "A 51922-2024")</f>
        <v/>
      </c>
      <c r="AC24">
        <f>HYPERLINK("https://klasma.github.io/Logging_1782/tillsyn/A 51922-2024 tillsynsbegäran.docx", "A 51922-2024")</f>
        <v/>
      </c>
      <c r="AD24">
        <f>HYPERLINK("https://klasma.github.io/Logging_1782/tillsynsmail/A 51922-2024 tillsynsbegäran mail.docx", "A 51922-2024")</f>
        <v/>
      </c>
      <c r="AE24">
        <f>HYPERLINK("https://klasma.github.io/Logging_1782/fåglar/A 51922-2024 prioriterade fågelarter.docx", "A 51922-2024")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46234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46234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46234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46234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46234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11453-2025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46234</v>
      </c>
      <c r="F30" t="inlineStr">
        <is>
          <t>VÄRMLANDS LÄN</t>
        </is>
      </c>
      <c r="G30" t="inlineStr">
        <is>
          <t>FILIPSTAD</t>
        </is>
      </c>
      <c r="I30" t="n">
        <v>7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Purpurknipprot</t>
        </is>
      </c>
      <c r="W30">
        <f>HYPERLINK("https://klasma.github.io/Logging_1782/artfynd/A 11453-2025 artfynd.xlsx", "A 11453-2025")</f>
        <v/>
      </c>
      <c r="X30">
        <f>HYPERLINK("https://klasma.github.io/Logging_1782/kartor/A 11453-2025 karta.png", "A 11453-2025")</f>
        <v/>
      </c>
      <c r="Y30">
        <f>HYPERLINK("https://klasma.github.io/Logging_1782/kartor_geotiff/A 11453-2025 georefererad karta.tif", "A 11453-2025")</f>
        <v/>
      </c>
      <c r="AA30">
        <f>HYPERLINK("https://klasma.github.io/Logging_1782/klagomål/A 11453-2025 FSC-klagomål.docx", "A 11453-2025")</f>
        <v/>
      </c>
      <c r="AB30">
        <f>HYPERLINK("https://klasma.github.io/Logging_1782/klagomålsmail/A 11453-2025 FSC-klagomål mail.docx", "A 11453-2025")</f>
        <v/>
      </c>
      <c r="AC30">
        <f>HYPERLINK("https://klasma.github.io/Logging_1782/tillsyn/A 11453-2025 tillsynsbegäran.docx", "A 11453-2025")</f>
        <v/>
      </c>
      <c r="AD30">
        <f>HYPERLINK("https://klasma.github.io/Logging_1782/tillsynsmail/A 11453-2025 tillsynsbegäran mail.docx", "A 11453-2025")</f>
        <v/>
      </c>
    </row>
    <row r="31" ht="15" customHeight="1">
      <c r="A31" t="inlineStr">
        <is>
          <t>A 25916-2025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45804</v>
      </c>
      <c r="E31" s="1" t="n">
        <v>46234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26.4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Lunglav</t>
        </is>
      </c>
      <c r="W31">
        <f>HYPERLINK("https://klasma.github.io/Logging_1782/artfynd/A 25916-2025 artfynd.xlsx", "A 25916-2025")</f>
        <v/>
      </c>
      <c r="X31">
        <f>HYPERLINK("https://klasma.github.io/Logging_1782/kartor/A 25916-2025 karta.png", "A 25916-2025")</f>
        <v/>
      </c>
      <c r="Y31">
        <f>HYPERLINK("https://klasma.github.io/Logging_1782/kartor_geotiff/A 25916-2025 georefererad karta.tif", "A 25916-2025")</f>
        <v/>
      </c>
      <c r="AA31">
        <f>HYPERLINK("https://klasma.github.io/Logging_1782/klagomål/A 25916-2025 FSC-klagomål.docx", "A 25916-2025")</f>
        <v/>
      </c>
      <c r="AB31">
        <f>HYPERLINK("https://klasma.github.io/Logging_1782/klagomålsmail/A 25916-2025 FSC-klagomål mail.docx", "A 25916-2025")</f>
        <v/>
      </c>
      <c r="AC31">
        <f>HYPERLINK("https://klasma.github.io/Logging_1782/tillsyn/A 25916-2025 tillsynsbegäran.docx", "A 25916-2025")</f>
        <v/>
      </c>
      <c r="AD31">
        <f>HYPERLINK("https://klasma.github.io/Logging_1782/tillsynsmail/A 25916-2025 tillsynsbegäran mail.docx", "A 25916-2025")</f>
        <v/>
      </c>
    </row>
    <row r="32" ht="15" customHeight="1">
      <c r="A32" t="inlineStr">
        <is>
          <t>A 45781-2025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45923</v>
      </c>
      <c r="E32" s="1" t="n">
        <v>46234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Brunklöver</t>
        </is>
      </c>
      <c r="W32">
        <f>HYPERLINK("https://klasma.github.io/Logging_1782/artfynd/A 45781-2025 artfynd.xlsx", "A 45781-2025")</f>
        <v/>
      </c>
      <c r="X32">
        <f>HYPERLINK("https://klasma.github.io/Logging_1782/kartor/A 45781-2025 karta.png", "A 45781-2025")</f>
        <v/>
      </c>
      <c r="Y32">
        <f>HYPERLINK("https://klasma.github.io/Logging_1782/kartor_geotiff/A 45781-2025 georefererad karta.tif", "A 45781-2025")</f>
        <v/>
      </c>
      <c r="AA32">
        <f>HYPERLINK("https://klasma.github.io/Logging_1782/klagomål/A 45781-2025 FSC-klagomål.docx", "A 45781-2025")</f>
        <v/>
      </c>
      <c r="AB32">
        <f>HYPERLINK("https://klasma.github.io/Logging_1782/klagomålsmail/A 45781-2025 FSC-klagomål mail.docx", "A 45781-2025")</f>
        <v/>
      </c>
      <c r="AC32">
        <f>HYPERLINK("https://klasma.github.io/Logging_1782/tillsyn/A 45781-2025 tillsynsbegäran.docx", "A 45781-2025")</f>
        <v/>
      </c>
      <c r="AD32">
        <f>HYPERLINK("https://klasma.github.io/Logging_1782/tillsynsmail/A 45781-2025 tillsynsbegäran mail.docx", "A 45781-2025")</f>
        <v/>
      </c>
    </row>
    <row r="33" ht="15" customHeight="1">
      <c r="A33" t="inlineStr">
        <is>
          <t>A 30652-2025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45831</v>
      </c>
      <c r="E33" s="1" t="n">
        <v>46234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HYPERLINK("https://klasma.github.io/Logging_1782/artfynd/A 30652-2025 artfynd.xlsx", "A 30652-2025")</f>
        <v/>
      </c>
      <c r="X33">
        <f>HYPERLINK("https://klasma.github.io/Logging_1782/kartor/A 30652-2025 karta.png", "A 30652-2025")</f>
        <v/>
      </c>
      <c r="Y33">
        <f>HYPERLINK("https://klasma.github.io/Logging_1782/kartor_geotiff/A 30652-2025 georefererad karta.tif", "A 30652-2025")</f>
        <v/>
      </c>
      <c r="AA33">
        <f>HYPERLINK("https://klasma.github.io/Logging_1782/klagomål/A 30652-2025 FSC-klagomål.docx", "A 30652-2025")</f>
        <v/>
      </c>
      <c r="AB33">
        <f>HYPERLINK("https://klasma.github.io/Logging_1782/klagomålsmail/A 30652-2025 FSC-klagomål mail.docx", "A 30652-2025")</f>
        <v/>
      </c>
      <c r="AC33">
        <f>HYPERLINK("https://klasma.github.io/Logging_1782/tillsyn/A 30652-2025 tillsynsbegäran.docx", "A 30652-2025")</f>
        <v/>
      </c>
      <c r="AD33">
        <f>HYPERLINK("https://klasma.github.io/Logging_1782/tillsynsmail/A 30652-2025 tillsynsbegäran mail.docx", "A 30652-2025")</f>
        <v/>
      </c>
      <c r="AE33">
        <f>HYPERLINK("https://klasma.github.io/Logging_1782/fåglar/A 30652-2025 prioriterade fågelarter.docx", "A 30652-2025")</f>
        <v/>
      </c>
    </row>
    <row r="34" ht="15" customHeight="1">
      <c r="A34" t="inlineStr">
        <is>
          <t>A 874-2025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46234</v>
      </c>
      <c r="F34" t="inlineStr">
        <is>
          <t>VÄRMLANDS LÄN</t>
        </is>
      </c>
      <c r="G34" t="inlineStr">
        <is>
          <t>FILIPSTAD</t>
        </is>
      </c>
      <c r="H34" t="inlineStr">
        <is>
          <t>Kyrkan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HYPERLINK("https://klasma.github.io/Logging_1782/artfynd/A 874-2025 artfynd.xlsx", "A 874-2025")</f>
        <v/>
      </c>
      <c r="X34">
        <f>HYPERLINK("https://klasma.github.io/Logging_1782/kartor/A 874-2025 karta.png", "A 874-2025")</f>
        <v/>
      </c>
      <c r="Y34">
        <f>HYPERLINK("https://klasma.github.io/Logging_1782/kartor_geotiff/A 874-2025 georefererad karta.tif", "A 874-2025")</f>
        <v/>
      </c>
      <c r="AA34">
        <f>HYPERLINK("https://klasma.github.io/Logging_1782/klagomål/A 874-2025 FSC-klagomål.docx", "A 874-2025")</f>
        <v/>
      </c>
      <c r="AB34">
        <f>HYPERLINK("https://klasma.github.io/Logging_1782/klagomålsmail/A 874-2025 FSC-klagomål mail.docx", "A 874-2025")</f>
        <v/>
      </c>
      <c r="AC34">
        <f>HYPERLINK("https://klasma.github.io/Logging_1782/tillsyn/A 874-2025 tillsynsbegäran.docx", "A 874-2025")</f>
        <v/>
      </c>
      <c r="AD34">
        <f>HYPERLINK("https://klasma.github.io/Logging_1782/tillsynsmail/A 874-2025 tillsynsbegäran mail.docx", "A 874-2025")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46234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38140-2024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46234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HYPERLINK("https://klasma.github.io/Logging_1782/artfynd/A 38140-2024 artfynd.xlsx", "A 38140-2024")</f>
        <v/>
      </c>
      <c r="X36">
        <f>HYPERLINK("https://klasma.github.io/Logging_1782/kartor/A 38140-2024 karta.png", "A 38140-2024")</f>
        <v/>
      </c>
      <c r="Y36">
        <f>HYPERLINK("https://klasma.github.io/Logging_1782/kartor_geotiff/A 38140-2024 georefererad karta.tif", "A 38140-2024")</f>
        <v/>
      </c>
      <c r="AA36">
        <f>HYPERLINK("https://klasma.github.io/Logging_1782/klagomål/A 38140-2024 FSC-klagomål.docx", "A 38140-2024")</f>
        <v/>
      </c>
      <c r="AB36">
        <f>HYPERLINK("https://klasma.github.io/Logging_1782/klagomålsmail/A 38140-2024 FSC-klagomål mail.docx", "A 38140-2024")</f>
        <v/>
      </c>
      <c r="AC36">
        <f>HYPERLINK("https://klasma.github.io/Logging_1782/tillsyn/A 38140-2024 tillsynsbegäran.docx", "A 38140-2024")</f>
        <v/>
      </c>
      <c r="AD36">
        <f>HYPERLINK("https://klasma.github.io/Logging_1782/tillsynsmail/A 38140-2024 tillsynsbegäran mail.docx", "A 38140-2024")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46234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46234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Ädellav</t>
        </is>
      </c>
      <c r="W38">
        <f>HYPERLINK("https://klasma.github.io/Logging_1782/artfynd/A 17529-2026 artfynd.xlsx", "A 17529-2026")</f>
        <v/>
      </c>
      <c r="X38">
        <f>HYPERLINK("https://klasma.github.io/Logging_1782/kartor/A 17529-2026 karta.png", "A 17529-2026")</f>
        <v/>
      </c>
      <c r="Y38">
        <f>HYPERLINK("https://klasma.github.io/Logging_1782/kartor_geotiff/A 17529-2026 georefererad karta.tif", "A 17529-2026")</f>
        <v/>
      </c>
      <c r="AA38">
        <f>HYPERLINK("https://klasma.github.io/Logging_1782/klagomål/A 17529-2026 FSC-klagomål.docx", "A 17529-2026")</f>
        <v/>
      </c>
      <c r="AB38">
        <f>HYPERLINK("https://klasma.github.io/Logging_1782/klagomålsmail/A 17529-2026 FSC-klagomål mail.docx", "A 17529-2026")</f>
        <v/>
      </c>
      <c r="AC38">
        <f>HYPERLINK("https://klasma.github.io/Logging_1782/tillsyn/A 17529-2026 tillsynsbegäran.docx", "A 17529-2026")</f>
        <v/>
      </c>
      <c r="AD38">
        <f>HYPERLINK("https://klasma.github.io/Logging_1782/tillsynsmail/A 17529-2026 tillsynsbegäran mail.docx", "A 17529-2026")</f>
        <v/>
      </c>
    </row>
    <row r="39" ht="15" customHeight="1">
      <c r="A39" t="inlineStr">
        <is>
          <t>A 10138-2024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45364</v>
      </c>
      <c r="E39" s="1" t="n">
        <v>46234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Purpurknipprot</t>
        </is>
      </c>
      <c r="W39">
        <f>HYPERLINK("https://klasma.github.io/Logging_1782/artfynd/A 10138-2024 artfynd.xlsx", "A 10138-2024")</f>
        <v/>
      </c>
      <c r="X39">
        <f>HYPERLINK("https://klasma.github.io/Logging_1782/kartor/A 10138-2024 karta.png", "A 10138-2024")</f>
        <v/>
      </c>
      <c r="Y39">
        <f>HYPERLINK("https://klasma.github.io/Logging_1782/kartor_geotiff/A 10138-2024 georefererad karta.tif", "A 10138-2024")</f>
        <v/>
      </c>
      <c r="AA39">
        <f>HYPERLINK("https://klasma.github.io/Logging_1782/klagomål/A 10138-2024 FSC-klagomål.docx", "A 10138-2024")</f>
        <v/>
      </c>
      <c r="AB39">
        <f>HYPERLINK("https://klasma.github.io/Logging_1782/klagomålsmail/A 10138-2024 FSC-klagomål mail.docx", "A 10138-2024")</f>
        <v/>
      </c>
      <c r="AC39">
        <f>HYPERLINK("https://klasma.github.io/Logging_1782/tillsyn/A 10138-2024 tillsynsbegäran.docx", "A 10138-2024")</f>
        <v/>
      </c>
      <c r="AD39">
        <f>HYPERLINK("https://klasma.github.io/Logging_1782/tillsynsmail/A 10138-2024 tillsynsbegäran mail.docx", "A 10138-2024")</f>
        <v/>
      </c>
    </row>
    <row r="40" ht="15" customHeight="1">
      <c r="A40" t="inlineStr">
        <is>
          <t>A 34145-2024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45524</v>
      </c>
      <c r="E40" s="1" t="n">
        <v>46234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34145-2024 artfynd.xlsx", "A 34145-2024")</f>
        <v/>
      </c>
      <c r="X40">
        <f>HYPERLINK("https://klasma.github.io/Logging_1782/kartor/A 34145-2024 karta.png", "A 34145-2024")</f>
        <v/>
      </c>
      <c r="Y40">
        <f>HYPERLINK("https://klasma.github.io/Logging_1782/kartor_geotiff/A 34145-2024 georefererad karta.tif", "A 34145-2024")</f>
        <v/>
      </c>
      <c r="AA40">
        <f>HYPERLINK("https://klasma.github.io/Logging_1782/klagomål/A 34145-2024 FSC-klagomål.docx", "A 34145-2024")</f>
        <v/>
      </c>
      <c r="AB40">
        <f>HYPERLINK("https://klasma.github.io/Logging_1782/klagomålsmail/A 34145-2024 FSC-klagomål mail.docx", "A 34145-2024")</f>
        <v/>
      </c>
      <c r="AC40">
        <f>HYPERLINK("https://klasma.github.io/Logging_1782/tillsyn/A 34145-2024 tillsynsbegäran.docx", "A 34145-2024")</f>
        <v/>
      </c>
      <c r="AD40">
        <f>HYPERLINK("https://klasma.github.io/Logging_1782/tillsynsmail/A 34145-2024 tillsynsbegäran mail.docx", "A 34145-2024")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46234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HYPERLINK("https://klasma.github.io/Logging_1782/artfynd/A 51522-2022 artfynd.xlsx", "A 51522-2022")</f>
        <v/>
      </c>
      <c r="X41">
        <f>HYPERLINK("https://klasma.github.io/Logging_1782/kartor/A 51522-2022 karta.png", "A 51522-2022")</f>
        <v/>
      </c>
      <c r="Y41">
        <f>HYPERLINK("https://klasma.github.io/Logging_1782/kartor_geotiff/A 51522-2022 georefererad karta.tif", "A 51522-2022")</f>
        <v/>
      </c>
      <c r="AA41">
        <f>HYPERLINK("https://klasma.github.io/Logging_1782/klagomål/A 51522-2022 FSC-klagomål.docx", "A 51522-2022")</f>
        <v/>
      </c>
      <c r="AB41">
        <f>HYPERLINK("https://klasma.github.io/Logging_1782/klagomålsmail/A 51522-2022 FSC-klagomål mail.docx", "A 51522-2022")</f>
        <v/>
      </c>
      <c r="AC41">
        <f>HYPERLINK("https://klasma.github.io/Logging_1782/tillsyn/A 51522-2022 tillsynsbegäran.docx", "A 51522-2022")</f>
        <v/>
      </c>
      <c r="AD41">
        <f>HYPERLINK("https://klasma.github.io/Logging_1782/tillsynsmail/A 51522-2022 tillsynsbegäran mail.docx", "A 51522-2022")</f>
        <v/>
      </c>
    </row>
    <row r="42" ht="15" customHeight="1">
      <c r="A42" t="inlineStr">
        <is>
          <t>A 28915-2026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46234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Stjärnstarr</t>
        </is>
      </c>
      <c r="W42">
        <f>HYPERLINK("https://klasma.github.io/Logging_1782/artfynd/A 28915-2026 artfynd.xlsx", "A 28915-2026")</f>
        <v/>
      </c>
      <c r="X42">
        <f>HYPERLINK("https://klasma.github.io/Logging_1782/kartor/A 28915-2026 karta.png", "A 28915-2026")</f>
        <v/>
      </c>
      <c r="Y42">
        <f>HYPERLINK("https://klasma.github.io/Logging_1782/kartor_geotiff/A 28915-2026 georefererad karta.tif", "A 28915-2026")</f>
        <v/>
      </c>
      <c r="AA42">
        <f>HYPERLINK("https://klasma.github.io/Logging_1782/klagomål/A 28915-2026 FSC-klagomål.docx", "A 28915-2026")</f>
        <v/>
      </c>
      <c r="AB42">
        <f>HYPERLINK("https://klasma.github.io/Logging_1782/klagomålsmail/A 28915-2026 FSC-klagomål mail.docx", "A 28915-2026")</f>
        <v/>
      </c>
      <c r="AC42">
        <f>HYPERLINK("https://klasma.github.io/Logging_1782/tillsyn/A 28915-2026 tillsynsbegäran.docx", "A 28915-2026")</f>
        <v/>
      </c>
      <c r="AD42">
        <f>HYPERLINK("https://klasma.github.io/Logging_1782/tillsynsmail/A 28915-2026 tillsynsbegäran mail.docx", "A 28915-2026")</f>
        <v/>
      </c>
    </row>
    <row r="43" ht="15" customHeight="1">
      <c r="A43" t="inlineStr">
        <is>
          <t>A 31257-2026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46234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10.2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Gräsull</t>
        </is>
      </c>
      <c r="W43">
        <f>HYPERLINK("https://klasma.github.io/Logging_1782/artfynd/A 31257-2026 artfynd.xlsx", "A 31257-2026")</f>
        <v/>
      </c>
      <c r="X43">
        <f>HYPERLINK("https://klasma.github.io/Logging_1782/kartor/A 31257-2026 karta.png", "A 31257-2026")</f>
        <v/>
      </c>
      <c r="Y43">
        <f>HYPERLINK("https://klasma.github.io/Logging_1782/kartor_geotiff/A 31257-2026 georefererad karta.tif", "A 31257-2026")</f>
        <v/>
      </c>
      <c r="AA43">
        <f>HYPERLINK("https://klasma.github.io/Logging_1782/klagomål/A 31257-2026 FSC-klagomål.docx", "A 31257-2026")</f>
        <v/>
      </c>
      <c r="AB43">
        <f>HYPERLINK("https://klasma.github.io/Logging_1782/klagomålsmail/A 31257-2026 FSC-klagomål mail.docx", "A 31257-2026")</f>
        <v/>
      </c>
      <c r="AC43">
        <f>HYPERLINK("https://klasma.github.io/Logging_1782/tillsyn/A 31257-2026 tillsynsbegäran.docx", "A 31257-2026")</f>
        <v/>
      </c>
      <c r="AD43">
        <f>HYPERLINK("https://klasma.github.io/Logging_1782/tillsynsmail/A 31257-2026 tillsynsbegäran mail.docx", "A 31257-2026")</f>
        <v/>
      </c>
    </row>
    <row r="44" ht="15" customHeight="1">
      <c r="A44" t="inlineStr">
        <is>
          <t>A 23046-2023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45075</v>
      </c>
      <c r="E44" s="1" t="n">
        <v>46234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HYPERLINK("https://klasma.github.io/Logging_1782/artfynd/A 23046-2023 artfynd.xlsx", "A 23046-2023")</f>
        <v/>
      </c>
      <c r="X44">
        <f>HYPERLINK("https://klasma.github.io/Logging_1782/kartor/A 23046-2023 karta.png", "A 23046-2023")</f>
        <v/>
      </c>
      <c r="Y44">
        <f>HYPERLINK("https://klasma.github.io/Logging_1782/kartor_geotiff/A 23046-2023 georefererad karta.tif", "A 23046-2023")</f>
        <v/>
      </c>
      <c r="Z44">
        <f>HYPERLINK("https://klasma.github.io/Logging_1782/knärot/A 23046-2023 karta knärot.png", "A 23046-2023")</f>
        <v/>
      </c>
      <c r="AA44">
        <f>HYPERLINK("https://klasma.github.io/Logging_1782/klagomål/A 23046-2023 FSC-klagomål.docx", "A 23046-2023")</f>
        <v/>
      </c>
      <c r="AB44">
        <f>HYPERLINK("https://klasma.github.io/Logging_1782/klagomålsmail/A 23046-2023 FSC-klagomål mail.docx", "A 23046-2023")</f>
        <v/>
      </c>
      <c r="AC44">
        <f>HYPERLINK("https://klasma.github.io/Logging_1782/tillsyn/A 23046-2023 tillsynsbegäran.docx", "A 23046-2023")</f>
        <v/>
      </c>
      <c r="AD44">
        <f>HYPERLINK("https://klasma.github.io/Logging_1782/tillsynsmail/A 23046-2023 tillsynsbegäran mail.docx", "A 23046-2023")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46234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46234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46234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46234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46234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46234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46234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46234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46234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46234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46234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46234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46234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46234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46234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46234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46234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46234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46234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46234</v>
      </c>
      <c r="F64" t="inlineStr">
        <is>
          <t>VÄRMLANDS LÄN</t>
        </is>
      </c>
      <c r="G64" t="inlineStr">
        <is>
          <t>FILIPSTAD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46234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46234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46234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46234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46234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46234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46234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46234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46234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46234</v>
      </c>
      <c r="F74" t="inlineStr">
        <is>
          <t>VÄRMLANDS LÄN</t>
        </is>
      </c>
      <c r="G74" t="inlineStr">
        <is>
          <t>FILIPSTAD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46234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9270-2023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44980</v>
      </c>
      <c r="E76" s="1" t="n">
        <v>46234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46234</v>
      </c>
      <c r="F77" t="inlineStr">
        <is>
          <t>VÄRMLANDS LÄN</t>
        </is>
      </c>
      <c r="G77" t="inlineStr">
        <is>
          <t>FILIPSTAD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44805</v>
      </c>
      <c r="E78" s="1" t="n">
        <v>46234</v>
      </c>
      <c r="F78" t="inlineStr">
        <is>
          <t>VÄRMLANDS LÄN</t>
        </is>
      </c>
      <c r="G78" t="inlineStr">
        <is>
          <t>FILIPSTAD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46234</v>
      </c>
      <c r="F79" t="inlineStr">
        <is>
          <t>VÄRMLANDS LÄN</t>
        </is>
      </c>
      <c r="G79" t="inlineStr">
        <is>
          <t>FILIPSTAD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45524</v>
      </c>
      <c r="E80" s="1" t="n">
        <v>46234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46234</v>
      </c>
      <c r="F81" t="inlineStr">
        <is>
          <t>VÄRMLANDS LÄN</t>
        </is>
      </c>
      <c r="G81" t="inlineStr">
        <is>
          <t>FILIPSTAD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44637</v>
      </c>
      <c r="E82" s="1" t="n">
        <v>46234</v>
      </c>
      <c r="F82" t="inlineStr">
        <is>
          <t>VÄRMLANDS LÄN</t>
        </is>
      </c>
      <c r="G82" t="inlineStr">
        <is>
          <t>FILIPSTAD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25737-2023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45090</v>
      </c>
      <c r="E83" s="1" t="n">
        <v>46234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47911-2025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45932</v>
      </c>
      <c r="E84" s="1" t="n">
        <v>46234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46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48103-2025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45933</v>
      </c>
      <c r="E85" s="1" t="n">
        <v>46234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27139-2024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45471</v>
      </c>
      <c r="E86" s="1" t="n">
        <v>46234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44963</v>
      </c>
      <c r="E87" s="1" t="n">
        <v>46234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17244-2024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45414</v>
      </c>
      <c r="E88" s="1" t="n">
        <v>46234</v>
      </c>
      <c r="F88" t="inlineStr">
        <is>
          <t>VÄRMLANDS LÄN</t>
        </is>
      </c>
      <c r="G88" t="inlineStr">
        <is>
          <t>FILIPSTAD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47002-2024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45586</v>
      </c>
      <c r="E89" s="1" t="n">
        <v>46234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45495</v>
      </c>
      <c r="E90" s="1" t="n">
        <v>46234</v>
      </c>
      <c r="F90" t="inlineStr">
        <is>
          <t>VÄRMLANDS LÄN</t>
        </is>
      </c>
      <c r="G90" t="inlineStr">
        <is>
          <t>FILIPSTAD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45667</v>
      </c>
      <c r="E91" s="1" t="n">
        <v>46234</v>
      </c>
      <c r="F91" t="inlineStr">
        <is>
          <t>VÄRMLANDS LÄN</t>
        </is>
      </c>
      <c r="G91" t="inlineStr">
        <is>
          <t>FILIPSTAD</t>
        </is>
      </c>
      <c r="H91" t="inlineStr">
        <is>
          <t>Kommuner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20875-2024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45439</v>
      </c>
      <c r="E92" s="1" t="n">
        <v>46234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45418</v>
      </c>
      <c r="E93" s="1" t="n">
        <v>46234</v>
      </c>
      <c r="F93" t="inlineStr">
        <is>
          <t>VÄRMLANDS LÄN</t>
        </is>
      </c>
      <c r="G93" t="inlineStr">
        <is>
          <t>FILIPSTAD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45159</v>
      </c>
      <c r="E94" s="1" t="n">
        <v>46234</v>
      </c>
      <c r="F94" t="inlineStr">
        <is>
          <t>VÄRMLANDS LÄN</t>
        </is>
      </c>
      <c r="G94" t="inlineStr">
        <is>
          <t>FILIPSTAD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65167-2021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46234</v>
      </c>
      <c r="F95" t="inlineStr">
        <is>
          <t>VÄRMLANDS LÄN</t>
        </is>
      </c>
      <c r="G95" t="inlineStr">
        <is>
          <t>FILIPSTAD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45578</v>
      </c>
      <c r="E96" s="1" t="n">
        <v>46234</v>
      </c>
      <c r="F96" t="inlineStr">
        <is>
          <t>VÄRMLANDS LÄN</t>
        </is>
      </c>
      <c r="G96" t="inlineStr">
        <is>
          <t>FILIPSTAD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45940</v>
      </c>
      <c r="E97" s="1" t="n">
        <v>46234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45477</v>
      </c>
      <c r="E98" s="1" t="n">
        <v>46234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46234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46234</v>
      </c>
      <c r="F100" t="inlineStr">
        <is>
          <t>VÄRMLANDS LÄN</t>
        </is>
      </c>
      <c r="G100" t="inlineStr">
        <is>
          <t>FILIPSTAD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45593</v>
      </c>
      <c r="E101" s="1" t="n">
        <v>46234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22880-2025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45790</v>
      </c>
      <c r="E102" s="1" t="n">
        <v>46234</v>
      </c>
      <c r="F102" t="inlineStr">
        <is>
          <t>VÄRMLANDS LÄN</t>
        </is>
      </c>
      <c r="G102" t="inlineStr">
        <is>
          <t>FILIPSTAD</t>
        </is>
      </c>
      <c r="H102" t="inlineStr">
        <is>
          <t>Kyrkan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46234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46234</v>
      </c>
      <c r="F104" t="inlineStr">
        <is>
          <t>VÄRMLANDS LÄN</t>
        </is>
      </c>
      <c r="G104" t="inlineStr">
        <is>
          <t>FILIPSTAD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46234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23399-2025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45792</v>
      </c>
      <c r="E106" s="1" t="n">
        <v>46234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23475-2025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45792</v>
      </c>
      <c r="E107" s="1" t="n">
        <v>46234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46234</v>
      </c>
      <c r="F108" t="inlineStr">
        <is>
          <t>VÄRMLANDS LÄN</t>
        </is>
      </c>
      <c r="G108" t="inlineStr">
        <is>
          <t>FILIPSTAD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14582-2025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45742</v>
      </c>
      <c r="E109" s="1" t="n">
        <v>46234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19705-2025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45771</v>
      </c>
      <c r="E110" s="1" t="n">
        <v>46234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72118-2021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46234</v>
      </c>
      <c r="F111" t="inlineStr">
        <is>
          <t>VÄRMLANDS LÄN</t>
        </is>
      </c>
      <c r="G111" t="inlineStr">
        <is>
          <t>FILIPSTAD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46234</v>
      </c>
      <c r="F112" t="inlineStr">
        <is>
          <t>VÄRMLANDS LÄN</t>
        </is>
      </c>
      <c r="G112" t="inlineStr">
        <is>
          <t>FILIPSTAD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45471</v>
      </c>
      <c r="E113" s="1" t="n">
        <v>46234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65174-2021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44515</v>
      </c>
      <c r="E114" s="1" t="n">
        <v>46234</v>
      </c>
      <c r="F114" t="inlineStr">
        <is>
          <t>VÄRMLANDS LÄN</t>
        </is>
      </c>
      <c r="G114" t="inlineStr">
        <is>
          <t>FILIPSTAD</t>
        </is>
      </c>
      <c r="I114" t="n">
        <v>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46234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39566-2023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45167</v>
      </c>
      <c r="E116" s="1" t="n">
        <v>46234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50996-2025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46234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45393</v>
      </c>
      <c r="E118" s="1" t="n">
        <v>46234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51031-2025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46234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41718-2025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45902</v>
      </c>
      <c r="E120" s="1" t="n">
        <v>46234</v>
      </c>
      <c r="F120" t="inlineStr">
        <is>
          <t>VÄRMLANDS LÄN</t>
        </is>
      </c>
      <c r="G120" t="inlineStr">
        <is>
          <t>FILIPSTAD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46234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46234</v>
      </c>
      <c r="F122" t="inlineStr">
        <is>
          <t>VÄRMLANDS LÄN</t>
        </is>
      </c>
      <c r="G122" t="inlineStr">
        <is>
          <t>FILIPSTAD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45439</v>
      </c>
      <c r="E123" s="1" t="n">
        <v>46234</v>
      </c>
      <c r="F123" t="inlineStr">
        <is>
          <t>VÄRMLANDS LÄN</t>
        </is>
      </c>
      <c r="G123" t="inlineStr">
        <is>
          <t>FILIPSTAD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46234</v>
      </c>
      <c r="F124" t="inlineStr">
        <is>
          <t>VÄRMLANDS LÄN</t>
        </is>
      </c>
      <c r="G124" t="inlineStr">
        <is>
          <t>FILIPSTAD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45322</v>
      </c>
      <c r="E125" s="1" t="n">
        <v>46234</v>
      </c>
      <c r="F125" t="inlineStr">
        <is>
          <t>VÄRMLANDS LÄN</t>
        </is>
      </c>
      <c r="G125" t="inlineStr">
        <is>
          <t>FILIPSTAD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46234</v>
      </c>
      <c r="F126" t="inlineStr">
        <is>
          <t>VÄRMLANDS LÄN</t>
        </is>
      </c>
      <c r="G126" t="inlineStr">
        <is>
          <t>FILIPSTAD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45951</v>
      </c>
      <c r="E127" s="1" t="n">
        <v>46234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46234</v>
      </c>
      <c r="F128" t="inlineStr">
        <is>
          <t>VÄRMLANDS LÄN</t>
        </is>
      </c>
      <c r="G128" t="inlineStr">
        <is>
          <t>FILIPSTAD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44801</v>
      </c>
      <c r="E129" s="1" t="n">
        <v>46234</v>
      </c>
      <c r="F129" t="inlineStr">
        <is>
          <t>VÄRMLANDS LÄN</t>
        </is>
      </c>
      <c r="G129" t="inlineStr">
        <is>
          <t>FILIPSTAD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47261-2024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46234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53034-2022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46234</v>
      </c>
      <c r="F131" t="inlineStr">
        <is>
          <t>VÄRMLANDS LÄN</t>
        </is>
      </c>
      <c r="G131" t="inlineStr">
        <is>
          <t>FILIPSTAD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55978-2022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44889</v>
      </c>
      <c r="E132" s="1" t="n">
        <v>46234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26116-2025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45805</v>
      </c>
      <c r="E133" s="1" t="n">
        <v>46234</v>
      </c>
      <c r="F133" t="inlineStr">
        <is>
          <t>VÄRMLANDS LÄN</t>
        </is>
      </c>
      <c r="G133" t="inlineStr">
        <is>
          <t>FILIPSTAD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26123-2025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45805</v>
      </c>
      <c r="E134" s="1" t="n">
        <v>46234</v>
      </c>
      <c r="F134" t="inlineStr">
        <is>
          <t>VÄRMLANDS LÄN</t>
        </is>
      </c>
      <c r="G134" t="inlineStr">
        <is>
          <t>FILIPSTAD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45223</v>
      </c>
      <c r="E135" s="1" t="n">
        <v>46234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18138-2022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44684</v>
      </c>
      <c r="E136" s="1" t="n">
        <v>46234</v>
      </c>
      <c r="F136" t="inlineStr">
        <is>
          <t>VÄRMLANDS LÄN</t>
        </is>
      </c>
      <c r="G136" t="inlineStr">
        <is>
          <t>FILIPSTAD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16103-2025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45750</v>
      </c>
      <c r="E137" s="1" t="n">
        <v>46234</v>
      </c>
      <c r="F137" t="inlineStr">
        <is>
          <t>VÄRMLANDS LÄN</t>
        </is>
      </c>
      <c r="G137" t="inlineStr">
        <is>
          <t>FILIPSTAD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46234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46234</v>
      </c>
      <c r="F139" t="inlineStr">
        <is>
          <t>VÄRMLANDS LÄN</t>
        </is>
      </c>
      <c r="G139" t="inlineStr">
        <is>
          <t>FILIPSTAD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26812-2025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46234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46234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45470</v>
      </c>
      <c r="E142" s="1" t="n">
        <v>46234</v>
      </c>
      <c r="F142" t="inlineStr">
        <is>
          <t>VÄRMLANDS LÄN</t>
        </is>
      </c>
      <c r="G142" t="inlineStr">
        <is>
          <t>FILIPSTAD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45951</v>
      </c>
      <c r="E143" s="1" t="n">
        <v>46234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44963</v>
      </c>
      <c r="E144" s="1" t="n">
        <v>46234</v>
      </c>
      <c r="F144" t="inlineStr">
        <is>
          <t>VÄRMLANDS LÄN</t>
        </is>
      </c>
      <c r="G144" t="inlineStr">
        <is>
          <t>FILIPSTAD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26599-2024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45469</v>
      </c>
      <c r="E145" s="1" t="n">
        <v>46234</v>
      </c>
      <c r="F145" t="inlineStr">
        <is>
          <t>VÄRMLANDS LÄN</t>
        </is>
      </c>
      <c r="G145" t="inlineStr">
        <is>
          <t>FILIPSTAD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46234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47633-2025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46234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45567</v>
      </c>
      <c r="E148" s="1" t="n">
        <v>46234</v>
      </c>
      <c r="F148" t="inlineStr">
        <is>
          <t>VÄRMLANDS LÄN</t>
        </is>
      </c>
      <c r="G148" t="inlineStr">
        <is>
          <t>FILIPSTAD</t>
        </is>
      </c>
      <c r="H148" t="inlineStr">
        <is>
          <t>Kyrkan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46546-2021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44445</v>
      </c>
      <c r="E149" s="1" t="n">
        <v>46234</v>
      </c>
      <c r="F149" t="inlineStr">
        <is>
          <t>VÄRMLANDS LÄN</t>
        </is>
      </c>
      <c r="G149" t="inlineStr">
        <is>
          <t>FILIPSTAD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45223</v>
      </c>
      <c r="E150" s="1" t="n">
        <v>46234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45602</v>
      </c>
      <c r="E151" s="1" t="n">
        <v>46234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46234</v>
      </c>
      <c r="F152" t="inlineStr">
        <is>
          <t>VÄRMLANDS LÄN</t>
        </is>
      </c>
      <c r="G152" t="inlineStr">
        <is>
          <t>FILIPSTAD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46234</v>
      </c>
      <c r="F153" t="inlineStr">
        <is>
          <t>VÄRMLANDS LÄN</t>
        </is>
      </c>
      <c r="G153" t="inlineStr">
        <is>
          <t>FILIPSTAD</t>
        </is>
      </c>
      <c r="H153" t="inlineStr">
        <is>
          <t>Kyrkan</t>
        </is>
      </c>
      <c r="I153" t="n">
        <v>9.199999999999999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46234</v>
      </c>
      <c r="F154" t="inlineStr">
        <is>
          <t>VÄRMLANDS LÄN</t>
        </is>
      </c>
      <c r="G154" t="inlineStr">
        <is>
          <t>FILIPSTAD</t>
        </is>
      </c>
      <c r="I154" t="n">
        <v>23.3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45453</v>
      </c>
      <c r="E155" s="1" t="n">
        <v>46234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45587</v>
      </c>
      <c r="E156" s="1" t="n">
        <v>46234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46234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46234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46234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45826</v>
      </c>
      <c r="E160" s="1" t="n">
        <v>46234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45959</v>
      </c>
      <c r="E161" s="1" t="n">
        <v>46234</v>
      </c>
      <c r="F161" t="inlineStr">
        <is>
          <t>VÄRMLANDS LÄN</t>
        </is>
      </c>
      <c r="G161" t="inlineStr">
        <is>
          <t>FILIPSTAD</t>
        </is>
      </c>
      <c r="H161" t="inlineStr">
        <is>
          <t>Kyrkan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46234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45827</v>
      </c>
      <c r="E163" s="1" t="n">
        <v>46234</v>
      </c>
      <c r="F163" t="inlineStr">
        <is>
          <t>VÄRMLANDS LÄN</t>
        </is>
      </c>
      <c r="G163" t="inlineStr">
        <is>
          <t>FILIPSTAD</t>
        </is>
      </c>
      <c r="H163" t="inlineStr">
        <is>
          <t>Kyrkan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46234</v>
      </c>
      <c r="F164" t="inlineStr">
        <is>
          <t>VÄRMLANDS LÄN</t>
        </is>
      </c>
      <c r="G164" t="inlineStr">
        <is>
          <t>FILIPSTAD</t>
        </is>
      </c>
      <c r="H164" t="inlineStr">
        <is>
          <t>Kyrkan</t>
        </is>
      </c>
      <c r="I164" t="n">
        <v>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36680-2023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45153</v>
      </c>
      <c r="E165" s="1" t="n">
        <v>46234</v>
      </c>
      <c r="F165" t="inlineStr">
        <is>
          <t>VÄRMLANDS LÄN</t>
        </is>
      </c>
      <c r="G165" t="inlineStr">
        <is>
          <t>FILIPSTAD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48524-2023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45208</v>
      </c>
      <c r="E166" s="1" t="n">
        <v>46234</v>
      </c>
      <c r="F166" t="inlineStr">
        <is>
          <t>VÄRMLANDS LÄN</t>
        </is>
      </c>
      <c r="G166" t="inlineStr">
        <is>
          <t>FILIPSTAD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31172-2025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45832</v>
      </c>
      <c r="E167" s="1" t="n">
        <v>46234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46234</v>
      </c>
      <c r="F168" t="inlineStr">
        <is>
          <t>VÄRMLANDS LÄN</t>
        </is>
      </c>
      <c r="G168" t="inlineStr">
        <is>
          <t>FILIPSTAD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32032-2025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45835</v>
      </c>
      <c r="E169" s="1" t="n">
        <v>46234</v>
      </c>
      <c r="F169" t="inlineStr">
        <is>
          <t>VÄRMLANDS LÄN</t>
        </is>
      </c>
      <c r="G169" t="inlineStr">
        <is>
          <t>FILIPSTAD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46234</v>
      </c>
      <c r="F170" t="inlineStr">
        <is>
          <t>VÄRMLANDS LÄN</t>
        </is>
      </c>
      <c r="G170" t="inlineStr">
        <is>
          <t>FILIPSTAD</t>
        </is>
      </c>
      <c r="I170" t="n">
        <v>18.7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45177</v>
      </c>
      <c r="E171" s="1" t="n">
        <v>46234</v>
      </c>
      <c r="F171" t="inlineStr">
        <is>
          <t>VÄRMLANDS LÄN</t>
        </is>
      </c>
      <c r="G171" t="inlineStr">
        <is>
          <t>FILIPSTAD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46234</v>
      </c>
      <c r="F172" t="inlineStr">
        <is>
          <t>VÄRMLANDS LÄN</t>
        </is>
      </c>
      <c r="G172" t="inlineStr">
        <is>
          <t>FILIPSTAD</t>
        </is>
      </c>
      <c r="H172" t="inlineStr">
        <is>
          <t>Kyrkan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46234</v>
      </c>
      <c r="F173" t="inlineStr">
        <is>
          <t>VÄRMLANDS LÄN</t>
        </is>
      </c>
      <c r="G173" t="inlineStr">
        <is>
          <t>FILIPSTAD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45686</v>
      </c>
      <c r="E174" s="1" t="n">
        <v>46234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53649-2025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45960</v>
      </c>
      <c r="E175" s="1" t="n">
        <v>46234</v>
      </c>
      <c r="F175" t="inlineStr">
        <is>
          <t>VÄRMLANDS LÄN</t>
        </is>
      </c>
      <c r="G175" t="inlineStr">
        <is>
          <t>FILIPSTAD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54328-2025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46234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45688</v>
      </c>
      <c r="E177" s="1" t="n">
        <v>46234</v>
      </c>
      <c r="F177" t="inlineStr">
        <is>
          <t>VÄRMLANDS LÄN</t>
        </is>
      </c>
      <c r="G177" t="inlineStr">
        <is>
          <t>FILIPSTAD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33407-2025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45841</v>
      </c>
      <c r="E178" s="1" t="n">
        <v>46234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46234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46234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50856-2022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44867</v>
      </c>
      <c r="E181" s="1" t="n">
        <v>46234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45968</v>
      </c>
      <c r="E182" s="1" t="n">
        <v>46234</v>
      </c>
      <c r="F182" t="inlineStr">
        <is>
          <t>VÄRMLANDS LÄN</t>
        </is>
      </c>
      <c r="G182" t="inlineStr">
        <is>
          <t>FILIPSTAD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45968</v>
      </c>
      <c r="E183" s="1" t="n">
        <v>46234</v>
      </c>
      <c r="F183" t="inlineStr">
        <is>
          <t>VÄRMLANDS LÄN</t>
        </is>
      </c>
      <c r="G183" t="inlineStr">
        <is>
          <t>FILIPSTAD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45063</v>
      </c>
      <c r="E184" s="1" t="n">
        <v>46234</v>
      </c>
      <c r="F184" t="inlineStr">
        <is>
          <t>VÄRMLANDS LÄN</t>
        </is>
      </c>
      <c r="G184" t="inlineStr">
        <is>
          <t>FILIPSTAD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71971-2021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44544</v>
      </c>
      <c r="E185" s="1" t="n">
        <v>46234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45870</v>
      </c>
      <c r="E186" s="1" t="n">
        <v>46234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45245</v>
      </c>
      <c r="E187" s="1" t="n">
        <v>46234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46234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8.699999999999999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46234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46234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9.199999999999999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56008-2025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46234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46234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46234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46234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46234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46234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46234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46234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46234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38175-2025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45882</v>
      </c>
      <c r="E200" s="1" t="n">
        <v>46234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45643</v>
      </c>
      <c r="E201" s="1" t="n">
        <v>46234</v>
      </c>
      <c r="F201" t="inlineStr">
        <is>
          <t>VÄRMLANDS LÄN</t>
        </is>
      </c>
      <c r="G201" t="inlineStr">
        <is>
          <t>FILIPSTAD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45106</v>
      </c>
      <c r="E202" s="1" t="n">
        <v>46234</v>
      </c>
      <c r="F202" t="inlineStr">
        <is>
          <t>VÄRMLANDS LÄN</t>
        </is>
      </c>
      <c r="G202" t="inlineStr">
        <is>
          <t>FILIPSTAD</t>
        </is>
      </c>
      <c r="H202" t="inlineStr">
        <is>
          <t>Kyrkan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45974</v>
      </c>
      <c r="E203" s="1" t="n">
        <v>46234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46234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46234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46234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46234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46234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46234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45982</v>
      </c>
      <c r="E210" s="1" t="n">
        <v>46234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28.4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46234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46234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46234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44788</v>
      </c>
      <c r="E214" s="1" t="n">
        <v>46234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45427</v>
      </c>
      <c r="E215" s="1" t="n">
        <v>46234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45638</v>
      </c>
      <c r="E216" s="1" t="n">
        <v>46234</v>
      </c>
      <c r="F216" t="inlineStr">
        <is>
          <t>VÄRMLANDS LÄN</t>
        </is>
      </c>
      <c r="G216" t="inlineStr">
        <is>
          <t>FILIPSTAD</t>
        </is>
      </c>
      <c r="H216" t="inlineStr">
        <is>
          <t>Kyrkan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29825-2023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45107</v>
      </c>
      <c r="E217" s="1" t="n">
        <v>46234</v>
      </c>
      <c r="F217" t="inlineStr">
        <is>
          <t>VÄRMLANDS LÄN</t>
        </is>
      </c>
      <c r="G217" t="inlineStr">
        <is>
          <t>FILIPSTAD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46234</v>
      </c>
      <c r="F218" t="inlineStr">
        <is>
          <t>VÄRMLANDS LÄN</t>
        </is>
      </c>
      <c r="G218" t="inlineStr">
        <is>
          <t>FILIPSTAD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45989</v>
      </c>
      <c r="E219" s="1" t="n">
        <v>46234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45989</v>
      </c>
      <c r="E220" s="1" t="n">
        <v>46234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46234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45989</v>
      </c>
      <c r="E222" s="1" t="n">
        <v>46234</v>
      </c>
      <c r="F222" t="inlineStr">
        <is>
          <t>VÄRMLANDS LÄN</t>
        </is>
      </c>
      <c r="G222" t="inlineStr">
        <is>
          <t>FILIPSTAD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45114</v>
      </c>
      <c r="E223" s="1" t="n">
        <v>46234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46234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45992</v>
      </c>
      <c r="E225" s="1" t="n">
        <v>46234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59709-2025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45992</v>
      </c>
      <c r="E226" s="1" t="n">
        <v>46234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45712</v>
      </c>
      <c r="E227" s="1" t="n">
        <v>46234</v>
      </c>
      <c r="F227" t="inlineStr">
        <is>
          <t>VÄRMLANDS LÄN</t>
        </is>
      </c>
      <c r="G227" t="inlineStr">
        <is>
          <t>FILIPSTAD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45993</v>
      </c>
      <c r="E228" s="1" t="n">
        <v>46234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45993</v>
      </c>
      <c r="E229" s="1" t="n">
        <v>46234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60433-2025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45995</v>
      </c>
      <c r="E230" s="1" t="n">
        <v>46234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46234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46234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46234</v>
      </c>
      <c r="F233" t="inlineStr">
        <is>
          <t>VÄRMLANDS LÄN</t>
        </is>
      </c>
      <c r="G233" t="inlineStr">
        <is>
          <t>FILIPSTAD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46234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60653-2025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45996</v>
      </c>
      <c r="E235" s="1" t="n">
        <v>46234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46234</v>
      </c>
      <c r="F236" t="inlineStr">
        <is>
          <t>VÄRMLANDS LÄN</t>
        </is>
      </c>
      <c r="G236" t="inlineStr">
        <is>
          <t>FILIPSTAD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61492-2025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46001</v>
      </c>
      <c r="E237" s="1" t="n">
        <v>46234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46234</v>
      </c>
      <c r="F238" t="inlineStr">
        <is>
          <t>VÄRMLANDS LÄN</t>
        </is>
      </c>
      <c r="G238" t="inlineStr">
        <is>
          <t>FILIPSTAD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46234</v>
      </c>
      <c r="F239" t="inlineStr">
        <is>
          <t>VÄRMLANDS LÄN</t>
        </is>
      </c>
      <c r="G239" t="inlineStr">
        <is>
          <t>FILIPSTAD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46234</v>
      </c>
      <c r="F240" t="inlineStr">
        <is>
          <t>VÄRMLANDS LÄN</t>
        </is>
      </c>
      <c r="G240" t="inlineStr">
        <is>
          <t>FILIPSTAD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61417-2025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46001</v>
      </c>
      <c r="E241" s="1" t="n">
        <v>46234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46234</v>
      </c>
      <c r="F242" t="inlineStr">
        <is>
          <t>VÄRMLANDS LÄN</t>
        </is>
      </c>
      <c r="G242" t="inlineStr">
        <is>
          <t>FILIPSTAD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61327-2025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46001</v>
      </c>
      <c r="E243" s="1" t="n">
        <v>46234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61823-2025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46003</v>
      </c>
      <c r="E244" s="1" t="n">
        <v>46234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46234</v>
      </c>
      <c r="F245" t="inlineStr">
        <is>
          <t>VÄRMLANDS LÄN</t>
        </is>
      </c>
      <c r="G245" t="inlineStr">
        <is>
          <t>FILIPSTAD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46001</v>
      </c>
      <c r="E246" s="1" t="n">
        <v>46234</v>
      </c>
      <c r="F246" t="inlineStr">
        <is>
          <t>VÄRMLANDS LÄN</t>
        </is>
      </c>
      <c r="G246" t="inlineStr">
        <is>
          <t>FILIPSTAD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45180</v>
      </c>
      <c r="E247" s="1" t="n">
        <v>46234</v>
      </c>
      <c r="F247" t="inlineStr">
        <is>
          <t>VÄRMLANDS LÄN</t>
        </is>
      </c>
      <c r="G247" t="inlineStr">
        <is>
          <t>FILIPSTAD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22830-2023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45072</v>
      </c>
      <c r="E248" s="1" t="n">
        <v>46234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22866-2023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45072</v>
      </c>
      <c r="E249" s="1" t="n">
        <v>46234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46002</v>
      </c>
      <c r="E250" s="1" t="n">
        <v>46234</v>
      </c>
      <c r="F250" t="inlineStr">
        <is>
          <t>VÄRMLANDS LÄN</t>
        </is>
      </c>
      <c r="G250" t="inlineStr">
        <is>
          <t>FILIPSTAD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46002</v>
      </c>
      <c r="E251" s="1" t="n">
        <v>46234</v>
      </c>
      <c r="F251" t="inlineStr">
        <is>
          <t>VÄRMLANDS LÄN</t>
        </is>
      </c>
      <c r="G251" t="inlineStr">
        <is>
          <t>FILIPSTAD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46002</v>
      </c>
      <c r="E252" s="1" t="n">
        <v>46234</v>
      </c>
      <c r="F252" t="inlineStr">
        <is>
          <t>VÄRMLANDS LÄN</t>
        </is>
      </c>
      <c r="G252" t="inlineStr">
        <is>
          <t>FILIPSTAD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46234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46234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45232</v>
      </c>
      <c r="E255" s="1" t="n">
        <v>46234</v>
      </c>
      <c r="F255" t="inlineStr">
        <is>
          <t>VÄRMLANDS LÄN</t>
        </is>
      </c>
      <c r="G255" t="inlineStr">
        <is>
          <t>FILIPSTAD</t>
        </is>
      </c>
      <c r="I255" t="n">
        <v>15.5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46004</v>
      </c>
      <c r="E256" s="1" t="n">
        <v>46234</v>
      </c>
      <c r="F256" t="inlineStr">
        <is>
          <t>VÄRMLANDS LÄN</t>
        </is>
      </c>
      <c r="G256" t="inlineStr">
        <is>
          <t>FILIPSTAD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46004</v>
      </c>
      <c r="E257" s="1" t="n">
        <v>46234</v>
      </c>
      <c r="F257" t="inlineStr">
        <is>
          <t>VÄRMLANDS LÄN</t>
        </is>
      </c>
      <c r="G257" t="inlineStr">
        <is>
          <t>FILIPSTAD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45271</v>
      </c>
      <c r="E258" s="1" t="n">
        <v>46234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45169</v>
      </c>
      <c r="E259" s="1" t="n">
        <v>46234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46010</v>
      </c>
      <c r="E260" s="1" t="n">
        <v>46234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46234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63678-2025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46234</v>
      </c>
      <c r="F262" t="inlineStr">
        <is>
          <t>VÄRMLANDS LÄN</t>
        </is>
      </c>
      <c r="G262" t="inlineStr">
        <is>
          <t>FILIPSTAD</t>
        </is>
      </c>
      <c r="I262" t="n">
        <v>9.9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46234</v>
      </c>
      <c r="F263" t="inlineStr">
        <is>
          <t>VÄRMLANDS LÄN</t>
        </is>
      </c>
      <c r="G263" t="inlineStr">
        <is>
          <t>FILIPSTAD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46234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46234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19351-2025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45769</v>
      </c>
      <c r="E266" s="1" t="n">
        <v>46234</v>
      </c>
      <c r="F266" t="inlineStr">
        <is>
          <t>VÄRMLANDS LÄN</t>
        </is>
      </c>
      <c r="G266" t="inlineStr">
        <is>
          <t>FILIPSTAD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45246</v>
      </c>
      <c r="E267" s="1" t="n">
        <v>46234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45671</v>
      </c>
      <c r="E268" s="1" t="n">
        <v>46234</v>
      </c>
      <c r="F268" t="inlineStr">
        <is>
          <t>VÄRMLANDS LÄN</t>
        </is>
      </c>
      <c r="G268" t="inlineStr">
        <is>
          <t>FILIPSTAD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45299</v>
      </c>
      <c r="E269" s="1" t="n">
        <v>46234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16371-2024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45407</v>
      </c>
      <c r="E270" s="1" t="n">
        <v>46234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58611-2025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45986</v>
      </c>
      <c r="E271" s="1" t="n">
        <v>46234</v>
      </c>
      <c r="F271" t="inlineStr">
        <is>
          <t>VÄRMLANDS LÄN</t>
        </is>
      </c>
      <c r="G271" t="inlineStr">
        <is>
          <t>FILIPSTAD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45665</v>
      </c>
      <c r="E272" s="1" t="n">
        <v>46234</v>
      </c>
      <c r="F272" t="inlineStr">
        <is>
          <t>VÄRMLANDS LÄN</t>
        </is>
      </c>
      <c r="G272" t="inlineStr">
        <is>
          <t>FILIPSTAD</t>
        </is>
      </c>
      <c r="I272" t="n">
        <v>11.7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33967-2023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45124</v>
      </c>
      <c r="E273" s="1" t="n">
        <v>46234</v>
      </c>
      <c r="F273" t="inlineStr">
        <is>
          <t>VÄRMLANDS LÄN</t>
        </is>
      </c>
      <c r="G273" t="inlineStr">
        <is>
          <t>FILIPSTAD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46040</v>
      </c>
      <c r="E274" s="1" t="n">
        <v>46234</v>
      </c>
      <c r="F274" t="inlineStr">
        <is>
          <t>VÄRMLANDS LÄN</t>
        </is>
      </c>
      <c r="G274" t="inlineStr">
        <is>
          <t>FILIPSTAD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45267</v>
      </c>
      <c r="E275" s="1" t="n">
        <v>46234</v>
      </c>
      <c r="F275" t="inlineStr">
        <is>
          <t>VÄRMLANDS LÄN</t>
        </is>
      </c>
      <c r="G275" t="inlineStr">
        <is>
          <t>FILIPSTAD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63482-2021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44508</v>
      </c>
      <c r="E276" s="1" t="n">
        <v>46234</v>
      </c>
      <c r="F276" t="inlineStr">
        <is>
          <t>VÄRMLANDS LÄN</t>
        </is>
      </c>
      <c r="G276" t="inlineStr">
        <is>
          <t>FILIPSTAD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45744</v>
      </c>
      <c r="E277" s="1" t="n">
        <v>46234</v>
      </c>
      <c r="F277" t="inlineStr">
        <is>
          <t>VÄRMLANDS LÄN</t>
        </is>
      </c>
      <c r="G277" t="inlineStr">
        <is>
          <t>FILIPSTAD</t>
        </is>
      </c>
      <c r="H277" t="inlineStr">
        <is>
          <t>Kommuner</t>
        </is>
      </c>
      <c r="I277" t="n">
        <v>17.7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59296-2023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45253</v>
      </c>
      <c r="E278" s="1" t="n">
        <v>46234</v>
      </c>
      <c r="F278" t="inlineStr">
        <is>
          <t>VÄRMLANDS LÄN</t>
        </is>
      </c>
      <c r="G278" t="inlineStr">
        <is>
          <t>FILIPSTAD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56840-2024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45628</v>
      </c>
      <c r="E279" s="1" t="n">
        <v>46234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16584-2024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45408</v>
      </c>
      <c r="E280" s="1" t="n">
        <v>46234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45087</v>
      </c>
      <c r="E281" s="1" t="n">
        <v>46234</v>
      </c>
      <c r="F281" t="inlineStr">
        <is>
          <t>VÄRMLANDS LÄN</t>
        </is>
      </c>
      <c r="G281" t="inlineStr">
        <is>
          <t>FILIPSTAD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45088</v>
      </c>
      <c r="E282" s="1" t="n">
        <v>46234</v>
      </c>
      <c r="F282" t="inlineStr">
        <is>
          <t>VÄRMLANDS LÄN</t>
        </is>
      </c>
      <c r="G282" t="inlineStr">
        <is>
          <t>FILIPSTAD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45328</v>
      </c>
      <c r="E283" s="1" t="n">
        <v>46234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45750</v>
      </c>
      <c r="E284" s="1" t="n">
        <v>46234</v>
      </c>
      <c r="F284" t="inlineStr">
        <is>
          <t>VÄRMLANDS LÄN</t>
        </is>
      </c>
      <c r="G284" t="inlineStr">
        <is>
          <t>FILIPSTAD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46056</v>
      </c>
      <c r="E285" s="1" t="n">
        <v>46234</v>
      </c>
      <c r="F285" t="inlineStr">
        <is>
          <t>VÄRMLANDS LÄN</t>
        </is>
      </c>
      <c r="G285" t="inlineStr">
        <is>
          <t>FILIPSTAD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46056</v>
      </c>
      <c r="E286" s="1" t="n">
        <v>46234</v>
      </c>
      <c r="F286" t="inlineStr">
        <is>
          <t>VÄRMLANDS LÄN</t>
        </is>
      </c>
      <c r="G286" t="inlineStr">
        <is>
          <t>FILIPSTAD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45167</v>
      </c>
      <c r="E287" s="1" t="n">
        <v>46234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46059</v>
      </c>
      <c r="E288" s="1" t="n">
        <v>46234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61741-2022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44911</v>
      </c>
      <c r="E289" s="1" t="n">
        <v>46234</v>
      </c>
      <c r="F289" t="inlineStr">
        <is>
          <t>VÄRMLANDS LÄN</t>
        </is>
      </c>
      <c r="G289" t="inlineStr">
        <is>
          <t>FILIPSTAD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60296-2023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45257</v>
      </c>
      <c r="E290" s="1" t="n">
        <v>46234</v>
      </c>
      <c r="F290" t="inlineStr">
        <is>
          <t>VÄRMLANDS LÄN</t>
        </is>
      </c>
      <c r="G290" t="inlineStr">
        <is>
          <t>FILIPSTAD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28161-2023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45093</v>
      </c>
      <c r="E291" s="1" t="n">
        <v>46234</v>
      </c>
      <c r="F291" t="inlineStr">
        <is>
          <t>VÄRMLANDS LÄN</t>
        </is>
      </c>
      <c r="G291" t="inlineStr">
        <is>
          <t>FILIPSTAD</t>
        </is>
      </c>
      <c r="H291" t="inlineStr">
        <is>
          <t>Kommuner</t>
        </is>
      </c>
      <c r="I291" t="n">
        <v>15.4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46064</v>
      </c>
      <c r="E292" s="1" t="n">
        <v>46234</v>
      </c>
      <c r="F292" t="inlineStr">
        <is>
          <t>VÄRMLANDS LÄN</t>
        </is>
      </c>
      <c r="G292" t="inlineStr">
        <is>
          <t>FILIPSTAD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45436</v>
      </c>
      <c r="E293" s="1" t="n">
        <v>46234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45418</v>
      </c>
      <c r="E294" s="1" t="n">
        <v>46234</v>
      </c>
      <c r="F294" t="inlineStr">
        <is>
          <t>VÄRMLANDS LÄN</t>
        </is>
      </c>
      <c r="G294" t="inlineStr">
        <is>
          <t>FILIPSTAD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44384-2021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44435</v>
      </c>
      <c r="E295" s="1" t="n">
        <v>46234</v>
      </c>
      <c r="F295" t="inlineStr">
        <is>
          <t>VÄRMLANDS LÄN</t>
        </is>
      </c>
      <c r="G295" t="inlineStr">
        <is>
          <t>FILIPSTAD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45229</v>
      </c>
      <c r="E296" s="1" t="n">
        <v>46234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46234</v>
      </c>
      <c r="F297" t="inlineStr">
        <is>
          <t>VÄRMLANDS LÄN</t>
        </is>
      </c>
      <c r="G297" t="inlineStr">
        <is>
          <t>FILIPSTAD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45393</v>
      </c>
      <c r="E298" s="1" t="n">
        <v>46234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45012</v>
      </c>
      <c r="E299" s="1" t="n">
        <v>46234</v>
      </c>
      <c r="F299" t="inlineStr">
        <is>
          <t>VÄRMLANDS LÄN</t>
        </is>
      </c>
      <c r="G299" t="inlineStr">
        <is>
          <t>FILIPSTAD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19159-2024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45428</v>
      </c>
      <c r="E300" s="1" t="n">
        <v>46234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36251-2022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44803</v>
      </c>
      <c r="E301" s="1" t="n">
        <v>46234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10136-2024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45364</v>
      </c>
      <c r="E302" s="1" t="n">
        <v>46234</v>
      </c>
      <c r="F302" t="inlineStr">
        <is>
          <t>VÄRMLANDS LÄN</t>
        </is>
      </c>
      <c r="G302" t="inlineStr">
        <is>
          <t>FILIPSTAD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45658</v>
      </c>
      <c r="E303" s="1" t="n">
        <v>46234</v>
      </c>
      <c r="F303" t="inlineStr">
        <is>
          <t>VÄRMLANDS LÄN</t>
        </is>
      </c>
      <c r="G303" t="inlineStr">
        <is>
          <t>FILIPSTAD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46090</v>
      </c>
      <c r="E304" s="1" t="n">
        <v>46234</v>
      </c>
      <c r="F304" t="inlineStr">
        <is>
          <t>VÄRMLANDS LÄN</t>
        </is>
      </c>
      <c r="G304" t="inlineStr">
        <is>
          <t>FILIPSTAD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12491-2026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46234</v>
      </c>
      <c r="F305" t="inlineStr">
        <is>
          <t>VÄRMLANDS LÄN</t>
        </is>
      </c>
      <c r="G305" t="inlineStr">
        <is>
          <t>FILIPSTAD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46087</v>
      </c>
      <c r="E306" s="1" t="n">
        <v>46234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46234</v>
      </c>
      <c r="F307" t="inlineStr">
        <is>
          <t>VÄRMLANDS LÄN</t>
        </is>
      </c>
      <c r="G307" t="inlineStr">
        <is>
          <t>FILIPSTAD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15471-2024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45401</v>
      </c>
      <c r="E308" s="1" t="n">
        <v>46234</v>
      </c>
      <c r="F308" t="inlineStr">
        <is>
          <t>VÄRMLANDS LÄN</t>
        </is>
      </c>
      <c r="G308" t="inlineStr">
        <is>
          <t>FILIPSTAD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46234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54735-2024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45618</v>
      </c>
      <c r="E310" s="1" t="n">
        <v>46234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12837-2024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45384</v>
      </c>
      <c r="E311" s="1" t="n">
        <v>46234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46092</v>
      </c>
      <c r="E312" s="1" t="n">
        <v>46234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54828-2023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45229</v>
      </c>
      <c r="E313" s="1" t="n">
        <v>46234</v>
      </c>
      <c r="F313" t="inlineStr">
        <is>
          <t>VÄRMLANDS LÄN</t>
        </is>
      </c>
      <c r="G313" t="inlineStr">
        <is>
          <t>FILIPSTAD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13553-2026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46234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46234</v>
      </c>
      <c r="F315" t="inlineStr">
        <is>
          <t>VÄRMLANDS LÄN</t>
        </is>
      </c>
      <c r="G315" t="inlineStr">
        <is>
          <t>FILIPSTAD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45327</v>
      </c>
      <c r="E316" s="1" t="n">
        <v>46234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46234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46234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45740</v>
      </c>
      <c r="E319" s="1" t="n">
        <v>46234</v>
      </c>
      <c r="F319" t="inlineStr">
        <is>
          <t>VÄRMLANDS LÄN</t>
        </is>
      </c>
      <c r="G319" t="inlineStr">
        <is>
          <t>FILIPSTAD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13387-2026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46234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46234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45222</v>
      </c>
      <c r="E322" s="1" t="n">
        <v>46234</v>
      </c>
      <c r="F322" t="inlineStr">
        <is>
          <t>VÄRMLANDS LÄN</t>
        </is>
      </c>
      <c r="G322" t="inlineStr">
        <is>
          <t>FILIPSTAD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46098</v>
      </c>
      <c r="E323" s="1" t="n">
        <v>46234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46098</v>
      </c>
      <c r="E324" s="1" t="n">
        <v>46234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46099</v>
      </c>
      <c r="E325" s="1" t="n">
        <v>46234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14379-2026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46100</v>
      </c>
      <c r="E326" s="1" t="n">
        <v>46234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15644-2026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46234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50786-2024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45602</v>
      </c>
      <c r="E328" s="1" t="n">
        <v>46234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15619-2026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46234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15645-2026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46234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15197-2026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46234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46108</v>
      </c>
      <c r="E332" s="1" t="n">
        <v>46234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46107</v>
      </c>
      <c r="E333" s="1" t="n">
        <v>46234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47890-2024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45588</v>
      </c>
      <c r="E334" s="1" t="n">
        <v>46234</v>
      </c>
      <c r="F334" t="inlineStr">
        <is>
          <t>VÄRMLANDS LÄN</t>
        </is>
      </c>
      <c r="G334" t="inlineStr">
        <is>
          <t>FILIPSTAD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46234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13918-2024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45391</v>
      </c>
      <c r="E336" s="1" t="n">
        <v>46234</v>
      </c>
      <c r="F336" t="inlineStr">
        <is>
          <t>VÄRMLANDS LÄN</t>
        </is>
      </c>
      <c r="G336" t="inlineStr">
        <is>
          <t>FILIPSTAD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70405-2021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44536</v>
      </c>
      <c r="E337" s="1" t="n">
        <v>46234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2443-2022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44579</v>
      </c>
      <c r="E338" s="1" t="n">
        <v>46234</v>
      </c>
      <c r="F338" t="inlineStr">
        <is>
          <t>VÄRMLANDS LÄN</t>
        </is>
      </c>
      <c r="G338" t="inlineStr">
        <is>
          <t>FILIPSTAD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46107</v>
      </c>
      <c r="E339" s="1" t="n">
        <v>46234</v>
      </c>
      <c r="F339" t="inlineStr">
        <is>
          <t>VÄRMLANDS LÄN</t>
        </is>
      </c>
      <c r="G339" t="inlineStr">
        <is>
          <t>FILIPSTAD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16050-2026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46108</v>
      </c>
      <c r="E340" s="1" t="n">
        <v>46234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16040-2026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46108</v>
      </c>
      <c r="E341" s="1" t="n">
        <v>46234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44911</v>
      </c>
      <c r="E342" s="1" t="n">
        <v>46234</v>
      </c>
      <c r="F342" t="inlineStr">
        <is>
          <t>VÄRMLANDS LÄN</t>
        </is>
      </c>
      <c r="G342" t="inlineStr">
        <is>
          <t>FILIPSTAD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16975-2026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46114</v>
      </c>
      <c r="E343" s="1" t="n">
        <v>46234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8.1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17278-2026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46119</v>
      </c>
      <c r="E344" s="1" t="n">
        <v>46234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17326-2026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46119</v>
      </c>
      <c r="E345" s="1" t="n">
        <v>46234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17292-2026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46119</v>
      </c>
      <c r="E346" s="1" t="n">
        <v>46234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46120</v>
      </c>
      <c r="E347" s="1" t="n">
        <v>46234</v>
      </c>
      <c r="F347" t="inlineStr">
        <is>
          <t>VÄRMLANDS LÄN</t>
        </is>
      </c>
      <c r="G347" t="inlineStr">
        <is>
          <t>FILIPSTAD</t>
        </is>
      </c>
      <c r="I347" t="n">
        <v>9.699999999999999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45139-2021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44439</v>
      </c>
      <c r="E348" s="1" t="n">
        <v>46234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46122</v>
      </c>
      <c r="E349" s="1" t="n">
        <v>46234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46122</v>
      </c>
      <c r="E350" s="1" t="n">
        <v>46234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17900-2026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46122</v>
      </c>
      <c r="E351" s="1" t="n">
        <v>46234</v>
      </c>
      <c r="F351" t="inlineStr">
        <is>
          <t>VÄRMLANDS LÄN</t>
        </is>
      </c>
      <c r="G351" t="inlineStr">
        <is>
          <t>FILIPSTAD</t>
        </is>
      </c>
      <c r="H351" t="inlineStr">
        <is>
          <t>Kommuner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17686-2023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45037</v>
      </c>
      <c r="E352" s="1" t="n">
        <v>46234</v>
      </c>
      <c r="F352" t="inlineStr">
        <is>
          <t>VÄRMLANDS LÄN</t>
        </is>
      </c>
      <c r="G352" t="inlineStr">
        <is>
          <t>FILIPSTAD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17931-2026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46234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33671-2022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44789</v>
      </c>
      <c r="E354" s="1" t="n">
        <v>46234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17914-2026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46234</v>
      </c>
      <c r="F355" t="inlineStr">
        <is>
          <t>VÄRMLANDS LÄN</t>
        </is>
      </c>
      <c r="G355" t="inlineStr">
        <is>
          <t>FILIPSTAD</t>
        </is>
      </c>
      <c r="H355" t="inlineStr">
        <is>
          <t>Kommuner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36827-2022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44805</v>
      </c>
      <c r="E356" s="1" t="n">
        <v>46234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46234</v>
      </c>
      <c r="F357" t="inlineStr">
        <is>
          <t>VÄRMLANDS LÄN</t>
        </is>
      </c>
      <c r="G357" t="inlineStr">
        <is>
          <t>FILIPSTAD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45202</v>
      </c>
      <c r="E358" s="1" t="n">
        <v>46234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18376-2026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46126</v>
      </c>
      <c r="E359" s="1" t="n">
        <v>46234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45133</v>
      </c>
      <c r="E360" s="1" t="n">
        <v>46234</v>
      </c>
      <c r="F360" t="inlineStr">
        <is>
          <t>VÄRMLANDS LÄN</t>
        </is>
      </c>
      <c r="G360" t="inlineStr">
        <is>
          <t>FILIPSTAD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24054-2024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45456</v>
      </c>
      <c r="E361" s="1" t="n">
        <v>46234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54008-2021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44470</v>
      </c>
      <c r="E362" s="1" t="n">
        <v>46234</v>
      </c>
      <c r="F362" t="inlineStr">
        <is>
          <t>VÄRMLANDS LÄN</t>
        </is>
      </c>
      <c r="G362" t="inlineStr">
        <is>
          <t>FILIPSTAD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18969-2026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46129</v>
      </c>
      <c r="E363" s="1" t="n">
        <v>46234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46127</v>
      </c>
      <c r="E364" s="1" t="n">
        <v>46234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18892-2026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46129</v>
      </c>
      <c r="E365" s="1" t="n">
        <v>46234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46127</v>
      </c>
      <c r="E366" s="1" t="n">
        <v>46234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36377-2023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45152</v>
      </c>
      <c r="E367" s="1" t="n">
        <v>46234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44951</v>
      </c>
      <c r="E368" s="1" t="n">
        <v>46234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46234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46127</v>
      </c>
      <c r="E370" s="1" t="n">
        <v>46234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18826-2026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46128</v>
      </c>
      <c r="E371" s="1" t="n">
        <v>46234</v>
      </c>
      <c r="F371" t="inlineStr">
        <is>
          <t>VÄRMLANDS LÄN</t>
        </is>
      </c>
      <c r="G371" t="inlineStr">
        <is>
          <t>FILIPSTAD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46234</v>
      </c>
      <c r="F372" t="inlineStr">
        <is>
          <t>VÄRMLANDS LÄN</t>
        </is>
      </c>
      <c r="G372" t="inlineStr">
        <is>
          <t>FILIPSTAD</t>
        </is>
      </c>
      <c r="H372" t="inlineStr">
        <is>
          <t>Kommuner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18507-2026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46127</v>
      </c>
      <c r="E373" s="1" t="n">
        <v>46234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46234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19435-2026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46133</v>
      </c>
      <c r="E375" s="1" t="n">
        <v>46234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46257-2022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44847</v>
      </c>
      <c r="E376" s="1" t="n">
        <v>46234</v>
      </c>
      <c r="F376" t="inlineStr">
        <is>
          <t>VÄRMLANDS LÄN</t>
        </is>
      </c>
      <c r="G376" t="inlineStr">
        <is>
          <t>FILIPSTAD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45229</v>
      </c>
      <c r="E377" s="1" t="n">
        <v>46234</v>
      </c>
      <c r="F377" t="inlineStr">
        <is>
          <t>VÄRMLANDS LÄN</t>
        </is>
      </c>
      <c r="G377" t="inlineStr">
        <is>
          <t>FILIPSTAD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19882-2026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46135</v>
      </c>
      <c r="E378" s="1" t="n">
        <v>46234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19595-2026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46134</v>
      </c>
      <c r="E379" s="1" t="n">
        <v>46234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19676-2026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46134</v>
      </c>
      <c r="E380" s="1" t="n">
        <v>46234</v>
      </c>
      <c r="F380" t="inlineStr">
        <is>
          <t>VÄRMLANDS LÄN</t>
        </is>
      </c>
      <c r="G380" t="inlineStr">
        <is>
          <t>FILIPSTAD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19760-2026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46234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19669-2026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46234</v>
      </c>
      <c r="F382" t="inlineStr">
        <is>
          <t>VÄRMLANDS LÄN</t>
        </is>
      </c>
      <c r="G382" t="inlineStr">
        <is>
          <t>FILIPSTAD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46135</v>
      </c>
      <c r="E383" s="1" t="n">
        <v>46234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23618-2023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45077</v>
      </c>
      <c r="E384" s="1" t="n">
        <v>46234</v>
      </c>
      <c r="F384" t="inlineStr">
        <is>
          <t>VÄRMLANDS LÄN</t>
        </is>
      </c>
      <c r="G384" t="inlineStr">
        <is>
          <t>FILIPSTAD</t>
        </is>
      </c>
      <c r="I384" t="n">
        <v>15.8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44960</v>
      </c>
      <c r="E385" s="1" t="n">
        <v>46234</v>
      </c>
      <c r="F385" t="inlineStr">
        <is>
          <t>VÄRMLANDS LÄN</t>
        </is>
      </c>
      <c r="G385" t="inlineStr">
        <is>
          <t>FILIPSTAD</t>
        </is>
      </c>
      <c r="H385" t="inlineStr">
        <is>
          <t>Kommuner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29473-2024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45484</v>
      </c>
      <c r="E386" s="1" t="n">
        <v>46234</v>
      </c>
      <c r="F386" t="inlineStr">
        <is>
          <t>VÄRMLANDS LÄN</t>
        </is>
      </c>
      <c r="G386" t="inlineStr">
        <is>
          <t>FILIPSTAD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4191-2022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44588</v>
      </c>
      <c r="E387" s="1" t="n">
        <v>46234</v>
      </c>
      <c r="F387" t="inlineStr">
        <is>
          <t>VÄRMLANDS LÄN</t>
        </is>
      </c>
      <c r="G387" t="inlineStr">
        <is>
          <t>FILIPSTAD</t>
        </is>
      </c>
      <c r="H387" t="inlineStr">
        <is>
          <t>Kommuner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21593-2023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45063</v>
      </c>
      <c r="E388" s="1" t="n">
        <v>46234</v>
      </c>
      <c r="F388" t="inlineStr">
        <is>
          <t>VÄRMLANDS LÄN</t>
        </is>
      </c>
      <c r="G388" t="inlineStr">
        <is>
          <t>FILIPSTAD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54080-2025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45964</v>
      </c>
      <c r="E389" s="1" t="n">
        <v>46234</v>
      </c>
      <c r="F389" t="inlineStr">
        <is>
          <t>VÄRMLANDS LÄN</t>
        </is>
      </c>
      <c r="G389" t="inlineStr">
        <is>
          <t>FILIPSTAD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9370-2023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44981</v>
      </c>
      <c r="E390" s="1" t="n">
        <v>46234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46234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47536-2023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45203</v>
      </c>
      <c r="E392" s="1" t="n">
        <v>46234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57456-2022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44896</v>
      </c>
      <c r="E393" s="1" t="n">
        <v>46234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45463</v>
      </c>
      <c r="E394" s="1" t="n">
        <v>46234</v>
      </c>
      <c r="F394" t="inlineStr">
        <is>
          <t>VÄRMLANDS LÄN</t>
        </is>
      </c>
      <c r="G394" t="inlineStr">
        <is>
          <t>FILIPSTAD</t>
        </is>
      </c>
      <c r="I394" t="n">
        <v>13.2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44579</v>
      </c>
      <c r="E395" s="1" t="n">
        <v>46234</v>
      </c>
      <c r="F395" t="inlineStr">
        <is>
          <t>VÄRMLANDS LÄN</t>
        </is>
      </c>
      <c r="G395" t="inlineStr">
        <is>
          <t>FILIPSTAD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45896</v>
      </c>
      <c r="E396" s="1" t="n">
        <v>46234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46136</v>
      </c>
      <c r="E397" s="1" t="n">
        <v>46234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44433</v>
      </c>
      <c r="E398" s="1" t="n">
        <v>46234</v>
      </c>
      <c r="F398" t="inlineStr">
        <is>
          <t>VÄRMLANDS LÄN</t>
        </is>
      </c>
      <c r="G398" t="inlineStr">
        <is>
          <t>FILIPSTAD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18210-2024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45420</v>
      </c>
      <c r="E399" s="1" t="n">
        <v>46234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45516-2024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45578</v>
      </c>
      <c r="E400" s="1" t="n">
        <v>46234</v>
      </c>
      <c r="F400" t="inlineStr">
        <is>
          <t>VÄRMLANDS LÄN</t>
        </is>
      </c>
      <c r="G400" t="inlineStr">
        <is>
          <t>FILIPSTAD</t>
        </is>
      </c>
      <c r="I400" t="n">
        <v>27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46234</v>
      </c>
      <c r="F401" t="inlineStr">
        <is>
          <t>VÄRMLANDS LÄN</t>
        </is>
      </c>
      <c r="G401" t="inlineStr">
        <is>
          <t>FILIPSTAD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56151-2023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46234</v>
      </c>
      <c r="F402" t="inlineStr">
        <is>
          <t>VÄRMLANDS LÄN</t>
        </is>
      </c>
      <c r="G402" t="inlineStr">
        <is>
          <t>FILIPSTAD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33449-2025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45841</v>
      </c>
      <c r="E403" s="1" t="n">
        <v>46234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22843-2025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45790</v>
      </c>
      <c r="E404" s="1" t="n">
        <v>46234</v>
      </c>
      <c r="F404" t="inlineStr">
        <is>
          <t>VÄRMLANDS LÄN</t>
        </is>
      </c>
      <c r="G404" t="inlineStr">
        <is>
          <t>FILIPSTAD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41521-2025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45901</v>
      </c>
      <c r="E405" s="1" t="n">
        <v>46234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45835</v>
      </c>
      <c r="E406" s="1" t="n">
        <v>46234</v>
      </c>
      <c r="F406" t="inlineStr">
        <is>
          <t>VÄRMLANDS LÄN</t>
        </is>
      </c>
      <c r="G406" t="inlineStr">
        <is>
          <t>FILIPSTAD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46136</v>
      </c>
      <c r="E407" s="1" t="n">
        <v>46234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47344-2023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45202</v>
      </c>
      <c r="E408" s="1" t="n">
        <v>46234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20040-2026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46136</v>
      </c>
      <c r="E409" s="1" t="n">
        <v>46234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20014-2026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46136</v>
      </c>
      <c r="E410" s="1" t="n">
        <v>46234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45789</v>
      </c>
      <c r="E411" s="1" t="n">
        <v>46234</v>
      </c>
      <c r="F411" t="inlineStr">
        <is>
          <t>VÄRMLANDS LÄN</t>
        </is>
      </c>
      <c r="G411" t="inlineStr">
        <is>
          <t>FILIPSTAD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38866-2024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45547</v>
      </c>
      <c r="E412" s="1" t="n">
        <v>46234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45418</v>
      </c>
      <c r="E413" s="1" t="n">
        <v>46234</v>
      </c>
      <c r="F413" t="inlineStr">
        <is>
          <t>VÄRMLANDS LÄN</t>
        </is>
      </c>
      <c r="G413" t="inlineStr">
        <is>
          <t>FILIPSTAD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33379-2025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45841</v>
      </c>
      <c r="E414" s="1" t="n">
        <v>46234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39896-2025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45891</v>
      </c>
      <c r="E415" s="1" t="n">
        <v>46234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44994</v>
      </c>
      <c r="E416" s="1" t="n">
        <v>46234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45819</v>
      </c>
      <c r="E417" s="1" t="n">
        <v>46234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20489-2026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46234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49602-2025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45939</v>
      </c>
      <c r="E419" s="1" t="n">
        <v>46234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46234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31676-2025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45834</v>
      </c>
      <c r="E421" s="1" t="n">
        <v>46234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55397-2022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44887</v>
      </c>
      <c r="E422" s="1" t="n">
        <v>46234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45173</v>
      </c>
      <c r="E423" s="1" t="n">
        <v>46234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46234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46234</v>
      </c>
      <c r="F425" t="inlineStr">
        <is>
          <t>VÄRMLANDS LÄN</t>
        </is>
      </c>
      <c r="G425" t="inlineStr">
        <is>
          <t>FILIPSTAD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36272-2025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45867</v>
      </c>
      <c r="E426" s="1" t="n">
        <v>46234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20661-2026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46234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24139-2024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45456</v>
      </c>
      <c r="E428" s="1" t="n">
        <v>46234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14840-2023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45014</v>
      </c>
      <c r="E429" s="1" t="n">
        <v>46234</v>
      </c>
      <c r="F429" t="inlineStr">
        <is>
          <t>VÄRMLANDS LÄN</t>
        </is>
      </c>
      <c r="G429" t="inlineStr">
        <is>
          <t>FILIPSTAD</t>
        </is>
      </c>
      <c r="H429" t="inlineStr">
        <is>
          <t>Kyrkan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37733-2025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45880</v>
      </c>
      <c r="E430" s="1" t="n">
        <v>46234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4819-2023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44957</v>
      </c>
      <c r="E431" s="1" t="n">
        <v>46234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20554-2025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45775</v>
      </c>
      <c r="E432" s="1" t="n">
        <v>46234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46234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45474</v>
      </c>
      <c r="E434" s="1" t="n">
        <v>46234</v>
      </c>
      <c r="F434" t="inlineStr">
        <is>
          <t>VÄRMLANDS LÄN</t>
        </is>
      </c>
      <c r="G434" t="inlineStr">
        <is>
          <t>FILIPSTAD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32185-2024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45511</v>
      </c>
      <c r="E435" s="1" t="n">
        <v>46234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44596</v>
      </c>
      <c r="E436" s="1" t="n">
        <v>46234</v>
      </c>
      <c r="F436" t="inlineStr">
        <is>
          <t>VÄRMLANDS LÄN</t>
        </is>
      </c>
      <c r="G436" t="inlineStr">
        <is>
          <t>FILIPSTAD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20919-2026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46234</v>
      </c>
      <c r="F437" t="inlineStr">
        <is>
          <t>VÄRMLANDS LÄN</t>
        </is>
      </c>
      <c r="G437" t="inlineStr">
        <is>
          <t>FILIPSTAD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43635-2023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45186</v>
      </c>
      <c r="E438" s="1" t="n">
        <v>46234</v>
      </c>
      <c r="F438" t="inlineStr">
        <is>
          <t>VÄRMLANDS LÄN</t>
        </is>
      </c>
      <c r="G438" t="inlineStr">
        <is>
          <t>FILIPSTAD</t>
        </is>
      </c>
      <c r="I438" t="n">
        <v>15.3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20874-2026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46234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43633-2024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45569</v>
      </c>
      <c r="E440" s="1" t="n">
        <v>46234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31358-2023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45114</v>
      </c>
      <c r="E441" s="1" t="n">
        <v>46234</v>
      </c>
      <c r="F441" t="inlineStr">
        <is>
          <t>VÄRMLANDS LÄN</t>
        </is>
      </c>
      <c r="G441" t="inlineStr">
        <is>
          <t>FILIPSTAD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45244</v>
      </c>
      <c r="E442" s="1" t="n">
        <v>46234</v>
      </c>
      <c r="F442" t="inlineStr">
        <is>
          <t>VÄRMLANDS LÄN</t>
        </is>
      </c>
      <c r="G442" t="inlineStr">
        <is>
          <t>FILIPSTAD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46680-2024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45583</v>
      </c>
      <c r="E443" s="1" t="n">
        <v>46234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19030-2022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44691</v>
      </c>
      <c r="E444" s="1" t="n">
        <v>46234</v>
      </c>
      <c r="F444" t="inlineStr">
        <is>
          <t>VÄRMLANDS LÄN</t>
        </is>
      </c>
      <c r="G444" t="inlineStr">
        <is>
          <t>FILIPSTAD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46148</v>
      </c>
      <c r="E445" s="1" t="n">
        <v>46234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45096</v>
      </c>
      <c r="E446" s="1" t="n">
        <v>46234</v>
      </c>
      <c r="F446" t="inlineStr">
        <is>
          <t>VÄRMLANDS LÄN</t>
        </is>
      </c>
      <c r="G446" t="inlineStr">
        <is>
          <t>FILIPSTAD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48908-2023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46234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22045-2026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46234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22051-2026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46234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46234</v>
      </c>
      <c r="F450" t="inlineStr">
        <is>
          <t>VÄRMLANDS LÄN</t>
        </is>
      </c>
      <c r="G450" t="inlineStr">
        <is>
          <t>FILIPSTAD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46234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22032-2026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46234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62013-2024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45655</v>
      </c>
      <c r="E453" s="1" t="n">
        <v>46234</v>
      </c>
      <c r="F453" t="inlineStr">
        <is>
          <t>VÄRMLANDS LÄN</t>
        </is>
      </c>
      <c r="G453" t="inlineStr">
        <is>
          <t>FILIPSTAD</t>
        </is>
      </c>
      <c r="I453" t="n">
        <v>26.5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62014-2024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45655</v>
      </c>
      <c r="E454" s="1" t="n">
        <v>46234</v>
      </c>
      <c r="F454" t="inlineStr">
        <is>
          <t>VÄRMLANDS LÄN</t>
        </is>
      </c>
      <c r="G454" t="inlineStr">
        <is>
          <t>FILIPSTAD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46234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22220-2026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46234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46234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46234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46234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46234</v>
      </c>
      <c r="F460" t="inlineStr">
        <is>
          <t>VÄRMLANDS LÄN</t>
        </is>
      </c>
      <c r="G460" t="inlineStr">
        <is>
          <t>FILIPSTAD</t>
        </is>
      </c>
      <c r="I460" t="n">
        <v>10.8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46153</v>
      </c>
      <c r="E461" s="1" t="n">
        <v>46234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44935</v>
      </c>
      <c r="E462" s="1" t="n">
        <v>46234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46234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46195</v>
      </c>
      <c r="E464" s="1" t="n">
        <v>46234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23.8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46234</v>
      </c>
      <c r="F465" t="inlineStr">
        <is>
          <t>VÄRMLANDS LÄN</t>
        </is>
      </c>
      <c r="G465" t="inlineStr">
        <is>
          <t>FILIPSTAD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28419-2026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46197</v>
      </c>
      <c r="E466" s="1" t="n">
        <v>46234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5992-2023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44959</v>
      </c>
      <c r="E467" s="1" t="n">
        <v>46234</v>
      </c>
      <c r="F467" t="inlineStr">
        <is>
          <t>VÄRMLANDS LÄN</t>
        </is>
      </c>
      <c r="G467" t="inlineStr">
        <is>
          <t>FILIPSTAD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53562-2023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45230</v>
      </c>
      <c r="E468" s="1" t="n">
        <v>46234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9.9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46234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46234</v>
      </c>
      <c r="F470" t="inlineStr">
        <is>
          <t>VÄRMLANDS LÄN</t>
        </is>
      </c>
      <c r="G470" t="inlineStr">
        <is>
          <t>FILIPSTAD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63411-2023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45274</v>
      </c>
      <c r="E471" s="1" t="n">
        <v>46234</v>
      </c>
      <c r="F471" t="inlineStr">
        <is>
          <t>VÄRMLANDS LÄN</t>
        </is>
      </c>
      <c r="G471" t="inlineStr">
        <is>
          <t>FILIPSTAD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46234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43484-2023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45184</v>
      </c>
      <c r="E473" s="1" t="n">
        <v>46234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33973-2023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45124</v>
      </c>
      <c r="E474" s="1" t="n">
        <v>46234</v>
      </c>
      <c r="F474" t="inlineStr">
        <is>
          <t>VÄRMLANDS LÄN</t>
        </is>
      </c>
      <c r="G474" t="inlineStr">
        <is>
          <t>FILIPSTAD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46234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34262-2024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45524</v>
      </c>
      <c r="E476" s="1" t="n">
        <v>46234</v>
      </c>
      <c r="F476" t="inlineStr">
        <is>
          <t>VÄRMLANDS LÄN</t>
        </is>
      </c>
      <c r="G476" t="inlineStr">
        <is>
          <t>FILIPSTAD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29328-2026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46202</v>
      </c>
      <c r="E477" s="1" t="n">
        <v>46234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29385-2026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46234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45592-2024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45579</v>
      </c>
      <c r="E479" s="1" t="n">
        <v>46234</v>
      </c>
      <c r="F479" t="inlineStr">
        <is>
          <t>VÄRMLANDS LÄN</t>
        </is>
      </c>
      <c r="G479" t="inlineStr">
        <is>
          <t>FILIPSTAD</t>
        </is>
      </c>
      <c r="H479" t="inlineStr">
        <is>
          <t>Kyrkan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29127-2026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46234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43264-2024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45568</v>
      </c>
      <c r="E481" s="1" t="n">
        <v>46234</v>
      </c>
      <c r="F481" t="inlineStr">
        <is>
          <t>VÄRMLANDS LÄN</t>
        </is>
      </c>
      <c r="G481" t="inlineStr">
        <is>
          <t>FILIPSTAD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29376-2026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46234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6860-2024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45342</v>
      </c>
      <c r="E483" s="1" t="n">
        <v>46234</v>
      </c>
      <c r="F483" t="inlineStr">
        <is>
          <t>VÄRMLANDS LÄN</t>
        </is>
      </c>
      <c r="G483" t="inlineStr">
        <is>
          <t>FILIPSTAD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46234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46234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29591-2026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46234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23514-2026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46234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29814-2026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46234</v>
      </c>
      <c r="F488" t="inlineStr">
        <is>
          <t>VÄRMLANDS LÄN</t>
        </is>
      </c>
      <c r="G488" t="inlineStr">
        <is>
          <t>FILIPSTAD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46199</v>
      </c>
      <c r="E489" s="1" t="n">
        <v>46234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29010-2026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46199</v>
      </c>
      <c r="E490" s="1" t="n">
        <v>46234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23555-2026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46234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46163</v>
      </c>
      <c r="E492" s="1" t="n">
        <v>46234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8.699999999999999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46203</v>
      </c>
      <c r="E493" s="1" t="n">
        <v>46234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8.199999999999999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29821-2026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46234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29417-2026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46203</v>
      </c>
      <c r="E495" s="1" t="n">
        <v>46234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23620-2023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45077</v>
      </c>
      <c r="E496" s="1" t="n">
        <v>46234</v>
      </c>
      <c r="F496" t="inlineStr">
        <is>
          <t>VÄRMLANDS LÄN</t>
        </is>
      </c>
      <c r="G496" t="inlineStr">
        <is>
          <t>FILIPSTAD</t>
        </is>
      </c>
      <c r="I496" t="n">
        <v>7.5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46234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23576-2026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46234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17.9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46234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23943-2026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46167</v>
      </c>
      <c r="E500" s="1" t="n">
        <v>46234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23952-2026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46234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46234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9.1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30074-2026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46234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23886-2026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46234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46234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24022-2026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46167</v>
      </c>
      <c r="E506" s="1" t="n">
        <v>46234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46167</v>
      </c>
      <c r="E507" s="1" t="n">
        <v>46234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9.300000000000001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24005-2026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46167</v>
      </c>
      <c r="E508" s="1" t="n">
        <v>46234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23922-2026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46234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24008-2026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46234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46234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43045-2024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45567</v>
      </c>
      <c r="E512" s="1" t="n">
        <v>46234</v>
      </c>
      <c r="F512" t="inlineStr">
        <is>
          <t>VÄRMLANDS LÄN</t>
        </is>
      </c>
      <c r="G512" t="inlineStr">
        <is>
          <t>FILIPSTAD</t>
        </is>
      </c>
      <c r="H512" t="inlineStr">
        <is>
          <t>Kyrkan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23934-2026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46234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23959-2026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46234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6683-2025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45700</v>
      </c>
      <c r="E515" s="1" t="n">
        <v>46234</v>
      </c>
      <c r="F515" t="inlineStr">
        <is>
          <t>VÄRMLANDS LÄN</t>
        </is>
      </c>
      <c r="G515" t="inlineStr">
        <is>
          <t>FILIPSTAD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46210</v>
      </c>
      <c r="E516" s="1" t="n">
        <v>46234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46106</v>
      </c>
      <c r="E517" s="1" t="n">
        <v>46234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24260-2026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46234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46169</v>
      </c>
      <c r="E519" s="1" t="n">
        <v>46234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25376-2023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45088</v>
      </c>
      <c r="E520" s="1" t="n">
        <v>46234</v>
      </c>
      <c r="F520" t="inlineStr">
        <is>
          <t>VÄRMLANDS LÄN</t>
        </is>
      </c>
      <c r="G520" t="inlineStr">
        <is>
          <t>FILIPSTAD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46234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49935-2025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45940</v>
      </c>
      <c r="E522" s="1" t="n">
        <v>46234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69015-2021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44530</v>
      </c>
      <c r="E523" s="1" t="n">
        <v>46234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20966-2024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45439</v>
      </c>
      <c r="E524" s="1" t="n">
        <v>46234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6520-2023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44960</v>
      </c>
      <c r="E525" s="1" t="n">
        <v>46234</v>
      </c>
      <c r="F525" t="inlineStr">
        <is>
          <t>VÄRMLANDS LÄN</t>
        </is>
      </c>
      <c r="G525" t="inlineStr">
        <is>
          <t>FILIPSTAD</t>
        </is>
      </c>
      <c r="H525" t="inlineStr">
        <is>
          <t>Kommuner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24514-2026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46234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46234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46234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46234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46234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46234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20661-2024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45436</v>
      </c>
      <c r="E532" s="1" t="n">
        <v>46234</v>
      </c>
      <c r="F532" t="inlineStr">
        <is>
          <t>VÄRMLANDS LÄN</t>
        </is>
      </c>
      <c r="G532" t="inlineStr">
        <is>
          <t>FILIPSTAD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46234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46170</v>
      </c>
      <c r="E534" s="1" t="n">
        <v>46234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24941-2026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46234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8.5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53690-2022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44880</v>
      </c>
      <c r="E536" s="1" t="n">
        <v>46234</v>
      </c>
      <c r="F536" t="inlineStr">
        <is>
          <t>VÄRMLANDS LÄN</t>
        </is>
      </c>
      <c r="G536" t="inlineStr">
        <is>
          <t>FILIPSTAD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45700</v>
      </c>
      <c r="E537" s="1" t="n">
        <v>46234</v>
      </c>
      <c r="F537" t="inlineStr">
        <is>
          <t>VÄRMLANDS LÄN</t>
        </is>
      </c>
      <c r="G537" t="inlineStr">
        <is>
          <t>FILIPSTAD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48040-2023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45204</v>
      </c>
      <c r="E538" s="1" t="n">
        <v>46234</v>
      </c>
      <c r="F538" t="inlineStr">
        <is>
          <t>VÄRMLANDS LÄN</t>
        </is>
      </c>
      <c r="G538" t="inlineStr">
        <is>
          <t>FILIPSTAD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52981-2021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44467</v>
      </c>
      <c r="E539" s="1" t="n">
        <v>46234</v>
      </c>
      <c r="F539" t="inlineStr">
        <is>
          <t>VÄRMLANDS LÄN</t>
        </is>
      </c>
      <c r="G539" t="inlineStr">
        <is>
          <t>FILIPSTAD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24886-2026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46234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16063-2025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45749</v>
      </c>
      <c r="E541" s="1" t="n">
        <v>46234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46234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24745-2026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46171</v>
      </c>
      <c r="E543" s="1" t="n">
        <v>46234</v>
      </c>
      <c r="F543" t="inlineStr">
        <is>
          <t>VÄRMLANDS LÄN</t>
        </is>
      </c>
      <c r="G543" t="inlineStr">
        <is>
          <t>FILIPSTAD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45835</v>
      </c>
      <c r="E544" s="1" t="n">
        <v>46234</v>
      </c>
      <c r="F544" t="inlineStr">
        <is>
          <t>VÄRMLANDS LÄN</t>
        </is>
      </c>
      <c r="G544" t="inlineStr">
        <is>
          <t>FILIPSTAD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51266-2021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44461</v>
      </c>
      <c r="E545" s="1" t="n">
        <v>46234</v>
      </c>
      <c r="F545" t="inlineStr">
        <is>
          <t>VÄRMLANDS LÄN</t>
        </is>
      </c>
      <c r="G545" t="inlineStr">
        <is>
          <t>FILIPSTAD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25203-2026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46175</v>
      </c>
      <c r="E546" s="1" t="n">
        <v>46234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51618-2022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44872</v>
      </c>
      <c r="E547" s="1" t="n">
        <v>46234</v>
      </c>
      <c r="F547" t="inlineStr">
        <is>
          <t>VÄRMLANDS LÄN</t>
        </is>
      </c>
      <c r="G547" t="inlineStr">
        <is>
          <t>FILIPSTAD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32786-2024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45516</v>
      </c>
      <c r="E548" s="1" t="n">
        <v>46234</v>
      </c>
      <c r="F548" t="inlineStr">
        <is>
          <t>VÄRMLANDS LÄN</t>
        </is>
      </c>
      <c r="G548" t="inlineStr">
        <is>
          <t>FILIPSTAD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37611-2022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44809</v>
      </c>
      <c r="E549" s="1" t="n">
        <v>46234</v>
      </c>
      <c r="F549" t="inlineStr">
        <is>
          <t>VÄRMLANDS LÄN</t>
        </is>
      </c>
      <c r="G549" t="inlineStr">
        <is>
          <t>FILIPSTAD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46219</v>
      </c>
      <c r="E550" s="1" t="n">
        <v>46234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16591-2022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44672</v>
      </c>
      <c r="E551" s="1" t="n">
        <v>46234</v>
      </c>
      <c r="F551" t="inlineStr">
        <is>
          <t>VÄRMLANDS LÄN</t>
        </is>
      </c>
      <c r="G551" t="inlineStr">
        <is>
          <t>FILIPSTAD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25205-2026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46175</v>
      </c>
      <c r="E552" s="1" t="n">
        <v>46234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31283-2026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46218</v>
      </c>
      <c r="E553" s="1" t="n">
        <v>46234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12160-2023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44998</v>
      </c>
      <c r="E554" s="1" t="n">
        <v>46234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46978-2023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45195</v>
      </c>
      <c r="E555" s="1" t="n">
        <v>46234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25769-2026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46178</v>
      </c>
      <c r="E556" s="1" t="n">
        <v>46234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46178</v>
      </c>
      <c r="E557" s="1" t="n">
        <v>46234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31537-2026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46223</v>
      </c>
      <c r="E558" s="1" t="n">
        <v>46234</v>
      </c>
      <c r="F558" t="inlineStr">
        <is>
          <t>VÄRMLANDS LÄN</t>
        </is>
      </c>
      <c r="G558" t="inlineStr">
        <is>
          <t>FILIPSTAD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14432-2025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46234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31548-2026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46223</v>
      </c>
      <c r="E560" s="1" t="n">
        <v>46234</v>
      </c>
      <c r="F560" t="inlineStr">
        <is>
          <t>VÄRMLANDS LÄN</t>
        </is>
      </c>
      <c r="G560" t="inlineStr">
        <is>
          <t>FILIPSTAD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26298-2026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46234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31648-2026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46225</v>
      </c>
      <c r="E562" s="1" t="n">
        <v>46234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26227-2026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46182</v>
      </c>
      <c r="E563" s="1" t="n">
        <v>46234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46234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26229-2026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46182</v>
      </c>
      <c r="E565" s="1" t="n">
        <v>46234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26323-2026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46182</v>
      </c>
      <c r="E566" s="1" t="n">
        <v>46234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26343-2026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46182</v>
      </c>
      <c r="E567" s="1" t="n">
        <v>46234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26107-2026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46234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20.9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25976-2026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46234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31688-2026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46226</v>
      </c>
      <c r="E570" s="1" t="n">
        <v>46234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46226</v>
      </c>
      <c r="E571" s="1" t="n">
        <v>46234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26501-2026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46183</v>
      </c>
      <c r="E572" s="1" t="n">
        <v>46234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46234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26549-2026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46183</v>
      </c>
      <c r="E574" s="1" t="n">
        <v>46234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46227</v>
      </c>
      <c r="E575" s="1" t="n">
        <v>46234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46226</v>
      </c>
      <c r="E576" s="1" t="n">
        <v>46234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31726-2026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46227</v>
      </c>
      <c r="E577" s="1" t="n">
        <v>46234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27300-2026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46188</v>
      </c>
      <c r="E578" s="1" t="n">
        <v>46234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27085-2026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46187</v>
      </c>
      <c r="E579" s="1" t="n">
        <v>46234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46185</v>
      </c>
      <c r="E580" s="1" t="n">
        <v>46234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31914-2026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46231</v>
      </c>
      <c r="E581" s="1" t="n">
        <v>46234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46188</v>
      </c>
      <c r="E582" s="1" t="n">
        <v>46234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7.4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27078-2026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46186</v>
      </c>
      <c r="E583" s="1" t="n">
        <v>46234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27079-2026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46186</v>
      </c>
      <c r="E584" s="1" t="n">
        <v>46234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27595-2026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46190</v>
      </c>
      <c r="E585" s="1" t="n">
        <v>46234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32008-2026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46233</v>
      </c>
      <c r="E586" s="1" t="n">
        <v>46234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32031-2026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46233</v>
      </c>
      <c r="E587" s="1" t="n">
        <v>46234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46232</v>
      </c>
      <c r="E588" s="1" t="n">
        <v>46234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27774-2026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46191</v>
      </c>
      <c r="E589" s="1" t="n">
        <v>46234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27426-2026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46189</v>
      </c>
      <c r="E590" s="1" t="n">
        <v>46234</v>
      </c>
      <c r="F590" t="inlineStr">
        <is>
          <t>VÄRMLANDS LÄN</t>
        </is>
      </c>
      <c r="G590" t="inlineStr">
        <is>
          <t>FILIPSTAD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31963-2026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46232</v>
      </c>
      <c r="E591" s="1" t="n">
        <v>46234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8.699999999999999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46234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31957-2026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46234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27867-2026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46191</v>
      </c>
      <c r="E594" s="1" t="n">
        <v>46234</v>
      </c>
      <c r="F594" t="inlineStr">
        <is>
          <t>VÄRMLANDS LÄN</t>
        </is>
      </c>
      <c r="G594" t="inlineStr">
        <is>
          <t>FILIPSTAD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5757-2021</t>
        </is>
      </c>
      <c r="B595" t="inlineStr">
        <is>
          <t>samrådsanmälan</t>
        </is>
      </c>
      <c r="C595" t="inlineStr">
        <is>
          <t>Basväg</t>
        </is>
      </c>
      <c r="D595" s="1" t="n">
        <v>44438</v>
      </c>
      <c r="E595" s="1" t="n">
        <v>46234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1191-2021</t>
        </is>
      </c>
      <c r="B596" t="inlineStr">
        <is>
          <t>samrådsanmälan</t>
        </is>
      </c>
      <c r="C596" t="inlineStr">
        <is>
          <t>Åtgärd i nyckelbiotop</t>
        </is>
      </c>
      <c r="D596" s="1" t="n">
        <v>44328</v>
      </c>
      <c r="E596" s="1" t="n">
        <v>46234</v>
      </c>
      <c r="F596" t="inlineStr">
        <is>
          <t>VÄRMLANDS LÄN</t>
        </is>
      </c>
      <c r="G596" t="inlineStr">
        <is>
          <t>FILIPSTAD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4134-2023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45247</v>
      </c>
      <c r="E597" s="1" t="n">
        <v>46234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4115-2023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45246</v>
      </c>
      <c r="E598" s="1" t="n">
        <v>46234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4137-2023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45247</v>
      </c>
      <c r="E599" s="1" t="n">
        <v>46234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4132-2023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46234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8.300000000000001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4130-2023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46234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4127-2023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46234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56.4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837-2023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44991</v>
      </c>
      <c r="E603" s="1" t="n">
        <v>46234</v>
      </c>
      <c r="F603" t="inlineStr">
        <is>
          <t>VÄRMLANDS LÄN</t>
        </is>
      </c>
      <c r="G603" t="inlineStr">
        <is>
          <t>FILIPSTAD</t>
        </is>
      </c>
      <c r="I603" t="n">
        <v>19.3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4129-2023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45247</v>
      </c>
      <c r="E604" s="1" t="n">
        <v>46234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13.9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3919-2023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45233</v>
      </c>
      <c r="E605" s="1" t="n">
        <v>46234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4135-2023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45247</v>
      </c>
      <c r="E606" s="1" t="n">
        <v>46234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18.9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6078-2021</t>
        </is>
      </c>
      <c r="B607" t="inlineStr">
        <is>
          <t>samrådsanmälan</t>
        </is>
      </c>
      <c r="C607" t="inlineStr">
        <is>
          <t>Åtgärd i nyckelbiotop</t>
        </is>
      </c>
      <c r="D607" s="1" t="n">
        <v>44442</v>
      </c>
      <c r="E607" s="1" t="n">
        <v>46234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4126-2023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45247</v>
      </c>
      <c r="E608" s="1" t="n">
        <v>46234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294-2025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45687</v>
      </c>
      <c r="E609" s="1" t="n">
        <v>46234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186.4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4116-2023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45246</v>
      </c>
      <c r="E610" s="1" t="n">
        <v>46234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661-2025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45716</v>
      </c>
      <c r="E611" s="1" t="n">
        <v>46234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161.7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3429-2025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45995</v>
      </c>
      <c r="E612" s="1" t="n">
        <v>46234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3576-2025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46010</v>
      </c>
      <c r="E613" s="1" t="n">
        <v>46234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27.1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105-2026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46036</v>
      </c>
      <c r="E614" s="1" t="n">
        <v>46234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238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2026-07-31T01:50:41Z</dcterms:created>
  <dcterms:modified xmlns:dcterms="http://purl.org/dc/terms/" xmlns:xsi="http://www.w3.org/2001/XMLSchema-instance" xsi:type="dcterms:W3CDTF">2026-07-31T01:50:42Z</dcterms:modified>
</cp:coreProperties>
</file>