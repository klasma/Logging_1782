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46231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46231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46231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57471-2025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45980</v>
      </c>
      <c r="E8" s="1" t="n">
        <v>46231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14.4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36</v>
      </c>
      <c r="U8" t="n">
        <v>0</v>
      </c>
      <c r="V8" s="2" t="inlineStr">
        <is>
          <t>Garnlav
Kattfotslav
Bollvitmossa
Vågbandad barkbock
Fläcknycklar</t>
        </is>
      </c>
      <c r="W8">
        <f>HYPERLINK("https://klasma.github.io/Logging_1782/artfynd/A 57471-2025 artfynd.xlsx", "A 57471-2025")</f>
        <v/>
      </c>
      <c r="X8">
        <f>HYPERLINK("https://klasma.github.io/Logging_1782/kartor/A 57471-2025 karta.png", "A 57471-2025")</f>
        <v/>
      </c>
      <c r="Y8">
        <f>HYPERLINK("https://klasma.github.io/Logging_1782/kartor_geotiff/A 57471-2025 georefererad karta.tif", "A 57471-2025")</f>
        <v/>
      </c>
      <c r="AA8">
        <f>HYPERLINK("https://klasma.github.io/Logging_1782/klagomål/A 57471-2025 FSC-klagomål.docx", "A 57471-2025")</f>
        <v/>
      </c>
      <c r="AB8">
        <f>HYPERLINK("https://klasma.github.io/Logging_1782/klagomålsmail/A 57471-2025 FSC-klagomål mail.docx", "A 57471-2025")</f>
        <v/>
      </c>
      <c r="AC8">
        <f>HYPERLINK("https://klasma.github.io/Logging_1782/tillsyn/A 57471-2025 tillsynsbegäran.docx", "A 57471-2025")</f>
        <v/>
      </c>
      <c r="AD8">
        <f>HYPERLINK("https://klasma.github.io/Logging_1782/tillsynsmail/A 57471-2025 tillsynsbegäran mail.docx", "A 57471-2025")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38134-2024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46231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Garnlav
Dropptaggsvamp
Skuggblåslav</t>
        </is>
      </c>
      <c r="W13">
        <f>HYPERLINK("https://klasma.github.io/Logging_1782/artfynd/A 38134-2024 artfynd.xlsx", "A 38134-2024")</f>
        <v/>
      </c>
      <c r="X13">
        <f>HYPERLINK("https://klasma.github.io/Logging_1782/kartor/A 38134-2024 karta.png", "A 38134-2024")</f>
        <v/>
      </c>
      <c r="Y13">
        <f>HYPERLINK("https://klasma.github.io/Logging_1782/kartor_geotiff/A 38134-2024 georefererad karta.tif", "A 38134-2024")</f>
        <v/>
      </c>
      <c r="AA13">
        <f>HYPERLINK("https://klasma.github.io/Logging_1782/klagomål/A 38134-2024 FSC-klagomål.docx", "A 38134-2024")</f>
        <v/>
      </c>
      <c r="AB13">
        <f>HYPERLINK("https://klasma.github.io/Logging_1782/klagomålsmail/A 38134-2024 FSC-klagomål mail.docx", "A 38134-2024")</f>
        <v/>
      </c>
      <c r="AC13">
        <f>HYPERLINK("https://klasma.github.io/Logging_1782/tillsyn/A 38134-2024 tillsynsbegäran.docx", "A 38134-2024")</f>
        <v/>
      </c>
      <c r="AD13">
        <f>HYPERLINK("https://klasma.github.io/Logging_1782/tillsynsmail/A 38134-2024 tillsynsbegäran mail.docx", "A 38134-2024")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46231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46231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46231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46231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46231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46231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46231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46231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51103-2025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46231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8.300000000000001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Grönsiska
Smålom</t>
        </is>
      </c>
      <c r="W22">
        <f>HYPERLINK("https://klasma.github.io/Logging_1782/artfynd/A 51103-2025 artfynd.xlsx", "A 51103-2025")</f>
        <v/>
      </c>
      <c r="X22">
        <f>HYPERLINK("https://klasma.github.io/Logging_1782/kartor/A 51103-2025 karta.png", "A 51103-2025")</f>
        <v/>
      </c>
      <c r="Y22">
        <f>HYPERLINK("https://klasma.github.io/Logging_1782/kartor_geotiff/A 51103-2025 georefererad karta.tif", "A 51103-2025")</f>
        <v/>
      </c>
      <c r="AA22">
        <f>HYPERLINK("https://klasma.github.io/Logging_1782/klagomål/A 51103-2025 FSC-klagomål.docx", "A 51103-2025")</f>
        <v/>
      </c>
      <c r="AB22">
        <f>HYPERLINK("https://klasma.github.io/Logging_1782/klagomålsmail/A 51103-2025 FSC-klagomål mail.docx", "A 51103-2025")</f>
        <v/>
      </c>
      <c r="AC22">
        <f>HYPERLINK("https://klasma.github.io/Logging_1782/tillsyn/A 51103-2025 tillsynsbegäran.docx", "A 51103-2025")</f>
        <v/>
      </c>
      <c r="AD22">
        <f>HYPERLINK("https://klasma.github.io/Logging_1782/tillsynsmail/A 51103-2025 tillsynsbegäran mail.docx", "A 51103-2025")</f>
        <v/>
      </c>
      <c r="AE22">
        <f>HYPERLINK("https://klasma.github.io/Logging_1782/fåglar/A 51103-2025 prioriterade fågelarter.docx", "A 51103-2025")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46231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46231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46231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46231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46231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46231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46231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Purpurknipprot</t>
        </is>
      </c>
      <c r="W29">
        <f>HYPERLINK("https://klasma.github.io/Logging_1782/artfynd/A 10138-2024 artfynd.xlsx", "A 10138-2024")</f>
        <v/>
      </c>
      <c r="X29">
        <f>HYPERLINK("https://klasma.github.io/Logging_1782/kartor/A 10138-2024 karta.png", "A 10138-2024")</f>
        <v/>
      </c>
      <c r="Y29">
        <f>HYPERLINK("https://klasma.github.io/Logging_1782/kartor_geotiff/A 10138-2024 georefererad karta.tif", "A 10138-2024")</f>
        <v/>
      </c>
      <c r="AA29">
        <f>HYPERLINK("https://klasma.github.io/Logging_1782/klagomål/A 10138-2024 FSC-klagomål.docx", "A 10138-2024")</f>
        <v/>
      </c>
      <c r="AB29">
        <f>HYPERLINK("https://klasma.github.io/Logging_1782/klagomålsmail/A 10138-2024 FSC-klagomål mail.docx", "A 10138-2024")</f>
        <v/>
      </c>
      <c r="AC29">
        <f>HYPERLINK("https://klasma.github.io/Logging_1782/tillsyn/A 10138-2024 tillsynsbegäran.docx", "A 10138-2024")</f>
        <v/>
      </c>
      <c r="AD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46231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4560-2025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46231</v>
      </c>
      <c r="F31" t="inlineStr">
        <is>
          <t>VÄRMLANDS LÄN</t>
        </is>
      </c>
      <c r="G31" t="inlineStr">
        <is>
          <t>FILIPSTAD</t>
        </is>
      </c>
      <c r="I31" t="n">
        <v>13.6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Skrovlig taggsvamp</t>
        </is>
      </c>
      <c r="W31">
        <f>HYPERLINK("https://klasma.github.io/Logging_1782/artfynd/A 4560-2025 artfynd.xlsx", "A 4560-2025")</f>
        <v/>
      </c>
      <c r="X31">
        <f>HYPERLINK("https://klasma.github.io/Logging_1782/kartor/A 4560-2025 karta.png", "A 4560-2025")</f>
        <v/>
      </c>
      <c r="Y31">
        <f>HYPERLINK("https://klasma.github.io/Logging_1782/kartor_geotiff/A 4560-2025 georefererad karta.tif", "A 4560-2025")</f>
        <v/>
      </c>
      <c r="AA31">
        <f>HYPERLINK("https://klasma.github.io/Logging_1782/klagomål/A 4560-2025 FSC-klagomål.docx", "A 4560-2025")</f>
        <v/>
      </c>
      <c r="AB31">
        <f>HYPERLINK("https://klasma.github.io/Logging_1782/klagomålsmail/A 4560-2025 FSC-klagomål mail.docx", "A 4560-2025")</f>
        <v/>
      </c>
      <c r="AC31">
        <f>HYPERLINK("https://klasma.github.io/Logging_1782/tillsyn/A 4560-2025 tillsynsbegäran.docx", "A 4560-2025")</f>
        <v/>
      </c>
      <c r="AD31">
        <f>HYPERLINK("https://klasma.github.io/Logging_1782/tillsynsmail/A 4560-2025 tillsynsbegäran mail.docx", "A 4560-2025")</f>
        <v/>
      </c>
    </row>
    <row r="32" ht="15" customHeight="1">
      <c r="A32" t="inlineStr">
        <is>
          <t>A 25916-2025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46231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26.4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HYPERLINK("https://klasma.github.io/Logging_1782/artfynd/A 25916-2025 artfynd.xlsx", "A 25916-2025")</f>
        <v/>
      </c>
      <c r="X32">
        <f>HYPERLINK("https://klasma.github.io/Logging_1782/kartor/A 25916-2025 karta.png", "A 25916-2025")</f>
        <v/>
      </c>
      <c r="Y32">
        <f>HYPERLINK("https://klasma.github.io/Logging_1782/kartor_geotiff/A 25916-2025 georefererad karta.tif", "A 25916-2025")</f>
        <v/>
      </c>
      <c r="AA32">
        <f>HYPERLINK("https://klasma.github.io/Logging_1782/klagomål/A 25916-2025 FSC-klagomål.docx", "A 25916-2025")</f>
        <v/>
      </c>
      <c r="AB32">
        <f>HYPERLINK("https://klasma.github.io/Logging_1782/klagomålsmail/A 25916-2025 FSC-klagomål mail.docx", "A 25916-2025")</f>
        <v/>
      </c>
      <c r="AC32">
        <f>HYPERLINK("https://klasma.github.io/Logging_1782/tillsyn/A 25916-2025 tillsynsbegäran.docx", "A 25916-2025")</f>
        <v/>
      </c>
      <c r="AD32">
        <f>HYPERLINK("https://klasma.github.io/Logging_1782/tillsynsmail/A 25916-2025 tillsynsbegäran mail.docx", "A 25916-2025")</f>
        <v/>
      </c>
    </row>
    <row r="33" ht="15" customHeight="1">
      <c r="A33" t="inlineStr">
        <is>
          <t>A 34145-2024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45524</v>
      </c>
      <c r="E33" s="1" t="n">
        <v>46231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34145-2024 artfynd.xlsx", "A 34145-2024")</f>
        <v/>
      </c>
      <c r="X33">
        <f>HYPERLINK("https://klasma.github.io/Logging_1782/kartor/A 34145-2024 karta.png", "A 34145-2024")</f>
        <v/>
      </c>
      <c r="Y33">
        <f>HYPERLINK("https://klasma.github.io/Logging_1782/kartor_geotiff/A 34145-2024 georefererad karta.tif", "A 34145-2024")</f>
        <v/>
      </c>
      <c r="AA33">
        <f>HYPERLINK("https://klasma.github.io/Logging_1782/klagomål/A 34145-2024 FSC-klagomål.docx", "A 34145-2024")</f>
        <v/>
      </c>
      <c r="AB33">
        <f>HYPERLINK("https://klasma.github.io/Logging_1782/klagomålsmail/A 34145-2024 FSC-klagomål mail.docx", "A 34145-2024")</f>
        <v/>
      </c>
      <c r="AC33">
        <f>HYPERLINK("https://klasma.github.io/Logging_1782/tillsyn/A 34145-2024 tillsynsbegäran.docx", "A 34145-2024")</f>
        <v/>
      </c>
      <c r="AD33">
        <f>HYPERLINK("https://klasma.github.io/Logging_1782/tillsynsmail/A 34145-2024 tillsynsbegäran mail.docx", "A 34145-2024")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46231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46231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HYPERLINK("https://klasma.github.io/Logging_1782/artfynd/A 30652-2025 artfynd.xlsx", "A 30652-2025")</f>
        <v/>
      </c>
      <c r="X35">
        <f>HYPERLINK("https://klasma.github.io/Logging_1782/kartor/A 30652-2025 karta.png", "A 30652-2025")</f>
        <v/>
      </c>
      <c r="Y35">
        <f>HYPERLINK("https://klasma.github.io/Logging_1782/kartor_geotiff/A 30652-2025 georefererad karta.tif", "A 30652-2025")</f>
        <v/>
      </c>
      <c r="AA35">
        <f>HYPERLINK("https://klasma.github.io/Logging_1782/klagomål/A 30652-2025 FSC-klagomål.docx", "A 30652-2025")</f>
        <v/>
      </c>
      <c r="AB35">
        <f>HYPERLINK("https://klasma.github.io/Logging_1782/klagomålsmail/A 30652-2025 FSC-klagomål mail.docx", "A 30652-2025")</f>
        <v/>
      </c>
      <c r="AC35">
        <f>HYPERLINK("https://klasma.github.io/Logging_1782/tillsyn/A 30652-2025 tillsynsbegäran.docx", "A 30652-2025")</f>
        <v/>
      </c>
      <c r="AD35">
        <f>HYPERLINK("https://klasma.github.io/Logging_1782/tillsynsmail/A 30652-2025 tillsynsbegäran mail.docx", "A 30652-2025")</f>
        <v/>
      </c>
      <c r="AE35">
        <f>HYPERLINK("https://klasma.github.io/Logging_1782/fåglar/A 30652-2025 prioriterade fågelarter.docx", "A 30652-2025")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46231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46231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28915-2026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46199</v>
      </c>
      <c r="E38" s="1" t="n">
        <v>46231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HYPERLINK("https://klasma.github.io/Logging_1782/artfynd/A 28915-2026 artfynd.xlsx", "A 28915-2026")</f>
        <v/>
      </c>
      <c r="X38">
        <f>HYPERLINK("https://klasma.github.io/Logging_1782/kartor/A 28915-2026 karta.png", "A 28915-2026")</f>
        <v/>
      </c>
      <c r="Y38">
        <f>HYPERLINK("https://klasma.github.io/Logging_1782/kartor_geotiff/A 28915-2026 georefererad karta.tif", "A 28915-2026")</f>
        <v/>
      </c>
      <c r="AA38">
        <f>HYPERLINK("https://klasma.github.io/Logging_1782/klagomål/A 28915-2026 FSC-klagomål.docx", "A 28915-2026")</f>
        <v/>
      </c>
      <c r="AB38">
        <f>HYPERLINK("https://klasma.github.io/Logging_1782/klagomålsmail/A 28915-2026 FSC-klagomål mail.docx", "A 28915-2026")</f>
        <v/>
      </c>
      <c r="AC38">
        <f>HYPERLINK("https://klasma.github.io/Logging_1782/tillsyn/A 28915-2026 tillsynsbegäran.docx", "A 28915-2026")</f>
        <v/>
      </c>
      <c r="AD38">
        <f>HYPERLINK("https://klasma.github.io/Logging_1782/tillsynsmail/A 28915-2026 tillsynsbegäran mail.docx", "A 28915-2026")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874-2025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46231</v>
      </c>
      <c r="F40" t="inlineStr">
        <is>
          <t>VÄRMLANDS LÄN</t>
        </is>
      </c>
      <c r="G40" t="inlineStr">
        <is>
          <t>FILIPSTAD</t>
        </is>
      </c>
      <c r="H40" t="inlineStr">
        <is>
          <t>Kyrkan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Kamjordstjärna</t>
        </is>
      </c>
      <c r="W40">
        <f>HYPERLINK("https://klasma.github.io/Logging_1782/artfynd/A 874-2025 artfynd.xlsx", "A 874-2025")</f>
        <v/>
      </c>
      <c r="X40">
        <f>HYPERLINK("https://klasma.github.io/Logging_1782/kartor/A 874-2025 karta.png", "A 874-2025")</f>
        <v/>
      </c>
      <c r="Y40">
        <f>HYPERLINK("https://klasma.github.io/Logging_1782/kartor_geotiff/A 874-2025 georefererad karta.tif", "A 874-2025")</f>
        <v/>
      </c>
      <c r="AA40">
        <f>HYPERLINK("https://klasma.github.io/Logging_1782/klagomål/A 874-2025 FSC-klagomål.docx", "A 874-2025")</f>
        <v/>
      </c>
      <c r="AB40">
        <f>HYPERLINK("https://klasma.github.io/Logging_1782/klagomålsmail/A 874-2025 FSC-klagomål mail.docx", "A 874-2025")</f>
        <v/>
      </c>
      <c r="AC40">
        <f>HYPERLINK("https://klasma.github.io/Logging_1782/tillsyn/A 874-2025 tillsynsbegäran.docx", "A 874-2025")</f>
        <v/>
      </c>
      <c r="AD40">
        <f>HYPERLINK("https://klasma.github.io/Logging_1782/tillsynsmail/A 874-2025 tillsynsbegäran mail.docx", "A 874-2025")</f>
        <v/>
      </c>
    </row>
    <row r="41" ht="15" customHeight="1">
      <c r="A41" t="inlineStr">
        <is>
          <t>A 25862-2026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46231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Talltaggsvamp</t>
        </is>
      </c>
      <c r="W41">
        <f>HYPERLINK("https://klasma.github.io/Logging_1782/artfynd/A 25862-2026 artfynd.xlsx", "A 25862-2026")</f>
        <v/>
      </c>
      <c r="X41">
        <f>HYPERLINK("https://klasma.github.io/Logging_1782/kartor/A 25862-2026 karta.png", "A 25862-2026")</f>
        <v/>
      </c>
      <c r="Y41">
        <f>HYPERLINK("https://klasma.github.io/Logging_1782/kartor_geotiff/A 25862-2026 georefererad karta.tif", "A 25862-2026")</f>
        <v/>
      </c>
      <c r="AA41">
        <f>HYPERLINK("https://klasma.github.io/Logging_1782/klagomål/A 25862-2026 FSC-klagomål.docx", "A 25862-2026")</f>
        <v/>
      </c>
      <c r="AB41">
        <f>HYPERLINK("https://klasma.github.io/Logging_1782/klagomålsmail/A 25862-2026 FSC-klagomål mail.docx", "A 25862-2026")</f>
        <v/>
      </c>
      <c r="AC41">
        <f>HYPERLINK("https://klasma.github.io/Logging_1782/tillsyn/A 25862-2026 tillsynsbegäran.docx", "A 25862-2026")</f>
        <v/>
      </c>
      <c r="AD41">
        <f>HYPERLINK("https://klasma.github.io/Logging_1782/tillsynsmail/A 25862-2026 tillsynsbegäran mail.docx", "A 25862-2026")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46231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51522-2022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46231</v>
      </c>
      <c r="F43" t="inlineStr">
        <is>
          <t>VÄRMLANDS LÄN</t>
        </is>
      </c>
      <c r="G43" t="inlineStr">
        <is>
          <t>FILIPSTAD</t>
        </is>
      </c>
      <c r="I43" t="n">
        <v>4.1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Tibast</t>
        </is>
      </c>
      <c r="W43">
        <f>HYPERLINK("https://klasma.github.io/Logging_1782/artfynd/A 51522-2022 artfynd.xlsx", "A 51522-2022")</f>
        <v/>
      </c>
      <c r="X43">
        <f>HYPERLINK("https://klasma.github.io/Logging_1782/kartor/A 51522-2022 karta.png", "A 51522-2022")</f>
        <v/>
      </c>
      <c r="Y43">
        <f>HYPERLINK("https://klasma.github.io/Logging_1782/kartor_geotiff/A 51522-2022 georefererad karta.tif", "A 51522-2022")</f>
        <v/>
      </c>
      <c r="AA43">
        <f>HYPERLINK("https://klasma.github.io/Logging_1782/klagomål/A 51522-2022 FSC-klagomål.docx", "A 51522-2022")</f>
        <v/>
      </c>
      <c r="AB43">
        <f>HYPERLINK("https://klasma.github.io/Logging_1782/klagomålsmail/A 51522-2022 FSC-klagomål mail.docx", "A 51522-2022")</f>
        <v/>
      </c>
      <c r="AC43">
        <f>HYPERLINK("https://klasma.github.io/Logging_1782/tillsyn/A 51522-2022 tillsynsbegäran.docx", "A 51522-2022")</f>
        <v/>
      </c>
      <c r="AD43">
        <f>HYPERLINK("https://klasma.github.io/Logging_1782/tillsynsmail/A 51522-2022 tillsynsbegäran mail.docx", "A 51522-2022")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46231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46231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46231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46231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46231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46231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46231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46231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46231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46231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46231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46231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46231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46231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46231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46231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46231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46231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46231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46231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46231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46231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46231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53562-2023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46231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45700</v>
      </c>
      <c r="E77" s="1" t="n">
        <v>46231</v>
      </c>
      <c r="F77" t="inlineStr">
        <is>
          <t>VÄRMLANDS LÄN</t>
        </is>
      </c>
      <c r="G77" t="inlineStr">
        <is>
          <t>FILIPSTAD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46231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46231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46231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46231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46231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46231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46231</v>
      </c>
      <c r="F84" t="inlineStr">
        <is>
          <t>VÄRMLANDS LÄN</t>
        </is>
      </c>
      <c r="G84" t="inlineStr">
        <is>
          <t>FILIPSTAD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46231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46231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46231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46231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46231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46231</v>
      </c>
      <c r="F90" t="inlineStr">
        <is>
          <t>VÄRMLANDS LÄN</t>
        </is>
      </c>
      <c r="G90" t="inlineStr">
        <is>
          <t>FILIPSTAD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45257</v>
      </c>
      <c r="E91" s="1" t="n">
        <v>46231</v>
      </c>
      <c r="F91" t="inlineStr">
        <is>
          <t>VÄRMLANDS LÄN</t>
        </is>
      </c>
      <c r="G91" t="inlineStr">
        <is>
          <t>FILIPSTAD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46231</v>
      </c>
      <c r="F92" t="inlineStr">
        <is>
          <t>VÄRMLANDS LÄN</t>
        </is>
      </c>
      <c r="G92" t="inlineStr">
        <is>
          <t>FILIPSTAD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46231</v>
      </c>
      <c r="F93" t="inlineStr">
        <is>
          <t>VÄRMLANDS LÄN</t>
        </is>
      </c>
      <c r="G93" t="inlineStr">
        <is>
          <t>FILIPSTAD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45267</v>
      </c>
      <c r="E94" s="1" t="n">
        <v>46231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45463</v>
      </c>
      <c r="E95" s="1" t="n">
        <v>46231</v>
      </c>
      <c r="F95" t="inlineStr">
        <is>
          <t>VÄRMLANDS LÄN</t>
        </is>
      </c>
      <c r="G95" t="inlineStr">
        <is>
          <t>FILIPSTAD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46231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46231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46231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46231</v>
      </c>
      <c r="F99" t="inlineStr">
        <is>
          <t>VÄRMLANDS LÄN</t>
        </is>
      </c>
      <c r="G99" t="inlineStr">
        <is>
          <t>FILIPSTAD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46231</v>
      </c>
      <c r="F100" t="inlineStr">
        <is>
          <t>VÄRMLANDS LÄN</t>
        </is>
      </c>
      <c r="G100" t="inlineStr">
        <is>
          <t>FILIPSTAD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46231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26123-2025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45805</v>
      </c>
      <c r="E102" s="1" t="n">
        <v>46231</v>
      </c>
      <c r="F102" t="inlineStr">
        <is>
          <t>VÄRMLANDS LÄN</t>
        </is>
      </c>
      <c r="G102" t="inlineStr">
        <is>
          <t>FILIPSTAD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26116-2025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45805</v>
      </c>
      <c r="E103" s="1" t="n">
        <v>46231</v>
      </c>
      <c r="F103" t="inlineStr">
        <is>
          <t>VÄRMLANDS LÄN</t>
        </is>
      </c>
      <c r="G103" t="inlineStr">
        <is>
          <t>FILIPSTAD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46231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46231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26843-2024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45470</v>
      </c>
      <c r="E106" s="1" t="n">
        <v>46231</v>
      </c>
      <c r="F106" t="inlineStr">
        <is>
          <t>VÄRMLANDS LÄN</t>
        </is>
      </c>
      <c r="G106" t="inlineStr">
        <is>
          <t>FILIPSTAD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58611-2025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45986</v>
      </c>
      <c r="E107" s="1" t="n">
        <v>46231</v>
      </c>
      <c r="F107" t="inlineStr">
        <is>
          <t>VÄRMLANDS LÄN</t>
        </is>
      </c>
      <c r="G107" t="inlineStr">
        <is>
          <t>FILIPSTAD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46231</v>
      </c>
      <c r="F108" t="inlineStr">
        <is>
          <t>VÄRMLANDS LÄN</t>
        </is>
      </c>
      <c r="G108" t="inlineStr">
        <is>
          <t>FILIPSTAD</t>
        </is>
      </c>
      <c r="H108" t="inlineStr">
        <is>
          <t>Kommuner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26599-2024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45469</v>
      </c>
      <c r="E109" s="1" t="n">
        <v>46231</v>
      </c>
      <c r="F109" t="inlineStr">
        <is>
          <t>VÄRMLANDS LÄN</t>
        </is>
      </c>
      <c r="G109" t="inlineStr">
        <is>
          <t>FILIPSTAD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46040</v>
      </c>
      <c r="E110" s="1" t="n">
        <v>46231</v>
      </c>
      <c r="F110" t="inlineStr">
        <is>
          <t>VÄRMLANDS LÄN</t>
        </is>
      </c>
      <c r="G110" t="inlineStr">
        <is>
          <t>FILIPSTAD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45674</v>
      </c>
      <c r="E111" s="1" t="n">
        <v>46231</v>
      </c>
      <c r="F111" t="inlineStr">
        <is>
          <t>VÄRMLANDS LÄN</t>
        </is>
      </c>
      <c r="G111" t="inlineStr">
        <is>
          <t>FILIPSTAD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46231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46231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29568-2025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46231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46231</v>
      </c>
      <c r="F115" t="inlineStr">
        <is>
          <t>VÄRMLANDS LÄN</t>
        </is>
      </c>
      <c r="G115" t="inlineStr">
        <is>
          <t>FILIPSTAD</t>
        </is>
      </c>
      <c r="I115" t="n">
        <v>23.3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46231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46231</v>
      </c>
      <c r="F117" t="inlineStr">
        <is>
          <t>VÄRMLANDS LÄN</t>
        </is>
      </c>
      <c r="G117" t="inlineStr">
        <is>
          <t>FILIPSTAD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46231</v>
      </c>
      <c r="F118" t="inlineStr">
        <is>
          <t>VÄRMLANDS LÄN</t>
        </is>
      </c>
      <c r="G118" t="inlineStr">
        <is>
          <t>FILIPSTAD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45664</v>
      </c>
      <c r="E119" s="1" t="n">
        <v>46231</v>
      </c>
      <c r="F119" t="inlineStr">
        <is>
          <t>VÄRMLANDS LÄN</t>
        </is>
      </c>
      <c r="G119" t="inlineStr">
        <is>
          <t>FILIPSTAD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46231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46231</v>
      </c>
      <c r="F121" t="inlineStr">
        <is>
          <t>VÄRMLANDS LÄN</t>
        </is>
      </c>
      <c r="G121" t="inlineStr">
        <is>
          <t>FILIPSTAD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45832</v>
      </c>
      <c r="E122" s="1" t="n">
        <v>46231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44672</v>
      </c>
      <c r="E123" s="1" t="n">
        <v>46231</v>
      </c>
      <c r="F123" t="inlineStr">
        <is>
          <t>VÄRMLANDS LÄN</t>
        </is>
      </c>
      <c r="G123" t="inlineStr">
        <is>
          <t>FILIPSTAD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45578</v>
      </c>
      <c r="E124" s="1" t="n">
        <v>46231</v>
      </c>
      <c r="F124" t="inlineStr">
        <is>
          <t>VÄRMLANDS LÄN</t>
        </is>
      </c>
      <c r="G124" t="inlineStr">
        <is>
          <t>FILIPSTAD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46231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46231</v>
      </c>
      <c r="F126" t="inlineStr">
        <is>
          <t>VÄRMLANDS LÄN</t>
        </is>
      </c>
      <c r="G126" t="inlineStr">
        <is>
          <t>FILIPSTAD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46231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32032-2025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45835</v>
      </c>
      <c r="E128" s="1" t="n">
        <v>46231</v>
      </c>
      <c r="F128" t="inlineStr">
        <is>
          <t>VÄRMLANDS LÄN</t>
        </is>
      </c>
      <c r="G128" t="inlineStr">
        <is>
          <t>FILIPSTAD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46231</v>
      </c>
      <c r="F129" t="inlineStr">
        <is>
          <t>VÄRMLANDS LÄN</t>
        </is>
      </c>
      <c r="G129" t="inlineStr">
        <is>
          <t>FILIPSTAD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46231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46231</v>
      </c>
      <c r="F131" t="inlineStr">
        <is>
          <t>VÄRMLANDS LÄN</t>
        </is>
      </c>
      <c r="G131" t="inlineStr">
        <is>
          <t>FILIPSTAD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69015-2021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44530</v>
      </c>
      <c r="E132" s="1" t="n">
        <v>46231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46231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33407-2025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45841</v>
      </c>
      <c r="E134" s="1" t="n">
        <v>46231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45587</v>
      </c>
      <c r="E135" s="1" t="n">
        <v>46231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45579</v>
      </c>
      <c r="E136" s="1" t="n">
        <v>46231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46076</v>
      </c>
      <c r="E137" s="1" t="n">
        <v>46231</v>
      </c>
      <c r="F137" t="inlineStr">
        <is>
          <t>VÄRMLANDS LÄN</t>
        </is>
      </c>
      <c r="G137" t="inlineStr">
        <is>
          <t>FILIPSTAD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44935</v>
      </c>
      <c r="E138" s="1" t="n">
        <v>46231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45826</v>
      </c>
      <c r="E139" s="1" t="n">
        <v>46231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46231</v>
      </c>
      <c r="F140" t="inlineStr">
        <is>
          <t>VÄRMLANDS LÄN</t>
        </is>
      </c>
      <c r="G140" t="inlineStr">
        <is>
          <t>FILIPSTAD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45870</v>
      </c>
      <c r="E141" s="1" t="n">
        <v>46231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46231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46090</v>
      </c>
      <c r="E143" s="1" t="n">
        <v>46231</v>
      </c>
      <c r="F143" t="inlineStr">
        <is>
          <t>VÄRMLANDS LÄN</t>
        </is>
      </c>
      <c r="G143" t="inlineStr">
        <is>
          <t>FILIPSTAD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44788</v>
      </c>
      <c r="E144" s="1" t="n">
        <v>46231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46231</v>
      </c>
      <c r="F145" t="inlineStr">
        <is>
          <t>VÄRMLANDS LÄN</t>
        </is>
      </c>
      <c r="G145" t="inlineStr">
        <is>
          <t>FILIPSTAD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46231</v>
      </c>
      <c r="F146" t="inlineStr">
        <is>
          <t>VÄRMLANDS LÄN</t>
        </is>
      </c>
      <c r="G146" t="inlineStr">
        <is>
          <t>FILIPSTAD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46231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46092</v>
      </c>
      <c r="E148" s="1" t="n">
        <v>46231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46231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46231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46231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46231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46231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46231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45617</v>
      </c>
      <c r="E155" s="1" t="n">
        <v>46231</v>
      </c>
      <c r="F155" t="inlineStr">
        <is>
          <t>VÄRMLANDS LÄN</t>
        </is>
      </c>
      <c r="G155" t="inlineStr">
        <is>
          <t>FILIPSTAD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46231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43045-2024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46231</v>
      </c>
      <c r="F157" t="inlineStr">
        <is>
          <t>VÄRMLANDS LÄN</t>
        </is>
      </c>
      <c r="G157" t="inlineStr">
        <is>
          <t>FILIPSTAD</t>
        </is>
      </c>
      <c r="H157" t="inlineStr">
        <is>
          <t>Kyrkan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46231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45897</v>
      </c>
      <c r="E159" s="1" t="n">
        <v>46231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46231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46231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46231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46107</v>
      </c>
      <c r="E163" s="1" t="n">
        <v>46231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46231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46231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46107</v>
      </c>
      <c r="E166" s="1" t="n">
        <v>46231</v>
      </c>
      <c r="F166" t="inlineStr">
        <is>
          <t>VÄRMLANDS LÄN</t>
        </is>
      </c>
      <c r="G166" t="inlineStr">
        <is>
          <t>FILIPSTAD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46231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46231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46231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16040-2026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46108</v>
      </c>
      <c r="E170" s="1" t="n">
        <v>46231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46231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44998</v>
      </c>
      <c r="E172" s="1" t="n">
        <v>46231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41718-2025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45902</v>
      </c>
      <c r="E173" s="1" t="n">
        <v>46231</v>
      </c>
      <c r="F173" t="inlineStr">
        <is>
          <t>VÄRMLANDS LÄN</t>
        </is>
      </c>
      <c r="G173" t="inlineStr">
        <is>
          <t>FILIPSTAD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45436</v>
      </c>
      <c r="E174" s="1" t="n">
        <v>46231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46231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46231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46231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46231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46120</v>
      </c>
      <c r="E179" s="1" t="n">
        <v>46231</v>
      </c>
      <c r="F179" t="inlineStr">
        <is>
          <t>VÄRMLANDS LÄN</t>
        </is>
      </c>
      <c r="G179" t="inlineStr">
        <is>
          <t>FILIPSTAD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46231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46231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46231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46125</v>
      </c>
      <c r="E183" s="1" t="n">
        <v>46231</v>
      </c>
      <c r="F183" t="inlineStr">
        <is>
          <t>VÄRMLANDS LÄN</t>
        </is>
      </c>
      <c r="G183" t="inlineStr">
        <is>
          <t>FILIPSTAD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46231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46122</v>
      </c>
      <c r="E185" s="1" t="n">
        <v>46231</v>
      </c>
      <c r="F185" t="inlineStr">
        <is>
          <t>VÄRMLANDS LÄN</t>
        </is>
      </c>
      <c r="G185" t="inlineStr">
        <is>
          <t>FILIPSTAD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46122</v>
      </c>
      <c r="E186" s="1" t="n">
        <v>46231</v>
      </c>
      <c r="F186" t="inlineStr">
        <is>
          <t>VÄRMLANDS LÄN</t>
        </is>
      </c>
      <c r="G186" t="inlineStr">
        <is>
          <t>FILIPSTAD</t>
        </is>
      </c>
      <c r="H186" t="inlineStr">
        <is>
          <t>Kommuner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46231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46231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46231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46231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46231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46231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18542-2026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46231</v>
      </c>
      <c r="F193" t="inlineStr">
        <is>
          <t>VÄRMLANDS LÄN</t>
        </is>
      </c>
      <c r="G193" t="inlineStr">
        <is>
          <t>FILIPSTAD</t>
        </is>
      </c>
      <c r="H193" t="inlineStr">
        <is>
          <t>Kommuner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46231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46231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46231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46129</v>
      </c>
      <c r="E197" s="1" t="n">
        <v>46231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46231</v>
      </c>
      <c r="F198" t="inlineStr">
        <is>
          <t>VÄRMLANDS LÄN</t>
        </is>
      </c>
      <c r="G198" t="inlineStr">
        <is>
          <t>FILIPSTAD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46231</v>
      </c>
      <c r="F199" t="inlineStr">
        <is>
          <t>VÄRMLANDS LÄN</t>
        </is>
      </c>
      <c r="G199" t="inlineStr">
        <is>
          <t>FILIPSTAD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22866-2023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45072</v>
      </c>
      <c r="E200" s="1" t="n">
        <v>46231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45484</v>
      </c>
      <c r="E201" s="1" t="n">
        <v>46231</v>
      </c>
      <c r="F201" t="inlineStr">
        <is>
          <t>VÄRMLANDS LÄN</t>
        </is>
      </c>
      <c r="G201" t="inlineStr">
        <is>
          <t>FILIPSTAD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46231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19676-2026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46134</v>
      </c>
      <c r="E203" s="1" t="n">
        <v>46231</v>
      </c>
      <c r="F203" t="inlineStr">
        <is>
          <t>VÄRMLANDS LÄN</t>
        </is>
      </c>
      <c r="G203" t="inlineStr">
        <is>
          <t>FILIPSTAD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46231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46134</v>
      </c>
      <c r="E205" s="1" t="n">
        <v>46231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19669-2026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46231</v>
      </c>
      <c r="F206" t="inlineStr">
        <is>
          <t>VÄRMLANDS LÄN</t>
        </is>
      </c>
      <c r="G206" t="inlineStr">
        <is>
          <t>FILIPSTAD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46231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46231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46231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46231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46231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46231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46231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46231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44433</v>
      </c>
      <c r="E215" s="1" t="n">
        <v>46231</v>
      </c>
      <c r="F215" t="inlineStr">
        <is>
          <t>VÄRMLANDS LÄN</t>
        </is>
      </c>
      <c r="G215" t="inlineStr">
        <is>
          <t>FILIPSTAD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46135</v>
      </c>
      <c r="E216" s="1" t="n">
        <v>46231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46231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46135</v>
      </c>
      <c r="E218" s="1" t="n">
        <v>46231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46231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45896</v>
      </c>
      <c r="E220" s="1" t="n">
        <v>46231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46231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44579</v>
      </c>
      <c r="E222" s="1" t="n">
        <v>46231</v>
      </c>
      <c r="F222" t="inlineStr">
        <is>
          <t>VÄRMLANDS LÄN</t>
        </is>
      </c>
      <c r="G222" t="inlineStr">
        <is>
          <t>FILIPSTAD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46231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46231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46231</v>
      </c>
      <c r="F225" t="inlineStr">
        <is>
          <t>VÄRMLANDS LÄN</t>
        </is>
      </c>
      <c r="G225" t="inlineStr">
        <is>
          <t>FILIPSTAD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46231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46231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45229</v>
      </c>
      <c r="E228" s="1" t="n">
        <v>46231</v>
      </c>
      <c r="F228" t="inlineStr">
        <is>
          <t>VÄRMLANDS LÄN</t>
        </is>
      </c>
      <c r="G228" t="inlineStr">
        <is>
          <t>FILIPSTAD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46231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46231</v>
      </c>
      <c r="F230" t="inlineStr">
        <is>
          <t>VÄRMLANDS LÄN</t>
        </is>
      </c>
      <c r="G230" t="inlineStr">
        <is>
          <t>FILIPSTAD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46231</v>
      </c>
      <c r="F231" t="inlineStr">
        <is>
          <t>VÄRMLANDS LÄN</t>
        </is>
      </c>
      <c r="G231" t="inlineStr">
        <is>
          <t>FILIPSTAD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46231</v>
      </c>
      <c r="F232" t="inlineStr">
        <is>
          <t>VÄRMLANDS LÄN</t>
        </is>
      </c>
      <c r="G232" t="inlineStr">
        <is>
          <t>FILIPSTAD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45750</v>
      </c>
      <c r="E233" s="1" t="n">
        <v>46231</v>
      </c>
      <c r="F233" t="inlineStr">
        <is>
          <t>VÄRMLANDS LÄN</t>
        </is>
      </c>
      <c r="G233" t="inlineStr">
        <is>
          <t>FILIPSTAD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18138-2022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44684</v>
      </c>
      <c r="E234" s="1" t="n">
        <v>46231</v>
      </c>
      <c r="F234" t="inlineStr">
        <is>
          <t>VÄRMLANDS LÄN</t>
        </is>
      </c>
      <c r="G234" t="inlineStr">
        <is>
          <t>FILIPSTAD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46231</v>
      </c>
      <c r="F235" t="inlineStr">
        <is>
          <t>VÄRMLANDS LÄN</t>
        </is>
      </c>
      <c r="G235" t="inlineStr">
        <is>
          <t>FILIPSTAD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46231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45012</v>
      </c>
      <c r="E237" s="1" t="n">
        <v>46231</v>
      </c>
      <c r="F237" t="inlineStr">
        <is>
          <t>VÄRMLANDS LÄN</t>
        </is>
      </c>
      <c r="G237" t="inlineStr">
        <is>
          <t>FILIPSTAD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46231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46231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45202</v>
      </c>
      <c r="E240" s="1" t="n">
        <v>46231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44445</v>
      </c>
      <c r="E241" s="1" t="n">
        <v>46231</v>
      </c>
      <c r="F241" t="inlineStr">
        <is>
          <t>VÄRMLANDS LÄN</t>
        </is>
      </c>
      <c r="G241" t="inlineStr">
        <is>
          <t>FILIPSTAD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46231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46231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45891</v>
      </c>
      <c r="E244" s="1" t="n">
        <v>46231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45014</v>
      </c>
      <c r="E245" s="1" t="n">
        <v>46231</v>
      </c>
      <c r="F245" t="inlineStr">
        <is>
          <t>VÄRMLANDS LÄN</t>
        </is>
      </c>
      <c r="G245" t="inlineStr">
        <is>
          <t>FILIPSTAD</t>
        </is>
      </c>
      <c r="H245" t="inlineStr">
        <is>
          <t>Kyrkan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45427</v>
      </c>
      <c r="E246" s="1" t="n">
        <v>46231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46231</v>
      </c>
      <c r="F247" t="inlineStr">
        <is>
          <t>VÄRMLANDS LÄN</t>
        </is>
      </c>
      <c r="G247" t="inlineStr">
        <is>
          <t>FILIPSTAD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46231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45088</v>
      </c>
      <c r="E249" s="1" t="n">
        <v>46231</v>
      </c>
      <c r="F249" t="inlineStr">
        <is>
          <t>VÄRMLANDS LÄN</t>
        </is>
      </c>
      <c r="G249" t="inlineStr">
        <is>
          <t>FILIPSTAD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46231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46231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46231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19351-2025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45769</v>
      </c>
      <c r="E253" s="1" t="n">
        <v>46231</v>
      </c>
      <c r="F253" t="inlineStr">
        <is>
          <t>VÄRMLANDS LÄN</t>
        </is>
      </c>
      <c r="G253" t="inlineStr">
        <is>
          <t>FILIPSTAD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20554-2025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45775</v>
      </c>
      <c r="E254" s="1" t="n">
        <v>46231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46231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46231</v>
      </c>
      <c r="F256" t="inlineStr">
        <is>
          <t>VÄRMLANDS LÄN</t>
        </is>
      </c>
      <c r="G256" t="inlineStr">
        <is>
          <t>FILIPSTAD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45867</v>
      </c>
      <c r="E257" s="1" t="n">
        <v>46231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46231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46231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45088</v>
      </c>
      <c r="E260" s="1" t="n">
        <v>46231</v>
      </c>
      <c r="F260" t="inlineStr">
        <is>
          <t>VÄRMLANDS LÄN</t>
        </is>
      </c>
      <c r="G260" t="inlineStr">
        <is>
          <t>FILIPSTAD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46231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46231</v>
      </c>
      <c r="F262" t="inlineStr">
        <is>
          <t>VÄRMLANDS LÄN</t>
        </is>
      </c>
      <c r="G262" t="inlineStr">
        <is>
          <t>FILIPSTAD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45063</v>
      </c>
      <c r="E263" s="1" t="n">
        <v>46231</v>
      </c>
      <c r="F263" t="inlineStr">
        <is>
          <t>VÄRMLANDS LÄN</t>
        </is>
      </c>
      <c r="G263" t="inlineStr">
        <is>
          <t>FILIPSTAD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46231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46231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46231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46231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46231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46231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48103-2025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45933</v>
      </c>
      <c r="E270" s="1" t="n">
        <v>46231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46231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46231</v>
      </c>
      <c r="F272" t="inlineStr">
        <is>
          <t>VÄRMLANDS LÄN</t>
        </is>
      </c>
      <c r="G272" t="inlineStr">
        <is>
          <t>FILIPSTAD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46231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46231</v>
      </c>
      <c r="F274" t="inlineStr">
        <is>
          <t>VÄRMLANDS LÄN</t>
        </is>
      </c>
      <c r="G274" t="inlineStr">
        <is>
          <t>FILIPSTAD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46231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46231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46231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46231</v>
      </c>
      <c r="F278" t="inlineStr">
        <is>
          <t>VÄRMLANDS LÄN</t>
        </is>
      </c>
      <c r="G278" t="inlineStr">
        <is>
          <t>FILIPSTAD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46231</v>
      </c>
      <c r="F279" t="inlineStr">
        <is>
          <t>VÄRMLANDS LÄN</t>
        </is>
      </c>
      <c r="G279" t="inlineStr">
        <is>
          <t>FILIPSTAD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46231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46195</v>
      </c>
      <c r="E281" s="1" t="n">
        <v>46231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46231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46231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45106</v>
      </c>
      <c r="E284" s="1" t="n">
        <v>46231</v>
      </c>
      <c r="F284" t="inlineStr">
        <is>
          <t>VÄRMLANDS LÄN</t>
        </is>
      </c>
      <c r="G284" t="inlineStr">
        <is>
          <t>FILIPSTAD</t>
        </is>
      </c>
      <c r="H284" t="inlineStr">
        <is>
          <t>Kyrkan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46231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46231</v>
      </c>
      <c r="F286" t="inlineStr">
        <is>
          <t>VÄRMLANDS LÄN</t>
        </is>
      </c>
      <c r="G286" t="inlineStr">
        <is>
          <t>FILIPSTAD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22021-2026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46231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46231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46231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46231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45741</v>
      </c>
      <c r="E291" s="1" t="n">
        <v>46231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46153</v>
      </c>
      <c r="E292" s="1" t="n">
        <v>46231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46231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46231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45133</v>
      </c>
      <c r="E295" s="1" t="n">
        <v>46231</v>
      </c>
      <c r="F295" t="inlineStr">
        <is>
          <t>VÄRMLANDS LÄN</t>
        </is>
      </c>
      <c r="G295" t="inlineStr">
        <is>
          <t>FILIPSTAD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46231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28419-2026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46231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46231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46197</v>
      </c>
      <c r="E299" s="1" t="n">
        <v>46231</v>
      </c>
      <c r="F299" t="inlineStr">
        <is>
          <t>VÄRMLANDS LÄN</t>
        </is>
      </c>
      <c r="G299" t="inlineStr">
        <is>
          <t>FILIPSTAD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46231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46231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44960</v>
      </c>
      <c r="E302" s="1" t="n">
        <v>46231</v>
      </c>
      <c r="F302" t="inlineStr">
        <is>
          <t>VÄRMLANDS LÄN</t>
        </is>
      </c>
      <c r="G302" t="inlineStr">
        <is>
          <t>FILIPSTAD</t>
        </is>
      </c>
      <c r="H302" t="inlineStr">
        <is>
          <t>Kommuner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4819-2023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44957</v>
      </c>
      <c r="E303" s="1" t="n">
        <v>46231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46231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46231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46231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9270-2023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44980</v>
      </c>
      <c r="E307" s="1" t="n">
        <v>46231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46231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29127-2026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46202</v>
      </c>
      <c r="E309" s="1" t="n">
        <v>46231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45114</v>
      </c>
      <c r="E310" s="1" t="n">
        <v>46231</v>
      </c>
      <c r="F310" t="inlineStr">
        <is>
          <t>VÄRMLANDS LÄN</t>
        </is>
      </c>
      <c r="G310" t="inlineStr">
        <is>
          <t>FILIPSTAD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45524</v>
      </c>
      <c r="E311" s="1" t="n">
        <v>46231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46231</v>
      </c>
      <c r="F312" t="inlineStr">
        <is>
          <t>VÄRMLANDS LÄN</t>
        </is>
      </c>
      <c r="G312" t="inlineStr">
        <is>
          <t>FILIPSTAD</t>
        </is>
      </c>
      <c r="H312" t="inlineStr">
        <is>
          <t>Kyrkan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45947</v>
      </c>
      <c r="E313" s="1" t="n">
        <v>46231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46231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46231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51039-2025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45947</v>
      </c>
      <c r="E316" s="1" t="n">
        <v>46231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46231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45418</v>
      </c>
      <c r="E318" s="1" t="n">
        <v>46231</v>
      </c>
      <c r="F318" t="inlineStr">
        <is>
          <t>VÄRMLANDS LÄN</t>
        </is>
      </c>
      <c r="G318" t="inlineStr">
        <is>
          <t>FILIPSTAD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46231</v>
      </c>
      <c r="F319" t="inlineStr">
        <is>
          <t>VÄRMLANDS LÄN</t>
        </is>
      </c>
      <c r="G319" t="inlineStr">
        <is>
          <t>FILIPSTAD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29010-2026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46231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46231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46231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46231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44637</v>
      </c>
      <c r="E324" s="1" t="n">
        <v>46231</v>
      </c>
      <c r="F324" t="inlineStr">
        <is>
          <t>VÄRMLANDS LÄN</t>
        </is>
      </c>
      <c r="G324" t="inlineStr">
        <is>
          <t>FILIPSTAD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45439</v>
      </c>
      <c r="E325" s="1" t="n">
        <v>46231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46231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46231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45077</v>
      </c>
      <c r="E328" s="1" t="n">
        <v>46231</v>
      </c>
      <c r="F328" t="inlineStr">
        <is>
          <t>VÄRMLANDS LÄN</t>
        </is>
      </c>
      <c r="G328" t="inlineStr">
        <is>
          <t>FILIPSTAD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46231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46203</v>
      </c>
      <c r="E330" s="1" t="n">
        <v>46231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46203</v>
      </c>
      <c r="E331" s="1" t="n">
        <v>46231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46231</v>
      </c>
      <c r="F332" t="inlineStr">
        <is>
          <t>VÄRMLANDS LÄN</t>
        </is>
      </c>
      <c r="G332" t="inlineStr">
        <is>
          <t>FILIPSTAD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46231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46231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46231</v>
      </c>
      <c r="F335" t="inlineStr">
        <is>
          <t>VÄRMLANDS LÄN</t>
        </is>
      </c>
      <c r="G335" t="inlineStr">
        <is>
          <t>FILIPSTAD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46231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52329-2025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46231</v>
      </c>
      <c r="F337" t="inlineStr">
        <is>
          <t>VÄRMLANDS LÄN</t>
        </is>
      </c>
      <c r="G337" t="inlineStr">
        <is>
          <t>FILIPSTAD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46231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46231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46231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46231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46231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23500-2026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46231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45484</v>
      </c>
      <c r="E344" s="1" t="n">
        <v>46231</v>
      </c>
      <c r="F344" t="inlineStr">
        <is>
          <t>VÄRMLANDS LÄN</t>
        </is>
      </c>
      <c r="G344" t="inlineStr">
        <is>
          <t>FILIPSTAD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46231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46205</v>
      </c>
      <c r="E346" s="1" t="n">
        <v>46231</v>
      </c>
      <c r="F346" t="inlineStr">
        <is>
          <t>VÄRMLANDS LÄN</t>
        </is>
      </c>
      <c r="G346" t="inlineStr">
        <is>
          <t>FILIPSTAD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63482-2021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44508</v>
      </c>
      <c r="E347" s="1" t="n">
        <v>46231</v>
      </c>
      <c r="F347" t="inlineStr">
        <is>
          <t>VÄRMLANDS LÄN</t>
        </is>
      </c>
      <c r="G347" t="inlineStr">
        <is>
          <t>FILIPSTAD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46231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46231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45665</v>
      </c>
      <c r="E350" s="1" t="n">
        <v>46231</v>
      </c>
      <c r="F350" t="inlineStr">
        <is>
          <t>VÄRMLANDS LÄN</t>
        </is>
      </c>
      <c r="G350" t="inlineStr">
        <is>
          <t>FILIPSTAD</t>
        </is>
      </c>
      <c r="I350" t="n">
        <v>11.7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46231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46231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49935-2025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45940</v>
      </c>
      <c r="E353" s="1" t="n">
        <v>46231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46231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46231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46231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46231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70405-2021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44536</v>
      </c>
      <c r="E358" s="1" t="n">
        <v>46231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44596</v>
      </c>
      <c r="E359" s="1" t="n">
        <v>46231</v>
      </c>
      <c r="F359" t="inlineStr">
        <is>
          <t>VÄRMLANDS LÄN</t>
        </is>
      </c>
      <c r="G359" t="inlineStr">
        <is>
          <t>FILIPSTAD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46231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46210</v>
      </c>
      <c r="E361" s="1" t="n">
        <v>46231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46231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46231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9.1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46231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46231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46231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46231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40244-2023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45169</v>
      </c>
      <c r="E368" s="1" t="n">
        <v>46231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46231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46231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45960</v>
      </c>
      <c r="E371" s="1" t="n">
        <v>46231</v>
      </c>
      <c r="F371" t="inlineStr">
        <is>
          <t>VÄRMLANDS LÄN</t>
        </is>
      </c>
      <c r="G371" t="inlineStr">
        <is>
          <t>FILIPSTAD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45960</v>
      </c>
      <c r="E372" s="1" t="n">
        <v>46231</v>
      </c>
      <c r="F372" t="inlineStr">
        <is>
          <t>VÄRMLANDS LÄN</t>
        </is>
      </c>
      <c r="G372" t="inlineStr">
        <is>
          <t>FILIPSTAD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46231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9.300000000000001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46212</v>
      </c>
      <c r="E374" s="1" t="n">
        <v>46231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24288-2026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46231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53325-2025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45959</v>
      </c>
      <c r="E376" s="1" t="n">
        <v>46231</v>
      </c>
      <c r="F376" t="inlineStr">
        <is>
          <t>VÄRMLANDS LÄN</t>
        </is>
      </c>
      <c r="G376" t="inlineStr">
        <is>
          <t>FILIPSTAD</t>
        </is>
      </c>
      <c r="H376" t="inlineStr">
        <is>
          <t>Kyrkan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45959</v>
      </c>
      <c r="E377" s="1" t="n">
        <v>46231</v>
      </c>
      <c r="F377" t="inlineStr">
        <is>
          <t>VÄRMLANDS LÄN</t>
        </is>
      </c>
      <c r="G377" t="inlineStr">
        <is>
          <t>FILIPSTAD</t>
        </is>
      </c>
      <c r="H377" t="inlineStr">
        <is>
          <t>Kyrkan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46231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46231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46231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46231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46231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46231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46231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46231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45658</v>
      </c>
      <c r="E386" s="1" t="n">
        <v>46231</v>
      </c>
      <c r="F386" t="inlineStr">
        <is>
          <t>VÄRMLANDS LÄN</t>
        </is>
      </c>
      <c r="G386" t="inlineStr">
        <is>
          <t>FILIPSTAD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46231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46231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46231</v>
      </c>
      <c r="F389" t="inlineStr">
        <is>
          <t>VÄRMLANDS LÄN</t>
        </is>
      </c>
      <c r="G389" t="inlineStr">
        <is>
          <t>FILIPSTAD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46231</v>
      </c>
      <c r="F390" t="inlineStr">
        <is>
          <t>VÄRMLANDS LÄN</t>
        </is>
      </c>
      <c r="G390" t="inlineStr">
        <is>
          <t>FILIPSTAD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45063</v>
      </c>
      <c r="E391" s="1" t="n">
        <v>46231</v>
      </c>
      <c r="F391" t="inlineStr">
        <is>
          <t>VÄRMLANDS LÄN</t>
        </is>
      </c>
      <c r="G391" t="inlineStr">
        <is>
          <t>FILIPSTAD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59436-2024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45638</v>
      </c>
      <c r="E392" s="1" t="n">
        <v>46231</v>
      </c>
      <c r="F392" t="inlineStr">
        <is>
          <t>VÄRMLANDS LÄN</t>
        </is>
      </c>
      <c r="G392" t="inlineStr">
        <is>
          <t>FILIPSTAD</t>
        </is>
      </c>
      <c r="H392" t="inlineStr">
        <is>
          <t>Kyrkan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46231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45749</v>
      </c>
      <c r="E394" s="1" t="n">
        <v>46231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54328-2025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46231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45229</v>
      </c>
      <c r="E396" s="1" t="n">
        <v>46231</v>
      </c>
      <c r="F396" t="inlineStr">
        <is>
          <t>VÄRMLANDS LÄN</t>
        </is>
      </c>
      <c r="G396" t="inlineStr">
        <is>
          <t>FILIPSTAD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46231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31283-2026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46218</v>
      </c>
      <c r="E398" s="1" t="n">
        <v>46231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55173-2025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46231</v>
      </c>
      <c r="F399" t="inlineStr">
        <is>
          <t>VÄRMLANDS LÄN</t>
        </is>
      </c>
      <c r="G399" t="inlineStr">
        <is>
          <t>FILIPSTAD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55175-2025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46231</v>
      </c>
      <c r="F400" t="inlineStr">
        <is>
          <t>VÄRMLANDS LÄN</t>
        </is>
      </c>
      <c r="G400" t="inlineStr">
        <is>
          <t>FILIPSTAD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46231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46231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46231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55514-2025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46231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46219</v>
      </c>
      <c r="E405" s="1" t="n">
        <v>46231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46231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8.699999999999999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45972</v>
      </c>
      <c r="E407" s="1" t="n">
        <v>46231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46231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29825-2023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45107</v>
      </c>
      <c r="E409" s="1" t="n">
        <v>46231</v>
      </c>
      <c r="F409" t="inlineStr">
        <is>
          <t>VÄRMLANDS LÄN</t>
        </is>
      </c>
      <c r="G409" t="inlineStr">
        <is>
          <t>FILIPSTAD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46231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46231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46231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46231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46231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46231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46231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46231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46231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56028-2025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46231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56008-2025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46231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46231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46231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27789-2022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44743</v>
      </c>
      <c r="E423" s="1" t="n">
        <v>46231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46231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56045-2025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46231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46231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43484-2023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46231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46231</v>
      </c>
      <c r="F428" t="inlineStr">
        <is>
          <t>VÄRMLANDS LÄN</t>
        </is>
      </c>
      <c r="G428" t="inlineStr">
        <is>
          <t>FILIPSTAD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28161-2023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45093</v>
      </c>
      <c r="E429" s="1" t="n">
        <v>46231</v>
      </c>
      <c r="F429" t="inlineStr">
        <is>
          <t>VÄRMLANDS LÄN</t>
        </is>
      </c>
      <c r="G429" t="inlineStr">
        <is>
          <t>FILIPSTAD</t>
        </is>
      </c>
      <c r="H429" t="inlineStr">
        <is>
          <t>Kommuner</t>
        </is>
      </c>
      <c r="I429" t="n">
        <v>15.4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46231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45775</v>
      </c>
      <c r="E431" s="1" t="n">
        <v>46231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31537-2026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46223</v>
      </c>
      <c r="E432" s="1" t="n">
        <v>46231</v>
      </c>
      <c r="F432" t="inlineStr">
        <is>
          <t>VÄRMLANDS LÄN</t>
        </is>
      </c>
      <c r="G432" t="inlineStr">
        <is>
          <t>FILIPSTAD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46223</v>
      </c>
      <c r="E433" s="1" t="n">
        <v>46231</v>
      </c>
      <c r="F433" t="inlineStr">
        <is>
          <t>VÄRMLANDS LÄN</t>
        </is>
      </c>
      <c r="G433" t="inlineStr">
        <is>
          <t>FILIPSTAD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45456</v>
      </c>
      <c r="E434" s="1" t="n">
        <v>46231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46231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46226</v>
      </c>
      <c r="E436" s="1" t="n">
        <v>46231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46231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46231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18.8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46226</v>
      </c>
      <c r="E439" s="1" t="n">
        <v>46231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26323-2026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46231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46226</v>
      </c>
      <c r="E441" s="1" t="n">
        <v>46231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46182</v>
      </c>
      <c r="E442" s="1" t="n">
        <v>46231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46231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46183</v>
      </c>
      <c r="E444" s="1" t="n">
        <v>46231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44691</v>
      </c>
      <c r="E445" s="1" t="n">
        <v>46231</v>
      </c>
      <c r="F445" t="inlineStr">
        <is>
          <t>VÄRMLANDS LÄN</t>
        </is>
      </c>
      <c r="G445" t="inlineStr">
        <is>
          <t>FILIPSTAD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46182</v>
      </c>
      <c r="E446" s="1" t="n">
        <v>46231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46231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46225</v>
      </c>
      <c r="E448" s="1" t="n">
        <v>46231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46231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46231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46227</v>
      </c>
      <c r="E451" s="1" t="n">
        <v>46231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46227</v>
      </c>
      <c r="E452" s="1" t="n">
        <v>46231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46231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57872-2025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46231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37577-2023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45159</v>
      </c>
      <c r="E455" s="1" t="n">
        <v>46231</v>
      </c>
      <c r="F455" t="inlineStr">
        <is>
          <t>VÄRMLANDS LÄN</t>
        </is>
      </c>
      <c r="G455" t="inlineStr">
        <is>
          <t>FILIPSTAD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45180</v>
      </c>
      <c r="E456" s="1" t="n">
        <v>46231</v>
      </c>
      <c r="F456" t="inlineStr">
        <is>
          <t>VÄRMLANDS LÄN</t>
        </is>
      </c>
      <c r="G456" t="inlineStr">
        <is>
          <t>FILIPSTAD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16371-2024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45407</v>
      </c>
      <c r="E457" s="1" t="n">
        <v>46231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58211-2025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45985</v>
      </c>
      <c r="E458" s="1" t="n">
        <v>46231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46187</v>
      </c>
      <c r="E459" s="1" t="n">
        <v>46231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46231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46231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46231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46186</v>
      </c>
      <c r="E463" s="1" t="n">
        <v>46231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46186</v>
      </c>
      <c r="E464" s="1" t="n">
        <v>46231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46231</v>
      </c>
      <c r="F465" t="inlineStr">
        <is>
          <t>VÄRMLANDS LÄN</t>
        </is>
      </c>
      <c r="G465" t="inlineStr">
        <is>
          <t>FILIPSTAD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59414-2025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46231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45992</v>
      </c>
      <c r="E467" s="1" t="n">
        <v>46231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53210-2023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45222</v>
      </c>
      <c r="E468" s="1" t="n">
        <v>46231</v>
      </c>
      <c r="F468" t="inlineStr">
        <is>
          <t>VÄRMLANDS LÄN</t>
        </is>
      </c>
      <c r="G468" t="inlineStr">
        <is>
          <t>FILIPSTAD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59707-2025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45992</v>
      </c>
      <c r="E469" s="1" t="n">
        <v>46231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46231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39633-2023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45167</v>
      </c>
      <c r="E471" s="1" t="n">
        <v>46231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45186</v>
      </c>
      <c r="E472" s="1" t="n">
        <v>46231</v>
      </c>
      <c r="F472" t="inlineStr">
        <is>
          <t>VÄRMLANDS LÄN</t>
        </is>
      </c>
      <c r="G472" t="inlineStr">
        <is>
          <t>FILIPSTAD</t>
        </is>
      </c>
      <c r="I472" t="n">
        <v>15.3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16103-2025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45750</v>
      </c>
      <c r="E473" s="1" t="n">
        <v>46231</v>
      </c>
      <c r="F473" t="inlineStr">
        <is>
          <t>VÄRMLANDS LÄN</t>
        </is>
      </c>
      <c r="G473" t="inlineStr">
        <is>
          <t>FILIPSTAD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59423-2025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45989</v>
      </c>
      <c r="E474" s="1" t="n">
        <v>46231</v>
      </c>
      <c r="F474" t="inlineStr">
        <is>
          <t>VÄRMLANDS LÄN</t>
        </is>
      </c>
      <c r="G474" t="inlineStr">
        <is>
          <t>FILIPSTAD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59410-2025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45989</v>
      </c>
      <c r="E475" s="1" t="n">
        <v>46231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59406-2025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45989</v>
      </c>
      <c r="E476" s="1" t="n">
        <v>46231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45328</v>
      </c>
      <c r="E477" s="1" t="n">
        <v>46231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46231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59929-2025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45993</v>
      </c>
      <c r="E479" s="1" t="n">
        <v>46231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36251-2022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44803</v>
      </c>
      <c r="E480" s="1" t="n">
        <v>46231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60653-2025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45996</v>
      </c>
      <c r="E481" s="1" t="n">
        <v>46231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33671-2022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44789</v>
      </c>
      <c r="E482" s="1" t="n">
        <v>46231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60550-2025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46231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46231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60396-2025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46231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46257-2022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44847</v>
      </c>
      <c r="E486" s="1" t="n">
        <v>46231</v>
      </c>
      <c r="F486" t="inlineStr">
        <is>
          <t>VÄRMLANDS LÄN</t>
        </is>
      </c>
      <c r="G486" t="inlineStr">
        <is>
          <t>FILIPSTAD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36827-2022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44805</v>
      </c>
      <c r="E487" s="1" t="n">
        <v>46231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37611-2022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44809</v>
      </c>
      <c r="E488" s="1" t="n">
        <v>46231</v>
      </c>
      <c r="F488" t="inlineStr">
        <is>
          <t>VÄRMLANDS LÄN</t>
        </is>
      </c>
      <c r="G488" t="inlineStr">
        <is>
          <t>FILIPSTAD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61069-2025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46000</v>
      </c>
      <c r="E489" s="1" t="n">
        <v>46231</v>
      </c>
      <c r="F489" t="inlineStr">
        <is>
          <t>VÄRMLANDS LÄN</t>
        </is>
      </c>
      <c r="G489" t="inlineStr">
        <is>
          <t>FILIPSTAD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57244-2023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46231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46231</v>
      </c>
      <c r="F491" t="inlineStr">
        <is>
          <t>VÄRMLANDS LÄN</t>
        </is>
      </c>
      <c r="G491" t="inlineStr">
        <is>
          <t>FILIPSTAD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61327-2025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46001</v>
      </c>
      <c r="E492" s="1" t="n">
        <v>46231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46001</v>
      </c>
      <c r="E493" s="1" t="n">
        <v>46231</v>
      </c>
      <c r="F493" t="inlineStr">
        <is>
          <t>VÄRMLANDS LÄN</t>
        </is>
      </c>
      <c r="G493" t="inlineStr">
        <is>
          <t>FILIPSTAD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61482-2025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46001</v>
      </c>
      <c r="E494" s="1" t="n">
        <v>46231</v>
      </c>
      <c r="F494" t="inlineStr">
        <is>
          <t>VÄRMLANDS LÄN</t>
        </is>
      </c>
      <c r="G494" t="inlineStr">
        <is>
          <t>FILIPSTAD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61717-2025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46231</v>
      </c>
      <c r="F495" t="inlineStr">
        <is>
          <t>VÄRMLANDS LÄN</t>
        </is>
      </c>
      <c r="G495" t="inlineStr">
        <is>
          <t>FILIPSTAD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61417-2025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46001</v>
      </c>
      <c r="E496" s="1" t="n">
        <v>46231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61719-2025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46002</v>
      </c>
      <c r="E497" s="1" t="n">
        <v>46231</v>
      </c>
      <c r="F497" t="inlineStr">
        <is>
          <t>VÄRMLANDS LÄN</t>
        </is>
      </c>
      <c r="G497" t="inlineStr">
        <is>
          <t>FILIPSTAD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46231</v>
      </c>
      <c r="F498" t="inlineStr">
        <is>
          <t>VÄRMLANDS LÄN</t>
        </is>
      </c>
      <c r="G498" t="inlineStr">
        <is>
          <t>FILIPSTAD</t>
        </is>
      </c>
      <c r="I498" t="n">
        <v>7.7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61793-2025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46002</v>
      </c>
      <c r="E499" s="1" t="n">
        <v>46231</v>
      </c>
      <c r="F499" t="inlineStr">
        <is>
          <t>VÄRMLANDS LÄN</t>
        </is>
      </c>
      <c r="G499" t="inlineStr">
        <is>
          <t>FILIPSTAD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61492-2025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46001</v>
      </c>
      <c r="E500" s="1" t="n">
        <v>46231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61391-2025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46231</v>
      </c>
      <c r="F501" t="inlineStr">
        <is>
          <t>VÄRMLANDS LÄN</t>
        </is>
      </c>
      <c r="G501" t="inlineStr">
        <is>
          <t>FILIPSTAD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62034-2025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46004</v>
      </c>
      <c r="E502" s="1" t="n">
        <v>46231</v>
      </c>
      <c r="F502" t="inlineStr">
        <is>
          <t>VÄRMLANDS LÄN</t>
        </is>
      </c>
      <c r="G502" t="inlineStr">
        <is>
          <t>FILIPSTAD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62021-2025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46231</v>
      </c>
      <c r="F503" t="inlineStr">
        <is>
          <t>VÄRMLANDS LÄN</t>
        </is>
      </c>
      <c r="G503" t="inlineStr">
        <is>
          <t>FILIPSTAD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46004</v>
      </c>
      <c r="E504" s="1" t="n">
        <v>46231</v>
      </c>
      <c r="F504" t="inlineStr">
        <is>
          <t>VÄRMLANDS LÄN</t>
        </is>
      </c>
      <c r="G504" t="inlineStr">
        <is>
          <t>FILIPSTAD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45087</v>
      </c>
      <c r="E505" s="1" t="n">
        <v>46231</v>
      </c>
      <c r="F505" t="inlineStr">
        <is>
          <t>VÄRMLANDS LÄN</t>
        </is>
      </c>
      <c r="G505" t="inlineStr">
        <is>
          <t>FILIPSTAD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61823-2025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46003</v>
      </c>
      <c r="E506" s="1" t="n">
        <v>46231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62252-2025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46231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46231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54127-2023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45232</v>
      </c>
      <c r="E509" s="1" t="n">
        <v>46231</v>
      </c>
      <c r="F509" t="inlineStr">
        <is>
          <t>VÄRMLANDS LÄN</t>
        </is>
      </c>
      <c r="G509" t="inlineStr">
        <is>
          <t>FILIPSTAD</t>
        </is>
      </c>
      <c r="I509" t="n">
        <v>15.5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63186-2025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46231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46231</v>
      </c>
      <c r="F511" t="inlineStr">
        <is>
          <t>VÄRMLANDS LÄN</t>
        </is>
      </c>
      <c r="G511" t="inlineStr">
        <is>
          <t>FILIPSTAD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63678-2025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46014</v>
      </c>
      <c r="E512" s="1" t="n">
        <v>46231</v>
      </c>
      <c r="F512" t="inlineStr">
        <is>
          <t>VÄRMLANDS LÄN</t>
        </is>
      </c>
      <c r="G512" t="inlineStr">
        <is>
          <t>FILIPSTAD</t>
        </is>
      </c>
      <c r="I512" t="n">
        <v>9.9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44439</v>
      </c>
      <c r="E513" s="1" t="n">
        <v>46231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63629-2025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46014</v>
      </c>
      <c r="E514" s="1" t="n">
        <v>46231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17763-2025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45758</v>
      </c>
      <c r="E515" s="1" t="n">
        <v>46231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46231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53034-2022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44876</v>
      </c>
      <c r="E517" s="1" t="n">
        <v>46231</v>
      </c>
      <c r="F517" t="inlineStr">
        <is>
          <t>VÄRMLANDS LÄN</t>
        </is>
      </c>
      <c r="G517" t="inlineStr">
        <is>
          <t>FILIPSTAD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45229</v>
      </c>
      <c r="E518" s="1" t="n">
        <v>46231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46231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50904-2023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46231</v>
      </c>
      <c r="F520" t="inlineStr">
        <is>
          <t>VÄRMLANDS LÄN</t>
        </is>
      </c>
      <c r="G520" t="inlineStr">
        <is>
          <t>FILIPSTAD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55397-2022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44887</v>
      </c>
      <c r="E521" s="1" t="n">
        <v>46231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6520-2023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44960</v>
      </c>
      <c r="E522" s="1" t="n">
        <v>46231</v>
      </c>
      <c r="F522" t="inlineStr">
        <is>
          <t>VÄRMLANDS LÄN</t>
        </is>
      </c>
      <c r="G522" t="inlineStr">
        <is>
          <t>FILIPSTAD</t>
        </is>
      </c>
      <c r="H522" t="inlineStr">
        <is>
          <t>Kommuner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55978-2022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44889</v>
      </c>
      <c r="E523" s="1" t="n">
        <v>46231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50856-2022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44867</v>
      </c>
      <c r="E524" s="1" t="n">
        <v>46231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61628-2022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46231</v>
      </c>
      <c r="F525" t="inlineStr">
        <is>
          <t>VÄRMLANDS LÄN</t>
        </is>
      </c>
      <c r="G525" t="inlineStr">
        <is>
          <t>FILIPSTAD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43264-2024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45568</v>
      </c>
      <c r="E526" s="1" t="n">
        <v>46231</v>
      </c>
      <c r="F526" t="inlineStr">
        <is>
          <t>VÄRMLANDS LÄN</t>
        </is>
      </c>
      <c r="G526" t="inlineStr">
        <is>
          <t>FILIPSTAD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45253</v>
      </c>
      <c r="E527" s="1" t="n">
        <v>46231</v>
      </c>
      <c r="F527" t="inlineStr">
        <is>
          <t>VÄRMLANDS LÄN</t>
        </is>
      </c>
      <c r="G527" t="inlineStr">
        <is>
          <t>FILIPSTAD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46231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44384-2021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44435</v>
      </c>
      <c r="E529" s="1" t="n">
        <v>46231</v>
      </c>
      <c r="F529" t="inlineStr">
        <is>
          <t>VÄRMLANDS LÄN</t>
        </is>
      </c>
      <c r="G529" t="inlineStr">
        <is>
          <t>FILIPSTAD</t>
        </is>
      </c>
      <c r="I529" t="n">
        <v>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36680-2023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45153</v>
      </c>
      <c r="E530" s="1" t="n">
        <v>46231</v>
      </c>
      <c r="F530" t="inlineStr">
        <is>
          <t>VÄRMLANDS LÄN</t>
        </is>
      </c>
      <c r="G530" t="inlineStr">
        <is>
          <t>FILIPSTAD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5803-2023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44963</v>
      </c>
      <c r="E531" s="1" t="n">
        <v>46231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50776-2024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46231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51618-2022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44872</v>
      </c>
      <c r="E533" s="1" t="n">
        <v>46231</v>
      </c>
      <c r="F533" t="inlineStr">
        <is>
          <t>VÄRMLANDS LÄN</t>
        </is>
      </c>
      <c r="G533" t="inlineStr">
        <is>
          <t>FILIPSTAD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71971-2021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44544</v>
      </c>
      <c r="E534" s="1" t="n">
        <v>46231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45114</v>
      </c>
      <c r="E535" s="1" t="n">
        <v>46231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44981</v>
      </c>
      <c r="E536" s="1" t="n">
        <v>46231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8.1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54008-2021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44470</v>
      </c>
      <c r="E537" s="1" t="n">
        <v>46231</v>
      </c>
      <c r="F537" t="inlineStr">
        <is>
          <t>VÄRMLANDS LÄN</t>
        </is>
      </c>
      <c r="G537" t="inlineStr">
        <is>
          <t>FILIPSTAD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50786-2024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45602</v>
      </c>
      <c r="E538" s="1" t="n">
        <v>46231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44963</v>
      </c>
      <c r="E539" s="1" t="n">
        <v>46231</v>
      </c>
      <c r="F539" t="inlineStr">
        <is>
          <t>VÄRMLANDS LÄN</t>
        </is>
      </c>
      <c r="G539" t="inlineStr">
        <is>
          <t>FILIPSTAD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36809-2022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44805</v>
      </c>
      <c r="E540" s="1" t="n">
        <v>46231</v>
      </c>
      <c r="F540" t="inlineStr">
        <is>
          <t>VÄRMLANDS LÄN</t>
        </is>
      </c>
      <c r="G540" t="inlineStr">
        <is>
          <t>FILIPSTAD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33967-2023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45124</v>
      </c>
      <c r="E541" s="1" t="n">
        <v>46231</v>
      </c>
      <c r="F541" t="inlineStr">
        <is>
          <t>VÄRMLANDS LÄN</t>
        </is>
      </c>
      <c r="G541" t="inlineStr">
        <is>
          <t>FILIPSTAD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33973-2023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45124</v>
      </c>
      <c r="E542" s="1" t="n">
        <v>46231</v>
      </c>
      <c r="F542" t="inlineStr">
        <is>
          <t>VÄRMLANDS LÄN</t>
        </is>
      </c>
      <c r="G542" t="inlineStr">
        <is>
          <t>FILIPSTAD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61741-2022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44911</v>
      </c>
      <c r="E543" s="1" t="n">
        <v>46231</v>
      </c>
      <c r="F543" t="inlineStr">
        <is>
          <t>VÄRMLANDS LÄN</t>
        </is>
      </c>
      <c r="G543" t="inlineStr">
        <is>
          <t>FILIPSTAD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25737-2023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45090</v>
      </c>
      <c r="E544" s="1" t="n">
        <v>46231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44579</v>
      </c>
      <c r="E545" s="1" t="n">
        <v>46231</v>
      </c>
      <c r="F545" t="inlineStr">
        <is>
          <t>VÄRMLANDS LÄN</t>
        </is>
      </c>
      <c r="G545" t="inlineStr">
        <is>
          <t>FILIPSTAD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15471-2024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45401</v>
      </c>
      <c r="E546" s="1" t="n">
        <v>46231</v>
      </c>
      <c r="F546" t="inlineStr">
        <is>
          <t>VÄRMLANDS LÄN</t>
        </is>
      </c>
      <c r="G546" t="inlineStr">
        <is>
          <t>FILIPSTAD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45516</v>
      </c>
      <c r="E547" s="1" t="n">
        <v>46231</v>
      </c>
      <c r="F547" t="inlineStr">
        <is>
          <t>VÄRMLANDS LÄN</t>
        </is>
      </c>
      <c r="G547" t="inlineStr">
        <is>
          <t>FILIPSTAD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5992-2023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44959</v>
      </c>
      <c r="E548" s="1" t="n">
        <v>46231</v>
      </c>
      <c r="F548" t="inlineStr">
        <is>
          <t>VÄRMLANDS LÄN</t>
        </is>
      </c>
      <c r="G548" t="inlineStr">
        <is>
          <t>FILIPSTAD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62014-2024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45655</v>
      </c>
      <c r="E549" s="1" t="n">
        <v>46231</v>
      </c>
      <c r="F549" t="inlineStr">
        <is>
          <t>VÄRMLANDS LÄN</t>
        </is>
      </c>
      <c r="G549" t="inlineStr">
        <is>
          <t>FILIPSTAD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45037</v>
      </c>
      <c r="E550" s="1" t="n">
        <v>46231</v>
      </c>
      <c r="F550" t="inlineStr">
        <is>
          <t>VÄRMLANDS LÄN</t>
        </is>
      </c>
      <c r="G550" t="inlineStr">
        <is>
          <t>FILIPSTAD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4418-2024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45327</v>
      </c>
      <c r="E551" s="1" t="n">
        <v>46231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45516-2024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45578</v>
      </c>
      <c r="E552" s="1" t="n">
        <v>46231</v>
      </c>
      <c r="F552" t="inlineStr">
        <is>
          <t>VÄRMLANDS LÄN</t>
        </is>
      </c>
      <c r="G552" t="inlineStr">
        <is>
          <t>FILIPSTAD</t>
        </is>
      </c>
      <c r="I552" t="n">
        <v>27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46680-2024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45583</v>
      </c>
      <c r="E553" s="1" t="n">
        <v>46231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22830-2023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45072</v>
      </c>
      <c r="E554" s="1" t="n">
        <v>46231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62013-2024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45655</v>
      </c>
      <c r="E555" s="1" t="n">
        <v>46231</v>
      </c>
      <c r="F555" t="inlineStr">
        <is>
          <t>VÄRMLANDS LÄN</t>
        </is>
      </c>
      <c r="G555" t="inlineStr">
        <is>
          <t>FILIPSTAD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48040-2023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46231</v>
      </c>
      <c r="F556" t="inlineStr">
        <is>
          <t>VÄRMLANDS LÄN</t>
        </is>
      </c>
      <c r="G556" t="inlineStr">
        <is>
          <t>FILIPSTAD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48908-2023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46231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44935</v>
      </c>
      <c r="E558" s="1" t="n">
        <v>46231</v>
      </c>
      <c r="F558" t="inlineStr">
        <is>
          <t>VÄRMLANDS LÄN</t>
        </is>
      </c>
      <c r="G558" t="inlineStr">
        <is>
          <t>FILIPSTAD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10306-2025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45720</v>
      </c>
      <c r="E559" s="1" t="n">
        <v>46231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41075-2023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45173</v>
      </c>
      <c r="E560" s="1" t="n">
        <v>46231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14582-2025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45742</v>
      </c>
      <c r="E561" s="1" t="n">
        <v>46231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56840-2024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45628</v>
      </c>
      <c r="E562" s="1" t="n">
        <v>46231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45712</v>
      </c>
      <c r="E563" s="1" t="n">
        <v>46231</v>
      </c>
      <c r="F563" t="inlineStr">
        <is>
          <t>VÄRMLANDS LÄN</t>
        </is>
      </c>
      <c r="G563" t="inlineStr">
        <is>
          <t>FILIPSTAD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45077</v>
      </c>
      <c r="E564" s="1" t="n">
        <v>46231</v>
      </c>
      <c r="F564" t="inlineStr">
        <is>
          <t>VÄRMLANDS LÄN</t>
        </is>
      </c>
      <c r="G564" t="inlineStr">
        <is>
          <t>FILIPSTAD</t>
        </is>
      </c>
      <c r="I564" t="n">
        <v>15.8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45643</v>
      </c>
      <c r="E565" s="1" t="n">
        <v>46231</v>
      </c>
      <c r="F565" t="inlineStr">
        <is>
          <t>VÄRMLANDS LÄN</t>
        </is>
      </c>
      <c r="G565" t="inlineStr">
        <is>
          <t>FILIPSTAD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45740</v>
      </c>
      <c r="E566" s="1" t="n">
        <v>46231</v>
      </c>
      <c r="F566" t="inlineStr">
        <is>
          <t>VÄRMLANDS LÄN</t>
        </is>
      </c>
      <c r="G566" t="inlineStr">
        <is>
          <t>FILIPSTAD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46231</v>
      </c>
      <c r="F567" t="inlineStr">
        <is>
          <t>VÄRMLANDS LÄN</t>
        </is>
      </c>
      <c r="G567" t="inlineStr">
        <is>
          <t>FILIPSTAD</t>
        </is>
      </c>
      <c r="H567" t="inlineStr">
        <is>
          <t>Kommuner</t>
        </is>
      </c>
      <c r="I567" t="n">
        <v>17.7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45436</v>
      </c>
      <c r="E568" s="1" t="n">
        <v>46231</v>
      </c>
      <c r="F568" t="inlineStr">
        <is>
          <t>VÄRMLANDS LÄN</t>
        </is>
      </c>
      <c r="G568" t="inlineStr">
        <is>
          <t>FILIPSTAD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34262-2024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45524</v>
      </c>
      <c r="E569" s="1" t="n">
        <v>46231</v>
      </c>
      <c r="F569" t="inlineStr">
        <is>
          <t>VÄRMLANDS LÄN</t>
        </is>
      </c>
      <c r="G569" t="inlineStr">
        <is>
          <t>FILIPSTAD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45299</v>
      </c>
      <c r="E570" s="1" t="n">
        <v>46231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46231</v>
      </c>
      <c r="F571" t="inlineStr">
        <is>
          <t>VÄRMLANDS LÄN</t>
        </is>
      </c>
      <c r="G571" t="inlineStr">
        <is>
          <t>FILIPSTAD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27139-2024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45471</v>
      </c>
      <c r="E572" s="1" t="n">
        <v>46231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45414</v>
      </c>
      <c r="E573" s="1" t="n">
        <v>46231</v>
      </c>
      <c r="F573" t="inlineStr">
        <is>
          <t>VÄRMLANDS LÄN</t>
        </is>
      </c>
      <c r="G573" t="inlineStr">
        <is>
          <t>FILIPSTAD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45439</v>
      </c>
      <c r="E574" s="1" t="n">
        <v>46231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46231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47002-2024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46231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65167-2021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44515</v>
      </c>
      <c r="E577" s="1" t="n">
        <v>46231</v>
      </c>
      <c r="F577" t="inlineStr">
        <is>
          <t>VÄRMLANDS LÄN</t>
        </is>
      </c>
      <c r="G577" t="inlineStr">
        <is>
          <t>FILIPSTAD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45790</v>
      </c>
      <c r="E578" s="1" t="n">
        <v>46231</v>
      </c>
      <c r="F578" t="inlineStr">
        <is>
          <t>VÄRMLANDS LÄN</t>
        </is>
      </c>
      <c r="G578" t="inlineStr">
        <is>
          <t>FILIPSTAD</t>
        </is>
      </c>
      <c r="H578" t="inlineStr">
        <is>
          <t>Kyrkan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23266-2025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46231</v>
      </c>
      <c r="F579" t="inlineStr">
        <is>
          <t>VÄRMLANDS LÄN</t>
        </is>
      </c>
      <c r="G579" t="inlineStr">
        <is>
          <t>FILIPSTAD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23475-2025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45792</v>
      </c>
      <c r="E580" s="1" t="n">
        <v>46231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28357-2024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45477</v>
      </c>
      <c r="E581" s="1" t="n">
        <v>46231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48702-2024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46231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35304-2024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45530</v>
      </c>
      <c r="E583" s="1" t="n">
        <v>46231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23399-2025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45792</v>
      </c>
      <c r="E584" s="1" t="n">
        <v>46231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45667</v>
      </c>
      <c r="E585" s="1" t="n">
        <v>46231</v>
      </c>
      <c r="F585" t="inlineStr">
        <is>
          <t>VÄRMLANDS LÄN</t>
        </is>
      </c>
      <c r="G585" t="inlineStr">
        <is>
          <t>FILIPSTAD</t>
        </is>
      </c>
      <c r="H585" t="inlineStr">
        <is>
          <t>Kommuner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46231</v>
      </c>
      <c r="F586" t="inlineStr">
        <is>
          <t>VÄRMLANDS LÄN</t>
        </is>
      </c>
      <c r="G586" t="inlineStr">
        <is>
          <t>FILIPSTAD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45322</v>
      </c>
      <c r="E587" s="1" t="n">
        <v>46231</v>
      </c>
      <c r="F587" t="inlineStr">
        <is>
          <t>VÄRMLANDS LÄN</t>
        </is>
      </c>
      <c r="G587" t="inlineStr">
        <is>
          <t>FILIPSTAD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72118-2021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44543</v>
      </c>
      <c r="E588" s="1" t="n">
        <v>46231</v>
      </c>
      <c r="F588" t="inlineStr">
        <is>
          <t>VÄRMLANDS LÄN</t>
        </is>
      </c>
      <c r="G588" t="inlineStr">
        <is>
          <t>FILIPSTAD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24143-2025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46231</v>
      </c>
      <c r="F589" t="inlineStr">
        <is>
          <t>VÄRMLANDS LÄN</t>
        </is>
      </c>
      <c r="G589" t="inlineStr">
        <is>
          <t>FILIPSTAD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15396-2025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45747</v>
      </c>
      <c r="E590" s="1" t="n">
        <v>46231</v>
      </c>
      <c r="F590" t="inlineStr">
        <is>
          <t>VÄRMLANDS LÄN</t>
        </is>
      </c>
      <c r="G590" t="inlineStr">
        <is>
          <t>FILIPSTAD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23775-2025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45793</v>
      </c>
      <c r="E591" s="1" t="n">
        <v>46231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45355</v>
      </c>
      <c r="E592" s="1" t="n">
        <v>46231</v>
      </c>
      <c r="F592" t="inlineStr">
        <is>
          <t>VÄRMLANDS LÄN</t>
        </is>
      </c>
      <c r="G592" t="inlineStr">
        <is>
          <t>FILIPSTAD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65174-2021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44515</v>
      </c>
      <c r="E593" s="1" t="n">
        <v>46231</v>
      </c>
      <c r="F593" t="inlineStr">
        <is>
          <t>VÄRMLANDS LÄN</t>
        </is>
      </c>
      <c r="G593" t="inlineStr">
        <is>
          <t>FILIPSTAD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45747</v>
      </c>
      <c r="E594" s="1" t="n">
        <v>46231</v>
      </c>
      <c r="F594" t="inlineStr">
        <is>
          <t>VÄRMLANDS LÄN</t>
        </is>
      </c>
      <c r="G594" t="inlineStr">
        <is>
          <t>FILIPSTAD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35799-2022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44801</v>
      </c>
      <c r="E595" s="1" t="n">
        <v>46231</v>
      </c>
      <c r="F595" t="inlineStr">
        <is>
          <t>VÄRMLANDS LÄN</t>
        </is>
      </c>
      <c r="G595" t="inlineStr">
        <is>
          <t>FILIPSTAD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46231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46231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46231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46231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46231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46231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46231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46231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46231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46231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46231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46231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46231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46231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46231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46231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46231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2026-07-28T01:48:49Z</dcterms:created>
  <dcterms:modified xmlns:dcterms="http://purl.org/dc/terms/" xmlns:xsi="http://www.w3.org/2001/XMLSchema-instance" xsi:type="dcterms:W3CDTF">2026-07-28T01:48:49Z</dcterms:modified>
</cp:coreProperties>
</file>