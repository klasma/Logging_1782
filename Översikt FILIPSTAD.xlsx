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862-2020</t>
        </is>
      </c>
      <c r="B2" t="inlineStr">
        <is>
          <t>samrådsanmälan</t>
        </is>
      </c>
      <c r="C2" t="inlineStr">
        <is>
          <t>Åtgärd i nyckelbiotop</t>
        </is>
      </c>
      <c r="D2" s="1" t="n">
        <v>43936</v>
      </c>
      <c r="E2" s="1" t="n">
        <v>46241</v>
      </c>
      <c r="F2" t="inlineStr">
        <is>
          <t>VÄRMLANDS LÄN</t>
        </is>
      </c>
      <c r="G2" t="inlineStr">
        <is>
          <t>FILIPSTAD</t>
        </is>
      </c>
      <c r="I2" t="n">
        <v>14.1</v>
      </c>
      <c r="J2" t="n">
        <v>3</v>
      </c>
      <c r="K2" t="n">
        <v>10</v>
      </c>
      <c r="L2" t="n">
        <v>8</v>
      </c>
      <c r="M2" t="n">
        <v>2</v>
      </c>
      <c r="N2" t="n">
        <v>0</v>
      </c>
      <c r="O2" t="n">
        <v>0</v>
      </c>
      <c r="P2" t="n">
        <v>0</v>
      </c>
      <c r="Q2" t="n">
        <v>10</v>
      </c>
      <c r="R2" t="n">
        <v>2</v>
      </c>
      <c r="S2" t="n">
        <v>20</v>
      </c>
      <c r="T2" t="n">
        <v>101</v>
      </c>
      <c r="U2" t="n">
        <v>81</v>
      </c>
      <c r="V2" s="2" t="inlineStr">
        <is>
          <t>Garnlav
Knärot
Brunklöver
Brunpudrad nållav
Dropptaggsvamp
Skuggblåslav
Stjärntagging
Talltita
Ullticka
Vedtrappmossa
Bårdlav
Dvärgtufs
Korallblylav
Korallrot
Platt fjädermossa
Skinnlav
Stuplav
Thomsons trägnagare
Trådticka
Vedticka</t>
        </is>
      </c>
      <c r="W2">
        <f>HYPERLINK("https://klasma.github.io/Logging_1782/artfynd/S 862-2020 artfynd.xlsx", "S 862-2020")</f>
        <v/>
      </c>
      <c r="X2">
        <f>HYPERLINK("https://klasma.github.io/Logging_1782/kartor/S 862-2020 karta.png", "S 862-2020")</f>
        <v/>
      </c>
      <c r="Y2">
        <f>HYPERLINK("https://klasma.github.io/Logging_1782/kartor_geotiff/S 862-2020 georefererad karta.tif", "S 862-2020")</f>
        <v/>
      </c>
      <c r="Z2">
        <f>HYPERLINK("https://klasma.github.io/Logging_1782/knärot/S 862-2020 karta knärot.png", "S 862-2020")</f>
        <v/>
      </c>
      <c r="AA2">
        <f>HYPERLINK("https://klasma.github.io/Logging_1782/klagomål/S 862-2020 FSC-klagomål.docx", "S 862-2020")</f>
        <v/>
      </c>
      <c r="AB2">
        <f>HYPERLINK("https://klasma.github.io/Logging_1782/klagomålsmail/S 862-2020 FSC-klagomål mail.docx", "S 862-2020")</f>
        <v/>
      </c>
      <c r="AC2">
        <f>HYPERLINK("https://klasma.github.io/Logging_1782/tillsyn/S 862-2020 tillsynsbegäran.docx", "S 862-2020")</f>
        <v/>
      </c>
      <c r="AD2">
        <f>HYPERLINK("https://klasma.github.io/Logging_1782/tillsynsmail/S 862-2020 tillsynsbegäran mail.docx", "S 862-2020")</f>
        <v/>
      </c>
      <c r="AE2">
        <f>HYPERLINK("https://klasma.github.io/Logging_1782/fåglar/S 862-2020 prioriterade fågelarter.docx", "S 862-2020")</f>
        <v/>
      </c>
    </row>
    <row r="3" ht="15" customHeight="1">
      <c r="A3" t="inlineStr">
        <is>
          <t>A 39323-2024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45551</v>
      </c>
      <c r="E3" s="1" t="n">
        <v>46241</v>
      </c>
      <c r="F3" t="inlineStr">
        <is>
          <t>VÄRMLANDS LÄN</t>
        </is>
      </c>
      <c r="G3" t="inlineStr">
        <is>
          <t>FILIPSTAD</t>
        </is>
      </c>
      <c r="H3" t="inlineStr">
        <is>
          <t>Bergvik skog väst AB</t>
        </is>
      </c>
      <c r="I3" t="n">
        <v>20.2</v>
      </c>
      <c r="J3" t="n">
        <v>4</v>
      </c>
      <c r="K3" t="n">
        <v>3</v>
      </c>
      <c r="L3" t="n">
        <v>4</v>
      </c>
      <c r="M3" t="n">
        <v>2</v>
      </c>
      <c r="N3" t="n">
        <v>0</v>
      </c>
      <c r="O3" t="n">
        <v>0</v>
      </c>
      <c r="P3" t="n">
        <v>0</v>
      </c>
      <c r="Q3" t="n">
        <v>6</v>
      </c>
      <c r="R3" t="n">
        <v>2</v>
      </c>
      <c r="S3" t="n">
        <v>11</v>
      </c>
      <c r="T3" t="n">
        <v>163</v>
      </c>
      <c r="U3" t="n">
        <v>0</v>
      </c>
      <c r="V3" s="2" t="inlineStr">
        <is>
          <t>Gränsticka
Knärot
Dropptaggsvamp
Tallticka
Ullticka
Vedtrappmossa
Grön sköldmossa
Rostfläck
Vedticka
Spillkråka
Tjäder</t>
        </is>
      </c>
      <c r="W3">
        <f>HYPERLINK("https://klasma.github.io/Logging_1782/artfynd/A 39323-2024 artfynd.xlsx", "A 39323-2024")</f>
        <v/>
      </c>
      <c r="X3">
        <f>HYPERLINK("https://klasma.github.io/Logging_1782/kartor/A 39323-2024 karta.png", "A 39323-2024")</f>
        <v/>
      </c>
      <c r="Y3">
        <f>HYPERLINK("https://klasma.github.io/Logging_1782/kartor_geotiff/A 39323-2024 georefererad karta.tif", "A 39323-2024")</f>
        <v/>
      </c>
      <c r="Z3">
        <f>HYPERLINK("https://klasma.github.io/Logging_1782/knärot/A 39323-2024 karta knärot.png", "A 39323-2024")</f>
        <v/>
      </c>
      <c r="AA3">
        <f>HYPERLINK("https://klasma.github.io/Logging_1782/klagomål/A 39323-2024 FSC-klagomål.docx", "A 39323-2024")</f>
        <v/>
      </c>
      <c r="AB3">
        <f>HYPERLINK("https://klasma.github.io/Logging_1782/klagomålsmail/A 39323-2024 FSC-klagomål mail.docx", "A 39323-2024")</f>
        <v/>
      </c>
      <c r="AC3">
        <f>HYPERLINK("https://klasma.github.io/Logging_1782/tillsyn/A 39323-2024 tillsynsbegäran.docx", "A 39323-2024")</f>
        <v/>
      </c>
      <c r="AD3">
        <f>HYPERLINK("https://klasma.github.io/Logging_1782/tillsynsmail/A 39323-2024 tillsynsbegäran mail.docx", "A 39323-2024")</f>
        <v/>
      </c>
      <c r="AE3">
        <f>HYPERLINK("https://klasma.github.io/Logging_1782/fåglar/A 39323-2024 prioriterade fågelarter.docx", "A 39323-2024")</f>
        <v/>
      </c>
    </row>
    <row r="4" ht="15" customHeight="1">
      <c r="A4" t="inlineStr">
        <is>
          <t>A 58718-2021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44489</v>
      </c>
      <c r="E4" s="1" t="n">
        <v>46241</v>
      </c>
      <c r="F4" t="inlineStr">
        <is>
          <t>VÄRMLANDS LÄN</t>
        </is>
      </c>
      <c r="G4" t="inlineStr">
        <is>
          <t>FILIPSTAD</t>
        </is>
      </c>
      <c r="H4" t="inlineStr">
        <is>
          <t>Bergvik skog väst AB</t>
        </is>
      </c>
      <c r="I4" t="n">
        <v>12.2</v>
      </c>
      <c r="J4" t="n">
        <v>0</v>
      </c>
      <c r="K4" t="n">
        <v>2</v>
      </c>
      <c r="L4" t="n">
        <v>4</v>
      </c>
      <c r="M4" t="n">
        <v>1</v>
      </c>
      <c r="N4" t="n">
        <v>0</v>
      </c>
      <c r="O4" t="n">
        <v>0</v>
      </c>
      <c r="P4" t="n">
        <v>0</v>
      </c>
      <c r="Q4" t="n">
        <v>5</v>
      </c>
      <c r="R4" t="n">
        <v>1</v>
      </c>
      <c r="S4" t="n">
        <v>7</v>
      </c>
      <c r="T4" t="n">
        <v>12</v>
      </c>
      <c r="U4" t="n">
        <v>12</v>
      </c>
      <c r="V4" s="2" t="inlineStr">
        <is>
          <t>Garnlav
Dropptaggsvamp
Skuggblåslav
Ullticka
Vedtrappmossa
Bollvitmossa
Bronshjon</t>
        </is>
      </c>
      <c r="W4">
        <f>HYPERLINK("https://klasma.github.io/Logging_1782/artfynd/A 58718-2021 artfynd.xlsx", "A 58718-2021")</f>
        <v/>
      </c>
      <c r="X4">
        <f>HYPERLINK("https://klasma.github.io/Logging_1782/kartor/A 58718-2021 karta.png", "A 58718-2021")</f>
        <v/>
      </c>
      <c r="Y4">
        <f>HYPERLINK("https://klasma.github.io/Logging_1782/kartor_geotiff/A 58718-2021 georefererad karta.tif", "A 58718-2021")</f>
        <v/>
      </c>
      <c r="AA4">
        <f>HYPERLINK("https://klasma.github.io/Logging_1782/klagomål/A 58718-2021 FSC-klagomål.docx", "A 58718-2021")</f>
        <v/>
      </c>
      <c r="AB4">
        <f>HYPERLINK("https://klasma.github.io/Logging_1782/klagomålsmail/A 58718-2021 FSC-klagomål mail.docx", "A 58718-2021")</f>
        <v/>
      </c>
      <c r="AC4">
        <f>HYPERLINK("https://klasma.github.io/Logging_1782/tillsyn/A 58718-2021 tillsynsbegäran.docx", "A 58718-2021")</f>
        <v/>
      </c>
      <c r="AD4">
        <f>HYPERLINK("https://klasma.github.io/Logging_1782/tillsynsmail/A 58718-2021 tillsynsbegäran mail.docx", "A 58718-2021")</f>
        <v/>
      </c>
    </row>
    <row r="5" ht="15" customHeight="1">
      <c r="A5" t="inlineStr">
        <is>
          <t>A 47888-2021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44448</v>
      </c>
      <c r="E5" s="1" t="n">
        <v>46241</v>
      </c>
      <c r="F5" t="inlineStr">
        <is>
          <t>VÄRMLANDS LÄN</t>
        </is>
      </c>
      <c r="G5" t="inlineStr">
        <is>
          <t>FILIPSTAD</t>
        </is>
      </c>
      <c r="H5" t="inlineStr">
        <is>
          <t>Bergvik skog väst AB</t>
        </is>
      </c>
      <c r="I5" t="n">
        <v>9</v>
      </c>
      <c r="J5" t="n">
        <v>3</v>
      </c>
      <c r="K5" t="n">
        <v>6</v>
      </c>
      <c r="L5" t="n">
        <v>1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t="n">
        <v>0</v>
      </c>
      <c r="S5" t="n">
        <v>7</v>
      </c>
      <c r="T5" t="n">
        <v>7</v>
      </c>
      <c r="U5" t="n">
        <v>7</v>
      </c>
      <c r="V5" s="2" t="inlineStr">
        <is>
          <t>Vårärt
Grönkulla
Skogsknipprot
Svart trolldruva
Tibast
Tvåblad
Underviol</t>
        </is>
      </c>
      <c r="W5">
        <f>HYPERLINK("https://klasma.github.io/Logging_1782/artfynd/A 47888-2021 artfynd.xlsx", "A 47888-2021")</f>
        <v/>
      </c>
      <c r="X5">
        <f>HYPERLINK("https://klasma.github.io/Logging_1782/kartor/A 47888-2021 karta.png", "A 47888-2021")</f>
        <v/>
      </c>
      <c r="Y5">
        <f>HYPERLINK("https://klasma.github.io/Logging_1782/kartor_geotiff/A 47888-2021 georefererad karta.tif", "A 47888-2021")</f>
        <v/>
      </c>
      <c r="AA5">
        <f>HYPERLINK("https://klasma.github.io/Logging_1782/klagomål/A 47888-2021 FSC-klagomål.docx", "A 47888-2021")</f>
        <v/>
      </c>
      <c r="AB5">
        <f>HYPERLINK("https://klasma.github.io/Logging_1782/klagomålsmail/A 47888-2021 FSC-klagomål mail.docx", "A 47888-2021")</f>
        <v/>
      </c>
      <c r="AC5">
        <f>HYPERLINK("https://klasma.github.io/Logging_1782/tillsyn/A 47888-2021 tillsynsbegäran.docx", "A 47888-2021")</f>
        <v/>
      </c>
      <c r="AD5">
        <f>HYPERLINK("https://klasma.github.io/Logging_1782/tillsynsmail/A 47888-2021 tillsynsbegäran mail.docx", "A 47888-2021")</f>
        <v/>
      </c>
    </row>
    <row r="6" ht="15" customHeight="1">
      <c r="A6" t="inlineStr">
        <is>
          <t>A 45602-2025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45922</v>
      </c>
      <c r="E6" s="1" t="n">
        <v>46241</v>
      </c>
      <c r="F6" t="inlineStr">
        <is>
          <t>VÄRMLANDS LÄN</t>
        </is>
      </c>
      <c r="G6" t="inlineStr">
        <is>
          <t>FILIPSTAD</t>
        </is>
      </c>
      <c r="I6" t="n">
        <v>6.2</v>
      </c>
      <c r="J6" t="n">
        <v>0</v>
      </c>
      <c r="K6" t="n">
        <v>3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5</v>
      </c>
      <c r="T6" t="n">
        <v>9</v>
      </c>
      <c r="U6" t="n">
        <v>0</v>
      </c>
      <c r="V6" s="2" t="inlineStr">
        <is>
          <t>Veckticka
Vårärt
Blåsfliksmossa
Mörk husmossa
Tibast</t>
        </is>
      </c>
      <c r="W6">
        <f>HYPERLINK("https://klasma.github.io/Logging_1782/artfynd/A 45602-2025 artfynd.xlsx", "A 45602-2025")</f>
        <v/>
      </c>
      <c r="X6">
        <f>HYPERLINK("https://klasma.github.io/Logging_1782/kartor/A 45602-2025 karta.png", "A 45602-2025")</f>
        <v/>
      </c>
      <c r="Y6">
        <f>HYPERLINK("https://klasma.github.io/Logging_1782/kartor_geotiff/A 45602-2025 georefererad karta.tif", "A 45602-2025")</f>
        <v/>
      </c>
      <c r="AA6">
        <f>HYPERLINK("https://klasma.github.io/Logging_1782/klagomål/A 45602-2025 FSC-klagomål.docx", "A 45602-2025")</f>
        <v/>
      </c>
      <c r="AB6">
        <f>HYPERLINK("https://klasma.github.io/Logging_1782/klagomålsmail/A 45602-2025 FSC-klagomål mail.docx", "A 45602-2025")</f>
        <v/>
      </c>
      <c r="AC6">
        <f>HYPERLINK("https://klasma.github.io/Logging_1782/tillsyn/A 45602-2025 tillsynsbegäran.docx", "A 45602-2025")</f>
        <v/>
      </c>
      <c r="AD6">
        <f>HYPERLINK("https://klasma.github.io/Logging_1782/tillsynsmail/A 45602-2025 tillsynsbegäran mail.docx", "A 45602-2025")</f>
        <v/>
      </c>
    </row>
    <row r="7" ht="15" customHeight="1">
      <c r="A7" t="inlineStr">
        <is>
          <t>A 57471-2025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45980</v>
      </c>
      <c r="E7" s="1" t="n">
        <v>46241</v>
      </c>
      <c r="F7" t="inlineStr">
        <is>
          <t>VÄRMLANDS LÄN</t>
        </is>
      </c>
      <c r="G7" t="inlineStr">
        <is>
          <t>FILIPSTAD</t>
        </is>
      </c>
      <c r="H7" t="inlineStr">
        <is>
          <t>Bergvik skog väst AB</t>
        </is>
      </c>
      <c r="I7" t="n">
        <v>14.4</v>
      </c>
      <c r="J7" t="n">
        <v>1</v>
      </c>
      <c r="K7" t="n">
        <v>2</v>
      </c>
      <c r="L7" t="n">
        <v>1</v>
      </c>
      <c r="M7" t="n">
        <v>1</v>
      </c>
      <c r="N7" t="n">
        <v>0</v>
      </c>
      <c r="O7" t="n">
        <v>0</v>
      </c>
      <c r="P7" t="n">
        <v>0</v>
      </c>
      <c r="Q7" t="n">
        <v>2</v>
      </c>
      <c r="R7" t="n">
        <v>1</v>
      </c>
      <c r="S7" t="n">
        <v>5</v>
      </c>
      <c r="T7" t="n">
        <v>36</v>
      </c>
      <c r="U7" t="n">
        <v>0</v>
      </c>
      <c r="V7" s="2" t="inlineStr">
        <is>
          <t>Garnlav
Kattfotslav
Bollvitmossa
Vågbandad barkbock
Fläcknycklar</t>
        </is>
      </c>
      <c r="W7">
        <f>HYPERLINK("https://klasma.github.io/Logging_1782/artfynd/A 57471-2025 artfynd.xlsx", "A 57471-2025")</f>
        <v/>
      </c>
      <c r="X7">
        <f>HYPERLINK("https://klasma.github.io/Logging_1782/kartor/A 57471-2025 karta.png", "A 57471-2025")</f>
        <v/>
      </c>
      <c r="Y7">
        <f>HYPERLINK("https://klasma.github.io/Logging_1782/kartor_geotiff/A 57471-2025 georefererad karta.tif", "A 57471-2025")</f>
        <v/>
      </c>
      <c r="AA7">
        <f>HYPERLINK("https://klasma.github.io/Logging_1782/klagomål/A 57471-2025 FSC-klagomål.docx", "A 57471-2025")</f>
        <v/>
      </c>
      <c r="AB7">
        <f>HYPERLINK("https://klasma.github.io/Logging_1782/klagomålsmail/A 57471-2025 FSC-klagomål mail.docx", "A 57471-2025")</f>
        <v/>
      </c>
      <c r="AC7">
        <f>HYPERLINK("https://klasma.github.io/Logging_1782/tillsyn/A 57471-2025 tillsynsbegäran.docx", "A 57471-2025")</f>
        <v/>
      </c>
      <c r="AD7">
        <f>HYPERLINK("https://klasma.github.io/Logging_1782/tillsynsmail/A 57471-2025 tillsynsbegäran mail.docx", "A 57471-2025")</f>
        <v/>
      </c>
    </row>
    <row r="8" ht="15" customHeight="1">
      <c r="A8" t="inlineStr">
        <is>
          <t>A 26186-2026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46182</v>
      </c>
      <c r="E8" s="1" t="n">
        <v>46241</v>
      </c>
      <c r="F8" t="inlineStr">
        <is>
          <t>VÄRMLANDS LÄN</t>
        </is>
      </c>
      <c r="G8" t="inlineStr">
        <is>
          <t>FILIPSTAD</t>
        </is>
      </c>
      <c r="H8" t="inlineStr">
        <is>
          <t>Bergvik skog väst AB</t>
        </is>
      </c>
      <c r="I8" t="n">
        <v>5</v>
      </c>
      <c r="J8" t="n">
        <v>2</v>
      </c>
      <c r="K8" t="n">
        <v>3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5</v>
      </c>
      <c r="T8" t="n">
        <v>6</v>
      </c>
      <c r="U8" t="n">
        <v>0</v>
      </c>
      <c r="V8" s="2" t="inlineStr">
        <is>
          <t>Ullticka
Grön sköldmossa
Korallblylav
Mörk husmossa
Blåsippa</t>
        </is>
      </c>
      <c r="W8">
        <f>HYPERLINK("https://klasma.github.io/Logging_1782/artfynd/A 26186-2026 artfynd.xlsx", "A 26186-2026")</f>
        <v/>
      </c>
      <c r="X8">
        <f>HYPERLINK("https://klasma.github.io/Logging_1782/kartor/A 26186-2026 karta.png", "A 26186-2026")</f>
        <v/>
      </c>
      <c r="Y8">
        <f>HYPERLINK("https://klasma.github.io/Logging_1782/kartor_geotiff/A 26186-2026 georefererad karta.tif", "A 26186-2026")</f>
        <v/>
      </c>
      <c r="AA8">
        <f>HYPERLINK("https://klasma.github.io/Logging_1782/klagomål/A 26186-2026 FSC-klagomål.docx", "A 26186-2026")</f>
        <v/>
      </c>
      <c r="AB8">
        <f>HYPERLINK("https://klasma.github.io/Logging_1782/klagomålsmail/A 26186-2026 FSC-klagomål mail.docx", "A 26186-2026")</f>
        <v/>
      </c>
      <c r="AC8">
        <f>HYPERLINK("https://klasma.github.io/Logging_1782/tillsyn/A 26186-2026 tillsynsbegäran.docx", "A 26186-2026")</f>
        <v/>
      </c>
      <c r="AD8">
        <f>HYPERLINK("https://klasma.github.io/Logging_1782/tillsynsmail/A 26186-2026 tillsynsbegäran mail.docx", "A 26186-2026")</f>
        <v/>
      </c>
    </row>
    <row r="9" ht="15" customHeight="1">
      <c r="A9" t="inlineStr">
        <is>
          <t>S 219-2025</t>
        </is>
      </c>
      <c r="B9" t="inlineStr">
        <is>
          <t>samrådsanmälan</t>
        </is>
      </c>
      <c r="C9" t="inlineStr">
        <is>
          <t>Annan skogsbruksåtgärd</t>
        </is>
      </c>
      <c r="D9" s="1" t="n">
        <v>45680</v>
      </c>
      <c r="E9" s="1" t="n">
        <v>46241</v>
      </c>
      <c r="F9" t="inlineStr">
        <is>
          <t>VÄRMLANDS LÄN</t>
        </is>
      </c>
      <c r="G9" t="inlineStr">
        <is>
          <t>FILIPSTAD</t>
        </is>
      </c>
      <c r="H9" t="inlineStr">
        <is>
          <t>Bergvik skog väst AB</t>
        </is>
      </c>
      <c r="I9" t="n">
        <v>4.1</v>
      </c>
      <c r="J9" t="n">
        <v>0</v>
      </c>
      <c r="K9" t="n">
        <v>3</v>
      </c>
      <c r="L9" t="n">
        <v>1</v>
      </c>
      <c r="M9" t="n">
        <v>1</v>
      </c>
      <c r="N9" t="n">
        <v>0</v>
      </c>
      <c r="O9" t="n">
        <v>0</v>
      </c>
      <c r="P9" t="n">
        <v>0</v>
      </c>
      <c r="Q9" t="n">
        <v>2</v>
      </c>
      <c r="R9" t="n">
        <v>1</v>
      </c>
      <c r="S9" t="n">
        <v>5</v>
      </c>
      <c r="T9" t="n">
        <v>5</v>
      </c>
      <c r="U9" t="n">
        <v>0</v>
      </c>
      <c r="V9" s="2" t="inlineStr">
        <is>
          <t>Garnlav
Skuggblåslav
Korallblylav
Mindre märgborre
Vanlig flatbagge</t>
        </is>
      </c>
      <c r="W9">
        <f>HYPERLINK("https://klasma.github.io/Logging_1782/artfynd/S 219-2025 artfynd.xlsx", "S 219-2025")</f>
        <v/>
      </c>
      <c r="X9">
        <f>HYPERLINK("https://klasma.github.io/Logging_1782/kartor/S 219-2025 karta.png", "S 219-2025")</f>
        <v/>
      </c>
      <c r="Y9">
        <f>HYPERLINK("https://klasma.github.io/Logging_1782/kartor_geotiff/S 219-2025 georefererad karta.tif", "S 219-2025")</f>
        <v/>
      </c>
      <c r="AA9">
        <f>HYPERLINK("https://klasma.github.io/Logging_1782/klagomål/S 219-2025 FSC-klagomål.docx", "S 219-2025")</f>
        <v/>
      </c>
      <c r="AB9">
        <f>HYPERLINK("https://klasma.github.io/Logging_1782/klagomålsmail/S 219-2025 FSC-klagomål mail.docx", "S 219-2025")</f>
        <v/>
      </c>
      <c r="AC9">
        <f>HYPERLINK("https://klasma.github.io/Logging_1782/tillsyn/S 219-2025 tillsynsbegäran.docx", "S 219-2025")</f>
        <v/>
      </c>
      <c r="AD9">
        <f>HYPERLINK("https://klasma.github.io/Logging_1782/tillsynsmail/S 219-2025 tillsynsbegäran mail.docx", "S 219-2025")</f>
        <v/>
      </c>
    </row>
    <row r="10" ht="15" customHeight="1">
      <c r="A10" t="inlineStr">
        <is>
          <t>A 65201-2023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45289</v>
      </c>
      <c r="E10" s="1" t="n">
        <v>46241</v>
      </c>
      <c r="F10" t="inlineStr">
        <is>
          <t>VÄRMLANDS LÄN</t>
        </is>
      </c>
      <c r="G10" t="inlineStr">
        <is>
          <t>FILIPSTAD</t>
        </is>
      </c>
      <c r="H10" t="inlineStr">
        <is>
          <t>Bergvik skog väst AB</t>
        </is>
      </c>
      <c r="I10" t="n">
        <v>7.5</v>
      </c>
      <c r="J10" t="n">
        <v>2</v>
      </c>
      <c r="K10" t="n">
        <v>0</v>
      </c>
      <c r="L10" t="n">
        <v>2</v>
      </c>
      <c r="M10" t="n">
        <v>1</v>
      </c>
      <c r="N10" t="n">
        <v>0</v>
      </c>
      <c r="O10" t="n">
        <v>0</v>
      </c>
      <c r="P10" t="n">
        <v>0</v>
      </c>
      <c r="Q10" t="n">
        <v>3</v>
      </c>
      <c r="R10" t="n">
        <v>1</v>
      </c>
      <c r="S10" t="n">
        <v>4</v>
      </c>
      <c r="T10" t="n">
        <v>7</v>
      </c>
      <c r="U10" t="n">
        <v>6</v>
      </c>
      <c r="V10" s="2" t="inlineStr">
        <is>
          <t>Knärot
Brunpudrad nållav
Vedtrappmossa
Blåsippa</t>
        </is>
      </c>
      <c r="W10">
        <f>HYPERLINK("https://klasma.github.io/Logging_1782/artfynd/A 65201-2023 artfynd.xlsx", "A 65201-2023")</f>
        <v/>
      </c>
      <c r="X10">
        <f>HYPERLINK("https://klasma.github.io/Logging_1782/kartor/A 65201-2023 karta.png", "A 65201-2023")</f>
        <v/>
      </c>
      <c r="Y10">
        <f>HYPERLINK("https://klasma.github.io/Logging_1782/kartor_geotiff/A 65201-2023 georefererad karta.tif", "A 65201-2023")</f>
        <v/>
      </c>
      <c r="Z10">
        <f>HYPERLINK("https://klasma.github.io/Logging_1782/knärot/A 65201-2023 karta knärot.png", "A 65201-2023")</f>
        <v/>
      </c>
      <c r="AA10">
        <f>HYPERLINK("https://klasma.github.io/Logging_1782/klagomål/A 65201-2023 FSC-klagomål.docx", "A 65201-2023")</f>
        <v/>
      </c>
      <c r="AB10">
        <f>HYPERLINK("https://klasma.github.io/Logging_1782/klagomålsmail/A 65201-2023 FSC-klagomål mail.docx", "A 65201-2023")</f>
        <v/>
      </c>
      <c r="AC10">
        <f>HYPERLINK("https://klasma.github.io/Logging_1782/tillsyn/A 65201-2023 tillsynsbegäran.docx", "A 65201-2023")</f>
        <v/>
      </c>
      <c r="AD10">
        <f>HYPERLINK("https://klasma.github.io/Logging_1782/tillsynsmail/A 65201-2023 tillsynsbegäran mail.docx", "A 65201-2023")</f>
        <v/>
      </c>
    </row>
    <row r="11" ht="15" customHeight="1">
      <c r="A11" t="inlineStr">
        <is>
          <t>A 38138-2024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45545</v>
      </c>
      <c r="E11" s="1" t="n">
        <v>46241</v>
      </c>
      <c r="F11" t="inlineStr">
        <is>
          <t>VÄRMLANDS LÄN</t>
        </is>
      </c>
      <c r="G11" t="inlineStr">
        <is>
          <t>FILIPSTAD</t>
        </is>
      </c>
      <c r="H11" t="inlineStr">
        <is>
          <t>Bergvik skog väst AB</t>
        </is>
      </c>
      <c r="I11" t="n">
        <v>1.6</v>
      </c>
      <c r="J11" t="n">
        <v>1</v>
      </c>
      <c r="K11" t="n">
        <v>0</v>
      </c>
      <c r="L11" t="n">
        <v>2</v>
      </c>
      <c r="M11" t="n">
        <v>1</v>
      </c>
      <c r="N11" t="n">
        <v>0</v>
      </c>
      <c r="O11" t="n">
        <v>0</v>
      </c>
      <c r="P11" t="n">
        <v>0</v>
      </c>
      <c r="Q11" t="n">
        <v>3</v>
      </c>
      <c r="R11" t="n">
        <v>1</v>
      </c>
      <c r="S11" t="n">
        <v>4</v>
      </c>
      <c r="T11" t="n">
        <v>4</v>
      </c>
      <c r="U11" t="n">
        <v>0</v>
      </c>
      <c r="V11" s="2" t="inlineStr">
        <is>
          <t>Garnlav
Dropptaggsvamp
Skuggblåslav
Fläcknycklar</t>
        </is>
      </c>
      <c r="W11">
        <f>HYPERLINK("https://klasma.github.io/Logging_1782/artfynd/A 38138-2024 artfynd.xlsx", "A 38138-2024")</f>
        <v/>
      </c>
      <c r="X11">
        <f>HYPERLINK("https://klasma.github.io/Logging_1782/kartor/A 38138-2024 karta.png", "A 38138-2024")</f>
        <v/>
      </c>
      <c r="Y11">
        <f>HYPERLINK("https://klasma.github.io/Logging_1782/kartor_geotiff/A 38138-2024 georefererad karta.tif", "A 38138-2024")</f>
        <v/>
      </c>
      <c r="AA11">
        <f>HYPERLINK("https://klasma.github.io/Logging_1782/klagomål/A 38138-2024 FSC-klagomål.docx", "A 38138-2024")</f>
        <v/>
      </c>
      <c r="AB11">
        <f>HYPERLINK("https://klasma.github.io/Logging_1782/klagomålsmail/A 38138-2024 FSC-klagomål mail.docx", "A 38138-2024")</f>
        <v/>
      </c>
      <c r="AC11">
        <f>HYPERLINK("https://klasma.github.io/Logging_1782/tillsyn/A 38138-2024 tillsynsbegäran.docx", "A 38138-2024")</f>
        <v/>
      </c>
      <c r="AD11">
        <f>HYPERLINK("https://klasma.github.io/Logging_1782/tillsynsmail/A 38138-2024 tillsynsbegäran mail.docx", "A 38138-2024")</f>
        <v/>
      </c>
    </row>
    <row r="12" ht="15" customHeight="1">
      <c r="A12" t="inlineStr">
        <is>
          <t>A 43333-2023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45183</v>
      </c>
      <c r="E12" s="1" t="n">
        <v>46241</v>
      </c>
      <c r="F12" t="inlineStr">
        <is>
          <t>VÄRMLANDS LÄN</t>
        </is>
      </c>
      <c r="G12" t="inlineStr">
        <is>
          <t>FILIPSTAD</t>
        </is>
      </c>
      <c r="H12" t="inlineStr">
        <is>
          <t>Bergvik skog väst AB</t>
        </is>
      </c>
      <c r="I12" t="n">
        <v>19.4</v>
      </c>
      <c r="J12" t="n">
        <v>1</v>
      </c>
      <c r="K12" t="n">
        <v>1</v>
      </c>
      <c r="L12" t="n">
        <v>1</v>
      </c>
      <c r="M12" t="n">
        <v>1</v>
      </c>
      <c r="N12" t="n">
        <v>0</v>
      </c>
      <c r="O12" t="n">
        <v>0</v>
      </c>
      <c r="P12" t="n">
        <v>0</v>
      </c>
      <c r="Q12" t="n">
        <v>2</v>
      </c>
      <c r="R12" t="n">
        <v>1</v>
      </c>
      <c r="S12" t="n">
        <v>3</v>
      </c>
      <c r="T12" t="n">
        <v>3</v>
      </c>
      <c r="U12" t="n">
        <v>3</v>
      </c>
      <c r="V12" s="2" t="inlineStr">
        <is>
          <t>Norsk näverlav
Skuggblåslav
Grön sköldmossa</t>
        </is>
      </c>
      <c r="W12">
        <f>HYPERLINK("https://klasma.github.io/Logging_1782/artfynd/A 43333-2023 artfynd.xlsx", "A 43333-2023")</f>
        <v/>
      </c>
      <c r="X12">
        <f>HYPERLINK("https://klasma.github.io/Logging_1782/kartor/A 43333-2023 karta.png", "A 43333-2023")</f>
        <v/>
      </c>
      <c r="Y12">
        <f>HYPERLINK("https://klasma.github.io/Logging_1782/kartor_geotiff/A 43333-2023 georefererad karta.tif", "A 43333-2023")</f>
        <v/>
      </c>
      <c r="AA12">
        <f>HYPERLINK("https://klasma.github.io/Logging_1782/klagomål/A 43333-2023 FSC-klagomål.docx", "A 43333-2023")</f>
        <v/>
      </c>
      <c r="AB12">
        <f>HYPERLINK("https://klasma.github.io/Logging_1782/klagomålsmail/A 43333-2023 FSC-klagomål mail.docx", "A 43333-2023")</f>
        <v/>
      </c>
      <c r="AC12">
        <f>HYPERLINK("https://klasma.github.io/Logging_1782/tillsyn/A 43333-2023 tillsynsbegäran.docx", "A 43333-2023")</f>
        <v/>
      </c>
      <c r="AD12">
        <f>HYPERLINK("https://klasma.github.io/Logging_1782/tillsynsmail/A 43333-2023 tillsynsbegäran mail.docx", "A 43333-2023")</f>
        <v/>
      </c>
    </row>
    <row r="13" ht="15" customHeight="1">
      <c r="A13" t="inlineStr">
        <is>
          <t>A 45714-2025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45923</v>
      </c>
      <c r="E13" s="1" t="n">
        <v>46241</v>
      </c>
      <c r="F13" t="inlineStr">
        <is>
          <t>VÄRMLANDS LÄN</t>
        </is>
      </c>
      <c r="G13" t="inlineStr">
        <is>
          <t>FILIPSTAD</t>
        </is>
      </c>
      <c r="H13" t="inlineStr">
        <is>
          <t>Bergvik skog väst AB</t>
        </is>
      </c>
      <c r="I13" t="n">
        <v>2.5</v>
      </c>
      <c r="J13" t="n">
        <v>0</v>
      </c>
      <c r="K13" t="n">
        <v>1</v>
      </c>
      <c r="L13" t="n">
        <v>2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t="n">
        <v>0</v>
      </c>
      <c r="S13" t="n">
        <v>3</v>
      </c>
      <c r="T13" t="n">
        <v>5</v>
      </c>
      <c r="U13" t="n">
        <v>4</v>
      </c>
      <c r="V13" s="2" t="inlineStr">
        <is>
          <t>Brunklöver
Skuggblåslav
Bårdlav</t>
        </is>
      </c>
      <c r="W13">
        <f>HYPERLINK("https://klasma.github.io/Logging_1782/artfynd/A 45714-2025 artfynd.xlsx", "A 45714-2025")</f>
        <v/>
      </c>
      <c r="X13">
        <f>HYPERLINK("https://klasma.github.io/Logging_1782/kartor/A 45714-2025 karta.png", "A 45714-2025")</f>
        <v/>
      </c>
      <c r="Y13">
        <f>HYPERLINK("https://klasma.github.io/Logging_1782/kartor_geotiff/A 45714-2025 georefererad karta.tif", "A 45714-2025")</f>
        <v/>
      </c>
      <c r="AA13">
        <f>HYPERLINK("https://klasma.github.io/Logging_1782/klagomål/A 45714-2025 FSC-klagomål.docx", "A 45714-2025")</f>
        <v/>
      </c>
      <c r="AB13">
        <f>HYPERLINK("https://klasma.github.io/Logging_1782/klagomålsmail/A 45714-2025 FSC-klagomål mail.docx", "A 45714-2025")</f>
        <v/>
      </c>
      <c r="AC13">
        <f>HYPERLINK("https://klasma.github.io/Logging_1782/tillsyn/A 45714-2025 tillsynsbegäran.docx", "A 45714-2025")</f>
        <v/>
      </c>
      <c r="AD13">
        <f>HYPERLINK("https://klasma.github.io/Logging_1782/tillsynsmail/A 45714-2025 tillsynsbegäran mail.docx", "A 45714-2025")</f>
        <v/>
      </c>
    </row>
    <row r="14" ht="15" customHeight="1">
      <c r="A14" t="inlineStr">
        <is>
          <t>A 38134-2024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45545</v>
      </c>
      <c r="E14" s="1" t="n">
        <v>46241</v>
      </c>
      <c r="F14" t="inlineStr">
        <is>
          <t>VÄRMLANDS LÄN</t>
        </is>
      </c>
      <c r="G14" t="inlineStr">
        <is>
          <t>FILIPSTAD</t>
        </is>
      </c>
      <c r="H14" t="inlineStr">
        <is>
          <t>Bergvik skog väst AB</t>
        </is>
      </c>
      <c r="I14" t="n">
        <v>2.4</v>
      </c>
      <c r="J14" t="n">
        <v>0</v>
      </c>
      <c r="K14" t="n">
        <v>0</v>
      </c>
      <c r="L14" t="n">
        <v>2</v>
      </c>
      <c r="M14" t="n">
        <v>1</v>
      </c>
      <c r="N14" t="n">
        <v>0</v>
      </c>
      <c r="O14" t="n">
        <v>0</v>
      </c>
      <c r="P14" t="n">
        <v>0</v>
      </c>
      <c r="Q14" t="n">
        <v>3</v>
      </c>
      <c r="R14" t="n">
        <v>1</v>
      </c>
      <c r="S14" t="n">
        <v>3</v>
      </c>
      <c r="T14" t="n">
        <v>3</v>
      </c>
      <c r="U14" t="n">
        <v>0</v>
      </c>
      <c r="V14" s="2" t="inlineStr">
        <is>
          <t>Garnlav
Dropptaggsvamp
Skuggblåslav</t>
        </is>
      </c>
      <c r="W14">
        <f>HYPERLINK("https://klasma.github.io/Logging_1782/artfynd/A 38134-2024 artfynd.xlsx", "A 38134-2024")</f>
        <v/>
      </c>
      <c r="X14">
        <f>HYPERLINK("https://klasma.github.io/Logging_1782/kartor/A 38134-2024 karta.png", "A 38134-2024")</f>
        <v/>
      </c>
      <c r="Y14">
        <f>HYPERLINK("https://klasma.github.io/Logging_1782/kartor_geotiff/A 38134-2024 georefererad karta.tif", "A 38134-2024")</f>
        <v/>
      </c>
      <c r="AA14">
        <f>HYPERLINK("https://klasma.github.io/Logging_1782/klagomål/A 38134-2024 FSC-klagomål.docx", "A 38134-2024")</f>
        <v/>
      </c>
      <c r="AB14">
        <f>HYPERLINK("https://klasma.github.io/Logging_1782/klagomålsmail/A 38134-2024 FSC-klagomål mail.docx", "A 38134-2024")</f>
        <v/>
      </c>
      <c r="AC14">
        <f>HYPERLINK("https://klasma.github.io/Logging_1782/tillsyn/A 38134-2024 tillsynsbegäran.docx", "A 38134-2024")</f>
        <v/>
      </c>
      <c r="AD14">
        <f>HYPERLINK("https://klasma.github.io/Logging_1782/tillsynsmail/A 38134-2024 tillsynsbegäran mail.docx", "A 38134-2024")</f>
        <v/>
      </c>
    </row>
    <row r="15" ht="15" customHeight="1">
      <c r="A15" t="inlineStr">
        <is>
          <t>A 62116-2025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46006</v>
      </c>
      <c r="E15" s="1" t="n">
        <v>46241</v>
      </c>
      <c r="F15" t="inlineStr">
        <is>
          <t>VÄRMLANDS LÄN</t>
        </is>
      </c>
      <c r="G15" t="inlineStr">
        <is>
          <t>FILIPSTAD</t>
        </is>
      </c>
      <c r="H15" t="inlineStr">
        <is>
          <t>Bergvik skog väst AB</t>
        </is>
      </c>
      <c r="I15" t="n">
        <v>13.6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3</v>
      </c>
      <c r="T15" t="n">
        <v>4</v>
      </c>
      <c r="U15" t="n">
        <v>0</v>
      </c>
      <c r="V15" s="2" t="inlineStr">
        <is>
          <t>Tjäder
Orre
Fläcknycklar</t>
        </is>
      </c>
      <c r="W15">
        <f>HYPERLINK("https://klasma.github.io/Logging_1782/artfynd/A 62116-2025 artfynd.xlsx", "A 62116-2025")</f>
        <v/>
      </c>
      <c r="X15">
        <f>HYPERLINK("https://klasma.github.io/Logging_1782/kartor/A 62116-2025 karta.png", "A 62116-2025")</f>
        <v/>
      </c>
      <c r="Y15">
        <f>HYPERLINK("https://klasma.github.io/Logging_1782/kartor_geotiff/A 62116-2025 georefererad karta.tif", "A 62116-2025")</f>
        <v/>
      </c>
      <c r="AA15">
        <f>HYPERLINK("https://klasma.github.io/Logging_1782/klagomål/A 62116-2025 FSC-klagomål.docx", "A 62116-2025")</f>
        <v/>
      </c>
      <c r="AB15">
        <f>HYPERLINK("https://klasma.github.io/Logging_1782/klagomålsmail/A 62116-2025 FSC-klagomål mail.docx", "A 62116-2025")</f>
        <v/>
      </c>
      <c r="AC15">
        <f>HYPERLINK("https://klasma.github.io/Logging_1782/tillsyn/A 62116-2025 tillsynsbegäran.docx", "A 62116-2025")</f>
        <v/>
      </c>
      <c r="AD15">
        <f>HYPERLINK("https://klasma.github.io/Logging_1782/tillsynsmail/A 62116-2025 tillsynsbegäran mail.docx", "A 62116-2025")</f>
        <v/>
      </c>
      <c r="AE15">
        <f>HYPERLINK("https://klasma.github.io/Logging_1782/fåglar/A 62116-2025 prioriterade fågelarter.docx", "A 62116-2025")</f>
        <v/>
      </c>
    </row>
    <row r="16" ht="15" customHeight="1">
      <c r="A16" t="inlineStr">
        <is>
          <t>A 63625-2023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45275</v>
      </c>
      <c r="E16" s="1" t="n">
        <v>46241</v>
      </c>
      <c r="F16" t="inlineStr">
        <is>
          <t>VÄRMLANDS LÄN</t>
        </is>
      </c>
      <c r="G16" t="inlineStr">
        <is>
          <t>FILIPSTAD</t>
        </is>
      </c>
      <c r="I16" t="n">
        <v>1.9</v>
      </c>
      <c r="J16" t="n">
        <v>1</v>
      </c>
      <c r="K16" t="n">
        <v>0</v>
      </c>
      <c r="L16" t="n">
        <v>1</v>
      </c>
      <c r="M16" t="n">
        <v>1</v>
      </c>
      <c r="N16" t="n">
        <v>0</v>
      </c>
      <c r="O16" t="n">
        <v>0</v>
      </c>
      <c r="P16" t="n">
        <v>0</v>
      </c>
      <c r="Q16" t="n">
        <v>2</v>
      </c>
      <c r="R16" t="n">
        <v>1</v>
      </c>
      <c r="S16" t="n">
        <v>3</v>
      </c>
      <c r="T16" t="n">
        <v>3</v>
      </c>
      <c r="U16" t="n">
        <v>1</v>
      </c>
      <c r="V16" s="2" t="inlineStr">
        <is>
          <t>Smalfotad taggsvamp
Vaddporing
Utter</t>
        </is>
      </c>
      <c r="W16">
        <f>HYPERLINK("https://klasma.github.io/Logging_1782/artfynd/A 63625-2023 artfynd.xlsx", "A 63625-2023")</f>
        <v/>
      </c>
      <c r="X16">
        <f>HYPERLINK("https://klasma.github.io/Logging_1782/kartor/A 63625-2023 karta.png", "A 63625-2023")</f>
        <v/>
      </c>
      <c r="Y16">
        <f>HYPERLINK("https://klasma.github.io/Logging_1782/kartor_geotiff/A 63625-2023 georefererad karta.tif", "A 63625-2023")</f>
        <v/>
      </c>
      <c r="AA16">
        <f>HYPERLINK("https://klasma.github.io/Logging_1782/klagomål/A 63625-2023 FSC-klagomål.docx", "A 63625-2023")</f>
        <v/>
      </c>
      <c r="AB16">
        <f>HYPERLINK("https://klasma.github.io/Logging_1782/klagomålsmail/A 63625-2023 FSC-klagomål mail.docx", "A 63625-2023")</f>
        <v/>
      </c>
      <c r="AC16">
        <f>HYPERLINK("https://klasma.github.io/Logging_1782/tillsyn/A 63625-2023 tillsynsbegäran.docx", "A 63625-2023")</f>
        <v/>
      </c>
      <c r="AD16">
        <f>HYPERLINK("https://klasma.github.io/Logging_1782/tillsynsmail/A 63625-2023 tillsynsbegäran mail.docx", "A 63625-2023")</f>
        <v/>
      </c>
    </row>
    <row r="17" ht="15" customHeight="1">
      <c r="A17" t="inlineStr">
        <is>
          <t>S 145-2023</t>
        </is>
      </c>
      <c r="B17" t="inlineStr">
        <is>
          <t>samrådsanmälan</t>
        </is>
      </c>
      <c r="C17" t="inlineStr">
        <is>
          <t>Annan skogsbruksåtgärd</t>
        </is>
      </c>
      <c r="D17" s="1" t="n">
        <v>44942</v>
      </c>
      <c r="E17" s="1" t="n">
        <v>46241</v>
      </c>
      <c r="F17" t="inlineStr">
        <is>
          <t>VÄRMLANDS LÄN</t>
        </is>
      </c>
      <c r="G17" t="inlineStr">
        <is>
          <t>FILIPSTAD</t>
        </is>
      </c>
      <c r="I17" t="n">
        <v>3.8</v>
      </c>
      <c r="J17" t="n">
        <v>1</v>
      </c>
      <c r="K17" t="n">
        <v>1</v>
      </c>
      <c r="L17" t="n">
        <v>2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t="n">
        <v>0</v>
      </c>
      <c r="S17" t="n">
        <v>3</v>
      </c>
      <c r="T17" t="n">
        <v>4</v>
      </c>
      <c r="U17" t="n">
        <v>2</v>
      </c>
      <c r="V17" s="2" t="inlineStr">
        <is>
          <t>Loppstarr
Majviva
Guckusko</t>
        </is>
      </c>
      <c r="W17">
        <f>HYPERLINK("https://klasma.github.io/Logging_1782/artfynd/S 145-2023 artfynd.xlsx", "S 145-2023")</f>
        <v/>
      </c>
      <c r="X17">
        <f>HYPERLINK("https://klasma.github.io/Logging_1782/kartor/S 145-2023 karta.png", "S 145-2023")</f>
        <v/>
      </c>
      <c r="Y17">
        <f>HYPERLINK("https://klasma.github.io/Logging_1782/kartor_geotiff/S 145-2023 georefererad karta.tif", "S 145-2023")</f>
        <v/>
      </c>
      <c r="AA17">
        <f>HYPERLINK("https://klasma.github.io/Logging_1782/klagomål/S 145-2023 FSC-klagomål.docx", "S 145-2023")</f>
        <v/>
      </c>
      <c r="AB17">
        <f>HYPERLINK("https://klasma.github.io/Logging_1782/klagomålsmail/S 145-2023 FSC-klagomål mail.docx", "S 145-2023")</f>
        <v/>
      </c>
      <c r="AC17">
        <f>HYPERLINK("https://klasma.github.io/Logging_1782/tillsyn/S 145-2023 tillsynsbegäran.docx", "S 145-2023")</f>
        <v/>
      </c>
      <c r="AD17">
        <f>HYPERLINK("https://klasma.github.io/Logging_1782/tillsynsmail/S 145-2023 tillsynsbegäran mail.docx", "S 145-2023")</f>
        <v/>
      </c>
    </row>
    <row r="18" ht="15" customHeight="1">
      <c r="A18" t="inlineStr">
        <is>
          <t>A 38132-2024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45545</v>
      </c>
      <c r="E18" s="1" t="n">
        <v>46241</v>
      </c>
      <c r="F18" t="inlineStr">
        <is>
          <t>VÄRMLANDS LÄN</t>
        </is>
      </c>
      <c r="G18" t="inlineStr">
        <is>
          <t>FILIPSTAD</t>
        </is>
      </c>
      <c r="H18" t="inlineStr">
        <is>
          <t>Bergvik skog väst AB</t>
        </is>
      </c>
      <c r="I18" t="n">
        <v>2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2</v>
      </c>
      <c r="T18" t="n">
        <v>2</v>
      </c>
      <c r="U18" t="n">
        <v>0</v>
      </c>
      <c r="V18" s="2" t="inlineStr">
        <is>
          <t>Bronshjon
Fläcknycklar</t>
        </is>
      </c>
      <c r="W18">
        <f>HYPERLINK("https://klasma.github.io/Logging_1782/artfynd/A 38132-2024 artfynd.xlsx", "A 38132-2024")</f>
        <v/>
      </c>
      <c r="X18">
        <f>HYPERLINK("https://klasma.github.io/Logging_1782/kartor/A 38132-2024 karta.png", "A 38132-2024")</f>
        <v/>
      </c>
      <c r="Y18">
        <f>HYPERLINK("https://klasma.github.io/Logging_1782/kartor_geotiff/A 38132-2024 georefererad karta.tif", "A 38132-2024")</f>
        <v/>
      </c>
      <c r="AA18">
        <f>HYPERLINK("https://klasma.github.io/Logging_1782/klagomål/A 38132-2024 FSC-klagomål.docx", "A 38132-2024")</f>
        <v/>
      </c>
      <c r="AB18">
        <f>HYPERLINK("https://klasma.github.io/Logging_1782/klagomålsmail/A 38132-2024 FSC-klagomål mail.docx", "A 38132-2024")</f>
        <v/>
      </c>
      <c r="AC18">
        <f>HYPERLINK("https://klasma.github.io/Logging_1782/tillsyn/A 38132-2024 tillsynsbegäran.docx", "A 38132-2024")</f>
        <v/>
      </c>
      <c r="AD18">
        <f>HYPERLINK("https://klasma.github.io/Logging_1782/tillsynsmail/A 38132-2024 tillsynsbegäran mail.docx", "A 38132-2024")</f>
        <v/>
      </c>
    </row>
    <row r="19" ht="15" customHeight="1">
      <c r="A19" t="inlineStr">
        <is>
          <t>A 45523-2022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44845</v>
      </c>
      <c r="E19" s="1" t="n">
        <v>46241</v>
      </c>
      <c r="F19" t="inlineStr">
        <is>
          <t>VÄRMLANDS LÄN</t>
        </is>
      </c>
      <c r="G19" t="inlineStr">
        <is>
          <t>FILIPSTAD</t>
        </is>
      </c>
      <c r="I19" t="n">
        <v>7.7</v>
      </c>
      <c r="J19" t="n">
        <v>0</v>
      </c>
      <c r="K19" t="n">
        <v>2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2</v>
      </c>
      <c r="T19" t="n">
        <v>2</v>
      </c>
      <c r="U19" t="n">
        <v>1</v>
      </c>
      <c r="V19" s="2" t="inlineStr">
        <is>
          <t>Bronshjon
Korallblylav</t>
        </is>
      </c>
      <c r="W19">
        <f>HYPERLINK("https://klasma.github.io/Logging_1782/artfynd/A 45523-2022 artfynd.xlsx", "A 45523-2022")</f>
        <v/>
      </c>
      <c r="X19">
        <f>HYPERLINK("https://klasma.github.io/Logging_1782/kartor/A 45523-2022 karta.png", "A 45523-2022")</f>
        <v/>
      </c>
      <c r="Y19">
        <f>HYPERLINK("https://klasma.github.io/Logging_1782/kartor_geotiff/A 45523-2022 georefererad karta.tif", "A 45523-2022")</f>
        <v/>
      </c>
      <c r="AA19">
        <f>HYPERLINK("https://klasma.github.io/Logging_1782/klagomål/A 45523-2022 FSC-klagomål.docx", "A 45523-2022")</f>
        <v/>
      </c>
      <c r="AB19">
        <f>HYPERLINK("https://klasma.github.io/Logging_1782/klagomålsmail/A 45523-2022 FSC-klagomål mail.docx", "A 45523-2022")</f>
        <v/>
      </c>
      <c r="AC19">
        <f>HYPERLINK("https://klasma.github.io/Logging_1782/tillsyn/A 45523-2022 tillsynsbegäran.docx", "A 45523-2022")</f>
        <v/>
      </c>
      <c r="AD19">
        <f>HYPERLINK("https://klasma.github.io/Logging_1782/tillsynsmail/A 45523-2022 tillsynsbegäran mail.docx", "A 45523-2022")</f>
        <v/>
      </c>
    </row>
    <row r="20" ht="15" customHeight="1">
      <c r="A20" t="inlineStr">
        <is>
          <t>A 51922-2024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45607</v>
      </c>
      <c r="E20" s="1" t="n">
        <v>46241</v>
      </c>
      <c r="F20" t="inlineStr">
        <is>
          <t>VÄRMLANDS LÄN</t>
        </is>
      </c>
      <c r="G20" t="inlineStr">
        <is>
          <t>FILIPSTAD</t>
        </is>
      </c>
      <c r="H20" t="inlineStr">
        <is>
          <t>Bergvik skog väst AB</t>
        </is>
      </c>
      <c r="I20" t="n">
        <v>8</v>
      </c>
      <c r="J20" t="n">
        <v>1</v>
      </c>
      <c r="K20" t="n">
        <v>0</v>
      </c>
      <c r="L20" t="n">
        <v>0</v>
      </c>
      <c r="M20" t="n">
        <v>1</v>
      </c>
      <c r="N20" t="n">
        <v>0</v>
      </c>
      <c r="O20" t="n">
        <v>0</v>
      </c>
      <c r="P20" t="n">
        <v>0</v>
      </c>
      <c r="Q20" t="n">
        <v>1</v>
      </c>
      <c r="R20" t="n">
        <v>1</v>
      </c>
      <c r="S20" t="n">
        <v>2</v>
      </c>
      <c r="T20" t="n">
        <v>2</v>
      </c>
      <c r="U20" t="n">
        <v>0</v>
      </c>
      <c r="V20" s="2" t="inlineStr">
        <is>
          <t>Läderlappslav
Tjäder</t>
        </is>
      </c>
      <c r="W20">
        <f>HYPERLINK("https://klasma.github.io/Logging_1782/artfynd/A 51922-2024 artfynd.xlsx", "A 51922-2024")</f>
        <v/>
      </c>
      <c r="X20">
        <f>HYPERLINK("https://klasma.github.io/Logging_1782/kartor/A 51922-2024 karta.png", "A 51922-2024")</f>
        <v/>
      </c>
      <c r="Y20">
        <f>HYPERLINK("https://klasma.github.io/Logging_1782/kartor_geotiff/A 51922-2024 georefererad karta.tif", "A 51922-2024")</f>
        <v/>
      </c>
      <c r="AA20">
        <f>HYPERLINK("https://klasma.github.io/Logging_1782/klagomål/A 51922-2024 FSC-klagomål.docx", "A 51922-2024")</f>
        <v/>
      </c>
      <c r="AB20">
        <f>HYPERLINK("https://klasma.github.io/Logging_1782/klagomålsmail/A 51922-2024 FSC-klagomål mail.docx", "A 51922-2024")</f>
        <v/>
      </c>
      <c r="AC20">
        <f>HYPERLINK("https://klasma.github.io/Logging_1782/tillsyn/A 51922-2024 tillsynsbegäran.docx", "A 51922-2024")</f>
        <v/>
      </c>
      <c r="AD20">
        <f>HYPERLINK("https://klasma.github.io/Logging_1782/tillsynsmail/A 51922-2024 tillsynsbegäran mail.docx", "A 51922-2024")</f>
        <v/>
      </c>
      <c r="AE20">
        <f>HYPERLINK("https://klasma.github.io/Logging_1782/fåglar/A 51922-2024 prioriterade fågelarter.docx", "A 51922-2024")</f>
        <v/>
      </c>
    </row>
    <row r="21" ht="15" customHeight="1">
      <c r="A21" t="inlineStr">
        <is>
          <t>A 29469-2026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46203</v>
      </c>
      <c r="E21" s="1" t="n">
        <v>46241</v>
      </c>
      <c r="F21" t="inlineStr">
        <is>
          <t>VÄRMLANDS LÄN</t>
        </is>
      </c>
      <c r="G21" t="inlineStr">
        <is>
          <t>FILIPSTAD</t>
        </is>
      </c>
      <c r="H21" t="inlineStr">
        <is>
          <t>Bergvik skog väst AB</t>
        </is>
      </c>
      <c r="I21" t="n">
        <v>21.6</v>
      </c>
      <c r="J21" t="n">
        <v>1</v>
      </c>
      <c r="K21" t="n">
        <v>0</v>
      </c>
      <c r="L21" t="n">
        <v>0</v>
      </c>
      <c r="M21" t="n">
        <v>1</v>
      </c>
      <c r="N21" t="n">
        <v>0</v>
      </c>
      <c r="O21" t="n">
        <v>0</v>
      </c>
      <c r="P21" t="n">
        <v>0</v>
      </c>
      <c r="Q21" t="n">
        <v>1</v>
      </c>
      <c r="R21" t="n">
        <v>1</v>
      </c>
      <c r="S21" t="n">
        <v>2</v>
      </c>
      <c r="T21" t="n">
        <v>2</v>
      </c>
      <c r="U21" t="n">
        <v>0</v>
      </c>
      <c r="V21" s="2" t="inlineStr">
        <is>
          <t>Igelkott
Fläcknycklar</t>
        </is>
      </c>
      <c r="W21">
        <f>HYPERLINK("https://klasma.github.io/Logging_1782/artfynd/A 29469-2026 artfynd.xlsx", "A 29469-2026")</f>
        <v/>
      </c>
      <c r="X21">
        <f>HYPERLINK("https://klasma.github.io/Logging_1782/kartor/A 29469-2026 karta.png", "A 29469-2026")</f>
        <v/>
      </c>
      <c r="Y21">
        <f>HYPERLINK("https://klasma.github.io/Logging_1782/kartor_geotiff/A 29469-2026 georefererad karta.tif", "A 29469-2026")</f>
        <v/>
      </c>
      <c r="AA21">
        <f>HYPERLINK("https://klasma.github.io/Logging_1782/klagomål/A 29469-2026 FSC-klagomål.docx", "A 29469-2026")</f>
        <v/>
      </c>
      <c r="AB21">
        <f>HYPERLINK("https://klasma.github.io/Logging_1782/klagomålsmail/A 29469-2026 FSC-klagomål mail.docx", "A 29469-2026")</f>
        <v/>
      </c>
      <c r="AC21">
        <f>HYPERLINK("https://klasma.github.io/Logging_1782/tillsyn/A 29469-2026 tillsynsbegäran.docx", "A 29469-2026")</f>
        <v/>
      </c>
      <c r="AD21">
        <f>HYPERLINK("https://klasma.github.io/Logging_1782/tillsynsmail/A 29469-2026 tillsynsbegäran mail.docx", "A 29469-2026")</f>
        <v/>
      </c>
    </row>
    <row r="22" ht="15" customHeight="1">
      <c r="A22" t="inlineStr">
        <is>
          <t>A 32438-2026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46239</v>
      </c>
      <c r="E22" s="1" t="n">
        <v>46241</v>
      </c>
      <c r="F22" t="inlineStr">
        <is>
          <t>VÄRMLANDS LÄN</t>
        </is>
      </c>
      <c r="G22" t="inlineStr">
        <is>
          <t>FILIPSTAD</t>
        </is>
      </c>
      <c r="H22" t="inlineStr">
        <is>
          <t>Bergvik skog väst AB</t>
        </is>
      </c>
      <c r="I22" t="n">
        <v>1.1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2</v>
      </c>
      <c r="T22" t="n">
        <v>3</v>
      </c>
      <c r="U22" t="n">
        <v>0</v>
      </c>
      <c r="V22" s="2" t="inlineStr">
        <is>
          <t>Dubbelnycklar
Ängsnycklar</t>
        </is>
      </c>
      <c r="W22">
        <f>HYPERLINK("https://klasma.github.io/Logging_1782/artfynd/A 32438-2026 artfynd.xlsx", "A 32438-2026")</f>
        <v/>
      </c>
      <c r="X22">
        <f>HYPERLINK("https://klasma.github.io/Logging_1782/kartor/A 32438-2026 karta.png", "A 32438-2026")</f>
        <v/>
      </c>
      <c r="Y22">
        <f>HYPERLINK("https://klasma.github.io/Logging_1782/kartor_geotiff/A 32438-2026 georefererad karta.tif", "A 32438-2026")</f>
        <v/>
      </c>
      <c r="AA22">
        <f>HYPERLINK("https://klasma.github.io/Logging_1782/klagomål/A 32438-2026 FSC-klagomål.docx", "A 32438-2026")</f>
        <v/>
      </c>
      <c r="AB22">
        <f>HYPERLINK("https://klasma.github.io/Logging_1782/klagomålsmail/A 32438-2026 FSC-klagomål mail.docx", "A 32438-2026")</f>
        <v/>
      </c>
      <c r="AC22">
        <f>HYPERLINK("https://klasma.github.io/Logging_1782/tillsyn/A 32438-2026 tillsynsbegäran.docx", "A 32438-2026")</f>
        <v/>
      </c>
      <c r="AD22">
        <f>HYPERLINK("https://klasma.github.io/Logging_1782/tillsynsmail/A 32438-2026 tillsynsbegäran mail.docx", "A 32438-2026")</f>
        <v/>
      </c>
    </row>
    <row r="23" ht="15" customHeight="1">
      <c r="A23" t="inlineStr">
        <is>
          <t>A 16139-2025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45750</v>
      </c>
      <c r="E23" s="1" t="n">
        <v>46241</v>
      </c>
      <c r="F23" t="inlineStr">
        <is>
          <t>VÄRMLANDS LÄN</t>
        </is>
      </c>
      <c r="G23" t="inlineStr">
        <is>
          <t>FILIPSTAD</t>
        </is>
      </c>
      <c r="I23" t="n">
        <v>18.2</v>
      </c>
      <c r="J23" t="n">
        <v>0</v>
      </c>
      <c r="K23" t="n">
        <v>1</v>
      </c>
      <c r="L23" t="n">
        <v>0</v>
      </c>
      <c r="M23" t="n">
        <v>1</v>
      </c>
      <c r="N23" t="n">
        <v>0</v>
      </c>
      <c r="O23" t="n">
        <v>0</v>
      </c>
      <c r="P23" t="n">
        <v>0</v>
      </c>
      <c r="Q23" t="n">
        <v>1</v>
      </c>
      <c r="R23" t="n">
        <v>1</v>
      </c>
      <c r="S23" t="n">
        <v>2</v>
      </c>
      <c r="T23" t="n">
        <v>2</v>
      </c>
      <c r="U23" t="n">
        <v>0</v>
      </c>
      <c r="V23" s="2" t="inlineStr">
        <is>
          <t>Garnlav
Bronshjon</t>
        </is>
      </c>
      <c r="W23">
        <f>HYPERLINK("https://klasma.github.io/Logging_1782/artfynd/A 16139-2025 artfynd.xlsx", "A 16139-2025")</f>
        <v/>
      </c>
      <c r="X23">
        <f>HYPERLINK("https://klasma.github.io/Logging_1782/kartor/A 16139-2025 karta.png", "A 16139-2025")</f>
        <v/>
      </c>
      <c r="Y23">
        <f>HYPERLINK("https://klasma.github.io/Logging_1782/kartor_geotiff/A 16139-2025 georefererad karta.tif", "A 16139-2025")</f>
        <v/>
      </c>
      <c r="AA23">
        <f>HYPERLINK("https://klasma.github.io/Logging_1782/klagomål/A 16139-2025 FSC-klagomål.docx", "A 16139-2025")</f>
        <v/>
      </c>
      <c r="AB23">
        <f>HYPERLINK("https://klasma.github.io/Logging_1782/klagomålsmail/A 16139-2025 FSC-klagomål mail.docx", "A 16139-2025")</f>
        <v/>
      </c>
      <c r="AC23">
        <f>HYPERLINK("https://klasma.github.io/Logging_1782/tillsyn/A 16139-2025 tillsynsbegäran.docx", "A 16139-2025")</f>
        <v/>
      </c>
      <c r="AD23">
        <f>HYPERLINK("https://klasma.github.io/Logging_1782/tillsynsmail/A 16139-2025 tillsynsbegäran mail.docx", "A 16139-2025")</f>
        <v/>
      </c>
    </row>
    <row r="24" ht="15" customHeight="1">
      <c r="A24" t="inlineStr">
        <is>
          <t>A 19945-2023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45054</v>
      </c>
      <c r="E24" s="1" t="n">
        <v>46241</v>
      </c>
      <c r="F24" t="inlineStr">
        <is>
          <t>VÄRMLANDS LÄN</t>
        </is>
      </c>
      <c r="G24" t="inlineStr">
        <is>
          <t>FILIPSTAD</t>
        </is>
      </c>
      <c r="I24" t="n">
        <v>3.3</v>
      </c>
      <c r="J24" t="n">
        <v>1</v>
      </c>
      <c r="K24" t="n">
        <v>2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2</v>
      </c>
      <c r="T24" t="n">
        <v>4</v>
      </c>
      <c r="U24" t="n">
        <v>3</v>
      </c>
      <c r="V24" s="2" t="inlineStr">
        <is>
          <t>Guckusko
Kransrams</t>
        </is>
      </c>
      <c r="W24">
        <f>HYPERLINK("https://klasma.github.io/Logging_1782/artfynd/A 19945-2023 artfynd.xlsx", "A 19945-2023")</f>
        <v/>
      </c>
      <c r="X24">
        <f>HYPERLINK("https://klasma.github.io/Logging_1782/kartor/A 19945-2023 karta.png", "A 19945-2023")</f>
        <v/>
      </c>
      <c r="Y24">
        <f>HYPERLINK("https://klasma.github.io/Logging_1782/kartor_geotiff/A 19945-2023 georefererad karta.tif", "A 19945-2023")</f>
        <v/>
      </c>
      <c r="AA24">
        <f>HYPERLINK("https://klasma.github.io/Logging_1782/klagomål/A 19945-2023 FSC-klagomål.docx", "A 19945-2023")</f>
        <v/>
      </c>
      <c r="AB24">
        <f>HYPERLINK("https://klasma.github.io/Logging_1782/klagomålsmail/A 19945-2023 FSC-klagomål mail.docx", "A 19945-2023")</f>
        <v/>
      </c>
      <c r="AC24">
        <f>HYPERLINK("https://klasma.github.io/Logging_1782/tillsyn/A 19945-2023 tillsynsbegäran.docx", "A 19945-2023")</f>
        <v/>
      </c>
      <c r="AD24">
        <f>HYPERLINK("https://klasma.github.io/Logging_1782/tillsynsmail/A 19945-2023 tillsynsbegäran mail.docx", "A 19945-2023")</f>
        <v/>
      </c>
    </row>
    <row r="25" ht="15" customHeight="1">
      <c r="A25" t="inlineStr">
        <is>
          <t>A 17274-2024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45414</v>
      </c>
      <c r="E25" s="1" t="n">
        <v>46241</v>
      </c>
      <c r="F25" t="inlineStr">
        <is>
          <t>VÄRMLANDS LÄN</t>
        </is>
      </c>
      <c r="G25" t="inlineStr">
        <is>
          <t>FILIPSTAD</t>
        </is>
      </c>
      <c r="H25" t="inlineStr">
        <is>
          <t>Kommuner</t>
        </is>
      </c>
      <c r="I25" t="n">
        <v>5.8</v>
      </c>
      <c r="J25" t="n">
        <v>1</v>
      </c>
      <c r="K25" t="n">
        <v>0</v>
      </c>
      <c r="L25" t="n">
        <v>2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t="n">
        <v>0</v>
      </c>
      <c r="S25" t="n">
        <v>2</v>
      </c>
      <c r="T25" t="n">
        <v>2</v>
      </c>
      <c r="U25" t="n">
        <v>2</v>
      </c>
      <c r="V25" s="2" t="inlineStr">
        <is>
          <t>Dropptaggsvamp
Talltita</t>
        </is>
      </c>
      <c r="W25">
        <f>HYPERLINK("https://klasma.github.io/Logging_1782/artfynd/A 17274-2024 artfynd.xlsx", "A 17274-2024")</f>
        <v/>
      </c>
      <c r="X25">
        <f>HYPERLINK("https://klasma.github.io/Logging_1782/kartor/A 17274-2024 karta.png", "A 17274-2024")</f>
        <v/>
      </c>
      <c r="Y25">
        <f>HYPERLINK("https://klasma.github.io/Logging_1782/kartor_geotiff/A 17274-2024 georefererad karta.tif", "A 17274-2024")</f>
        <v/>
      </c>
      <c r="AA25">
        <f>HYPERLINK("https://klasma.github.io/Logging_1782/klagomål/A 17274-2024 FSC-klagomål.docx", "A 17274-2024")</f>
        <v/>
      </c>
      <c r="AB25">
        <f>HYPERLINK("https://klasma.github.io/Logging_1782/klagomålsmail/A 17274-2024 FSC-klagomål mail.docx", "A 17274-2024")</f>
        <v/>
      </c>
      <c r="AC25">
        <f>HYPERLINK("https://klasma.github.io/Logging_1782/tillsyn/A 17274-2024 tillsynsbegäran.docx", "A 17274-2024")</f>
        <v/>
      </c>
      <c r="AD25">
        <f>HYPERLINK("https://klasma.github.io/Logging_1782/tillsynsmail/A 17274-2024 tillsynsbegäran mail.docx", "A 17274-2024")</f>
        <v/>
      </c>
      <c r="AE25">
        <f>HYPERLINK("https://klasma.github.io/Logging_1782/fåglar/A 17274-2024 prioriterade fågelarter.docx", "A 17274-2024")</f>
        <v/>
      </c>
    </row>
    <row r="26" ht="15" customHeight="1">
      <c r="A26" t="inlineStr">
        <is>
          <t>S 3485-2022</t>
        </is>
      </c>
      <c r="B26" t="inlineStr">
        <is>
          <t>samrådsanmälan</t>
        </is>
      </c>
      <c r="C26" t="inlineStr">
        <is>
          <t>Askåterföring</t>
        </is>
      </c>
      <c r="D26" s="1" t="n">
        <v>44732</v>
      </c>
      <c r="E26" s="1" t="n">
        <v>46241</v>
      </c>
      <c r="F26" t="inlineStr">
        <is>
          <t>VÄRMLANDS LÄN</t>
        </is>
      </c>
      <c r="G26" t="inlineStr">
        <is>
          <t>FILIPSTAD</t>
        </is>
      </c>
      <c r="I26" t="n">
        <v>147.3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2</v>
      </c>
      <c r="T26" t="n">
        <v>3</v>
      </c>
      <c r="U26" t="n">
        <v>3</v>
      </c>
      <c r="V26" s="2" t="inlineStr">
        <is>
          <t>Grönsiska
Smålom</t>
        </is>
      </c>
      <c r="W26">
        <f>HYPERLINK("https://klasma.github.io/Logging_1782/artfynd/S 3485-2022 artfynd.xlsx", "S 3485-2022")</f>
        <v/>
      </c>
      <c r="X26">
        <f>HYPERLINK("https://klasma.github.io/Logging_1782/kartor/S 3485-2022 karta.png", "S 3485-2022")</f>
        <v/>
      </c>
      <c r="Y26">
        <f>HYPERLINK("https://klasma.github.io/Logging_1782/kartor_geotiff/S 3485-2022 georefererad karta.tif", "S 3485-2022")</f>
        <v/>
      </c>
      <c r="AA26">
        <f>HYPERLINK("https://klasma.github.io/Logging_1782/klagomål/S 3485-2022 FSC-klagomål.docx", "S 3485-2022")</f>
        <v/>
      </c>
      <c r="AB26">
        <f>HYPERLINK("https://klasma.github.io/Logging_1782/klagomålsmail/S 3485-2022 FSC-klagomål mail.docx", "S 3485-2022")</f>
        <v/>
      </c>
      <c r="AC26">
        <f>HYPERLINK("https://klasma.github.io/Logging_1782/tillsyn/S 3485-2022 tillsynsbegäran.docx", "S 3485-2022")</f>
        <v/>
      </c>
      <c r="AD26">
        <f>HYPERLINK("https://klasma.github.io/Logging_1782/tillsynsmail/S 3485-2022 tillsynsbegäran mail.docx", "S 3485-2022")</f>
        <v/>
      </c>
      <c r="AE26">
        <f>HYPERLINK("https://klasma.github.io/Logging_1782/fåglar/S 3485-2022 prioriterade fågelarter.docx", "S 3485-2022")</f>
        <v/>
      </c>
    </row>
    <row r="27" ht="15" customHeight="1">
      <c r="A27" t="inlineStr">
        <is>
          <t>A 63144-2021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44505</v>
      </c>
      <c r="E27" s="1" t="n">
        <v>46241</v>
      </c>
      <c r="F27" t="inlineStr">
        <is>
          <t>VÄRMLANDS LÄN</t>
        </is>
      </c>
      <c r="G27" t="inlineStr">
        <is>
          <t>FILIPSTAD</t>
        </is>
      </c>
      <c r="I27" t="n">
        <v>24.3</v>
      </c>
      <c r="J27" t="n">
        <v>1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1</v>
      </c>
      <c r="T27" t="n">
        <v>2</v>
      </c>
      <c r="U27" t="n">
        <v>2</v>
      </c>
      <c r="V27" s="2" t="inlineStr">
        <is>
          <t>Kungsörn</t>
        </is>
      </c>
      <c r="W27">
        <f>HYPERLINK("https://klasma.github.io/Logging_1782/artfynd/A 63144-2021 artfynd.xlsx", "A 63144-2021")</f>
        <v/>
      </c>
      <c r="X27">
        <f>HYPERLINK("https://klasma.github.io/Logging_1782/kartor/A 63144-2021 karta.png", "A 63144-2021")</f>
        <v/>
      </c>
      <c r="Y27">
        <f>HYPERLINK("https://klasma.github.io/Logging_1782/kartor_geotiff/A 63144-2021 georefererad karta.tif", "A 63144-2021")</f>
        <v/>
      </c>
      <c r="AA27">
        <f>HYPERLINK("https://klasma.github.io/Logging_1782/klagomål/A 63144-2021 FSC-klagomål.docx", "A 63144-2021")</f>
        <v/>
      </c>
      <c r="AB27">
        <f>HYPERLINK("https://klasma.github.io/Logging_1782/klagomålsmail/A 63144-2021 FSC-klagomål mail.docx", "A 63144-2021")</f>
        <v/>
      </c>
      <c r="AC27">
        <f>HYPERLINK("https://klasma.github.io/Logging_1782/tillsyn/A 63144-2021 tillsynsbegäran.docx", "A 63144-2021")</f>
        <v/>
      </c>
      <c r="AD27">
        <f>HYPERLINK("https://klasma.github.io/Logging_1782/tillsynsmail/A 63144-2021 tillsynsbegäran mail.docx", "A 63144-2021")</f>
        <v/>
      </c>
      <c r="AE27">
        <f>HYPERLINK("https://klasma.github.io/Logging_1782/fåglar/A 63144-2021 prioriterade fågelarter.docx", "A 63144-2021")</f>
        <v/>
      </c>
    </row>
    <row r="28" ht="15" customHeight="1">
      <c r="A28" t="inlineStr">
        <is>
          <t>A 62572-2021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44503</v>
      </c>
      <c r="E28" s="1" t="n">
        <v>46241</v>
      </c>
      <c r="F28" t="inlineStr">
        <is>
          <t>VÄRMLANDS LÄN</t>
        </is>
      </c>
      <c r="G28" t="inlineStr">
        <is>
          <t>FILIPSTAD</t>
        </is>
      </c>
      <c r="H28" t="inlineStr">
        <is>
          <t>Bergvik skog väst AB</t>
        </is>
      </c>
      <c r="I28" t="n">
        <v>46.9</v>
      </c>
      <c r="J28" t="n">
        <v>0</v>
      </c>
      <c r="K28" t="n">
        <v>0</v>
      </c>
      <c r="L28" t="n">
        <v>0</v>
      </c>
      <c r="M28" t="n">
        <v>1</v>
      </c>
      <c r="N28" t="n">
        <v>0</v>
      </c>
      <c r="O28" t="n">
        <v>0</v>
      </c>
      <c r="P28" t="n">
        <v>0</v>
      </c>
      <c r="Q28" t="n">
        <v>1</v>
      </c>
      <c r="R28" t="n">
        <v>1</v>
      </c>
      <c r="S28" t="n">
        <v>1</v>
      </c>
      <c r="T28" t="n">
        <v>1</v>
      </c>
      <c r="U28" t="n">
        <v>1</v>
      </c>
      <c r="V28" s="2" t="inlineStr">
        <is>
          <t>Garnlav</t>
        </is>
      </c>
      <c r="W28">
        <f>HYPERLINK("https://klasma.github.io/Logging_1782/artfynd/A 62572-2021 artfynd.xlsx", "A 62572-2021")</f>
        <v/>
      </c>
      <c r="X28">
        <f>HYPERLINK("https://klasma.github.io/Logging_1782/kartor/A 62572-2021 karta.png", "A 62572-2021")</f>
        <v/>
      </c>
      <c r="Y28">
        <f>HYPERLINK("https://klasma.github.io/Logging_1782/kartor_geotiff/A 62572-2021 georefererad karta.tif", "A 62572-2021")</f>
        <v/>
      </c>
      <c r="AA28">
        <f>HYPERLINK("https://klasma.github.io/Logging_1782/klagomål/A 62572-2021 FSC-klagomål.docx", "A 62572-2021")</f>
        <v/>
      </c>
      <c r="AB28">
        <f>HYPERLINK("https://klasma.github.io/Logging_1782/klagomålsmail/A 62572-2021 FSC-klagomål mail.docx", "A 62572-2021")</f>
        <v/>
      </c>
      <c r="AC28">
        <f>HYPERLINK("https://klasma.github.io/Logging_1782/tillsyn/A 62572-2021 tillsynsbegäran.docx", "A 62572-2021")</f>
        <v/>
      </c>
      <c r="AD28">
        <f>HYPERLINK("https://klasma.github.io/Logging_1782/tillsynsmail/A 62572-2021 tillsynsbegäran mail.docx", "A 62572-2021")</f>
        <v/>
      </c>
    </row>
    <row r="29" ht="15" customHeight="1">
      <c r="A29" t="inlineStr">
        <is>
          <t>A 20754-2022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44701</v>
      </c>
      <c r="E29" s="1" t="n">
        <v>46241</v>
      </c>
      <c r="F29" t="inlineStr">
        <is>
          <t>VÄRMLANDS LÄN</t>
        </is>
      </c>
      <c r="G29" t="inlineStr">
        <is>
          <t>FILIPSTAD</t>
        </is>
      </c>
      <c r="H29" t="inlineStr">
        <is>
          <t>Bergvik skog väst AB</t>
        </is>
      </c>
      <c r="I29" t="n">
        <v>13.6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Mattlummer</t>
        </is>
      </c>
      <c r="W29">
        <f>HYPERLINK("https://klasma.github.io/Logging_1782/artfynd/A 20754-2022 artfynd.xlsx", "A 20754-2022")</f>
        <v/>
      </c>
      <c r="X29">
        <f>HYPERLINK("https://klasma.github.io/Logging_1782/kartor/A 20754-2022 karta.png", "A 20754-2022")</f>
        <v/>
      </c>
      <c r="Y29">
        <f>HYPERLINK("https://klasma.github.io/Logging_1782/kartor_geotiff/A 20754-2022 georefererad karta.tif", "A 20754-2022")</f>
        <v/>
      </c>
      <c r="AA29">
        <f>HYPERLINK("https://klasma.github.io/Logging_1782/klagomål/A 20754-2022 FSC-klagomål.docx", "A 20754-2022")</f>
        <v/>
      </c>
      <c r="AB29">
        <f>HYPERLINK("https://klasma.github.io/Logging_1782/klagomålsmail/A 20754-2022 FSC-klagomål mail.docx", "A 20754-2022")</f>
        <v/>
      </c>
      <c r="AC29">
        <f>HYPERLINK("https://klasma.github.io/Logging_1782/tillsyn/A 20754-2022 tillsynsbegäran.docx", "A 20754-2022")</f>
        <v/>
      </c>
      <c r="AD29">
        <f>HYPERLINK("https://klasma.github.io/Logging_1782/tillsynsmail/A 20754-2022 tillsynsbegäran mail.docx", "A 20754-2022")</f>
        <v/>
      </c>
    </row>
    <row r="30" ht="15" customHeight="1">
      <c r="A30" t="inlineStr">
        <is>
          <t>A 10138-2024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45364</v>
      </c>
      <c r="E30" s="1" t="n">
        <v>46241</v>
      </c>
      <c r="F30" t="inlineStr">
        <is>
          <t>VÄRMLANDS LÄN</t>
        </is>
      </c>
      <c r="G30" t="inlineStr">
        <is>
          <t>FILIPSTAD</t>
        </is>
      </c>
      <c r="H30" t="inlineStr">
        <is>
          <t>Kommuner</t>
        </is>
      </c>
      <c r="I30" t="n">
        <v>6.8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1</v>
      </c>
      <c r="V30" s="2" t="inlineStr">
        <is>
          <t>Purpurknipprot</t>
        </is>
      </c>
      <c r="W30">
        <f>HYPERLINK("https://klasma.github.io/Logging_1782/artfynd/A 10138-2024 artfynd.xlsx", "A 10138-2024")</f>
        <v/>
      </c>
      <c r="X30">
        <f>HYPERLINK("https://klasma.github.io/Logging_1782/kartor/A 10138-2024 karta.png", "A 10138-2024")</f>
        <v/>
      </c>
      <c r="Y30">
        <f>HYPERLINK("https://klasma.github.io/Logging_1782/kartor_geotiff/A 10138-2024 georefererad karta.tif", "A 10138-2024")</f>
        <v/>
      </c>
      <c r="AA30">
        <f>HYPERLINK("https://klasma.github.io/Logging_1782/klagomål/A 10138-2024 FSC-klagomål.docx", "A 10138-2024")</f>
        <v/>
      </c>
      <c r="AB30">
        <f>HYPERLINK("https://klasma.github.io/Logging_1782/klagomålsmail/A 10138-2024 FSC-klagomål mail.docx", "A 10138-2024")</f>
        <v/>
      </c>
      <c r="AC30">
        <f>HYPERLINK("https://klasma.github.io/Logging_1782/tillsyn/A 10138-2024 tillsynsbegäran.docx", "A 10138-2024")</f>
        <v/>
      </c>
      <c r="AD30">
        <f>HYPERLINK("https://klasma.github.io/Logging_1782/tillsynsmail/A 10138-2024 tillsynsbegäran mail.docx", "A 10138-2024")</f>
        <v/>
      </c>
    </row>
    <row r="31" ht="15" customHeight="1">
      <c r="A31" t="inlineStr">
        <is>
          <t>A 38140-2024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45545</v>
      </c>
      <c r="E31" s="1" t="n">
        <v>46241</v>
      </c>
      <c r="F31" t="inlineStr">
        <is>
          <t>VÄRMLANDS LÄN</t>
        </is>
      </c>
      <c r="G31" t="inlineStr">
        <is>
          <t>FILIPSTAD</t>
        </is>
      </c>
      <c r="H31" t="inlineStr">
        <is>
          <t>Bergvik skog väst AB</t>
        </is>
      </c>
      <c r="I31" t="n">
        <v>1.4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Dropptaggsvamp</t>
        </is>
      </c>
      <c r="W31">
        <f>HYPERLINK("https://klasma.github.io/Logging_1782/artfynd/A 38140-2024 artfynd.xlsx", "A 38140-2024")</f>
        <v/>
      </c>
      <c r="X31">
        <f>HYPERLINK("https://klasma.github.io/Logging_1782/kartor/A 38140-2024 karta.png", "A 38140-2024")</f>
        <v/>
      </c>
      <c r="Y31">
        <f>HYPERLINK("https://klasma.github.io/Logging_1782/kartor_geotiff/A 38140-2024 georefererad karta.tif", "A 38140-2024")</f>
        <v/>
      </c>
      <c r="AA31">
        <f>HYPERLINK("https://klasma.github.io/Logging_1782/klagomål/A 38140-2024 FSC-klagomål.docx", "A 38140-2024")</f>
        <v/>
      </c>
      <c r="AB31">
        <f>HYPERLINK("https://klasma.github.io/Logging_1782/klagomålsmail/A 38140-2024 FSC-klagomål mail.docx", "A 38140-2024")</f>
        <v/>
      </c>
      <c r="AC31">
        <f>HYPERLINK("https://klasma.github.io/Logging_1782/tillsyn/A 38140-2024 tillsynsbegäran.docx", "A 38140-2024")</f>
        <v/>
      </c>
      <c r="AD31">
        <f>HYPERLINK("https://klasma.github.io/Logging_1782/tillsynsmail/A 38140-2024 tillsynsbegäran mail.docx", "A 38140-2024")</f>
        <v/>
      </c>
    </row>
    <row r="32" ht="15" customHeight="1">
      <c r="A32" t="inlineStr">
        <is>
          <t>A 23046-2023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45075</v>
      </c>
      <c r="E32" s="1" t="n">
        <v>46241</v>
      </c>
      <c r="F32" t="inlineStr">
        <is>
          <t>VÄRMLANDS LÄN</t>
        </is>
      </c>
      <c r="G32" t="inlineStr">
        <is>
          <t>FILIPSTAD</t>
        </is>
      </c>
      <c r="H32" t="inlineStr">
        <is>
          <t>Bergvik skog väst AB</t>
        </is>
      </c>
      <c r="I32" t="n">
        <v>1.7</v>
      </c>
      <c r="J32" t="n">
        <v>1</v>
      </c>
      <c r="K32" t="n">
        <v>0</v>
      </c>
      <c r="L32" t="n">
        <v>0</v>
      </c>
      <c r="M32" t="n">
        <v>1</v>
      </c>
      <c r="N32" t="n">
        <v>0</v>
      </c>
      <c r="O32" t="n">
        <v>0</v>
      </c>
      <c r="P32" t="n">
        <v>0</v>
      </c>
      <c r="Q32" t="n">
        <v>1</v>
      </c>
      <c r="R32" t="n">
        <v>1</v>
      </c>
      <c r="S32" t="n">
        <v>1</v>
      </c>
      <c r="T32" t="n">
        <v>1</v>
      </c>
      <c r="U32" t="n">
        <v>0</v>
      </c>
      <c r="V32" s="2" t="inlineStr">
        <is>
          <t>Knärot</t>
        </is>
      </c>
      <c r="W32">
        <f>HYPERLINK("https://klasma.github.io/Logging_1782/artfynd/A 23046-2023 artfynd.xlsx", "A 23046-2023")</f>
        <v/>
      </c>
      <c r="X32">
        <f>HYPERLINK("https://klasma.github.io/Logging_1782/kartor/A 23046-2023 karta.png", "A 23046-2023")</f>
        <v/>
      </c>
      <c r="Y32">
        <f>HYPERLINK("https://klasma.github.io/Logging_1782/kartor_geotiff/A 23046-2023 georefererad karta.tif", "A 23046-2023")</f>
        <v/>
      </c>
      <c r="Z32">
        <f>HYPERLINK("https://klasma.github.io/Logging_1782/knärot/A 23046-2023 karta knärot.png", "A 23046-2023")</f>
        <v/>
      </c>
      <c r="AA32">
        <f>HYPERLINK("https://klasma.github.io/Logging_1782/klagomål/A 23046-2023 FSC-klagomål.docx", "A 23046-2023")</f>
        <v/>
      </c>
      <c r="AB32">
        <f>HYPERLINK("https://klasma.github.io/Logging_1782/klagomålsmail/A 23046-2023 FSC-klagomål mail.docx", "A 23046-2023")</f>
        <v/>
      </c>
      <c r="AC32">
        <f>HYPERLINK("https://klasma.github.io/Logging_1782/tillsyn/A 23046-2023 tillsynsbegäran.docx", "A 23046-2023")</f>
        <v/>
      </c>
      <c r="AD32">
        <f>HYPERLINK("https://klasma.github.io/Logging_1782/tillsynsmail/A 23046-2023 tillsynsbegäran mail.docx", "A 23046-2023")</f>
        <v/>
      </c>
    </row>
    <row r="33" ht="15" customHeight="1">
      <c r="A33" t="inlineStr">
        <is>
          <t>A 17529-2026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46120</v>
      </c>
      <c r="E33" s="1" t="n">
        <v>46241</v>
      </c>
      <c r="F33" t="inlineStr">
        <is>
          <t>VÄRMLANDS LÄN</t>
        </is>
      </c>
      <c r="G33" t="inlineStr">
        <is>
          <t>FILIPSTAD</t>
        </is>
      </c>
      <c r="I33" t="n">
        <v>7</v>
      </c>
      <c r="J33" t="n">
        <v>0</v>
      </c>
      <c r="K33" t="n">
        <v>0</v>
      </c>
      <c r="L33" t="n">
        <v>0</v>
      </c>
      <c r="M33" t="n">
        <v>1</v>
      </c>
      <c r="N33" t="n">
        <v>0</v>
      </c>
      <c r="O33" t="n">
        <v>0</v>
      </c>
      <c r="P33" t="n">
        <v>0</v>
      </c>
      <c r="Q33" t="n">
        <v>1</v>
      </c>
      <c r="R33" t="n">
        <v>1</v>
      </c>
      <c r="S33" t="n">
        <v>1</v>
      </c>
      <c r="T33" t="n">
        <v>1</v>
      </c>
      <c r="U33" t="n">
        <v>1</v>
      </c>
      <c r="V33" s="2" t="inlineStr">
        <is>
          <t>Ädellav</t>
        </is>
      </c>
      <c r="W33">
        <f>HYPERLINK("https://klasma.github.io/Logging_1782/artfynd/A 17529-2026 artfynd.xlsx", "A 17529-2026")</f>
        <v/>
      </c>
      <c r="X33">
        <f>HYPERLINK("https://klasma.github.io/Logging_1782/kartor/A 17529-2026 karta.png", "A 17529-2026")</f>
        <v/>
      </c>
      <c r="Y33">
        <f>HYPERLINK("https://klasma.github.io/Logging_1782/kartor_geotiff/A 17529-2026 georefererad karta.tif", "A 17529-2026")</f>
        <v/>
      </c>
      <c r="AA33">
        <f>HYPERLINK("https://klasma.github.io/Logging_1782/klagomål/A 17529-2026 FSC-klagomål.docx", "A 17529-2026")</f>
        <v/>
      </c>
      <c r="AB33">
        <f>HYPERLINK("https://klasma.github.io/Logging_1782/klagomålsmail/A 17529-2026 FSC-klagomål mail.docx", "A 17529-2026")</f>
        <v/>
      </c>
      <c r="AC33">
        <f>HYPERLINK("https://klasma.github.io/Logging_1782/tillsyn/A 17529-2026 tillsynsbegäran.docx", "A 17529-2026")</f>
        <v/>
      </c>
      <c r="AD33">
        <f>HYPERLINK("https://klasma.github.io/Logging_1782/tillsynsmail/A 17529-2026 tillsynsbegäran mail.docx", "A 17529-2026")</f>
        <v/>
      </c>
    </row>
    <row r="34" ht="15" customHeight="1">
      <c r="A34" t="inlineStr">
        <is>
          <t>A 45781-2025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45923</v>
      </c>
      <c r="E34" s="1" t="n">
        <v>46241</v>
      </c>
      <c r="F34" t="inlineStr">
        <is>
          <t>VÄRMLANDS LÄN</t>
        </is>
      </c>
      <c r="G34" t="inlineStr">
        <is>
          <t>FILIPSTAD</t>
        </is>
      </c>
      <c r="H34" t="inlineStr">
        <is>
          <t>Bergvik skog väst AB</t>
        </is>
      </c>
      <c r="I34" t="n">
        <v>2.6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Brunklöver</t>
        </is>
      </c>
      <c r="W34">
        <f>HYPERLINK("https://klasma.github.io/Logging_1782/artfynd/A 45781-2025 artfynd.xlsx", "A 45781-2025")</f>
        <v/>
      </c>
      <c r="X34">
        <f>HYPERLINK("https://klasma.github.io/Logging_1782/kartor/A 45781-2025 karta.png", "A 45781-2025")</f>
        <v/>
      </c>
      <c r="Y34">
        <f>HYPERLINK("https://klasma.github.io/Logging_1782/kartor_geotiff/A 45781-2025 georefererad karta.tif", "A 45781-2025")</f>
        <v/>
      </c>
      <c r="AA34">
        <f>HYPERLINK("https://klasma.github.io/Logging_1782/klagomål/A 45781-2025 FSC-klagomål.docx", "A 45781-2025")</f>
        <v/>
      </c>
      <c r="AB34">
        <f>HYPERLINK("https://klasma.github.io/Logging_1782/klagomålsmail/A 45781-2025 FSC-klagomål mail.docx", "A 45781-2025")</f>
        <v/>
      </c>
      <c r="AC34">
        <f>HYPERLINK("https://klasma.github.io/Logging_1782/tillsyn/A 45781-2025 tillsynsbegäran.docx", "A 45781-2025")</f>
        <v/>
      </c>
      <c r="AD34">
        <f>HYPERLINK("https://klasma.github.io/Logging_1782/tillsynsmail/A 45781-2025 tillsynsbegäran mail.docx", "A 45781-2025")</f>
        <v/>
      </c>
    </row>
    <row r="35" ht="15" customHeight="1">
      <c r="A35" t="inlineStr">
        <is>
          <t>A 58734-2025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45986</v>
      </c>
      <c r="E35" s="1" t="n">
        <v>46241</v>
      </c>
      <c r="F35" t="inlineStr">
        <is>
          <t>VÄRMLANDS LÄN</t>
        </is>
      </c>
      <c r="G35" t="inlineStr">
        <is>
          <t>FILIPSTAD</t>
        </is>
      </c>
      <c r="H35" t="inlineStr">
        <is>
          <t>Bergvik skog väst AB</t>
        </is>
      </c>
      <c r="I35" t="n">
        <v>18.2</v>
      </c>
      <c r="J35" t="n">
        <v>1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Tretåig hackspett</t>
        </is>
      </c>
      <c r="W35">
        <f>HYPERLINK("https://klasma.github.io/Logging_1782/artfynd/A 58734-2025 artfynd.xlsx", "A 58734-2025")</f>
        <v/>
      </c>
      <c r="X35">
        <f>HYPERLINK("https://klasma.github.io/Logging_1782/kartor/A 58734-2025 karta.png", "A 58734-2025")</f>
        <v/>
      </c>
      <c r="Y35">
        <f>HYPERLINK("https://klasma.github.io/Logging_1782/kartor_geotiff/A 58734-2025 georefererad karta.tif", "A 58734-2025")</f>
        <v/>
      </c>
      <c r="AA35">
        <f>HYPERLINK("https://klasma.github.io/Logging_1782/klagomål/A 58734-2025 FSC-klagomål.docx", "A 58734-2025")</f>
        <v/>
      </c>
      <c r="AB35">
        <f>HYPERLINK("https://klasma.github.io/Logging_1782/klagomålsmail/A 58734-2025 FSC-klagomål mail.docx", "A 58734-2025")</f>
        <v/>
      </c>
      <c r="AC35">
        <f>HYPERLINK("https://klasma.github.io/Logging_1782/tillsyn/A 58734-2025 tillsynsbegäran.docx", "A 58734-2025")</f>
        <v/>
      </c>
      <c r="AD35">
        <f>HYPERLINK("https://klasma.github.io/Logging_1782/tillsynsmail/A 58734-2025 tillsynsbegäran mail.docx", "A 58734-2025")</f>
        <v/>
      </c>
      <c r="AE35">
        <f>HYPERLINK("https://klasma.github.io/Logging_1782/fåglar/A 58734-2025 prioriterade fågelarter.docx", "A 58734-2025")</f>
        <v/>
      </c>
    </row>
    <row r="36" ht="15" customHeight="1">
      <c r="A36" t="inlineStr">
        <is>
          <t>A 4560-2025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45687</v>
      </c>
      <c r="E36" s="1" t="n">
        <v>46241</v>
      </c>
      <c r="F36" t="inlineStr">
        <is>
          <t>VÄRMLANDS LÄN</t>
        </is>
      </c>
      <c r="G36" t="inlineStr">
        <is>
          <t>FILIPSTAD</t>
        </is>
      </c>
      <c r="I36" t="n">
        <v>13.6</v>
      </c>
      <c r="J36" t="n">
        <v>0</v>
      </c>
      <c r="K36" t="n">
        <v>0</v>
      </c>
      <c r="L36" t="n">
        <v>0</v>
      </c>
      <c r="M36" t="n">
        <v>1</v>
      </c>
      <c r="N36" t="n">
        <v>0</v>
      </c>
      <c r="O36" t="n">
        <v>0</v>
      </c>
      <c r="P36" t="n">
        <v>0</v>
      </c>
      <c r="Q36" t="n">
        <v>1</v>
      </c>
      <c r="R36" t="n">
        <v>1</v>
      </c>
      <c r="S36" t="n">
        <v>1</v>
      </c>
      <c r="T36" t="n">
        <v>1</v>
      </c>
      <c r="U36" t="n">
        <v>0</v>
      </c>
      <c r="V36" s="2" t="inlineStr">
        <is>
          <t>Skrovlig taggsvamp</t>
        </is>
      </c>
      <c r="W36">
        <f>HYPERLINK("https://klasma.github.io/Logging_1782/artfynd/A 4560-2025 artfynd.xlsx", "A 4560-2025")</f>
        <v/>
      </c>
      <c r="X36">
        <f>HYPERLINK("https://klasma.github.io/Logging_1782/kartor/A 4560-2025 karta.png", "A 4560-2025")</f>
        <v/>
      </c>
      <c r="Y36">
        <f>HYPERLINK("https://klasma.github.io/Logging_1782/kartor_geotiff/A 4560-2025 georefererad karta.tif", "A 4560-2025")</f>
        <v/>
      </c>
      <c r="AA36">
        <f>HYPERLINK("https://klasma.github.io/Logging_1782/klagomål/A 4560-2025 FSC-klagomål.docx", "A 4560-2025")</f>
        <v/>
      </c>
      <c r="AB36">
        <f>HYPERLINK("https://klasma.github.io/Logging_1782/klagomålsmail/A 4560-2025 FSC-klagomål mail.docx", "A 4560-2025")</f>
        <v/>
      </c>
      <c r="AC36">
        <f>HYPERLINK("https://klasma.github.io/Logging_1782/tillsyn/A 4560-2025 tillsynsbegäran.docx", "A 4560-2025")</f>
        <v/>
      </c>
      <c r="AD36">
        <f>HYPERLINK("https://klasma.github.io/Logging_1782/tillsynsmail/A 4560-2025 tillsynsbegäran mail.docx", "A 4560-2025")</f>
        <v/>
      </c>
    </row>
    <row r="37" ht="15" customHeight="1">
      <c r="A37" t="inlineStr">
        <is>
          <t>A 28915-2026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46199</v>
      </c>
      <c r="E37" s="1" t="n">
        <v>46241</v>
      </c>
      <c r="F37" t="inlineStr">
        <is>
          <t>VÄRMLANDS LÄN</t>
        </is>
      </c>
      <c r="G37" t="inlineStr">
        <is>
          <t>FILIPSTAD</t>
        </is>
      </c>
      <c r="H37" t="inlineStr">
        <is>
          <t>Bergvik skog väst AB</t>
        </is>
      </c>
      <c r="I37" t="n">
        <v>12.3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1</v>
      </c>
      <c r="V37" s="2" t="inlineStr">
        <is>
          <t>Stjärnstarr</t>
        </is>
      </c>
      <c r="W37">
        <f>HYPERLINK("https://klasma.github.io/Logging_1782/artfynd/A 28915-2026 artfynd.xlsx", "A 28915-2026")</f>
        <v/>
      </c>
      <c r="X37">
        <f>HYPERLINK("https://klasma.github.io/Logging_1782/kartor/A 28915-2026 karta.png", "A 28915-2026")</f>
        <v/>
      </c>
      <c r="Y37">
        <f>HYPERLINK("https://klasma.github.io/Logging_1782/kartor_geotiff/A 28915-2026 georefererad karta.tif", "A 28915-2026")</f>
        <v/>
      </c>
      <c r="AA37">
        <f>HYPERLINK("https://klasma.github.io/Logging_1782/klagomål/A 28915-2026 FSC-klagomål.docx", "A 28915-2026")</f>
        <v/>
      </c>
      <c r="AB37">
        <f>HYPERLINK("https://klasma.github.io/Logging_1782/klagomålsmail/A 28915-2026 FSC-klagomål mail.docx", "A 28915-2026")</f>
        <v/>
      </c>
      <c r="AC37">
        <f>HYPERLINK("https://klasma.github.io/Logging_1782/tillsyn/A 28915-2026 tillsynsbegäran.docx", "A 28915-2026")</f>
        <v/>
      </c>
      <c r="AD37">
        <f>HYPERLINK("https://klasma.github.io/Logging_1782/tillsynsmail/A 28915-2026 tillsynsbegäran mail.docx", "A 28915-2026")</f>
        <v/>
      </c>
    </row>
    <row r="38" ht="15" customHeight="1">
      <c r="A38" t="inlineStr">
        <is>
          <t>A 874-2025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45665</v>
      </c>
      <c r="E38" s="1" t="n">
        <v>46241</v>
      </c>
      <c r="F38" t="inlineStr">
        <is>
          <t>VÄRMLANDS LÄN</t>
        </is>
      </c>
      <c r="G38" t="inlineStr">
        <is>
          <t>FILIPSTAD</t>
        </is>
      </c>
      <c r="H38" t="inlineStr">
        <is>
          <t>Kyrkan</t>
        </is>
      </c>
      <c r="I38" t="n">
        <v>4.8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Kamjordstjärna</t>
        </is>
      </c>
      <c r="W38">
        <f>HYPERLINK("https://klasma.github.io/Logging_1782/artfynd/A 874-2025 artfynd.xlsx", "A 874-2025")</f>
        <v/>
      </c>
      <c r="X38">
        <f>HYPERLINK("https://klasma.github.io/Logging_1782/kartor/A 874-2025 karta.png", "A 874-2025")</f>
        <v/>
      </c>
      <c r="Y38">
        <f>HYPERLINK("https://klasma.github.io/Logging_1782/kartor_geotiff/A 874-2025 georefererad karta.tif", "A 874-2025")</f>
        <v/>
      </c>
      <c r="AA38">
        <f>HYPERLINK("https://klasma.github.io/Logging_1782/klagomål/A 874-2025 FSC-klagomål.docx", "A 874-2025")</f>
        <v/>
      </c>
      <c r="AB38">
        <f>HYPERLINK("https://klasma.github.io/Logging_1782/klagomålsmail/A 874-2025 FSC-klagomål mail.docx", "A 874-2025")</f>
        <v/>
      </c>
      <c r="AC38">
        <f>HYPERLINK("https://klasma.github.io/Logging_1782/tillsyn/A 874-2025 tillsynsbegäran.docx", "A 874-2025")</f>
        <v/>
      </c>
      <c r="AD38">
        <f>HYPERLINK("https://klasma.github.io/Logging_1782/tillsynsmail/A 874-2025 tillsynsbegäran mail.docx", "A 874-2025")</f>
        <v/>
      </c>
    </row>
    <row r="39" ht="15" customHeight="1">
      <c r="A39" t="inlineStr">
        <is>
          <t>A 31257-2026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46218</v>
      </c>
      <c r="E39" s="1" t="n">
        <v>46241</v>
      </c>
      <c r="F39" t="inlineStr">
        <is>
          <t>VÄRMLANDS LÄN</t>
        </is>
      </c>
      <c r="G39" t="inlineStr">
        <is>
          <t>FILIPSTAD</t>
        </is>
      </c>
      <c r="H39" t="inlineStr">
        <is>
          <t>Bergvik skog väst AB</t>
        </is>
      </c>
      <c r="I39" t="n">
        <v>10.2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Gräsull</t>
        </is>
      </c>
      <c r="W39">
        <f>HYPERLINK("https://klasma.github.io/Logging_1782/artfynd/A 31257-2026 artfynd.xlsx", "A 31257-2026")</f>
        <v/>
      </c>
      <c r="X39">
        <f>HYPERLINK("https://klasma.github.io/Logging_1782/kartor/A 31257-2026 karta.png", "A 31257-2026")</f>
        <v/>
      </c>
      <c r="Y39">
        <f>HYPERLINK("https://klasma.github.io/Logging_1782/kartor_geotiff/A 31257-2026 georefererad karta.tif", "A 31257-2026")</f>
        <v/>
      </c>
      <c r="AA39">
        <f>HYPERLINK("https://klasma.github.io/Logging_1782/klagomål/A 31257-2026 FSC-klagomål.docx", "A 31257-2026")</f>
        <v/>
      </c>
      <c r="AB39">
        <f>HYPERLINK("https://klasma.github.io/Logging_1782/klagomålsmail/A 31257-2026 FSC-klagomål mail.docx", "A 31257-2026")</f>
        <v/>
      </c>
      <c r="AC39">
        <f>HYPERLINK("https://klasma.github.io/Logging_1782/tillsyn/A 31257-2026 tillsynsbegäran.docx", "A 31257-2026")</f>
        <v/>
      </c>
      <c r="AD39">
        <f>HYPERLINK("https://klasma.github.io/Logging_1782/tillsynsmail/A 31257-2026 tillsynsbegäran mail.docx", "A 31257-2026")</f>
        <v/>
      </c>
    </row>
    <row r="40" ht="15" customHeight="1">
      <c r="A40" t="inlineStr">
        <is>
          <t>A 25862-2026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46178</v>
      </c>
      <c r="E40" s="1" t="n">
        <v>46241</v>
      </c>
      <c r="F40" t="inlineStr">
        <is>
          <t>VÄRMLANDS LÄN</t>
        </is>
      </c>
      <c r="G40" t="inlineStr">
        <is>
          <t>FILIPSTAD</t>
        </is>
      </c>
      <c r="H40" t="inlineStr">
        <is>
          <t>Bergvik skog väst AB</t>
        </is>
      </c>
      <c r="I40" t="n">
        <v>3.5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Talltaggsvamp</t>
        </is>
      </c>
      <c r="W40">
        <f>HYPERLINK("https://klasma.github.io/Logging_1782/artfynd/A 25862-2026 artfynd.xlsx", "A 25862-2026")</f>
        <v/>
      </c>
      <c r="X40">
        <f>HYPERLINK("https://klasma.github.io/Logging_1782/kartor/A 25862-2026 karta.png", "A 25862-2026")</f>
        <v/>
      </c>
      <c r="Y40">
        <f>HYPERLINK("https://klasma.github.io/Logging_1782/kartor_geotiff/A 25862-2026 georefererad karta.tif", "A 25862-2026")</f>
        <v/>
      </c>
      <c r="AA40">
        <f>HYPERLINK("https://klasma.github.io/Logging_1782/klagomål/A 25862-2026 FSC-klagomål.docx", "A 25862-2026")</f>
        <v/>
      </c>
      <c r="AB40">
        <f>HYPERLINK("https://klasma.github.io/Logging_1782/klagomålsmail/A 25862-2026 FSC-klagomål mail.docx", "A 25862-2026")</f>
        <v/>
      </c>
      <c r="AC40">
        <f>HYPERLINK("https://klasma.github.io/Logging_1782/tillsyn/A 25862-2026 tillsynsbegäran.docx", "A 25862-2026")</f>
        <v/>
      </c>
      <c r="AD40">
        <f>HYPERLINK("https://klasma.github.io/Logging_1782/tillsynsmail/A 25862-2026 tillsynsbegäran mail.docx", "A 25862-2026")</f>
        <v/>
      </c>
    </row>
    <row r="41" ht="15" customHeight="1">
      <c r="A41" t="inlineStr">
        <is>
          <t>A 51522-2022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44869</v>
      </c>
      <c r="E41" s="1" t="n">
        <v>46241</v>
      </c>
      <c r="F41" t="inlineStr">
        <is>
          <t>VÄRMLANDS LÄN</t>
        </is>
      </c>
      <c r="G41" t="inlineStr">
        <is>
          <t>FILIPSTAD</t>
        </is>
      </c>
      <c r="I41" t="n">
        <v>4.1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Tibast</t>
        </is>
      </c>
      <c r="W41">
        <f>HYPERLINK("https://klasma.github.io/Logging_1782/artfynd/A 51522-2022 artfynd.xlsx", "A 51522-2022")</f>
        <v/>
      </c>
      <c r="X41">
        <f>HYPERLINK("https://klasma.github.io/Logging_1782/kartor/A 51522-2022 karta.png", "A 51522-2022")</f>
        <v/>
      </c>
      <c r="Y41">
        <f>HYPERLINK("https://klasma.github.io/Logging_1782/kartor_geotiff/A 51522-2022 georefererad karta.tif", "A 51522-2022")</f>
        <v/>
      </c>
      <c r="AA41">
        <f>HYPERLINK("https://klasma.github.io/Logging_1782/klagomål/A 51522-2022 FSC-klagomål.docx", "A 51522-2022")</f>
        <v/>
      </c>
      <c r="AB41">
        <f>HYPERLINK("https://klasma.github.io/Logging_1782/klagomålsmail/A 51522-2022 FSC-klagomål mail.docx", "A 51522-2022")</f>
        <v/>
      </c>
      <c r="AC41">
        <f>HYPERLINK("https://klasma.github.io/Logging_1782/tillsyn/A 51522-2022 tillsynsbegäran.docx", "A 51522-2022")</f>
        <v/>
      </c>
      <c r="AD41">
        <f>HYPERLINK("https://klasma.github.io/Logging_1782/tillsynsmail/A 51522-2022 tillsynsbegäran mail.docx", "A 51522-2022")</f>
        <v/>
      </c>
    </row>
    <row r="42" ht="15" customHeight="1">
      <c r="A42" t="inlineStr">
        <is>
          <t>A 11453-2025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45726</v>
      </c>
      <c r="E42" s="1" t="n">
        <v>46241</v>
      </c>
      <c r="F42" t="inlineStr">
        <is>
          <t>VÄRMLANDS LÄN</t>
        </is>
      </c>
      <c r="G42" t="inlineStr">
        <is>
          <t>FILIPSTAD</t>
        </is>
      </c>
      <c r="I42" t="n">
        <v>7</v>
      </c>
      <c r="J42" t="n">
        <v>1</v>
      </c>
      <c r="K42" t="n">
        <v>1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Purpurknipprot</t>
        </is>
      </c>
      <c r="W42">
        <f>HYPERLINK("https://klasma.github.io/Logging_1782/artfynd/A 11453-2025 artfynd.xlsx", "A 11453-2025")</f>
        <v/>
      </c>
      <c r="X42">
        <f>HYPERLINK("https://klasma.github.io/Logging_1782/kartor/A 11453-2025 karta.png", "A 11453-2025")</f>
        <v/>
      </c>
      <c r="Y42">
        <f>HYPERLINK("https://klasma.github.io/Logging_1782/kartor_geotiff/A 11453-2025 georefererad karta.tif", "A 11453-2025")</f>
        <v/>
      </c>
      <c r="AA42">
        <f>HYPERLINK("https://klasma.github.io/Logging_1782/klagomål/A 11453-2025 FSC-klagomål.docx", "A 11453-2025")</f>
        <v/>
      </c>
      <c r="AB42">
        <f>HYPERLINK("https://klasma.github.io/Logging_1782/klagomålsmail/A 11453-2025 FSC-klagomål mail.docx", "A 11453-2025")</f>
        <v/>
      </c>
      <c r="AC42">
        <f>HYPERLINK("https://klasma.github.io/Logging_1782/tillsyn/A 11453-2025 tillsynsbegäran.docx", "A 11453-2025")</f>
        <v/>
      </c>
      <c r="AD42">
        <f>HYPERLINK("https://klasma.github.io/Logging_1782/tillsynsmail/A 11453-2025 tillsynsbegäran mail.docx", "A 11453-2025")</f>
        <v/>
      </c>
    </row>
    <row r="43" ht="15" customHeight="1">
      <c r="A43" t="inlineStr">
        <is>
          <t>A 25916-2025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45804</v>
      </c>
      <c r="E43" s="1" t="n">
        <v>46241</v>
      </c>
      <c r="F43" t="inlineStr">
        <is>
          <t>VÄRMLANDS LÄN</t>
        </is>
      </c>
      <c r="G43" t="inlineStr">
        <is>
          <t>FILIPSTAD</t>
        </is>
      </c>
      <c r="H43" t="inlineStr">
        <is>
          <t>Bergvik skog väst AB</t>
        </is>
      </c>
      <c r="I43" t="n">
        <v>26.4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Lunglav</t>
        </is>
      </c>
      <c r="W43">
        <f>HYPERLINK("https://klasma.github.io/Logging_1782/artfynd/A 25916-2025 artfynd.xlsx", "A 25916-2025")</f>
        <v/>
      </c>
      <c r="X43">
        <f>HYPERLINK("https://klasma.github.io/Logging_1782/kartor/A 25916-2025 karta.png", "A 25916-2025")</f>
        <v/>
      </c>
      <c r="Y43">
        <f>HYPERLINK("https://klasma.github.io/Logging_1782/kartor_geotiff/A 25916-2025 georefererad karta.tif", "A 25916-2025")</f>
        <v/>
      </c>
      <c r="AA43">
        <f>HYPERLINK("https://klasma.github.io/Logging_1782/klagomål/A 25916-2025 FSC-klagomål.docx", "A 25916-2025")</f>
        <v/>
      </c>
      <c r="AB43">
        <f>HYPERLINK("https://klasma.github.io/Logging_1782/klagomålsmail/A 25916-2025 FSC-klagomål mail.docx", "A 25916-2025")</f>
        <v/>
      </c>
      <c r="AC43">
        <f>HYPERLINK("https://klasma.github.io/Logging_1782/tillsyn/A 25916-2025 tillsynsbegäran.docx", "A 25916-2025")</f>
        <v/>
      </c>
      <c r="AD43">
        <f>HYPERLINK("https://klasma.github.io/Logging_1782/tillsynsmail/A 25916-2025 tillsynsbegäran mail.docx", "A 25916-2025")</f>
        <v/>
      </c>
    </row>
    <row r="44" ht="15" customHeight="1">
      <c r="A44" t="inlineStr">
        <is>
          <t>A 30652-2025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45831</v>
      </c>
      <c r="E44" s="1" t="n">
        <v>46241</v>
      </c>
      <c r="F44" t="inlineStr">
        <is>
          <t>VÄRMLANDS LÄN</t>
        </is>
      </c>
      <c r="G44" t="inlineStr">
        <is>
          <t>FILIPSTAD</t>
        </is>
      </c>
      <c r="H44" t="inlineStr">
        <is>
          <t>Bergvik skog väst AB</t>
        </is>
      </c>
      <c r="I44" t="n">
        <v>4.3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1</v>
      </c>
      <c r="V44" s="2" t="inlineStr">
        <is>
          <t>Tjäder</t>
        </is>
      </c>
      <c r="W44">
        <f>HYPERLINK("https://klasma.github.io/Logging_1782/artfynd/A 30652-2025 artfynd.xlsx", "A 30652-2025")</f>
        <v/>
      </c>
      <c r="X44">
        <f>HYPERLINK("https://klasma.github.io/Logging_1782/kartor/A 30652-2025 karta.png", "A 30652-2025")</f>
        <v/>
      </c>
      <c r="Y44">
        <f>HYPERLINK("https://klasma.github.io/Logging_1782/kartor_geotiff/A 30652-2025 georefererad karta.tif", "A 30652-2025")</f>
        <v/>
      </c>
      <c r="AA44">
        <f>HYPERLINK("https://klasma.github.io/Logging_1782/klagomål/A 30652-2025 FSC-klagomål.docx", "A 30652-2025")</f>
        <v/>
      </c>
      <c r="AB44">
        <f>HYPERLINK("https://klasma.github.io/Logging_1782/klagomålsmail/A 30652-2025 FSC-klagomål mail.docx", "A 30652-2025")</f>
        <v/>
      </c>
      <c r="AC44">
        <f>HYPERLINK("https://klasma.github.io/Logging_1782/tillsyn/A 30652-2025 tillsynsbegäran.docx", "A 30652-2025")</f>
        <v/>
      </c>
      <c r="AD44">
        <f>HYPERLINK("https://klasma.github.io/Logging_1782/tillsynsmail/A 30652-2025 tillsynsbegäran mail.docx", "A 30652-2025")</f>
        <v/>
      </c>
      <c r="AE44">
        <f>HYPERLINK("https://klasma.github.io/Logging_1782/fåglar/A 30652-2025 prioriterade fågelarter.docx", "A 30652-2025")</f>
        <v/>
      </c>
    </row>
    <row r="45" ht="15" customHeight="1">
      <c r="A45" t="inlineStr">
        <is>
          <t>S 264-2022</t>
        </is>
      </c>
      <c r="B45" t="inlineStr">
        <is>
          <t>samrådsanmälan</t>
        </is>
      </c>
      <c r="C45" t="inlineStr">
        <is>
          <t>Skogsgödsling</t>
        </is>
      </c>
      <c r="D45" s="1" t="n">
        <v>44578</v>
      </c>
      <c r="E45" s="1" t="n">
        <v>46241</v>
      </c>
      <c r="F45" t="inlineStr">
        <is>
          <t>VÄRMLANDS LÄN</t>
        </is>
      </c>
      <c r="G45" t="inlineStr">
        <is>
          <t>FILIPSTAD</t>
        </is>
      </c>
      <c r="H45" t="inlineStr">
        <is>
          <t>Bergvik skog väst AB</t>
        </is>
      </c>
      <c r="I45" t="n">
        <v>398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Slaguggla</t>
        </is>
      </c>
      <c r="W45">
        <f>HYPERLINK("https://klasma.github.io/Logging_1782/artfynd/S 264-2022 artfynd.xlsx", "S 264-2022")</f>
        <v/>
      </c>
      <c r="X45">
        <f>HYPERLINK("https://klasma.github.io/Logging_1782/kartor/S 264-2022 karta.png", "S 264-2022")</f>
        <v/>
      </c>
      <c r="Y45">
        <f>HYPERLINK("https://klasma.github.io/Logging_1782/kartor_geotiff/S 264-2022 georefererad karta.tif", "S 264-2022")</f>
        <v/>
      </c>
      <c r="AA45">
        <f>HYPERLINK("https://klasma.github.io/Logging_1782/klagomål/S 264-2022 FSC-klagomål.docx", "S 264-2022")</f>
        <v/>
      </c>
      <c r="AB45">
        <f>HYPERLINK("https://klasma.github.io/Logging_1782/klagomålsmail/S 264-2022 FSC-klagomål mail.docx", "S 264-2022")</f>
        <v/>
      </c>
      <c r="AC45">
        <f>HYPERLINK("https://klasma.github.io/Logging_1782/tillsyn/S 264-2022 tillsynsbegäran.docx", "S 264-2022")</f>
        <v/>
      </c>
      <c r="AD45">
        <f>HYPERLINK("https://klasma.github.io/Logging_1782/tillsynsmail/S 264-2022 tillsynsbegäran mail.docx", "S 264-2022")</f>
        <v/>
      </c>
      <c r="AE45">
        <f>HYPERLINK("https://klasma.github.io/Logging_1782/fåglar/S 264-2022 prioriterade fågelarter.docx", "S 264-2022")</f>
        <v/>
      </c>
    </row>
    <row r="46" ht="15" customHeight="1">
      <c r="A46" t="inlineStr">
        <is>
          <t>S 383-2025</t>
        </is>
      </c>
      <c r="B46" t="inlineStr">
        <is>
          <t>samrådsanmälan</t>
        </is>
      </c>
      <c r="C46" t="inlineStr">
        <is>
          <t>Annan skogsbruksåtgärd</t>
        </is>
      </c>
      <c r="D46" s="1" t="n">
        <v>45691</v>
      </c>
      <c r="E46" s="1" t="n">
        <v>46241</v>
      </c>
      <c r="F46" t="inlineStr">
        <is>
          <t>VÄRMLANDS LÄN</t>
        </is>
      </c>
      <c r="G46" t="inlineStr">
        <is>
          <t>FILIPSTAD</t>
        </is>
      </c>
      <c r="I46" t="n">
        <v>18.6</v>
      </c>
      <c r="J46" t="n">
        <v>0</v>
      </c>
      <c r="K46" t="n">
        <v>0</v>
      </c>
      <c r="L46" t="n">
        <v>0</v>
      </c>
      <c r="M46" t="n">
        <v>1</v>
      </c>
      <c r="N46" t="n">
        <v>0</v>
      </c>
      <c r="O46" t="n">
        <v>0</v>
      </c>
      <c r="P46" t="n">
        <v>0</v>
      </c>
      <c r="Q46" t="n">
        <v>1</v>
      </c>
      <c r="R46" t="n">
        <v>1</v>
      </c>
      <c r="S46" t="n">
        <v>1</v>
      </c>
      <c r="T46" t="n">
        <v>1</v>
      </c>
      <c r="U46" t="n">
        <v>0</v>
      </c>
      <c r="V46" s="2" t="inlineStr">
        <is>
          <t>Skrovlig taggsvamp</t>
        </is>
      </c>
      <c r="W46">
        <f>HYPERLINK("https://klasma.github.io/Logging_1782/artfynd/S 383-2025 artfynd.xlsx", "S 383-2025")</f>
        <v/>
      </c>
      <c r="X46">
        <f>HYPERLINK("https://klasma.github.io/Logging_1782/kartor/S 383-2025 karta.png", "S 383-2025")</f>
        <v/>
      </c>
      <c r="Y46">
        <f>HYPERLINK("https://klasma.github.io/Logging_1782/kartor_geotiff/S 383-2025 georefererad karta.tif", "S 383-2025")</f>
        <v/>
      </c>
      <c r="AA46">
        <f>HYPERLINK("https://klasma.github.io/Logging_1782/klagomål/S 383-2025 FSC-klagomål.docx", "S 383-2025")</f>
        <v/>
      </c>
      <c r="AB46">
        <f>HYPERLINK("https://klasma.github.io/Logging_1782/klagomålsmail/S 383-2025 FSC-klagomål mail.docx", "S 383-2025")</f>
        <v/>
      </c>
      <c r="AC46">
        <f>HYPERLINK("https://klasma.github.io/Logging_1782/tillsyn/S 383-2025 tillsynsbegäran.docx", "S 383-2025")</f>
        <v/>
      </c>
      <c r="AD46">
        <f>HYPERLINK("https://klasma.github.io/Logging_1782/tillsynsmail/S 383-2025 tillsynsbegäran mail.docx", "S 383-2025")</f>
        <v/>
      </c>
    </row>
    <row r="47" ht="15" customHeight="1">
      <c r="A47" t="inlineStr">
        <is>
          <t>A 8482-2022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44613</v>
      </c>
      <c r="E47" s="1" t="n">
        <v>46241</v>
      </c>
      <c r="F47" t="inlineStr">
        <is>
          <t>VÄRMLANDS LÄN</t>
        </is>
      </c>
      <c r="G47" t="inlineStr">
        <is>
          <t>FILIPSTAD</t>
        </is>
      </c>
      <c r="H47" t="inlineStr">
        <is>
          <t>Bergvik skog väst AB</t>
        </is>
      </c>
      <c r="I47" t="n">
        <v>5.2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52992-2021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44467</v>
      </c>
      <c r="E48" s="1" t="n">
        <v>46241</v>
      </c>
      <c r="F48" t="inlineStr">
        <is>
          <t>VÄRMLANDS LÄN</t>
        </is>
      </c>
      <c r="G48" t="inlineStr">
        <is>
          <t>FILIPSTAD</t>
        </is>
      </c>
      <c r="I48" t="n">
        <v>0.5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15932-2022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44664</v>
      </c>
      <c r="E49" s="1" t="n">
        <v>46241</v>
      </c>
      <c r="F49" t="inlineStr">
        <is>
          <t>VÄRMLANDS LÄN</t>
        </is>
      </c>
      <c r="G49" t="inlineStr">
        <is>
          <t>FILIPSTAD</t>
        </is>
      </c>
      <c r="H49" t="inlineStr">
        <is>
          <t>Bergvik skog väst AB</t>
        </is>
      </c>
      <c r="I49" t="n">
        <v>11.5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44401-2021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44435</v>
      </c>
      <c r="E50" s="1" t="n">
        <v>46241</v>
      </c>
      <c r="F50" t="inlineStr">
        <is>
          <t>VÄRMLANDS LÄN</t>
        </is>
      </c>
      <c r="G50" t="inlineStr">
        <is>
          <t>FILIPSTAD</t>
        </is>
      </c>
      <c r="I50" t="n">
        <v>0.5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50914-2021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44460</v>
      </c>
      <c r="E51" s="1" t="n">
        <v>46241</v>
      </c>
      <c r="F51" t="inlineStr">
        <is>
          <t>VÄRMLANDS LÄN</t>
        </is>
      </c>
      <c r="G51" t="inlineStr">
        <is>
          <t>FILIPSTAD</t>
        </is>
      </c>
      <c r="I51" t="n">
        <v>2.3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7415-2022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44606</v>
      </c>
      <c r="E52" s="1" t="n">
        <v>46241</v>
      </c>
      <c r="F52" t="inlineStr">
        <is>
          <t>VÄRMLANDS LÄN</t>
        </is>
      </c>
      <c r="G52" t="inlineStr">
        <is>
          <t>FILIPSTAD</t>
        </is>
      </c>
      <c r="H52" t="inlineStr">
        <is>
          <t>Bergvik skog väst AB</t>
        </is>
      </c>
      <c r="I52" t="n">
        <v>0.5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28198-2022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44746</v>
      </c>
      <c r="E53" s="1" t="n">
        <v>46241</v>
      </c>
      <c r="F53" t="inlineStr">
        <is>
          <t>VÄRMLANDS LÄN</t>
        </is>
      </c>
      <c r="G53" t="inlineStr">
        <is>
          <t>FILIPSTAD</t>
        </is>
      </c>
      <c r="H53" t="inlineStr">
        <is>
          <t>Bergvik skog väst AB</t>
        </is>
      </c>
      <c r="I53" t="n">
        <v>0.7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49736-2021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44453</v>
      </c>
      <c r="E54" s="1" t="n">
        <v>46241</v>
      </c>
      <c r="F54" t="inlineStr">
        <is>
          <t>VÄRMLANDS LÄN</t>
        </is>
      </c>
      <c r="G54" t="inlineStr">
        <is>
          <t>FILIPSTAD</t>
        </is>
      </c>
      <c r="I54" t="n">
        <v>3.1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24442-2022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44726</v>
      </c>
      <c r="E55" s="1" t="n">
        <v>46241</v>
      </c>
      <c r="F55" t="inlineStr">
        <is>
          <t>VÄRMLANDS LÄN</t>
        </is>
      </c>
      <c r="G55" t="inlineStr">
        <is>
          <t>FILIPSTAD</t>
        </is>
      </c>
      <c r="H55" t="inlineStr">
        <is>
          <t>Bergvik skog väst AB</t>
        </is>
      </c>
      <c r="I55" t="n">
        <v>30.7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63714-2021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44505</v>
      </c>
      <c r="E56" s="1" t="n">
        <v>46241</v>
      </c>
      <c r="F56" t="inlineStr">
        <is>
          <t>VÄRMLANDS LÄN</t>
        </is>
      </c>
      <c r="G56" t="inlineStr">
        <is>
          <t>FILIPSTAD</t>
        </is>
      </c>
      <c r="I56" t="n">
        <v>1.4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14077-2022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44651</v>
      </c>
      <c r="E57" s="1" t="n">
        <v>46241</v>
      </c>
      <c r="F57" t="inlineStr">
        <is>
          <t>VÄRMLANDS LÄN</t>
        </is>
      </c>
      <c r="G57" t="inlineStr">
        <is>
          <t>FILIPSTAD</t>
        </is>
      </c>
      <c r="H57" t="inlineStr">
        <is>
          <t>Bergvik skog väst AB</t>
        </is>
      </c>
      <c r="I57" t="n">
        <v>18.7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50063-2021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44456</v>
      </c>
      <c r="E58" s="1" t="n">
        <v>46241</v>
      </c>
      <c r="F58" t="inlineStr">
        <is>
          <t>VÄRMLANDS LÄN</t>
        </is>
      </c>
      <c r="G58" t="inlineStr">
        <is>
          <t>FILIPSTAD</t>
        </is>
      </c>
      <c r="H58" t="inlineStr">
        <is>
          <t>Bergvik skog väst AB</t>
        </is>
      </c>
      <c r="I58" t="n">
        <v>1.2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22356-2022</t>
        </is>
      </c>
      <c r="B59" t="inlineStr">
        <is>
          <t>avverkningsanmälan</t>
        </is>
      </c>
      <c r="C59" t="inlineStr">
        <is>
          <t>Avverkning för annat ändamål</t>
        </is>
      </c>
      <c r="D59" s="1" t="n">
        <v>44713</v>
      </c>
      <c r="E59" s="1" t="n">
        <v>46241</v>
      </c>
      <c r="F59" t="inlineStr">
        <is>
          <t>VÄRMLANDS LÄN</t>
        </is>
      </c>
      <c r="G59" t="inlineStr">
        <is>
          <t>FILIPSTAD</t>
        </is>
      </c>
      <c r="H59" t="inlineStr">
        <is>
          <t>Bergvik skog väst AB</t>
        </is>
      </c>
      <c r="I59" t="n">
        <v>0.6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57090-2021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44482</v>
      </c>
      <c r="E60" s="1" t="n">
        <v>46241</v>
      </c>
      <c r="F60" t="inlineStr">
        <is>
          <t>VÄRMLANDS LÄN</t>
        </is>
      </c>
      <c r="G60" t="inlineStr">
        <is>
          <t>FILIPSTAD</t>
        </is>
      </c>
      <c r="I60" t="n">
        <v>1.9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32680-2022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44783</v>
      </c>
      <c r="E61" s="1" t="n">
        <v>46241</v>
      </c>
      <c r="F61" t="inlineStr">
        <is>
          <t>VÄRMLANDS LÄN</t>
        </is>
      </c>
      <c r="G61" t="inlineStr">
        <is>
          <t>FILIPSTAD</t>
        </is>
      </c>
      <c r="H61" t="inlineStr">
        <is>
          <t>Bergvik skog väst AB</t>
        </is>
      </c>
      <c r="I61" t="n">
        <v>30.5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23063-2022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44719</v>
      </c>
      <c r="E62" s="1" t="n">
        <v>46241</v>
      </c>
      <c r="F62" t="inlineStr">
        <is>
          <t>VÄRMLANDS LÄN</t>
        </is>
      </c>
      <c r="G62" t="inlineStr">
        <is>
          <t>FILIPSTAD</t>
        </is>
      </c>
      <c r="I62" t="n">
        <v>0.7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7292-2022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44606</v>
      </c>
      <c r="E63" s="1" t="n">
        <v>46241</v>
      </c>
      <c r="F63" t="inlineStr">
        <is>
          <t>VÄRMLANDS LÄN</t>
        </is>
      </c>
      <c r="G63" t="inlineStr">
        <is>
          <t>FILIPSTAD</t>
        </is>
      </c>
      <c r="H63" t="inlineStr">
        <is>
          <t>Bergvik skog väst AB</t>
        </is>
      </c>
      <c r="I63" t="n">
        <v>4.8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35712-2022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44799</v>
      </c>
      <c r="E64" s="1" t="n">
        <v>46241</v>
      </c>
      <c r="F64" t="inlineStr">
        <is>
          <t>VÄRMLANDS LÄN</t>
        </is>
      </c>
      <c r="G64" t="inlineStr">
        <is>
          <t>FILIPSTAD</t>
        </is>
      </c>
      <c r="H64" t="inlineStr">
        <is>
          <t>Bergvik skog väst AB</t>
        </is>
      </c>
      <c r="I64" t="n">
        <v>0.6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47693-2022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44854</v>
      </c>
      <c r="E65" s="1" t="n">
        <v>46241</v>
      </c>
      <c r="F65" t="inlineStr">
        <is>
          <t>VÄRMLANDS LÄN</t>
        </is>
      </c>
      <c r="G65" t="inlineStr">
        <is>
          <t>FILIPSTAD</t>
        </is>
      </c>
      <c r="H65" t="inlineStr">
        <is>
          <t>Bergvik skog väst AB</t>
        </is>
      </c>
      <c r="I65" t="n">
        <v>5.9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19626-2022</t>
        </is>
      </c>
      <c r="B66" t="inlineStr">
        <is>
          <t>avverkningsanmälan</t>
        </is>
      </c>
      <c r="C66" t="inlineStr">
        <is>
          <t>Avverkning för annat ändamål</t>
        </is>
      </c>
      <c r="D66" s="1" t="n">
        <v>44694</v>
      </c>
      <c r="E66" s="1" t="n">
        <v>46241</v>
      </c>
      <c r="F66" t="inlineStr">
        <is>
          <t>VÄRMLANDS LÄN</t>
        </is>
      </c>
      <c r="G66" t="inlineStr">
        <is>
          <t>FILIPSTAD</t>
        </is>
      </c>
      <c r="I66" t="n">
        <v>2.2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59954-2021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44494</v>
      </c>
      <c r="E67" s="1" t="n">
        <v>46241</v>
      </c>
      <c r="F67" t="inlineStr">
        <is>
          <t>VÄRMLANDS LÄN</t>
        </is>
      </c>
      <c r="G67" t="inlineStr">
        <is>
          <t>FILIPSTAD</t>
        </is>
      </c>
      <c r="I67" t="n">
        <v>3.1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14074-2022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44651</v>
      </c>
      <c r="E68" s="1" t="n">
        <v>46241</v>
      </c>
      <c r="F68" t="inlineStr">
        <is>
          <t>VÄRMLANDS LÄN</t>
        </is>
      </c>
      <c r="G68" t="inlineStr">
        <is>
          <t>FILIPSTAD</t>
        </is>
      </c>
      <c r="H68" t="inlineStr">
        <is>
          <t>Bergvik skog väst AB</t>
        </is>
      </c>
      <c r="I68" t="n">
        <v>1.6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66376-2021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44518</v>
      </c>
      <c r="E69" s="1" t="n">
        <v>46241</v>
      </c>
      <c r="F69" t="inlineStr">
        <is>
          <t>VÄRMLANDS LÄN</t>
        </is>
      </c>
      <c r="G69" t="inlineStr">
        <is>
          <t>FILIPSTAD</t>
        </is>
      </c>
      <c r="H69" t="inlineStr">
        <is>
          <t>Bergvik skog väst AB</t>
        </is>
      </c>
      <c r="I69" t="n">
        <v>9.800000000000001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64526-2021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44511</v>
      </c>
      <c r="E70" s="1" t="n">
        <v>46241</v>
      </c>
      <c r="F70" t="inlineStr">
        <is>
          <t>VÄRMLANDS LÄN</t>
        </is>
      </c>
      <c r="G70" t="inlineStr">
        <is>
          <t>FILIPSTAD</t>
        </is>
      </c>
      <c r="I70" t="n">
        <v>4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50009-2021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44454</v>
      </c>
      <c r="E71" s="1" t="n">
        <v>46241</v>
      </c>
      <c r="F71" t="inlineStr">
        <is>
          <t>VÄRMLANDS LÄN</t>
        </is>
      </c>
      <c r="G71" t="inlineStr">
        <is>
          <t>FILIPSTAD</t>
        </is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14582-2022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44655</v>
      </c>
      <c r="E72" s="1" t="n">
        <v>46241</v>
      </c>
      <c r="F72" t="inlineStr">
        <is>
          <t>VÄRMLANDS LÄN</t>
        </is>
      </c>
      <c r="G72" t="inlineStr">
        <is>
          <t>FILIPSTAD</t>
        </is>
      </c>
      <c r="H72" t="inlineStr">
        <is>
          <t>Bergvik skog väst AB</t>
        </is>
      </c>
      <c r="I72" t="n">
        <v>4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57087-2021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44482</v>
      </c>
      <c r="E73" s="1" t="n">
        <v>46241</v>
      </c>
      <c r="F73" t="inlineStr">
        <is>
          <t>VÄRMLANDS LÄN</t>
        </is>
      </c>
      <c r="G73" t="inlineStr">
        <is>
          <t>FILIPSTAD</t>
        </is>
      </c>
      <c r="I73" t="n">
        <v>4.4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5928-2022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44598</v>
      </c>
      <c r="E74" s="1" t="n">
        <v>46241</v>
      </c>
      <c r="F74" t="inlineStr">
        <is>
          <t>VÄRMLANDS LÄN</t>
        </is>
      </c>
      <c r="G74" t="inlineStr">
        <is>
          <t>FILIPSTAD</t>
        </is>
      </c>
      <c r="I74" t="n">
        <v>1.6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53562-2023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45230</v>
      </c>
      <c r="E75" s="1" t="n">
        <v>46241</v>
      </c>
      <c r="F75" t="inlineStr">
        <is>
          <t>VÄRMLANDS LÄN</t>
        </is>
      </c>
      <c r="G75" t="inlineStr">
        <is>
          <t>FILIPSTAD</t>
        </is>
      </c>
      <c r="H75" t="inlineStr">
        <is>
          <t>Bergvik skog väst AB</t>
        </is>
      </c>
      <c r="I75" t="n">
        <v>9.9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57588-2023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45246</v>
      </c>
      <c r="E76" s="1" t="n">
        <v>46241</v>
      </c>
      <c r="F76" t="inlineStr">
        <is>
          <t>VÄRMLANDS LÄN</t>
        </is>
      </c>
      <c r="G76" t="inlineStr">
        <is>
          <t>FILIPSTAD</t>
        </is>
      </c>
      <c r="H76" t="inlineStr">
        <is>
          <t>Bergvik skog väst AB</t>
        </is>
      </c>
      <c r="I76" t="n">
        <v>2.3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47536-2023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45203</v>
      </c>
      <c r="E77" s="1" t="n">
        <v>46241</v>
      </c>
      <c r="F77" t="inlineStr">
        <is>
          <t>VÄRMLANDS LÄN</t>
        </is>
      </c>
      <c r="G77" t="inlineStr">
        <is>
          <t>FILIPSTAD</t>
        </is>
      </c>
      <c r="H77" t="inlineStr">
        <is>
          <t>Bergvik skog väst AB</t>
        </is>
      </c>
      <c r="I77" t="n">
        <v>2.5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52981-2021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44467</v>
      </c>
      <c r="E78" s="1" t="n">
        <v>46241</v>
      </c>
      <c r="F78" t="inlineStr">
        <is>
          <t>VÄRMLANDS LÄN</t>
        </is>
      </c>
      <c r="G78" t="inlineStr">
        <is>
          <t>FILIPSTAD</t>
        </is>
      </c>
      <c r="I78" t="n">
        <v>1.9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6683-2025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45700</v>
      </c>
      <c r="E79" s="1" t="n">
        <v>46241</v>
      </c>
      <c r="F79" t="inlineStr">
        <is>
          <t>VÄRMLANDS LÄN</t>
        </is>
      </c>
      <c r="G79" t="inlineStr">
        <is>
          <t>FILIPSTAD</t>
        </is>
      </c>
      <c r="I79" t="n">
        <v>5.9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6860-2024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45342</v>
      </c>
      <c r="E80" s="1" t="n">
        <v>46241</v>
      </c>
      <c r="F80" t="inlineStr">
        <is>
          <t>VÄRMLANDS LÄN</t>
        </is>
      </c>
      <c r="G80" t="inlineStr">
        <is>
          <t>FILIPSTAD</t>
        </is>
      </c>
      <c r="I80" t="n">
        <v>1.3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48524-2023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45208</v>
      </c>
      <c r="E81" s="1" t="n">
        <v>46241</v>
      </c>
      <c r="F81" t="inlineStr">
        <is>
          <t>VÄRMLANDS LÄN</t>
        </is>
      </c>
      <c r="G81" t="inlineStr">
        <is>
          <t>FILIPSTAD</t>
        </is>
      </c>
      <c r="I81" t="n">
        <v>2.1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19159-2024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45428</v>
      </c>
      <c r="E82" s="1" t="n">
        <v>46241</v>
      </c>
      <c r="F82" t="inlineStr">
        <is>
          <t>VÄRMLANDS LÄN</t>
        </is>
      </c>
      <c r="G82" t="inlineStr">
        <is>
          <t>FILIPSTAD</t>
        </is>
      </c>
      <c r="H82" t="inlineStr">
        <is>
          <t>Bergvik skog väst AB</t>
        </is>
      </c>
      <c r="I82" t="n">
        <v>8.4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13918-2024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45391</v>
      </c>
      <c r="E83" s="1" t="n">
        <v>46241</v>
      </c>
      <c r="F83" t="inlineStr">
        <is>
          <t>VÄRMLANDS LÄN</t>
        </is>
      </c>
      <c r="G83" t="inlineStr">
        <is>
          <t>FILIPSTAD</t>
        </is>
      </c>
      <c r="I83" t="n">
        <v>1.7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23382-2024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45453</v>
      </c>
      <c r="E84" s="1" t="n">
        <v>46241</v>
      </c>
      <c r="F84" t="inlineStr">
        <is>
          <t>VÄRMLANDS LÄN</t>
        </is>
      </c>
      <c r="G84" t="inlineStr">
        <is>
          <t>FILIPSTAD</t>
        </is>
      </c>
      <c r="H84" t="inlineStr">
        <is>
          <t>Bergvik skog väst AB</t>
        </is>
      </c>
      <c r="I84" t="n">
        <v>2.9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27080-2023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45096</v>
      </c>
      <c r="E85" s="1" t="n">
        <v>46241</v>
      </c>
      <c r="F85" t="inlineStr">
        <is>
          <t>VÄRMLANDS LÄN</t>
        </is>
      </c>
      <c r="G85" t="inlineStr">
        <is>
          <t>FILIPSTAD</t>
        </is>
      </c>
      <c r="I85" t="n">
        <v>0.6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51945-2023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45223</v>
      </c>
      <c r="E86" s="1" t="n">
        <v>46241</v>
      </c>
      <c r="F86" t="inlineStr">
        <is>
          <t>VÄRMLANDS LÄN</t>
        </is>
      </c>
      <c r="G86" t="inlineStr">
        <is>
          <t>FILIPSTAD</t>
        </is>
      </c>
      <c r="H86" t="inlineStr">
        <is>
          <t>Bergvik skog väst AB</t>
        </is>
      </c>
      <c r="I86" t="n">
        <v>4.6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27107-2024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45471</v>
      </c>
      <c r="E87" s="1" t="n">
        <v>46241</v>
      </c>
      <c r="F87" t="inlineStr">
        <is>
          <t>VÄRMLANDS LÄN</t>
        </is>
      </c>
      <c r="G87" t="inlineStr">
        <is>
          <t>FILIPSTAD</t>
        </is>
      </c>
      <c r="H87" t="inlineStr">
        <is>
          <t>Bergvik skog väst AB</t>
        </is>
      </c>
      <c r="I87" t="n">
        <v>0.7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16584-2024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45408</v>
      </c>
      <c r="E88" s="1" t="n">
        <v>46241</v>
      </c>
      <c r="F88" t="inlineStr">
        <is>
          <t>VÄRMLANDS LÄN</t>
        </is>
      </c>
      <c r="G88" t="inlineStr">
        <is>
          <t>FILIPSTAD</t>
        </is>
      </c>
      <c r="H88" t="inlineStr">
        <is>
          <t>Bergvik skog väst AB</t>
        </is>
      </c>
      <c r="I88" t="n">
        <v>6.6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12837-2024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45384</v>
      </c>
      <c r="E89" s="1" t="n">
        <v>46241</v>
      </c>
      <c r="F89" t="inlineStr">
        <is>
          <t>VÄRMLANDS LÄN</t>
        </is>
      </c>
      <c r="G89" t="inlineStr">
        <is>
          <t>FILIPSTAD</t>
        </is>
      </c>
      <c r="H89" t="inlineStr">
        <is>
          <t>Bergvik skog väst AB</t>
        </is>
      </c>
      <c r="I89" t="n">
        <v>4.4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53690-2022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44880</v>
      </c>
      <c r="E90" s="1" t="n">
        <v>46241</v>
      </c>
      <c r="F90" t="inlineStr">
        <is>
          <t>VÄRMLANDS LÄN</t>
        </is>
      </c>
      <c r="G90" t="inlineStr">
        <is>
          <t>FILIPSTAD</t>
        </is>
      </c>
      <c r="I90" t="n">
        <v>2.1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60296-2023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45257</v>
      </c>
      <c r="E91" s="1" t="n">
        <v>46241</v>
      </c>
      <c r="F91" t="inlineStr">
        <is>
          <t>VÄRMLANDS LÄN</t>
        </is>
      </c>
      <c r="G91" t="inlineStr">
        <is>
          <t>FILIPSTAD</t>
        </is>
      </c>
      <c r="I91" t="n">
        <v>1.4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17788-2024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45418</v>
      </c>
      <c r="E92" s="1" t="n">
        <v>46241</v>
      </c>
      <c r="F92" t="inlineStr">
        <is>
          <t>VÄRMLANDS LÄN</t>
        </is>
      </c>
      <c r="G92" t="inlineStr">
        <is>
          <t>FILIPSTAD</t>
        </is>
      </c>
      <c r="I92" t="n">
        <v>3.3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51266-2021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44461</v>
      </c>
      <c r="E93" s="1" t="n">
        <v>46241</v>
      </c>
      <c r="F93" t="inlineStr">
        <is>
          <t>VÄRMLANDS LÄN</t>
        </is>
      </c>
      <c r="G93" t="inlineStr">
        <is>
          <t>FILIPSTAD</t>
        </is>
      </c>
      <c r="I93" t="n">
        <v>4.7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62540-2023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45267</v>
      </c>
      <c r="E94" s="1" t="n">
        <v>46241</v>
      </c>
      <c r="F94" t="inlineStr">
        <is>
          <t>VÄRMLANDS LÄN</t>
        </is>
      </c>
      <c r="G94" t="inlineStr">
        <is>
          <t>FILIPSTAD</t>
        </is>
      </c>
      <c r="I94" t="n">
        <v>1.7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57026-2023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45244</v>
      </c>
      <c r="E95" s="1" t="n">
        <v>46241</v>
      </c>
      <c r="F95" t="inlineStr">
        <is>
          <t>VÄRMLANDS LÄN</t>
        </is>
      </c>
      <c r="G95" t="inlineStr">
        <is>
          <t>FILIPSTAD</t>
        </is>
      </c>
      <c r="I95" t="n">
        <v>0.5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25468-2024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45463</v>
      </c>
      <c r="E96" s="1" t="n">
        <v>46241</v>
      </c>
      <c r="F96" t="inlineStr">
        <is>
          <t>VÄRMLANDS LÄN</t>
        </is>
      </c>
      <c r="G96" t="inlineStr">
        <is>
          <t>FILIPSTAD</t>
        </is>
      </c>
      <c r="I96" t="n">
        <v>13.2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32185-2024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45511</v>
      </c>
      <c r="E97" s="1" t="n">
        <v>46241</v>
      </c>
      <c r="F97" t="inlineStr">
        <is>
          <t>VÄRMLANDS LÄN</t>
        </is>
      </c>
      <c r="G97" t="inlineStr">
        <is>
          <t>FILIPSTAD</t>
        </is>
      </c>
      <c r="H97" t="inlineStr">
        <is>
          <t>Bergvik skog väst AB</t>
        </is>
      </c>
      <c r="I97" t="n">
        <v>3.9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32262-2023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45120</v>
      </c>
      <c r="E98" s="1" t="n">
        <v>46241</v>
      </c>
      <c r="F98" t="inlineStr">
        <is>
          <t>VÄRMLANDS LÄN</t>
        </is>
      </c>
      <c r="G98" t="inlineStr">
        <is>
          <t>FILIPSTAD</t>
        </is>
      </c>
      <c r="I98" t="n">
        <v>1.8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27400-2024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45474</v>
      </c>
      <c r="E99" s="1" t="n">
        <v>46241</v>
      </c>
      <c r="F99" t="inlineStr">
        <is>
          <t>VÄRMLANDS LÄN</t>
        </is>
      </c>
      <c r="G99" t="inlineStr">
        <is>
          <t>FILIPSTAD</t>
        </is>
      </c>
      <c r="I99" t="n">
        <v>2.6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4191-2022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44588</v>
      </c>
      <c r="E100" s="1" t="n">
        <v>46241</v>
      </c>
      <c r="F100" t="inlineStr">
        <is>
          <t>VÄRMLANDS LÄN</t>
        </is>
      </c>
      <c r="G100" t="inlineStr">
        <is>
          <t>FILIPSTAD</t>
        </is>
      </c>
      <c r="H100" t="inlineStr">
        <is>
          <t>Kommuner</t>
        </is>
      </c>
      <c r="I100" t="n">
        <v>2.1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2437-2025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45674</v>
      </c>
      <c r="E101" s="1" t="n">
        <v>46241</v>
      </c>
      <c r="F101" t="inlineStr">
        <is>
          <t>VÄRMLANDS LÄN</t>
        </is>
      </c>
      <c r="G101" t="inlineStr">
        <is>
          <t>FILIPSTAD</t>
        </is>
      </c>
      <c r="I101" t="n">
        <v>1.1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17794-2024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45418</v>
      </c>
      <c r="E102" s="1" t="n">
        <v>46241</v>
      </c>
      <c r="F102" t="inlineStr">
        <is>
          <t>VÄRMLANDS LÄN</t>
        </is>
      </c>
      <c r="G102" t="inlineStr">
        <is>
          <t>FILIPSTAD</t>
        </is>
      </c>
      <c r="I102" t="n">
        <v>2.2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14268-2024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45393</v>
      </c>
      <c r="E103" s="1" t="n">
        <v>46241</v>
      </c>
      <c r="F103" t="inlineStr">
        <is>
          <t>VÄRMLANDS LÄN</t>
        </is>
      </c>
      <c r="G103" t="inlineStr">
        <is>
          <t>FILIPSTAD</t>
        </is>
      </c>
      <c r="H103" t="inlineStr">
        <is>
          <t>Bergvik skog väst AB</t>
        </is>
      </c>
      <c r="I103" t="n">
        <v>2.6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16591-2022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44672</v>
      </c>
      <c r="E104" s="1" t="n">
        <v>46241</v>
      </c>
      <c r="F104" t="inlineStr">
        <is>
          <t>VÄRMLANDS LÄN</t>
        </is>
      </c>
      <c r="G104" t="inlineStr">
        <is>
          <t>FILIPSTAD</t>
        </is>
      </c>
      <c r="I104" t="n">
        <v>2.9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56151-2023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45240</v>
      </c>
      <c r="E105" s="1" t="n">
        <v>46241</v>
      </c>
      <c r="F105" t="inlineStr">
        <is>
          <t>VÄRMLANDS LÄN</t>
        </is>
      </c>
      <c r="G105" t="inlineStr">
        <is>
          <t>FILIPSTAD</t>
        </is>
      </c>
      <c r="I105" t="n">
        <v>1.3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45511-2024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45578</v>
      </c>
      <c r="E106" s="1" t="n">
        <v>46241</v>
      </c>
      <c r="F106" t="inlineStr">
        <is>
          <t>VÄRMLANDS LÄN</t>
        </is>
      </c>
      <c r="G106" t="inlineStr">
        <is>
          <t>FILIPSTAD</t>
        </is>
      </c>
      <c r="I106" t="n">
        <v>5.1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47344-2023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45202</v>
      </c>
      <c r="E107" s="1" t="n">
        <v>46241</v>
      </c>
      <c r="F107" t="inlineStr">
        <is>
          <t>VÄRMLANDS LÄN</t>
        </is>
      </c>
      <c r="G107" t="inlineStr">
        <is>
          <t>FILIPSTAD</t>
        </is>
      </c>
      <c r="H107" t="inlineStr">
        <is>
          <t>Bergvik skog väst AB</t>
        </is>
      </c>
      <c r="I107" t="n">
        <v>2.1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69015-2021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44530</v>
      </c>
      <c r="E108" s="1" t="n">
        <v>46241</v>
      </c>
      <c r="F108" t="inlineStr">
        <is>
          <t>VÄRMLANDS LÄN</t>
        </is>
      </c>
      <c r="G108" t="inlineStr">
        <is>
          <t>FILIPSTAD</t>
        </is>
      </c>
      <c r="H108" t="inlineStr">
        <is>
          <t>Bergvik skog väst AB</t>
        </is>
      </c>
      <c r="I108" t="n">
        <v>12.7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47436-2024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45587</v>
      </c>
      <c r="E109" s="1" t="n">
        <v>46241</v>
      </c>
      <c r="F109" t="inlineStr">
        <is>
          <t>VÄRMLANDS LÄN</t>
        </is>
      </c>
      <c r="G109" t="inlineStr">
        <is>
          <t>FILIPSTAD</t>
        </is>
      </c>
      <c r="H109" t="inlineStr">
        <is>
          <t>Bergvik skog väst AB</t>
        </is>
      </c>
      <c r="I109" t="n">
        <v>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45592-2024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45579</v>
      </c>
      <c r="E110" s="1" t="n">
        <v>46241</v>
      </c>
      <c r="F110" t="inlineStr">
        <is>
          <t>VÄRMLANDS LÄN</t>
        </is>
      </c>
      <c r="G110" t="inlineStr">
        <is>
          <t>FILIPSTAD</t>
        </is>
      </c>
      <c r="H110" t="inlineStr">
        <is>
          <t>Kyrkan</t>
        </is>
      </c>
      <c r="I110" t="n">
        <v>4.1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1170-2023</t>
        </is>
      </c>
      <c r="B111" t="inlineStr">
        <is>
          <t>avverkningsanmälan</t>
        </is>
      </c>
      <c r="C111" t="inlineStr">
        <is>
          <t>Avverkning för annat ändamål</t>
        </is>
      </c>
      <c r="D111" s="1" t="n">
        <v>44935</v>
      </c>
      <c r="E111" s="1" t="n">
        <v>46241</v>
      </c>
      <c r="F111" t="inlineStr">
        <is>
          <t>VÄRMLANDS LÄN</t>
        </is>
      </c>
      <c r="G111" t="inlineStr">
        <is>
          <t>FILIPSTAD</t>
        </is>
      </c>
      <c r="H111" t="inlineStr">
        <is>
          <t>Bergvik skog väst AB</t>
        </is>
      </c>
      <c r="I111" t="n">
        <v>0.7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422-2025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45664</v>
      </c>
      <c r="E112" s="1" t="n">
        <v>46241</v>
      </c>
      <c r="F112" t="inlineStr">
        <is>
          <t>VÄRMLANDS LÄN</t>
        </is>
      </c>
      <c r="G112" t="inlineStr">
        <is>
          <t>FILIPSTAD</t>
        </is>
      </c>
      <c r="I112" t="n">
        <v>2.3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36582-2025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45870</v>
      </c>
      <c r="E113" s="1" t="n">
        <v>46241</v>
      </c>
      <c r="F113" t="inlineStr">
        <is>
          <t>VÄRMLANDS LÄN</t>
        </is>
      </c>
      <c r="G113" t="inlineStr">
        <is>
          <t>FILIPSTAD</t>
        </is>
      </c>
      <c r="H113" t="inlineStr">
        <is>
          <t>Bergvik skog väst AB</t>
        </is>
      </c>
      <c r="I113" t="n">
        <v>4.7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10136-2024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45364</v>
      </c>
      <c r="E114" s="1" t="n">
        <v>46241</v>
      </c>
      <c r="F114" t="inlineStr">
        <is>
          <t>VÄRMLANDS LÄN</t>
        </is>
      </c>
      <c r="G114" t="inlineStr">
        <is>
          <t>FILIPSTAD</t>
        </is>
      </c>
      <c r="I114" t="n">
        <v>6.4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33368-2022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44788</v>
      </c>
      <c r="E115" s="1" t="n">
        <v>46241</v>
      </c>
      <c r="F115" t="inlineStr">
        <is>
          <t>VÄRMLANDS LÄN</t>
        </is>
      </c>
      <c r="G115" t="inlineStr">
        <is>
          <t>FILIPSTAD</t>
        </is>
      </c>
      <c r="H115" t="inlineStr">
        <is>
          <t>Bergvik skog väst AB</t>
        </is>
      </c>
      <c r="I115" t="n">
        <v>6.7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16975-2026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46114</v>
      </c>
      <c r="E116" s="1" t="n">
        <v>46241</v>
      </c>
      <c r="F116" t="inlineStr">
        <is>
          <t>VÄRMLANDS LÄN</t>
        </is>
      </c>
      <c r="G116" t="inlineStr">
        <is>
          <t>FILIPSTAD</t>
        </is>
      </c>
      <c r="H116" t="inlineStr">
        <is>
          <t>Bergvik skog väst AB</t>
        </is>
      </c>
      <c r="I116" t="n">
        <v>8.1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17292-2026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46119</v>
      </c>
      <c r="E117" s="1" t="n">
        <v>46241</v>
      </c>
      <c r="F117" t="inlineStr">
        <is>
          <t>VÄRMLANDS LÄN</t>
        </is>
      </c>
      <c r="G117" t="inlineStr">
        <is>
          <t>FILIPSTAD</t>
        </is>
      </c>
      <c r="H117" t="inlineStr">
        <is>
          <t>Bergvik skog väst AB</t>
        </is>
      </c>
      <c r="I117" t="n">
        <v>3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38175-2025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45882</v>
      </c>
      <c r="E118" s="1" t="n">
        <v>46241</v>
      </c>
      <c r="F118" t="inlineStr">
        <is>
          <t>VÄRMLANDS LÄN</t>
        </is>
      </c>
      <c r="G118" t="inlineStr">
        <is>
          <t>FILIPSTAD</t>
        </is>
      </c>
      <c r="H118" t="inlineStr">
        <is>
          <t>Bergvik skog väst AB</t>
        </is>
      </c>
      <c r="I118" t="n">
        <v>3.4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17278-2026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46119</v>
      </c>
      <c r="E119" s="1" t="n">
        <v>46241</v>
      </c>
      <c r="F119" t="inlineStr">
        <is>
          <t>VÄRMLANDS LÄN</t>
        </is>
      </c>
      <c r="G119" t="inlineStr">
        <is>
          <t>FILIPSTAD</t>
        </is>
      </c>
      <c r="H119" t="inlineStr">
        <is>
          <t>Bergvik skog väst AB</t>
        </is>
      </c>
      <c r="I119" t="n">
        <v>1.1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17326-2026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46119</v>
      </c>
      <c r="E120" s="1" t="n">
        <v>46241</v>
      </c>
      <c r="F120" t="inlineStr">
        <is>
          <t>VÄRMLANDS LÄN</t>
        </is>
      </c>
      <c r="G120" t="inlineStr">
        <is>
          <t>FILIPSTAD</t>
        </is>
      </c>
      <c r="H120" t="inlineStr">
        <is>
          <t>Bergvik skog väst AB</t>
        </is>
      </c>
      <c r="I120" t="n">
        <v>2.9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54398-2024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45617</v>
      </c>
      <c r="E121" s="1" t="n">
        <v>46241</v>
      </c>
      <c r="F121" t="inlineStr">
        <is>
          <t>VÄRMLANDS LÄN</t>
        </is>
      </c>
      <c r="G121" t="inlineStr">
        <is>
          <t>FILIPSTAD</t>
        </is>
      </c>
      <c r="I121" t="n">
        <v>1.7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43045-2024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45567</v>
      </c>
      <c r="E122" s="1" t="n">
        <v>46241</v>
      </c>
      <c r="F122" t="inlineStr">
        <is>
          <t>VÄRMLANDS LÄN</t>
        </is>
      </c>
      <c r="G122" t="inlineStr">
        <is>
          <t>FILIPSTAD</t>
        </is>
      </c>
      <c r="H122" t="inlineStr">
        <is>
          <t>Kyrkan</t>
        </is>
      </c>
      <c r="I122" t="n">
        <v>2.5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17531-2026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46120</v>
      </c>
      <c r="E123" s="1" t="n">
        <v>46241</v>
      </c>
      <c r="F123" t="inlineStr">
        <is>
          <t>VÄRMLANDS LÄN</t>
        </is>
      </c>
      <c r="G123" t="inlineStr">
        <is>
          <t>FILIPSTAD</t>
        </is>
      </c>
      <c r="I123" t="n">
        <v>9.699999999999999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17845-2026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46122</v>
      </c>
      <c r="E124" s="1" t="n">
        <v>46241</v>
      </c>
      <c r="F124" t="inlineStr">
        <is>
          <t>VÄRMLANDS LÄN</t>
        </is>
      </c>
      <c r="G124" t="inlineStr">
        <is>
          <t>FILIPSTAD</t>
        </is>
      </c>
      <c r="H124" t="inlineStr">
        <is>
          <t>Bergvik skog väst AB</t>
        </is>
      </c>
      <c r="I124" t="n">
        <v>0.7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17931-2026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46122</v>
      </c>
      <c r="E125" s="1" t="n">
        <v>46241</v>
      </c>
      <c r="F125" t="inlineStr">
        <is>
          <t>VÄRMLANDS LÄN</t>
        </is>
      </c>
      <c r="G125" t="inlineStr">
        <is>
          <t>FILIPSTAD</t>
        </is>
      </c>
      <c r="H125" t="inlineStr">
        <is>
          <t>Bergvik skog väst AB</t>
        </is>
      </c>
      <c r="I125" t="n">
        <v>0.7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18022-2026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46125</v>
      </c>
      <c r="E126" s="1" t="n">
        <v>46241</v>
      </c>
      <c r="F126" t="inlineStr">
        <is>
          <t>VÄRMLANDS LÄN</t>
        </is>
      </c>
      <c r="G126" t="inlineStr">
        <is>
          <t>FILIPSTAD</t>
        </is>
      </c>
      <c r="I126" t="n">
        <v>1.7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17900-2026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46122</v>
      </c>
      <c r="E127" s="1" t="n">
        <v>46241</v>
      </c>
      <c r="F127" t="inlineStr">
        <is>
          <t>VÄRMLANDS LÄN</t>
        </is>
      </c>
      <c r="G127" t="inlineStr">
        <is>
          <t>FILIPSTAD</t>
        </is>
      </c>
      <c r="H127" t="inlineStr">
        <is>
          <t>Kommuner</t>
        </is>
      </c>
      <c r="I127" t="n">
        <v>1.8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17914-2026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46122</v>
      </c>
      <c r="E128" s="1" t="n">
        <v>46241</v>
      </c>
      <c r="F128" t="inlineStr">
        <is>
          <t>VÄRMLANDS LÄN</t>
        </is>
      </c>
      <c r="G128" t="inlineStr">
        <is>
          <t>FILIPSTAD</t>
        </is>
      </c>
      <c r="H128" t="inlineStr">
        <is>
          <t>Kommuner</t>
        </is>
      </c>
      <c r="I128" t="n">
        <v>2.3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18507-2026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46127</v>
      </c>
      <c r="E129" s="1" t="n">
        <v>46241</v>
      </c>
      <c r="F129" t="inlineStr">
        <is>
          <t>VÄRMLANDS LÄN</t>
        </is>
      </c>
      <c r="G129" t="inlineStr">
        <is>
          <t>FILIPSTAD</t>
        </is>
      </c>
      <c r="H129" t="inlineStr">
        <is>
          <t>Bergvik skog väst AB</t>
        </is>
      </c>
      <c r="I129" t="n">
        <v>2.9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41718-2025</t>
        </is>
      </c>
      <c r="B130" t="inlineStr">
        <is>
          <t>avverkningsanmälan</t>
        </is>
      </c>
      <c r="C130" t="inlineStr">
        <is>
          <t>Avverkning för annat ändamål</t>
        </is>
      </c>
      <c r="D130" s="1" t="n">
        <v>45902</v>
      </c>
      <c r="E130" s="1" t="n">
        <v>46241</v>
      </c>
      <c r="F130" t="inlineStr">
        <is>
          <t>VÄRMLANDS LÄN</t>
        </is>
      </c>
      <c r="G130" t="inlineStr">
        <is>
          <t>FILIPSTAD</t>
        </is>
      </c>
      <c r="I130" t="n">
        <v>0.1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18533-2026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46127</v>
      </c>
      <c r="E131" s="1" t="n">
        <v>46241</v>
      </c>
      <c r="F131" t="inlineStr">
        <is>
          <t>VÄRMLANDS LÄN</t>
        </is>
      </c>
      <c r="G131" t="inlineStr">
        <is>
          <t>FILIPSTAD</t>
        </is>
      </c>
      <c r="H131" t="inlineStr">
        <is>
          <t>Bergvik skog väst AB</t>
        </is>
      </c>
      <c r="I131" t="n">
        <v>6.1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3844-2023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44951</v>
      </c>
      <c r="E132" s="1" t="n">
        <v>46241</v>
      </c>
      <c r="F132" t="inlineStr">
        <is>
          <t>VÄRMLANDS LÄN</t>
        </is>
      </c>
      <c r="G132" t="inlineStr">
        <is>
          <t>FILIPSTAD</t>
        </is>
      </c>
      <c r="H132" t="inlineStr">
        <is>
          <t>Bergvik skog väst AB</t>
        </is>
      </c>
      <c r="I132" t="n">
        <v>6.6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18443-2026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46127</v>
      </c>
      <c r="E133" s="1" t="n">
        <v>46241</v>
      </c>
      <c r="F133" t="inlineStr">
        <is>
          <t>VÄRMLANDS LÄN</t>
        </is>
      </c>
      <c r="G133" t="inlineStr">
        <is>
          <t>FILIPSTAD</t>
        </is>
      </c>
      <c r="H133" t="inlineStr">
        <is>
          <t>Bergvik skog väst AB</t>
        </is>
      </c>
      <c r="I133" t="n">
        <v>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18530-2026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46127</v>
      </c>
      <c r="E134" s="1" t="n">
        <v>46241</v>
      </c>
      <c r="F134" t="inlineStr">
        <is>
          <t>VÄRMLANDS LÄN</t>
        </is>
      </c>
      <c r="G134" t="inlineStr">
        <is>
          <t>FILIPSTAD</t>
        </is>
      </c>
      <c r="H134" t="inlineStr">
        <is>
          <t>Bergvik skog väst AB</t>
        </is>
      </c>
      <c r="I134" t="n">
        <v>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18445-2026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46127</v>
      </c>
      <c r="E135" s="1" t="n">
        <v>46241</v>
      </c>
      <c r="F135" t="inlineStr">
        <is>
          <t>VÄRMLANDS LÄN</t>
        </is>
      </c>
      <c r="G135" t="inlineStr">
        <is>
          <t>FILIPSTAD</t>
        </is>
      </c>
      <c r="H135" t="inlineStr">
        <is>
          <t>Bergvik skog väst AB</t>
        </is>
      </c>
      <c r="I135" t="n">
        <v>1.7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18542-2026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46127</v>
      </c>
      <c r="E136" s="1" t="n">
        <v>46241</v>
      </c>
      <c r="F136" t="inlineStr">
        <is>
          <t>VÄRMLANDS LÄN</t>
        </is>
      </c>
      <c r="G136" t="inlineStr">
        <is>
          <t>FILIPSTAD</t>
        </is>
      </c>
      <c r="H136" t="inlineStr">
        <is>
          <t>Kommuner</t>
        </is>
      </c>
      <c r="I136" t="n">
        <v>2.6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18376-2026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46126</v>
      </c>
      <c r="E137" s="1" t="n">
        <v>46241</v>
      </c>
      <c r="F137" t="inlineStr">
        <is>
          <t>VÄRMLANDS LÄN</t>
        </is>
      </c>
      <c r="G137" t="inlineStr">
        <is>
          <t>FILIPSTAD</t>
        </is>
      </c>
      <c r="H137" t="inlineStr">
        <is>
          <t>Bergvik skog väst AB</t>
        </is>
      </c>
      <c r="I137" t="n">
        <v>1.2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12160-2023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44998</v>
      </c>
      <c r="E138" s="1" t="n">
        <v>46241</v>
      </c>
      <c r="F138" t="inlineStr">
        <is>
          <t>VÄRMLANDS LÄN</t>
        </is>
      </c>
      <c r="G138" t="inlineStr">
        <is>
          <t>FILIPSTAD</t>
        </is>
      </c>
      <c r="H138" t="inlineStr">
        <is>
          <t>Bergvik skog väst AB</t>
        </is>
      </c>
      <c r="I138" t="n">
        <v>11.2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36377-2023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45152</v>
      </c>
      <c r="E139" s="1" t="n">
        <v>46241</v>
      </c>
      <c r="F139" t="inlineStr">
        <is>
          <t>VÄRMLANDS LÄN</t>
        </is>
      </c>
      <c r="G139" t="inlineStr">
        <is>
          <t>FILIPSTAD</t>
        </is>
      </c>
      <c r="H139" t="inlineStr">
        <is>
          <t>Bergvik skog väst AB</t>
        </is>
      </c>
      <c r="I139" t="n">
        <v>0.5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20663-2024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45436</v>
      </c>
      <c r="E140" s="1" t="n">
        <v>46241</v>
      </c>
      <c r="F140" t="inlineStr">
        <is>
          <t>VÄRMLANDS LÄN</t>
        </is>
      </c>
      <c r="G140" t="inlineStr">
        <is>
          <t>FILIPSTAD</t>
        </is>
      </c>
      <c r="H140" t="inlineStr">
        <is>
          <t>Bergvik skog väst AB</t>
        </is>
      </c>
      <c r="I140" t="n">
        <v>0.7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43064-2025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45909</v>
      </c>
      <c r="E141" s="1" t="n">
        <v>46241</v>
      </c>
      <c r="F141" t="inlineStr">
        <is>
          <t>VÄRMLANDS LÄN</t>
        </is>
      </c>
      <c r="G141" t="inlineStr">
        <is>
          <t>FILIPSTAD</t>
        </is>
      </c>
      <c r="I141" t="n">
        <v>2.3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18969-2026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46129</v>
      </c>
      <c r="E142" s="1" t="n">
        <v>46241</v>
      </c>
      <c r="F142" t="inlineStr">
        <is>
          <t>VÄRMLANDS LÄN</t>
        </is>
      </c>
      <c r="G142" t="inlineStr">
        <is>
          <t>FILIPSTAD</t>
        </is>
      </c>
      <c r="H142" t="inlineStr">
        <is>
          <t>Bergvik skog väst AB</t>
        </is>
      </c>
      <c r="I142" t="n">
        <v>12.9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18892-2026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46129</v>
      </c>
      <c r="E143" s="1" t="n">
        <v>46241</v>
      </c>
      <c r="F143" t="inlineStr">
        <is>
          <t>VÄRMLANDS LÄN</t>
        </is>
      </c>
      <c r="G143" t="inlineStr">
        <is>
          <t>FILIPSTAD</t>
        </is>
      </c>
      <c r="H143" t="inlineStr">
        <is>
          <t>Bergvik skog väst AB</t>
        </is>
      </c>
      <c r="I143" t="n">
        <v>24.9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43571-2025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45911</v>
      </c>
      <c r="E144" s="1" t="n">
        <v>46241</v>
      </c>
      <c r="F144" t="inlineStr">
        <is>
          <t>VÄRMLANDS LÄN</t>
        </is>
      </c>
      <c r="G144" t="inlineStr">
        <is>
          <t>FILIPSTAD</t>
        </is>
      </c>
      <c r="I144" t="n">
        <v>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18826-2026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46128</v>
      </c>
      <c r="E145" s="1" t="n">
        <v>46241</v>
      </c>
      <c r="F145" t="inlineStr">
        <is>
          <t>VÄRMLANDS LÄN</t>
        </is>
      </c>
      <c r="G145" t="inlineStr">
        <is>
          <t>FILIPSTAD</t>
        </is>
      </c>
      <c r="I145" t="n">
        <v>1.6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43633-2024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45569</v>
      </c>
      <c r="E146" s="1" t="n">
        <v>46241</v>
      </c>
      <c r="F146" t="inlineStr">
        <is>
          <t>VÄRMLANDS LÄN</t>
        </is>
      </c>
      <c r="G146" t="inlineStr">
        <is>
          <t>FILIPSTAD</t>
        </is>
      </c>
      <c r="H146" t="inlineStr">
        <is>
          <t>Bergvik skog väst AB</t>
        </is>
      </c>
      <c r="I146" t="n">
        <v>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46204-2025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45924</v>
      </c>
      <c r="E147" s="1" t="n">
        <v>46241</v>
      </c>
      <c r="F147" t="inlineStr">
        <is>
          <t>VÄRMLANDS LÄN</t>
        </is>
      </c>
      <c r="G147" t="inlineStr">
        <is>
          <t>FILIPSTAD</t>
        </is>
      </c>
      <c r="I147" t="n">
        <v>0.6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19435-2026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46133</v>
      </c>
      <c r="E148" s="1" t="n">
        <v>46241</v>
      </c>
      <c r="F148" t="inlineStr">
        <is>
          <t>VÄRMLANDS LÄN</t>
        </is>
      </c>
      <c r="G148" t="inlineStr">
        <is>
          <t>FILIPSTAD</t>
        </is>
      </c>
      <c r="H148" t="inlineStr">
        <is>
          <t>Bergvik skog väst AB</t>
        </is>
      </c>
      <c r="I148" t="n">
        <v>6.5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19676-2026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46134</v>
      </c>
      <c r="E149" s="1" t="n">
        <v>46241</v>
      </c>
      <c r="F149" t="inlineStr">
        <is>
          <t>VÄRMLANDS LÄN</t>
        </is>
      </c>
      <c r="G149" t="inlineStr">
        <is>
          <t>FILIPSTAD</t>
        </is>
      </c>
      <c r="I149" t="n">
        <v>4.6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19361-2026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46133</v>
      </c>
      <c r="E150" s="1" t="n">
        <v>46241</v>
      </c>
      <c r="F150" t="inlineStr">
        <is>
          <t>VÄRMLANDS LÄN</t>
        </is>
      </c>
      <c r="G150" t="inlineStr">
        <is>
          <t>FILIPSTAD</t>
        </is>
      </c>
      <c r="H150" t="inlineStr">
        <is>
          <t>Bergvik skog väst AB</t>
        </is>
      </c>
      <c r="I150" t="n">
        <v>7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19595-2026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46134</v>
      </c>
      <c r="E151" s="1" t="n">
        <v>46241</v>
      </c>
      <c r="F151" t="inlineStr">
        <is>
          <t>VÄRMLANDS LÄN</t>
        </is>
      </c>
      <c r="G151" t="inlineStr">
        <is>
          <t>FILIPSTAD</t>
        </is>
      </c>
      <c r="H151" t="inlineStr">
        <is>
          <t>Bergvik skog väst AB</t>
        </is>
      </c>
      <c r="I151" t="n">
        <v>4.6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22866-2023</t>
        </is>
      </c>
      <c r="B152" t="inlineStr">
        <is>
          <t>avverkningsanmälan</t>
        </is>
      </c>
      <c r="C152" t="inlineStr">
        <is>
          <t>Avverkning för annat ändamål</t>
        </is>
      </c>
      <c r="D152" s="1" t="n">
        <v>45072</v>
      </c>
      <c r="E152" s="1" t="n">
        <v>46241</v>
      </c>
      <c r="F152" t="inlineStr">
        <is>
          <t>VÄRMLANDS LÄN</t>
        </is>
      </c>
      <c r="G152" t="inlineStr">
        <is>
          <t>FILIPSTAD</t>
        </is>
      </c>
      <c r="H152" t="inlineStr">
        <is>
          <t>Bergvik skog väst AB</t>
        </is>
      </c>
      <c r="I152" t="n">
        <v>1.6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19669-2026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46134</v>
      </c>
      <c r="E153" s="1" t="n">
        <v>46241</v>
      </c>
      <c r="F153" t="inlineStr">
        <is>
          <t>VÄRMLANDS LÄN</t>
        </is>
      </c>
      <c r="G153" t="inlineStr">
        <is>
          <t>FILIPSTAD</t>
        </is>
      </c>
      <c r="I153" t="n">
        <v>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29473-2024</t>
        </is>
      </c>
      <c r="B154" t="inlineStr">
        <is>
          <t>avverkningsanmälan</t>
        </is>
      </c>
      <c r="C154" t="inlineStr">
        <is>
          <t>Avverkning för annat ändamål</t>
        </is>
      </c>
      <c r="D154" s="1" t="n">
        <v>45484</v>
      </c>
      <c r="E154" s="1" t="n">
        <v>46241</v>
      </c>
      <c r="F154" t="inlineStr">
        <is>
          <t>VÄRMLANDS LÄN</t>
        </is>
      </c>
      <c r="G154" t="inlineStr">
        <is>
          <t>FILIPSTAD</t>
        </is>
      </c>
      <c r="I154" t="n">
        <v>1.1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46282-2025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45925</v>
      </c>
      <c r="E155" s="1" t="n">
        <v>46241</v>
      </c>
      <c r="F155" t="inlineStr">
        <is>
          <t>VÄRMLANDS LÄN</t>
        </is>
      </c>
      <c r="G155" t="inlineStr">
        <is>
          <t>FILIPSTAD</t>
        </is>
      </c>
      <c r="H155" t="inlineStr">
        <is>
          <t>Bergvik skog väst AB</t>
        </is>
      </c>
      <c r="I155" t="n">
        <v>3.5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46906-2025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45929</v>
      </c>
      <c r="E156" s="1" t="n">
        <v>46241</v>
      </c>
      <c r="F156" t="inlineStr">
        <is>
          <t>VÄRMLANDS LÄN</t>
        </is>
      </c>
      <c r="G156" t="inlineStr">
        <is>
          <t>FILIPSTAD</t>
        </is>
      </c>
      <c r="H156" t="inlineStr">
        <is>
          <t>Bergvik skog väst AB</t>
        </is>
      </c>
      <c r="I156" t="n">
        <v>7.2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20014-2026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46136</v>
      </c>
      <c r="E157" s="1" t="n">
        <v>46241</v>
      </c>
      <c r="F157" t="inlineStr">
        <is>
          <t>VÄRMLANDS LÄN</t>
        </is>
      </c>
      <c r="G157" t="inlineStr">
        <is>
          <t>FILIPSTAD</t>
        </is>
      </c>
      <c r="H157" t="inlineStr">
        <is>
          <t>Bergvik skog väst AB</t>
        </is>
      </c>
      <c r="I157" t="n">
        <v>5.2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20040-2026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46136</v>
      </c>
      <c r="E158" s="1" t="n">
        <v>46241</v>
      </c>
      <c r="F158" t="inlineStr">
        <is>
          <t>VÄRMLANDS LÄN</t>
        </is>
      </c>
      <c r="G158" t="inlineStr">
        <is>
          <t>FILIPSTAD</t>
        </is>
      </c>
      <c r="H158" t="inlineStr">
        <is>
          <t>Bergvik skog väst AB</t>
        </is>
      </c>
      <c r="I158" t="n">
        <v>2.3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38075-2025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45882</v>
      </c>
      <c r="E159" s="1" t="n">
        <v>46241</v>
      </c>
      <c r="F159" t="inlineStr">
        <is>
          <t>VÄRMLANDS LÄN</t>
        </is>
      </c>
      <c r="G159" t="inlineStr">
        <is>
          <t>FILIPSTAD</t>
        </is>
      </c>
      <c r="H159" t="inlineStr">
        <is>
          <t>Bergvik skog väst AB</t>
        </is>
      </c>
      <c r="I159" t="n">
        <v>2.6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47566-2025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45931</v>
      </c>
      <c r="E160" s="1" t="n">
        <v>46241</v>
      </c>
      <c r="F160" t="inlineStr">
        <is>
          <t>VÄRMLANDS LÄN</t>
        </is>
      </c>
      <c r="G160" t="inlineStr">
        <is>
          <t>FILIPSTAD</t>
        </is>
      </c>
      <c r="H160" t="inlineStr">
        <is>
          <t>Bergvik skog väst AB</t>
        </is>
      </c>
      <c r="I160" t="n">
        <v>4.5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47911-2025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45932</v>
      </c>
      <c r="E161" s="1" t="n">
        <v>46241</v>
      </c>
      <c r="F161" t="inlineStr">
        <is>
          <t>VÄRMLANDS LÄN</t>
        </is>
      </c>
      <c r="G161" t="inlineStr">
        <is>
          <t>FILIPSTAD</t>
        </is>
      </c>
      <c r="H161" t="inlineStr">
        <is>
          <t>Bergvik skog väst AB</t>
        </is>
      </c>
      <c r="I161" t="n">
        <v>46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20045-2026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46136</v>
      </c>
      <c r="E162" s="1" t="n">
        <v>46241</v>
      </c>
      <c r="F162" t="inlineStr">
        <is>
          <t>VÄRMLANDS LÄN</t>
        </is>
      </c>
      <c r="G162" t="inlineStr">
        <is>
          <t>FILIPSTAD</t>
        </is>
      </c>
      <c r="H162" t="inlineStr">
        <is>
          <t>Bergvik skog väst AB</t>
        </is>
      </c>
      <c r="I162" t="n">
        <v>11.5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10338-2025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45720</v>
      </c>
      <c r="E163" s="1" t="n">
        <v>46241</v>
      </c>
      <c r="F163" t="inlineStr">
        <is>
          <t>VÄRMLANDS LÄN</t>
        </is>
      </c>
      <c r="G163" t="inlineStr">
        <is>
          <t>FILIPSTAD</t>
        </is>
      </c>
      <c r="H163" t="inlineStr">
        <is>
          <t>Bergvik skog väst AB</t>
        </is>
      </c>
      <c r="I163" t="n">
        <v>2.3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46978-2023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45195</v>
      </c>
      <c r="E164" s="1" t="n">
        <v>46241</v>
      </c>
      <c r="F164" t="inlineStr">
        <is>
          <t>VÄRMLANDS LÄN</t>
        </is>
      </c>
      <c r="G164" t="inlineStr">
        <is>
          <t>FILIPSTAD</t>
        </is>
      </c>
      <c r="H164" t="inlineStr">
        <is>
          <t>Bergvik skog väst AB</t>
        </is>
      </c>
      <c r="I164" t="n">
        <v>11.2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43634-2021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44433</v>
      </c>
      <c r="E165" s="1" t="n">
        <v>46241</v>
      </c>
      <c r="F165" t="inlineStr">
        <is>
          <t>VÄRMLANDS LÄN</t>
        </is>
      </c>
      <c r="G165" t="inlineStr">
        <is>
          <t>FILIPSTAD</t>
        </is>
      </c>
      <c r="I165" t="n">
        <v>4.6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19760-2026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46135</v>
      </c>
      <c r="E166" s="1" t="n">
        <v>46241</v>
      </c>
      <c r="F166" t="inlineStr">
        <is>
          <t>VÄRMLANDS LÄN</t>
        </is>
      </c>
      <c r="G166" t="inlineStr">
        <is>
          <t>FILIPSTAD</t>
        </is>
      </c>
      <c r="H166" t="inlineStr">
        <is>
          <t>Bergvik skog väst AB</t>
        </is>
      </c>
      <c r="I166" t="n">
        <v>1.9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20050-2026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46136</v>
      </c>
      <c r="E167" s="1" t="n">
        <v>46241</v>
      </c>
      <c r="F167" t="inlineStr">
        <is>
          <t>VÄRMLANDS LÄN</t>
        </is>
      </c>
      <c r="G167" t="inlineStr">
        <is>
          <t>FILIPSTAD</t>
        </is>
      </c>
      <c r="H167" t="inlineStr">
        <is>
          <t>Bergvik skog väst AB</t>
        </is>
      </c>
      <c r="I167" t="n">
        <v>3.1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19882-2026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46135</v>
      </c>
      <c r="E168" s="1" t="n">
        <v>46241</v>
      </c>
      <c r="F168" t="inlineStr">
        <is>
          <t>VÄRMLANDS LÄN</t>
        </is>
      </c>
      <c r="G168" t="inlineStr">
        <is>
          <t>FILIPSTAD</t>
        </is>
      </c>
      <c r="H168" t="inlineStr">
        <is>
          <t>Bergvik skog väst AB</t>
        </is>
      </c>
      <c r="I168" t="n">
        <v>8.800000000000001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18210-2024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45420</v>
      </c>
      <c r="E169" s="1" t="n">
        <v>46241</v>
      </c>
      <c r="F169" t="inlineStr">
        <is>
          <t>VÄRMLANDS LÄN</t>
        </is>
      </c>
      <c r="G169" t="inlineStr">
        <is>
          <t>FILIPSTAD</t>
        </is>
      </c>
      <c r="H169" t="inlineStr">
        <is>
          <t>Bergvik skog väst AB</t>
        </is>
      </c>
      <c r="I169" t="n">
        <v>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47633-2025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45931</v>
      </c>
      <c r="E170" s="1" t="n">
        <v>46241</v>
      </c>
      <c r="F170" t="inlineStr">
        <is>
          <t>VÄRMLANDS LÄN</t>
        </is>
      </c>
      <c r="G170" t="inlineStr">
        <is>
          <t>FILIPSTAD</t>
        </is>
      </c>
      <c r="H170" t="inlineStr">
        <is>
          <t>Bergvik skog väst AB</t>
        </is>
      </c>
      <c r="I170" t="n">
        <v>4.2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40646-2025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45896</v>
      </c>
      <c r="E171" s="1" t="n">
        <v>46241</v>
      </c>
      <c r="F171" t="inlineStr">
        <is>
          <t>VÄRMLANDS LÄN</t>
        </is>
      </c>
      <c r="G171" t="inlineStr">
        <is>
          <t>FILIPSTAD</t>
        </is>
      </c>
      <c r="H171" t="inlineStr">
        <is>
          <t>Bergvik skog väst AB</t>
        </is>
      </c>
      <c r="I171" t="n">
        <v>1.8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48103-2025</t>
        </is>
      </c>
      <c r="B172" t="inlineStr">
        <is>
          <t>avverkningsanmälan</t>
        </is>
      </c>
      <c r="C172" t="inlineStr">
        <is>
          <t>Avverkning för annat ändamål</t>
        </is>
      </c>
      <c r="D172" s="1" t="n">
        <v>45933</v>
      </c>
      <c r="E172" s="1" t="n">
        <v>46241</v>
      </c>
      <c r="F172" t="inlineStr">
        <is>
          <t>VÄRMLANDS LÄN</t>
        </is>
      </c>
      <c r="G172" t="inlineStr">
        <is>
          <t>FILIPSTAD</t>
        </is>
      </c>
      <c r="H172" t="inlineStr">
        <is>
          <t>Bergvik skog väst AB</t>
        </is>
      </c>
      <c r="I172" t="n">
        <v>6.3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2440-2022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44579</v>
      </c>
      <c r="E173" s="1" t="n">
        <v>46241</v>
      </c>
      <c r="F173" t="inlineStr">
        <is>
          <t>VÄRMLANDS LÄN</t>
        </is>
      </c>
      <c r="G173" t="inlineStr">
        <is>
          <t>FILIPSTAD</t>
        </is>
      </c>
      <c r="I173" t="n">
        <v>1.6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41521-2025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45901</v>
      </c>
      <c r="E174" s="1" t="n">
        <v>46241</v>
      </c>
      <c r="F174" t="inlineStr">
        <is>
          <t>VÄRMLANDS LÄN</t>
        </is>
      </c>
      <c r="G174" t="inlineStr">
        <is>
          <t>FILIPSTAD</t>
        </is>
      </c>
      <c r="H174" t="inlineStr">
        <is>
          <t>Bergvik skog väst AB</t>
        </is>
      </c>
      <c r="I174" t="n">
        <v>1.7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57456-2022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44896</v>
      </c>
      <c r="E175" s="1" t="n">
        <v>46241</v>
      </c>
      <c r="F175" t="inlineStr">
        <is>
          <t>VÄRMLANDS LÄN</t>
        </is>
      </c>
      <c r="G175" t="inlineStr">
        <is>
          <t>FILIPSTAD</t>
        </is>
      </c>
      <c r="H175" t="inlineStr">
        <is>
          <t>Bergvik skog väst AB</t>
        </is>
      </c>
      <c r="I175" t="n">
        <v>4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19705-2025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45771</v>
      </c>
      <c r="E176" s="1" t="n">
        <v>46241</v>
      </c>
      <c r="F176" t="inlineStr">
        <is>
          <t>VÄRMLANDS LÄN</t>
        </is>
      </c>
      <c r="G176" t="inlineStr">
        <is>
          <t>FILIPSTAD</t>
        </is>
      </c>
      <c r="H176" t="inlineStr">
        <is>
          <t>Bergvik skog väst AB</t>
        </is>
      </c>
      <c r="I176" t="n">
        <v>6.9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22843-2025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45790</v>
      </c>
      <c r="E177" s="1" t="n">
        <v>46241</v>
      </c>
      <c r="F177" t="inlineStr">
        <is>
          <t>VÄRMLANDS LÄN</t>
        </is>
      </c>
      <c r="G177" t="inlineStr">
        <is>
          <t>FILIPSTAD</t>
        </is>
      </c>
      <c r="I177" t="n">
        <v>1.1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54828-2023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45229</v>
      </c>
      <c r="E178" s="1" t="n">
        <v>46241</v>
      </c>
      <c r="F178" t="inlineStr">
        <is>
          <t>VÄRMLANDS LÄN</t>
        </is>
      </c>
      <c r="G178" t="inlineStr">
        <is>
          <t>FILIPSTAD</t>
        </is>
      </c>
      <c r="I178" t="n">
        <v>1.3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6728-2025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45700</v>
      </c>
      <c r="E179" s="1" t="n">
        <v>46241</v>
      </c>
      <c r="F179" t="inlineStr">
        <is>
          <t>VÄRMLANDS LÄN</t>
        </is>
      </c>
      <c r="G179" t="inlineStr">
        <is>
          <t>FILIPSTAD</t>
        </is>
      </c>
      <c r="I179" t="n">
        <v>2.5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16100-2025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45750</v>
      </c>
      <c r="E180" s="1" t="n">
        <v>46241</v>
      </c>
      <c r="F180" t="inlineStr">
        <is>
          <t>VÄRMLANDS LÄN</t>
        </is>
      </c>
      <c r="G180" t="inlineStr">
        <is>
          <t>FILIPSTAD</t>
        </is>
      </c>
      <c r="I180" t="n">
        <v>1.9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20487-2026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46140</v>
      </c>
      <c r="E181" s="1" t="n">
        <v>46241</v>
      </c>
      <c r="F181" t="inlineStr">
        <is>
          <t>VÄRMLANDS LÄN</t>
        </is>
      </c>
      <c r="G181" t="inlineStr">
        <is>
          <t>FILIPSTAD</t>
        </is>
      </c>
      <c r="H181" t="inlineStr">
        <is>
          <t>Bergvik skog väst AB</t>
        </is>
      </c>
      <c r="I181" t="n">
        <v>5.2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18138-2022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44684</v>
      </c>
      <c r="E182" s="1" t="n">
        <v>46241</v>
      </c>
      <c r="F182" t="inlineStr">
        <is>
          <t>VÄRMLANDS LÄN</t>
        </is>
      </c>
      <c r="G182" t="inlineStr">
        <is>
          <t>FILIPSTAD</t>
        </is>
      </c>
      <c r="I182" t="n">
        <v>2.7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14459-2023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45012</v>
      </c>
      <c r="E183" s="1" t="n">
        <v>46241</v>
      </c>
      <c r="F183" t="inlineStr">
        <is>
          <t>VÄRMLANDS LÄN</t>
        </is>
      </c>
      <c r="G183" t="inlineStr">
        <is>
          <t>FILIPSTAD</t>
        </is>
      </c>
      <c r="I183" t="n">
        <v>2.3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28687-2025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45819</v>
      </c>
      <c r="E184" s="1" t="n">
        <v>46241</v>
      </c>
      <c r="F184" t="inlineStr">
        <is>
          <t>VÄRMLANDS LÄN</t>
        </is>
      </c>
      <c r="G184" t="inlineStr">
        <is>
          <t>FILIPSTAD</t>
        </is>
      </c>
      <c r="H184" t="inlineStr">
        <is>
          <t>Bergvik skog väst AB</t>
        </is>
      </c>
      <c r="I184" t="n">
        <v>1.9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22558-2025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45789</v>
      </c>
      <c r="E185" s="1" t="n">
        <v>46241</v>
      </c>
      <c r="F185" t="inlineStr">
        <is>
          <t>VÄRMLANDS LÄN</t>
        </is>
      </c>
      <c r="G185" t="inlineStr">
        <is>
          <t>FILIPSTAD</t>
        </is>
      </c>
      <c r="I185" t="n">
        <v>3.6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51572-2025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45951</v>
      </c>
      <c r="E186" s="1" t="n">
        <v>46241</v>
      </c>
      <c r="F186" t="inlineStr">
        <is>
          <t>VÄRMLANDS LÄN</t>
        </is>
      </c>
      <c r="G186" t="inlineStr">
        <is>
          <t>FILIPSTAD</t>
        </is>
      </c>
      <c r="H186" t="inlineStr">
        <is>
          <t>Bergvik skog väst AB</t>
        </is>
      </c>
      <c r="I186" t="n">
        <v>3.1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51790-2025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45951</v>
      </c>
      <c r="E187" s="1" t="n">
        <v>46241</v>
      </c>
      <c r="F187" t="inlineStr">
        <is>
          <t>VÄRMLANDS LÄN</t>
        </is>
      </c>
      <c r="G187" t="inlineStr">
        <is>
          <t>FILIPSTAD</t>
        </is>
      </c>
      <c r="H187" t="inlineStr">
        <is>
          <t>Bergvik skog väst AB</t>
        </is>
      </c>
      <c r="I187" t="n">
        <v>2.6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52329-2025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45953</v>
      </c>
      <c r="E188" s="1" t="n">
        <v>46241</v>
      </c>
      <c r="F188" t="inlineStr">
        <is>
          <t>VÄRMLANDS LÄN</t>
        </is>
      </c>
      <c r="G188" t="inlineStr">
        <is>
          <t>FILIPSTAD</t>
        </is>
      </c>
      <c r="I188" t="n">
        <v>1.7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52518-2025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45954</v>
      </c>
      <c r="E189" s="1" t="n">
        <v>46241</v>
      </c>
      <c r="F189" t="inlineStr">
        <is>
          <t>VÄRMLANDS LÄN</t>
        </is>
      </c>
      <c r="G189" t="inlineStr">
        <is>
          <t>FILIPSTAD</t>
        </is>
      </c>
      <c r="H189" t="inlineStr">
        <is>
          <t>Bergvik skog väst AB</t>
        </is>
      </c>
      <c r="I189" t="n">
        <v>2.9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47455-2023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45202</v>
      </c>
      <c r="E190" s="1" t="n">
        <v>46241</v>
      </c>
      <c r="F190" t="inlineStr">
        <is>
          <t>VÄRMLANDS LÄN</t>
        </is>
      </c>
      <c r="G190" t="inlineStr">
        <is>
          <t>FILIPSTAD</t>
        </is>
      </c>
      <c r="H190" t="inlineStr">
        <is>
          <t>Bergvik skog väst AB</t>
        </is>
      </c>
      <c r="I190" t="n">
        <v>5.1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46546-2021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44445</v>
      </c>
      <c r="E191" s="1" t="n">
        <v>46241</v>
      </c>
      <c r="F191" t="inlineStr">
        <is>
          <t>VÄRMLANDS LÄN</t>
        </is>
      </c>
      <c r="G191" t="inlineStr">
        <is>
          <t>FILIPSTAD</t>
        </is>
      </c>
      <c r="I191" t="n">
        <v>1.1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54080-2025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45964</v>
      </c>
      <c r="E192" s="1" t="n">
        <v>46241</v>
      </c>
      <c r="F192" t="inlineStr">
        <is>
          <t>VÄRMLANDS LÄN</t>
        </is>
      </c>
      <c r="G192" t="inlineStr">
        <is>
          <t>FILIPSTAD</t>
        </is>
      </c>
      <c r="I192" t="n">
        <v>2.3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33379-2025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45841</v>
      </c>
      <c r="E193" s="1" t="n">
        <v>46241</v>
      </c>
      <c r="F193" t="inlineStr">
        <is>
          <t>VÄRMLANDS LÄN</t>
        </is>
      </c>
      <c r="G193" t="inlineStr">
        <is>
          <t>FILIPSTAD</t>
        </is>
      </c>
      <c r="H193" t="inlineStr">
        <is>
          <t>Bergvik skog väst AB</t>
        </is>
      </c>
      <c r="I193" t="n">
        <v>1.7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53649-2025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45960</v>
      </c>
      <c r="E194" s="1" t="n">
        <v>46241</v>
      </c>
      <c r="F194" t="inlineStr">
        <is>
          <t>VÄRMLANDS LÄN</t>
        </is>
      </c>
      <c r="G194" t="inlineStr">
        <is>
          <t>FILIPSTAD</t>
        </is>
      </c>
      <c r="I194" t="n">
        <v>1.2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53655-2025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45960</v>
      </c>
      <c r="E195" s="1" t="n">
        <v>46241</v>
      </c>
      <c r="F195" t="inlineStr">
        <is>
          <t>VÄRMLANDS LÄN</t>
        </is>
      </c>
      <c r="G195" t="inlineStr">
        <is>
          <t>FILIPSTAD</t>
        </is>
      </c>
      <c r="I195" t="n">
        <v>2.2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14840-2023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45014</v>
      </c>
      <c r="E196" s="1" t="n">
        <v>46241</v>
      </c>
      <c r="F196" t="inlineStr">
        <is>
          <t>VÄRMLANDS LÄN</t>
        </is>
      </c>
      <c r="G196" t="inlineStr">
        <is>
          <t>FILIPSTAD</t>
        </is>
      </c>
      <c r="H196" t="inlineStr">
        <is>
          <t>Kyrkan</t>
        </is>
      </c>
      <c r="I196" t="n">
        <v>4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53325-2025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45959</v>
      </c>
      <c r="E197" s="1" t="n">
        <v>46241</v>
      </c>
      <c r="F197" t="inlineStr">
        <is>
          <t>VÄRMLANDS LÄN</t>
        </is>
      </c>
      <c r="G197" t="inlineStr">
        <is>
          <t>FILIPSTAD</t>
        </is>
      </c>
      <c r="H197" t="inlineStr">
        <is>
          <t>Kyrkan</t>
        </is>
      </c>
      <c r="I197" t="n">
        <v>9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18999-2024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45427</v>
      </c>
      <c r="E198" s="1" t="n">
        <v>46241</v>
      </c>
      <c r="F198" t="inlineStr">
        <is>
          <t>VÄRMLANDS LÄN</t>
        </is>
      </c>
      <c r="G198" t="inlineStr">
        <is>
          <t>FILIPSTAD</t>
        </is>
      </c>
      <c r="H198" t="inlineStr">
        <is>
          <t>Bergvik skog väst AB</t>
        </is>
      </c>
      <c r="I198" t="n">
        <v>0.5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37733-2025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45880</v>
      </c>
      <c r="E199" s="1" t="n">
        <v>46241</v>
      </c>
      <c r="F199" t="inlineStr">
        <is>
          <t>VÄRMLANDS LÄN</t>
        </is>
      </c>
      <c r="G199" t="inlineStr">
        <is>
          <t>FILIPSTAD</t>
        </is>
      </c>
      <c r="H199" t="inlineStr">
        <is>
          <t>Bergvik skog väst AB</t>
        </is>
      </c>
      <c r="I199" t="n">
        <v>7.6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53395-2025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45959</v>
      </c>
      <c r="E200" s="1" t="n">
        <v>46241</v>
      </c>
      <c r="F200" t="inlineStr">
        <is>
          <t>VÄRMLANDS LÄN</t>
        </is>
      </c>
      <c r="G200" t="inlineStr">
        <is>
          <t>FILIPSTAD</t>
        </is>
      </c>
      <c r="H200" t="inlineStr">
        <is>
          <t>Kyrkan</t>
        </is>
      </c>
      <c r="I200" t="n">
        <v>4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33449-2025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45841</v>
      </c>
      <c r="E201" s="1" t="n">
        <v>46241</v>
      </c>
      <c r="F201" t="inlineStr">
        <is>
          <t>VÄRMLANDS LÄN</t>
        </is>
      </c>
      <c r="G201" t="inlineStr">
        <is>
          <t>FILIPSTAD</t>
        </is>
      </c>
      <c r="H201" t="inlineStr">
        <is>
          <t>Bergvik skog väst AB</t>
        </is>
      </c>
      <c r="I201" t="n">
        <v>1.4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25375-2023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45088</v>
      </c>
      <c r="E202" s="1" t="n">
        <v>46241</v>
      </c>
      <c r="F202" t="inlineStr">
        <is>
          <t>VÄRMLANDS LÄN</t>
        </is>
      </c>
      <c r="G202" t="inlineStr">
        <is>
          <t>FILIPSTAD</t>
        </is>
      </c>
      <c r="I202" t="n">
        <v>0.5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39566-2023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45167</v>
      </c>
      <c r="E203" s="1" t="n">
        <v>46241</v>
      </c>
      <c r="F203" t="inlineStr">
        <is>
          <t>VÄRMLANDS LÄN</t>
        </is>
      </c>
      <c r="G203" t="inlineStr">
        <is>
          <t>FILIPSTAD</t>
        </is>
      </c>
      <c r="H203" t="inlineStr">
        <is>
          <t>Bergvik skog väst AB</t>
        </is>
      </c>
      <c r="I203" t="n">
        <v>3.2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19351-2025</t>
        </is>
      </c>
      <c r="B204" t="inlineStr">
        <is>
          <t>avverkningsanmälan</t>
        </is>
      </c>
      <c r="C204" t="inlineStr">
        <is>
          <t>Avverkning för annat ändamål</t>
        </is>
      </c>
      <c r="D204" s="1" t="n">
        <v>45769</v>
      </c>
      <c r="E204" s="1" t="n">
        <v>46241</v>
      </c>
      <c r="F204" t="inlineStr">
        <is>
          <t>VÄRMLANDS LÄN</t>
        </is>
      </c>
      <c r="G204" t="inlineStr">
        <is>
          <t>FILIPSTAD</t>
        </is>
      </c>
      <c r="I204" t="n">
        <v>1.1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54497-2025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45965</v>
      </c>
      <c r="E205" s="1" t="n">
        <v>46241</v>
      </c>
      <c r="F205" t="inlineStr">
        <is>
          <t>VÄRMLANDS LÄN</t>
        </is>
      </c>
      <c r="G205" t="inlineStr">
        <is>
          <t>FILIPSTAD</t>
        </is>
      </c>
      <c r="H205" t="inlineStr">
        <is>
          <t>Bergvik skog väst AB</t>
        </is>
      </c>
      <c r="I205" t="n">
        <v>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54328-2025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45965</v>
      </c>
      <c r="E206" s="1" t="n">
        <v>46241</v>
      </c>
      <c r="F206" t="inlineStr">
        <is>
          <t>VÄRMLANDS LÄN</t>
        </is>
      </c>
      <c r="G206" t="inlineStr">
        <is>
          <t>FILIPSTAD</t>
        </is>
      </c>
      <c r="H206" t="inlineStr">
        <is>
          <t>Bergvik skog väst AB</t>
        </is>
      </c>
      <c r="I206" t="n">
        <v>4.7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25376-2023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45088</v>
      </c>
      <c r="E207" s="1" t="n">
        <v>46241</v>
      </c>
      <c r="F207" t="inlineStr">
        <is>
          <t>VÄRMLANDS LÄN</t>
        </is>
      </c>
      <c r="G207" t="inlineStr">
        <is>
          <t>FILIPSTAD</t>
        </is>
      </c>
      <c r="I207" t="n">
        <v>3.2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55173-2025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45968</v>
      </c>
      <c r="E208" s="1" t="n">
        <v>46241</v>
      </c>
      <c r="F208" t="inlineStr">
        <is>
          <t>VÄRMLANDS LÄN</t>
        </is>
      </c>
      <c r="G208" t="inlineStr">
        <is>
          <t>FILIPSTAD</t>
        </is>
      </c>
      <c r="I208" t="n">
        <v>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55175-2025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45968</v>
      </c>
      <c r="E209" s="1" t="n">
        <v>46241</v>
      </c>
      <c r="F209" t="inlineStr">
        <is>
          <t>VÄRMLANDS LÄN</t>
        </is>
      </c>
      <c r="G209" t="inlineStr">
        <is>
          <t>FILIPSTAD</t>
        </is>
      </c>
      <c r="I209" t="n">
        <v>4.2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20489-2026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46140</v>
      </c>
      <c r="E210" s="1" t="n">
        <v>46241</v>
      </c>
      <c r="F210" t="inlineStr">
        <is>
          <t>VÄRMLANDS LÄN</t>
        </is>
      </c>
      <c r="G210" t="inlineStr">
        <is>
          <t>FILIPSTAD</t>
        </is>
      </c>
      <c r="H210" t="inlineStr">
        <is>
          <t>Bergvik skog väst AB</t>
        </is>
      </c>
      <c r="I210" t="n">
        <v>10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21593-2023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45063</v>
      </c>
      <c r="E211" s="1" t="n">
        <v>46241</v>
      </c>
      <c r="F211" t="inlineStr">
        <is>
          <t>VÄRMLANDS LÄN</t>
        </is>
      </c>
      <c r="G211" t="inlineStr">
        <is>
          <t>FILIPSTAD</t>
        </is>
      </c>
      <c r="I211" t="n">
        <v>5.5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55514-2025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45971</v>
      </c>
      <c r="E212" s="1" t="n">
        <v>46241</v>
      </c>
      <c r="F212" t="inlineStr">
        <is>
          <t>VÄRMLANDS LÄN</t>
        </is>
      </c>
      <c r="G212" t="inlineStr">
        <is>
          <t>FILIPSTAD</t>
        </is>
      </c>
      <c r="H212" t="inlineStr">
        <is>
          <t>Bergvik skog väst AB</t>
        </is>
      </c>
      <c r="I212" t="n">
        <v>13.3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55579-2025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45971</v>
      </c>
      <c r="E213" s="1" t="n">
        <v>46241</v>
      </c>
      <c r="F213" t="inlineStr">
        <is>
          <t>VÄRMLANDS LÄN</t>
        </is>
      </c>
      <c r="G213" t="inlineStr">
        <is>
          <t>FILIPSTAD</t>
        </is>
      </c>
      <c r="H213" t="inlineStr">
        <is>
          <t>Bergvik skog väst AB</t>
        </is>
      </c>
      <c r="I213" t="n">
        <v>8.699999999999999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55668-2025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45972</v>
      </c>
      <c r="E214" s="1" t="n">
        <v>46241</v>
      </c>
      <c r="F214" t="inlineStr">
        <is>
          <t>VÄRMLANDS LÄN</t>
        </is>
      </c>
      <c r="G214" t="inlineStr">
        <is>
          <t>FILIPSTAD</t>
        </is>
      </c>
      <c r="H214" t="inlineStr">
        <is>
          <t>Bergvik skog väst AB</t>
        </is>
      </c>
      <c r="I214" t="n">
        <v>1.1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56086-2025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45973</v>
      </c>
      <c r="E215" s="1" t="n">
        <v>46241</v>
      </c>
      <c r="F215" t="inlineStr">
        <is>
          <t>VÄRMLANDS LÄN</t>
        </is>
      </c>
      <c r="G215" t="inlineStr">
        <is>
          <t>FILIPSTAD</t>
        </is>
      </c>
      <c r="H215" t="inlineStr">
        <is>
          <t>Bergvik skog väst AB</t>
        </is>
      </c>
      <c r="I215" t="n">
        <v>2.1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38866-2024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45547</v>
      </c>
      <c r="E216" s="1" t="n">
        <v>46241</v>
      </c>
      <c r="F216" t="inlineStr">
        <is>
          <t>VÄRMLANDS LÄN</t>
        </is>
      </c>
      <c r="G216" t="inlineStr">
        <is>
          <t>FILIPSTAD</t>
        </is>
      </c>
      <c r="H216" t="inlineStr">
        <is>
          <t>Bergvik skog väst AB</t>
        </is>
      </c>
      <c r="I216" t="n">
        <v>1.8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39896-2025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45891</v>
      </c>
      <c r="E217" s="1" t="n">
        <v>46241</v>
      </c>
      <c r="F217" t="inlineStr">
        <is>
          <t>VÄRMLANDS LÄN</t>
        </is>
      </c>
      <c r="G217" t="inlineStr">
        <is>
          <t>FILIPSTAD</t>
        </is>
      </c>
      <c r="H217" t="inlineStr">
        <is>
          <t>Bergvik skog väst AB</t>
        </is>
      </c>
      <c r="I217" t="n">
        <v>3.3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56180-2025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45974</v>
      </c>
      <c r="E218" s="1" t="n">
        <v>46241</v>
      </c>
      <c r="F218" t="inlineStr">
        <is>
          <t>VÄRMLANDS LÄN</t>
        </is>
      </c>
      <c r="G218" t="inlineStr">
        <is>
          <t>FILIPSTAD</t>
        </is>
      </c>
      <c r="H218" t="inlineStr">
        <is>
          <t>Bergvik skog väst AB</t>
        </is>
      </c>
      <c r="I218" t="n">
        <v>8.300000000000001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56037-2025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45973</v>
      </c>
      <c r="E219" s="1" t="n">
        <v>46241</v>
      </c>
      <c r="F219" t="inlineStr">
        <is>
          <t>VÄRMLANDS LÄN</t>
        </is>
      </c>
      <c r="G219" t="inlineStr">
        <is>
          <t>FILIPSTAD</t>
        </is>
      </c>
      <c r="H219" t="inlineStr">
        <is>
          <t>Bergvik skog väst AB</t>
        </is>
      </c>
      <c r="I219" t="n">
        <v>5.7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56201-2025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45974</v>
      </c>
      <c r="E220" s="1" t="n">
        <v>46241</v>
      </c>
      <c r="F220" t="inlineStr">
        <is>
          <t>VÄRMLANDS LÄN</t>
        </is>
      </c>
      <c r="G220" t="inlineStr">
        <is>
          <t>FILIPSTAD</t>
        </is>
      </c>
      <c r="H220" t="inlineStr">
        <is>
          <t>Bergvik skog väst AB</t>
        </is>
      </c>
      <c r="I220" t="n">
        <v>0.4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56158-2025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45974</v>
      </c>
      <c r="E221" s="1" t="n">
        <v>46241</v>
      </c>
      <c r="F221" t="inlineStr">
        <is>
          <t>VÄRMLANDS LÄN</t>
        </is>
      </c>
      <c r="G221" t="inlineStr">
        <is>
          <t>FILIPSTAD</t>
        </is>
      </c>
      <c r="H221" t="inlineStr">
        <is>
          <t>Bergvik skog väst AB</t>
        </is>
      </c>
      <c r="I221" t="n">
        <v>5.5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56167-2025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45974</v>
      </c>
      <c r="E222" s="1" t="n">
        <v>46241</v>
      </c>
      <c r="F222" t="inlineStr">
        <is>
          <t>VÄRMLANDS LÄN</t>
        </is>
      </c>
      <c r="G222" t="inlineStr">
        <is>
          <t>FILIPSTAD</t>
        </is>
      </c>
      <c r="H222" t="inlineStr">
        <is>
          <t>Bergvik skog väst AB</t>
        </is>
      </c>
      <c r="I222" t="n">
        <v>1.4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56182-2025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45974</v>
      </c>
      <c r="E223" s="1" t="n">
        <v>46241</v>
      </c>
      <c r="F223" t="inlineStr">
        <is>
          <t>VÄRMLANDS LÄN</t>
        </is>
      </c>
      <c r="G223" t="inlineStr">
        <is>
          <t>FILIPSTAD</t>
        </is>
      </c>
      <c r="H223" t="inlineStr">
        <is>
          <t>Bergvik skog väst AB</t>
        </is>
      </c>
      <c r="I223" t="n">
        <v>0.5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56184-2025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45974</v>
      </c>
      <c r="E224" s="1" t="n">
        <v>46241</v>
      </c>
      <c r="F224" t="inlineStr">
        <is>
          <t>VÄRMLANDS LÄN</t>
        </is>
      </c>
      <c r="G224" t="inlineStr">
        <is>
          <t>FILIPSTAD</t>
        </is>
      </c>
      <c r="H224" t="inlineStr">
        <is>
          <t>Bergvik skog väst AB</t>
        </is>
      </c>
      <c r="I224" t="n">
        <v>2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56062-2025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45973</v>
      </c>
      <c r="E225" s="1" t="n">
        <v>46241</v>
      </c>
      <c r="F225" t="inlineStr">
        <is>
          <t>VÄRMLANDS LÄN</t>
        </is>
      </c>
      <c r="G225" t="inlineStr">
        <is>
          <t>FILIPSTAD</t>
        </is>
      </c>
      <c r="H225" t="inlineStr">
        <is>
          <t>Bergvik skog väst AB</t>
        </is>
      </c>
      <c r="I225" t="n">
        <v>9.199999999999999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56028-2025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45973</v>
      </c>
      <c r="E226" s="1" t="n">
        <v>46241</v>
      </c>
      <c r="F226" t="inlineStr">
        <is>
          <t>VÄRMLANDS LÄN</t>
        </is>
      </c>
      <c r="G226" t="inlineStr">
        <is>
          <t>FILIPSTAD</t>
        </is>
      </c>
      <c r="H226" t="inlineStr">
        <is>
          <t>Bergvik skog väst AB</t>
        </is>
      </c>
      <c r="I226" t="n">
        <v>3.2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56008-2025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45973</v>
      </c>
      <c r="E227" s="1" t="n">
        <v>46241</v>
      </c>
      <c r="F227" t="inlineStr">
        <is>
          <t>VÄRMLANDS LÄN</t>
        </is>
      </c>
      <c r="G227" t="inlineStr">
        <is>
          <t>FILIPSTAD</t>
        </is>
      </c>
      <c r="H227" t="inlineStr">
        <is>
          <t>Bergvik skog väst AB</t>
        </is>
      </c>
      <c r="I227" t="n">
        <v>8.199999999999999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56083-2025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45973</v>
      </c>
      <c r="E228" s="1" t="n">
        <v>46241</v>
      </c>
      <c r="F228" t="inlineStr">
        <is>
          <t>VÄRMLANDS LÄN</t>
        </is>
      </c>
      <c r="G228" t="inlineStr">
        <is>
          <t>FILIPSTAD</t>
        </is>
      </c>
      <c r="H228" t="inlineStr">
        <is>
          <t>Bergvik skog väst AB</t>
        </is>
      </c>
      <c r="I228" t="n">
        <v>0.9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56032-2025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45973</v>
      </c>
      <c r="E229" s="1" t="n">
        <v>46241</v>
      </c>
      <c r="F229" t="inlineStr">
        <is>
          <t>VÄRMLANDS LÄN</t>
        </is>
      </c>
      <c r="G229" t="inlineStr">
        <is>
          <t>FILIPSTAD</t>
        </is>
      </c>
      <c r="H229" t="inlineStr">
        <is>
          <t>Bergvik skog väst AB</t>
        </is>
      </c>
      <c r="I229" t="n">
        <v>5.8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56045-2025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45973</v>
      </c>
      <c r="E230" s="1" t="n">
        <v>46241</v>
      </c>
      <c r="F230" t="inlineStr">
        <is>
          <t>VÄRMLANDS LÄN</t>
        </is>
      </c>
      <c r="G230" t="inlineStr">
        <is>
          <t>FILIPSTAD</t>
        </is>
      </c>
      <c r="H230" t="inlineStr">
        <is>
          <t>Bergvik skog väst AB</t>
        </is>
      </c>
      <c r="I230" t="n">
        <v>3.6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32059-2025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45835</v>
      </c>
      <c r="E231" s="1" t="n">
        <v>46241</v>
      </c>
      <c r="F231" t="inlineStr">
        <is>
          <t>VÄRMLANDS LÄN</t>
        </is>
      </c>
      <c r="G231" t="inlineStr">
        <is>
          <t>FILIPSTAD</t>
        </is>
      </c>
      <c r="I231" t="n">
        <v>5.5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20661-2026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46141</v>
      </c>
      <c r="E232" s="1" t="n">
        <v>46241</v>
      </c>
      <c r="F232" t="inlineStr">
        <is>
          <t>VÄRMLANDS LÄN</t>
        </is>
      </c>
      <c r="G232" t="inlineStr">
        <is>
          <t>FILIPSTAD</t>
        </is>
      </c>
      <c r="H232" t="inlineStr">
        <is>
          <t>Bergvik skog väst AB</t>
        </is>
      </c>
      <c r="I232" t="n">
        <v>5.4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20801-2026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46141</v>
      </c>
      <c r="E233" s="1" t="n">
        <v>46241</v>
      </c>
      <c r="F233" t="inlineStr">
        <is>
          <t>VÄRMLANDS LÄN</t>
        </is>
      </c>
      <c r="G233" t="inlineStr">
        <is>
          <t>FILIPSTAD</t>
        </is>
      </c>
      <c r="H233" t="inlineStr">
        <is>
          <t>Bergvik skog väst AB</t>
        </is>
      </c>
      <c r="I233" t="n">
        <v>5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56925-2025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45978</v>
      </c>
      <c r="E234" s="1" t="n">
        <v>46241</v>
      </c>
      <c r="F234" t="inlineStr">
        <is>
          <t>VÄRMLANDS LÄN</t>
        </is>
      </c>
      <c r="G234" t="inlineStr">
        <is>
          <t>FILIPSTAD</t>
        </is>
      </c>
      <c r="H234" t="inlineStr">
        <is>
          <t>Bergvik skog väst AB</t>
        </is>
      </c>
      <c r="I234" t="n">
        <v>18.8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20554-2025</t>
        </is>
      </c>
      <c r="B235" t="inlineStr">
        <is>
          <t>avverkningsanmälan</t>
        </is>
      </c>
      <c r="C235" t="inlineStr">
        <is>
          <t>Avverkning för annat ändamål</t>
        </is>
      </c>
      <c r="D235" s="1" t="n">
        <v>45775</v>
      </c>
      <c r="E235" s="1" t="n">
        <v>46241</v>
      </c>
      <c r="F235" t="inlineStr">
        <is>
          <t>VÄRMLANDS LÄN</t>
        </is>
      </c>
      <c r="G235" t="inlineStr">
        <is>
          <t>FILIPSTAD</t>
        </is>
      </c>
      <c r="H235" t="inlineStr">
        <is>
          <t>Bergvik skog väst AB</t>
        </is>
      </c>
      <c r="I235" t="n">
        <v>2.3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57212-2023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45245</v>
      </c>
      <c r="E236" s="1" t="n">
        <v>46241</v>
      </c>
      <c r="F236" t="inlineStr">
        <is>
          <t>VÄRMLANDS LÄN</t>
        </is>
      </c>
      <c r="G236" t="inlineStr">
        <is>
          <t>FILIPSTAD</t>
        </is>
      </c>
      <c r="H236" t="inlineStr">
        <is>
          <t>Bergvik skog väst AB</t>
        </is>
      </c>
      <c r="I236" t="n">
        <v>1.3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58019-2025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45982</v>
      </c>
      <c r="E237" s="1" t="n">
        <v>46241</v>
      </c>
      <c r="F237" t="inlineStr">
        <is>
          <t>VÄRMLANDS LÄN</t>
        </is>
      </c>
      <c r="G237" t="inlineStr">
        <is>
          <t>FILIPSTAD</t>
        </is>
      </c>
      <c r="H237" t="inlineStr">
        <is>
          <t>Bergvik skog väst AB</t>
        </is>
      </c>
      <c r="I237" t="n">
        <v>28.4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57872-2025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45981</v>
      </c>
      <c r="E238" s="1" t="n">
        <v>46241</v>
      </c>
      <c r="F238" t="inlineStr">
        <is>
          <t>VÄRMLANDS LÄN</t>
        </is>
      </c>
      <c r="G238" t="inlineStr">
        <is>
          <t>FILIPSTAD</t>
        </is>
      </c>
      <c r="H238" t="inlineStr">
        <is>
          <t>Bergvik skog väst AB</t>
        </is>
      </c>
      <c r="I238" t="n">
        <v>4.4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49602-2025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45939</v>
      </c>
      <c r="E239" s="1" t="n">
        <v>46241</v>
      </c>
      <c r="F239" t="inlineStr">
        <is>
          <t>VÄRMLANDS LÄN</t>
        </is>
      </c>
      <c r="G239" t="inlineStr">
        <is>
          <t>FILIPSTAD</t>
        </is>
      </c>
      <c r="H239" t="inlineStr">
        <is>
          <t>Bergvik skog väst AB</t>
        </is>
      </c>
      <c r="I239" t="n">
        <v>10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20919-2026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46142</v>
      </c>
      <c r="E240" s="1" t="n">
        <v>46241</v>
      </c>
      <c r="F240" t="inlineStr">
        <is>
          <t>VÄRMLANDS LÄN</t>
        </is>
      </c>
      <c r="G240" t="inlineStr">
        <is>
          <t>FILIPSTAD</t>
        </is>
      </c>
      <c r="I240" t="n">
        <v>2.5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36272-2025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45867</v>
      </c>
      <c r="E241" s="1" t="n">
        <v>46241</v>
      </c>
      <c r="F241" t="inlineStr">
        <is>
          <t>VÄRMLANDS LÄN</t>
        </is>
      </c>
      <c r="G241" t="inlineStr">
        <is>
          <t>FILIPSTAD</t>
        </is>
      </c>
      <c r="H241" t="inlineStr">
        <is>
          <t>Bergvik skog väst AB</t>
        </is>
      </c>
      <c r="I241" t="n">
        <v>5.7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31676-2025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45834</v>
      </c>
      <c r="E242" s="1" t="n">
        <v>46241</v>
      </c>
      <c r="F242" t="inlineStr">
        <is>
          <t>VÄRMLANDS LÄN</t>
        </is>
      </c>
      <c r="G242" t="inlineStr">
        <is>
          <t>FILIPSTAD</t>
        </is>
      </c>
      <c r="H242" t="inlineStr">
        <is>
          <t>Bergvik skog väst AB</t>
        </is>
      </c>
      <c r="I242" t="n">
        <v>4.2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20874-2026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46142</v>
      </c>
      <c r="E243" s="1" t="n">
        <v>46241</v>
      </c>
      <c r="F243" t="inlineStr">
        <is>
          <t>VÄRMLANDS LÄN</t>
        </is>
      </c>
      <c r="G243" t="inlineStr">
        <is>
          <t>FILIPSTAD</t>
        </is>
      </c>
      <c r="H243" t="inlineStr">
        <is>
          <t>Bergvik skog väst AB</t>
        </is>
      </c>
      <c r="I243" t="n">
        <v>7.9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24139-2024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45456</v>
      </c>
      <c r="E244" s="1" t="n">
        <v>46241</v>
      </c>
      <c r="F244" t="inlineStr">
        <is>
          <t>VÄRMLANDS LÄN</t>
        </is>
      </c>
      <c r="G244" t="inlineStr">
        <is>
          <t>FILIPSTAD</t>
        </is>
      </c>
      <c r="H244" t="inlineStr">
        <is>
          <t>Bergvik skog väst AB</t>
        </is>
      </c>
      <c r="I244" t="n">
        <v>2.4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16067-2026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46108</v>
      </c>
      <c r="E245" s="1" t="n">
        <v>46241</v>
      </c>
      <c r="F245" t="inlineStr">
        <is>
          <t>VÄRMLANDS LÄN</t>
        </is>
      </c>
      <c r="G245" t="inlineStr">
        <is>
          <t>FILIPSTAD</t>
        </is>
      </c>
      <c r="I245" t="n">
        <v>1.2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58211-2025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45985</v>
      </c>
      <c r="E246" s="1" t="n">
        <v>46241</v>
      </c>
      <c r="F246" t="inlineStr">
        <is>
          <t>VÄRMLANDS LÄN</t>
        </is>
      </c>
      <c r="G246" t="inlineStr">
        <is>
          <t>FILIPSTAD</t>
        </is>
      </c>
      <c r="H246" t="inlineStr">
        <is>
          <t>Bergvik skog väst AB</t>
        </is>
      </c>
      <c r="I246" t="n">
        <v>1.7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58389-2025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45985</v>
      </c>
      <c r="E247" s="1" t="n">
        <v>46241</v>
      </c>
      <c r="F247" t="inlineStr">
        <is>
          <t>VÄRMLANDS LÄN</t>
        </is>
      </c>
      <c r="G247" t="inlineStr">
        <is>
          <t>FILIPSTAD</t>
        </is>
      </c>
      <c r="H247" t="inlineStr">
        <is>
          <t>Bergvik skog väst AB</t>
        </is>
      </c>
      <c r="I247" t="n">
        <v>4.4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59290-2025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45988</v>
      </c>
      <c r="E248" s="1" t="n">
        <v>46241</v>
      </c>
      <c r="F248" t="inlineStr">
        <is>
          <t>VÄRMLANDS LÄN</t>
        </is>
      </c>
      <c r="G248" t="inlineStr">
        <is>
          <t>FILIPSTAD</t>
        </is>
      </c>
      <c r="I248" t="n">
        <v>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29426-2023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45106</v>
      </c>
      <c r="E249" s="1" t="n">
        <v>46241</v>
      </c>
      <c r="F249" t="inlineStr">
        <is>
          <t>VÄRMLANDS LÄN</t>
        </is>
      </c>
      <c r="G249" t="inlineStr">
        <is>
          <t>FILIPSTAD</t>
        </is>
      </c>
      <c r="H249" t="inlineStr">
        <is>
          <t>Kyrkan</t>
        </is>
      </c>
      <c r="I249" t="n">
        <v>5.9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59414-2025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45989</v>
      </c>
      <c r="E250" s="1" t="n">
        <v>46241</v>
      </c>
      <c r="F250" t="inlineStr">
        <is>
          <t>VÄRMLANDS LÄN</t>
        </is>
      </c>
      <c r="G250" t="inlineStr">
        <is>
          <t>FILIPSTAD</t>
        </is>
      </c>
      <c r="H250" t="inlineStr">
        <is>
          <t>Bergvik skog väst AB</t>
        </is>
      </c>
      <c r="I250" t="n">
        <v>1.4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59712-2025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45992</v>
      </c>
      <c r="E251" s="1" t="n">
        <v>46241</v>
      </c>
      <c r="F251" t="inlineStr">
        <is>
          <t>VÄRMLANDS LÄN</t>
        </is>
      </c>
      <c r="G251" t="inlineStr">
        <is>
          <t>FILIPSTAD</t>
        </is>
      </c>
      <c r="H251" t="inlineStr">
        <is>
          <t>Bergvik skog väst AB</t>
        </is>
      </c>
      <c r="I251" t="n">
        <v>2.7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59707-2025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45992</v>
      </c>
      <c r="E252" s="1" t="n">
        <v>46241</v>
      </c>
      <c r="F252" t="inlineStr">
        <is>
          <t>VÄRMLANDS LÄN</t>
        </is>
      </c>
      <c r="G252" t="inlineStr">
        <is>
          <t>FILIPSTAD</t>
        </is>
      </c>
      <c r="H252" t="inlineStr">
        <is>
          <t>Bergvik skog väst AB</t>
        </is>
      </c>
      <c r="I252" t="n">
        <v>1.5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59709-2025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45992</v>
      </c>
      <c r="E253" s="1" t="n">
        <v>46241</v>
      </c>
      <c r="F253" t="inlineStr">
        <is>
          <t>VÄRMLANDS LÄN</t>
        </is>
      </c>
      <c r="G253" t="inlineStr">
        <is>
          <t>FILIPSTAD</t>
        </is>
      </c>
      <c r="H253" t="inlineStr">
        <is>
          <t>Bergvik skog väst AB</t>
        </is>
      </c>
      <c r="I253" t="n">
        <v>3.6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62787-2023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45271</v>
      </c>
      <c r="E254" s="1" t="n">
        <v>46241</v>
      </c>
      <c r="F254" t="inlineStr">
        <is>
          <t>VÄRMLANDS LÄN</t>
        </is>
      </c>
      <c r="G254" t="inlineStr">
        <is>
          <t>FILIPSTAD</t>
        </is>
      </c>
      <c r="H254" t="inlineStr">
        <is>
          <t>Bergvik skog väst AB</t>
        </is>
      </c>
      <c r="I254" t="n">
        <v>2.4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14432-2025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45741</v>
      </c>
      <c r="E255" s="1" t="n">
        <v>46241</v>
      </c>
      <c r="F255" t="inlineStr">
        <is>
          <t>VÄRMLANDS LÄN</t>
        </is>
      </c>
      <c r="G255" t="inlineStr">
        <is>
          <t>FILIPSTAD</t>
        </is>
      </c>
      <c r="H255" t="inlineStr">
        <is>
          <t>Bergvik skog väst AB</t>
        </is>
      </c>
      <c r="I255" t="n">
        <v>10.4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21542-2026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46148</v>
      </c>
      <c r="E256" s="1" t="n">
        <v>46241</v>
      </c>
      <c r="F256" t="inlineStr">
        <is>
          <t>VÄRMLANDS LÄN</t>
        </is>
      </c>
      <c r="G256" t="inlineStr">
        <is>
          <t>FILIPSTAD</t>
        </is>
      </c>
      <c r="H256" t="inlineStr">
        <is>
          <t>Bergvik skog väst AB</t>
        </is>
      </c>
      <c r="I256" t="n">
        <v>12.1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59423-2025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45989</v>
      </c>
      <c r="E257" s="1" t="n">
        <v>46241</v>
      </c>
      <c r="F257" t="inlineStr">
        <is>
          <t>VÄRMLANDS LÄN</t>
        </is>
      </c>
      <c r="G257" t="inlineStr">
        <is>
          <t>FILIPSTAD</t>
        </is>
      </c>
      <c r="I257" t="n">
        <v>1.5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59410-2025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45989</v>
      </c>
      <c r="E258" s="1" t="n">
        <v>46241</v>
      </c>
      <c r="F258" t="inlineStr">
        <is>
          <t>VÄRMLANDS LÄN</t>
        </is>
      </c>
      <c r="G258" t="inlineStr">
        <is>
          <t>FILIPSTAD</t>
        </is>
      </c>
      <c r="H258" t="inlineStr">
        <is>
          <t>Bergvik skog väst AB</t>
        </is>
      </c>
      <c r="I258" t="n">
        <v>2.7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34512-2023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45133</v>
      </c>
      <c r="E259" s="1" t="n">
        <v>46241</v>
      </c>
      <c r="F259" t="inlineStr">
        <is>
          <t>VÄRMLANDS LÄN</t>
        </is>
      </c>
      <c r="G259" t="inlineStr">
        <is>
          <t>FILIPSTAD</t>
        </is>
      </c>
      <c r="I259" t="n">
        <v>1.7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59406-2025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45989</v>
      </c>
      <c r="E260" s="1" t="n">
        <v>46241</v>
      </c>
      <c r="F260" t="inlineStr">
        <is>
          <t>VÄRMLANDS LÄN</t>
        </is>
      </c>
      <c r="G260" t="inlineStr">
        <is>
          <t>FILIPSTAD</t>
        </is>
      </c>
      <c r="H260" t="inlineStr">
        <is>
          <t>Bergvik skog väst AB</t>
        </is>
      </c>
      <c r="I260" t="n">
        <v>8.9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59966-2025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45993</v>
      </c>
      <c r="E261" s="1" t="n">
        <v>46241</v>
      </c>
      <c r="F261" t="inlineStr">
        <is>
          <t>VÄRMLANDS LÄN</t>
        </is>
      </c>
      <c r="G261" t="inlineStr">
        <is>
          <t>FILIPSTAD</t>
        </is>
      </c>
      <c r="H261" t="inlineStr">
        <is>
          <t>Bergvik skog väst AB</t>
        </is>
      </c>
      <c r="I261" t="n">
        <v>37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59929-2025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45993</v>
      </c>
      <c r="E262" s="1" t="n">
        <v>46241</v>
      </c>
      <c r="F262" t="inlineStr">
        <is>
          <t>VÄRMLANDS LÄN</t>
        </is>
      </c>
      <c r="G262" t="inlineStr">
        <is>
          <t>FILIPSTAD</t>
        </is>
      </c>
      <c r="H262" t="inlineStr">
        <is>
          <t>Bergvik skog väst AB</t>
        </is>
      </c>
      <c r="I262" t="n">
        <v>3.3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60653-2025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45996</v>
      </c>
      <c r="E263" s="1" t="n">
        <v>46241</v>
      </c>
      <c r="F263" t="inlineStr">
        <is>
          <t>VÄRMLANDS LÄN</t>
        </is>
      </c>
      <c r="G263" t="inlineStr">
        <is>
          <t>FILIPSTAD</t>
        </is>
      </c>
      <c r="H263" t="inlineStr">
        <is>
          <t>Bergvik skog väst AB</t>
        </is>
      </c>
      <c r="I263" t="n">
        <v>7.5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22045-2026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46153</v>
      </c>
      <c r="E264" s="1" t="n">
        <v>46241</v>
      </c>
      <c r="F264" t="inlineStr">
        <is>
          <t>VÄRMLANDS LÄN</t>
        </is>
      </c>
      <c r="G264" t="inlineStr">
        <is>
          <t>FILIPSTAD</t>
        </is>
      </c>
      <c r="H264" t="inlineStr">
        <is>
          <t>Bergvik skog väst AB</t>
        </is>
      </c>
      <c r="I264" t="n">
        <v>5.4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22112-2026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46153</v>
      </c>
      <c r="E265" s="1" t="n">
        <v>46241</v>
      </c>
      <c r="F265" t="inlineStr">
        <is>
          <t>VÄRMLANDS LÄN</t>
        </is>
      </c>
      <c r="G265" t="inlineStr">
        <is>
          <t>FILIPSTAD</t>
        </is>
      </c>
      <c r="H265" t="inlineStr">
        <is>
          <t>Bergvik skog väst AB</t>
        </is>
      </c>
      <c r="I265" t="n">
        <v>1.6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22136-2026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46153</v>
      </c>
      <c r="E266" s="1" t="n">
        <v>46241</v>
      </c>
      <c r="F266" t="inlineStr">
        <is>
          <t>VÄRMLANDS LÄN</t>
        </is>
      </c>
      <c r="G266" t="inlineStr">
        <is>
          <t>FILIPSTAD</t>
        </is>
      </c>
      <c r="I266" t="n">
        <v>10.8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60550-2025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45995</v>
      </c>
      <c r="E267" s="1" t="n">
        <v>46241</v>
      </c>
      <c r="F267" t="inlineStr">
        <is>
          <t>VÄRMLANDS LÄN</t>
        </is>
      </c>
      <c r="G267" t="inlineStr">
        <is>
          <t>FILIPSTAD</t>
        </is>
      </c>
      <c r="H267" t="inlineStr">
        <is>
          <t>Bergvik skog väst AB</t>
        </is>
      </c>
      <c r="I267" t="n">
        <v>0.7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60433-2025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45995</v>
      </c>
      <c r="E268" s="1" t="n">
        <v>46241</v>
      </c>
      <c r="F268" t="inlineStr">
        <is>
          <t>VÄRMLANDS LÄN</t>
        </is>
      </c>
      <c r="G268" t="inlineStr">
        <is>
          <t>FILIPSTAD</t>
        </is>
      </c>
      <c r="H268" t="inlineStr">
        <is>
          <t>Bergvik skog väst AB</t>
        </is>
      </c>
      <c r="I268" t="n">
        <v>1.9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6573-2023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44960</v>
      </c>
      <c r="E269" s="1" t="n">
        <v>46241</v>
      </c>
      <c r="F269" t="inlineStr">
        <is>
          <t>VÄRMLANDS LÄN</t>
        </is>
      </c>
      <c r="G269" t="inlineStr">
        <is>
          <t>FILIPSTAD</t>
        </is>
      </c>
      <c r="H269" t="inlineStr">
        <is>
          <t>Kommuner</t>
        </is>
      </c>
      <c r="I269" t="n">
        <v>4.6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22144-2026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46153</v>
      </c>
      <c r="E270" s="1" t="n">
        <v>46241</v>
      </c>
      <c r="F270" t="inlineStr">
        <is>
          <t>VÄRMLANDS LÄN</t>
        </is>
      </c>
      <c r="G270" t="inlineStr">
        <is>
          <t>FILIPSTAD</t>
        </is>
      </c>
      <c r="I270" t="n">
        <v>3.5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60396-2025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45995</v>
      </c>
      <c r="E271" s="1" t="n">
        <v>46241</v>
      </c>
      <c r="F271" t="inlineStr">
        <is>
          <t>VÄRMLANDS LÄN</t>
        </is>
      </c>
      <c r="G271" t="inlineStr">
        <is>
          <t>FILIPSTAD</t>
        </is>
      </c>
      <c r="H271" t="inlineStr">
        <is>
          <t>Bergvik skog väst AB</t>
        </is>
      </c>
      <c r="I271" t="n">
        <v>6.2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22201-2026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46153</v>
      </c>
      <c r="E272" s="1" t="n">
        <v>46241</v>
      </c>
      <c r="F272" t="inlineStr">
        <is>
          <t>VÄRMLANDS LÄN</t>
        </is>
      </c>
      <c r="G272" t="inlineStr">
        <is>
          <t>FILIPSTAD</t>
        </is>
      </c>
      <c r="H272" t="inlineStr">
        <is>
          <t>Bergvik skog väst AB</t>
        </is>
      </c>
      <c r="I272" t="n">
        <v>1.2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22176-2026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46153</v>
      </c>
      <c r="E273" s="1" t="n">
        <v>46241</v>
      </c>
      <c r="F273" t="inlineStr">
        <is>
          <t>VÄRMLANDS LÄN</t>
        </is>
      </c>
      <c r="G273" t="inlineStr">
        <is>
          <t>FILIPSTAD</t>
        </is>
      </c>
      <c r="H273" t="inlineStr">
        <is>
          <t>Bergvik skog väst AB</t>
        </is>
      </c>
      <c r="I273" t="n">
        <v>6.1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22229-2026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46153</v>
      </c>
      <c r="E274" s="1" t="n">
        <v>46241</v>
      </c>
      <c r="F274" t="inlineStr">
        <is>
          <t>VÄRMLANDS LÄN</t>
        </is>
      </c>
      <c r="G274" t="inlineStr">
        <is>
          <t>FILIPSTAD</t>
        </is>
      </c>
      <c r="H274" t="inlineStr">
        <is>
          <t>Bergvik skog väst AB</t>
        </is>
      </c>
      <c r="I274" t="n">
        <v>1.5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4819-2023</t>
        </is>
      </c>
      <c r="B275" t="inlineStr">
        <is>
          <t>avverkningsanmälan</t>
        </is>
      </c>
      <c r="C275" t="inlineStr">
        <is>
          <t>Avverkning för annat ändamål</t>
        </is>
      </c>
      <c r="D275" s="1" t="n">
        <v>44957</v>
      </c>
      <c r="E275" s="1" t="n">
        <v>46241</v>
      </c>
      <c r="F275" t="inlineStr">
        <is>
          <t>VÄRMLANDS LÄN</t>
        </is>
      </c>
      <c r="G275" t="inlineStr">
        <is>
          <t>FILIPSTAD</t>
        </is>
      </c>
      <c r="H275" t="inlineStr">
        <is>
          <t>Bergvik skog väst AB</t>
        </is>
      </c>
      <c r="I275" t="n">
        <v>11.3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22032-2026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46153</v>
      </c>
      <c r="E276" s="1" t="n">
        <v>46241</v>
      </c>
      <c r="F276" t="inlineStr">
        <is>
          <t>VÄRMLANDS LÄN</t>
        </is>
      </c>
      <c r="G276" t="inlineStr">
        <is>
          <t>FILIPSTAD</t>
        </is>
      </c>
      <c r="H276" t="inlineStr">
        <is>
          <t>Bergvik skog väst AB</t>
        </is>
      </c>
      <c r="I276" t="n">
        <v>3.9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22138-2026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46153</v>
      </c>
      <c r="E277" s="1" t="n">
        <v>46241</v>
      </c>
      <c r="F277" t="inlineStr">
        <is>
          <t>VÄRMLANDS LÄN</t>
        </is>
      </c>
      <c r="G277" t="inlineStr">
        <is>
          <t>FILIPSTAD</t>
        </is>
      </c>
      <c r="I277" t="n">
        <v>2.4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14275-2024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45393</v>
      </c>
      <c r="E278" s="1" t="n">
        <v>46241</v>
      </c>
      <c r="F278" t="inlineStr">
        <is>
          <t>VÄRMLANDS LÄN</t>
        </is>
      </c>
      <c r="G278" t="inlineStr">
        <is>
          <t>FILIPSTAD</t>
        </is>
      </c>
      <c r="H278" t="inlineStr">
        <is>
          <t>Bergvik skog väst AB</t>
        </is>
      </c>
      <c r="I278" t="n">
        <v>4.6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22021-2026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46153</v>
      </c>
      <c r="E279" s="1" t="n">
        <v>46241</v>
      </c>
      <c r="F279" t="inlineStr">
        <is>
          <t>VÄRMLANDS LÄN</t>
        </is>
      </c>
      <c r="G279" t="inlineStr">
        <is>
          <t>FILIPSTAD</t>
        </is>
      </c>
      <c r="H279" t="inlineStr">
        <is>
          <t>Bergvik skog väst AB</t>
        </is>
      </c>
      <c r="I279" t="n">
        <v>5.6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22115-2026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46153</v>
      </c>
      <c r="E280" s="1" t="n">
        <v>46241</v>
      </c>
      <c r="F280" t="inlineStr">
        <is>
          <t>VÄRMLANDS LÄN</t>
        </is>
      </c>
      <c r="G280" t="inlineStr">
        <is>
          <t>FILIPSTAD</t>
        </is>
      </c>
      <c r="H280" t="inlineStr">
        <is>
          <t>Bergvik skog väst AB</t>
        </is>
      </c>
      <c r="I280" t="n">
        <v>3.8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22051-2026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46153</v>
      </c>
      <c r="E281" s="1" t="n">
        <v>46241</v>
      </c>
      <c r="F281" t="inlineStr">
        <is>
          <t>VÄRMLANDS LÄN</t>
        </is>
      </c>
      <c r="G281" t="inlineStr">
        <is>
          <t>FILIPSTAD</t>
        </is>
      </c>
      <c r="H281" t="inlineStr">
        <is>
          <t>Bergvik skog väst AB</t>
        </is>
      </c>
      <c r="I281" t="n">
        <v>3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9270-2023</t>
        </is>
      </c>
      <c r="B282" t="inlineStr">
        <is>
          <t>avverkningsanmälan</t>
        </is>
      </c>
      <c r="C282" t="inlineStr">
        <is>
          <t>Avverkning för annat ändamål</t>
        </is>
      </c>
      <c r="D282" s="1" t="n">
        <v>44980</v>
      </c>
      <c r="E282" s="1" t="n">
        <v>46241</v>
      </c>
      <c r="F282" t="inlineStr">
        <is>
          <t>VÄRMLANDS LÄN</t>
        </is>
      </c>
      <c r="G282" t="inlineStr">
        <is>
          <t>FILIPSTAD</t>
        </is>
      </c>
      <c r="H282" t="inlineStr">
        <is>
          <t>Bergvik skog väst AB</t>
        </is>
      </c>
      <c r="I282" t="n">
        <v>1.4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37945-2024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45544</v>
      </c>
      <c r="E283" s="1" t="n">
        <v>46241</v>
      </c>
      <c r="F283" t="inlineStr">
        <is>
          <t>VÄRMLANDS LÄN</t>
        </is>
      </c>
      <c r="G283" t="inlineStr">
        <is>
          <t>FILIPSTAD</t>
        </is>
      </c>
      <c r="H283" t="inlineStr">
        <is>
          <t>Bergvik skog väst AB</t>
        </is>
      </c>
      <c r="I283" t="n">
        <v>5.2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22220-2026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46153</v>
      </c>
      <c r="E284" s="1" t="n">
        <v>46241</v>
      </c>
      <c r="F284" t="inlineStr">
        <is>
          <t>VÄRMLANDS LÄN</t>
        </is>
      </c>
      <c r="G284" t="inlineStr">
        <is>
          <t>FILIPSTAD</t>
        </is>
      </c>
      <c r="H284" t="inlineStr">
        <is>
          <t>Bergvik skog väst AB</t>
        </is>
      </c>
      <c r="I284" t="n">
        <v>2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22152-2026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46153</v>
      </c>
      <c r="E285" s="1" t="n">
        <v>46241</v>
      </c>
      <c r="F285" t="inlineStr">
        <is>
          <t>VÄRMLANDS LÄN</t>
        </is>
      </c>
      <c r="G285" t="inlineStr">
        <is>
          <t>FILIPSTAD</t>
        </is>
      </c>
      <c r="H285" t="inlineStr">
        <is>
          <t>Bergvik skog väst AB</t>
        </is>
      </c>
      <c r="I285" t="n">
        <v>0.7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61069-2025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46000</v>
      </c>
      <c r="E286" s="1" t="n">
        <v>46241</v>
      </c>
      <c r="F286" t="inlineStr">
        <is>
          <t>VÄRMLANDS LÄN</t>
        </is>
      </c>
      <c r="G286" t="inlineStr">
        <is>
          <t>FILIPSTAD</t>
        </is>
      </c>
      <c r="I286" t="n">
        <v>0.7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22533-2026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46155</v>
      </c>
      <c r="E287" s="1" t="n">
        <v>46241</v>
      </c>
      <c r="F287" t="inlineStr">
        <is>
          <t>VÄRMLANDS LÄN</t>
        </is>
      </c>
      <c r="G287" t="inlineStr">
        <is>
          <t>FILIPSTAD</t>
        </is>
      </c>
      <c r="H287" t="inlineStr">
        <is>
          <t>Bergvik skog väst AB</t>
        </is>
      </c>
      <c r="I287" t="n">
        <v>4.8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31358-2023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45114</v>
      </c>
      <c r="E288" s="1" t="n">
        <v>46241</v>
      </c>
      <c r="F288" t="inlineStr">
        <is>
          <t>VÄRMLANDS LÄN</t>
        </is>
      </c>
      <c r="G288" t="inlineStr">
        <is>
          <t>FILIPSTAD</t>
        </is>
      </c>
      <c r="I288" t="n">
        <v>2.6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61047-2025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46000</v>
      </c>
      <c r="E289" s="1" t="n">
        <v>46241</v>
      </c>
      <c r="F289" t="inlineStr">
        <is>
          <t>VÄRMLANDS LÄN</t>
        </is>
      </c>
      <c r="G289" t="inlineStr">
        <is>
          <t>FILIPSTAD</t>
        </is>
      </c>
      <c r="I289" t="n">
        <v>5.4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61327-2025</t>
        </is>
      </c>
      <c r="B290" t="inlineStr">
        <is>
          <t>avverkningsanmälan</t>
        </is>
      </c>
      <c r="C290" t="inlineStr">
        <is>
          <t>Avverkning för annat ändamål</t>
        </is>
      </c>
      <c r="D290" s="1" t="n">
        <v>46001</v>
      </c>
      <c r="E290" s="1" t="n">
        <v>46241</v>
      </c>
      <c r="F290" t="inlineStr">
        <is>
          <t>VÄRMLANDS LÄN</t>
        </is>
      </c>
      <c r="G290" t="inlineStr">
        <is>
          <t>FILIPSTAD</t>
        </is>
      </c>
      <c r="H290" t="inlineStr">
        <is>
          <t>Bergvik skog väst AB</t>
        </is>
      </c>
      <c r="I290" t="n">
        <v>0.5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61362-2025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46001</v>
      </c>
      <c r="E291" s="1" t="n">
        <v>46241</v>
      </c>
      <c r="F291" t="inlineStr">
        <is>
          <t>VÄRMLANDS LÄN</t>
        </is>
      </c>
      <c r="G291" t="inlineStr">
        <is>
          <t>FILIPSTAD</t>
        </is>
      </c>
      <c r="I291" t="n">
        <v>2.7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61482-2025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46001</v>
      </c>
      <c r="E292" s="1" t="n">
        <v>46241</v>
      </c>
      <c r="F292" t="inlineStr">
        <is>
          <t>VÄRMLANDS LÄN</t>
        </is>
      </c>
      <c r="G292" t="inlineStr">
        <is>
          <t>FILIPSTAD</t>
        </is>
      </c>
      <c r="I292" t="n">
        <v>0.9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61717-2025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46002</v>
      </c>
      <c r="E293" s="1" t="n">
        <v>46241</v>
      </c>
      <c r="F293" t="inlineStr">
        <is>
          <t>VÄRMLANDS LÄN</t>
        </is>
      </c>
      <c r="G293" t="inlineStr">
        <is>
          <t>FILIPSTAD</t>
        </is>
      </c>
      <c r="I293" t="n">
        <v>1.5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43059-2024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45567</v>
      </c>
      <c r="E294" s="1" t="n">
        <v>46241</v>
      </c>
      <c r="F294" t="inlineStr">
        <is>
          <t>VÄRMLANDS LÄN</t>
        </is>
      </c>
      <c r="G294" t="inlineStr">
        <is>
          <t>FILIPSTAD</t>
        </is>
      </c>
      <c r="H294" t="inlineStr">
        <is>
          <t>Kyrkan</t>
        </is>
      </c>
      <c r="I294" t="n">
        <v>4.7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54145-2024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45616</v>
      </c>
      <c r="E295" s="1" t="n">
        <v>46241</v>
      </c>
      <c r="F295" t="inlineStr">
        <is>
          <t>VÄRMLANDS LÄN</t>
        </is>
      </c>
      <c r="G295" t="inlineStr">
        <is>
          <t>FILIPSTAD</t>
        </is>
      </c>
      <c r="H295" t="inlineStr">
        <is>
          <t>Bergvik skog väst AB</t>
        </is>
      </c>
      <c r="I295" t="n">
        <v>3.2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61417-2025</t>
        </is>
      </c>
      <c r="B296" t="inlineStr">
        <is>
          <t>avverkningsanmälan</t>
        </is>
      </c>
      <c r="C296" t="inlineStr">
        <is>
          <t>Avverkning för annat ändamål</t>
        </is>
      </c>
      <c r="D296" s="1" t="n">
        <v>46001</v>
      </c>
      <c r="E296" s="1" t="n">
        <v>46241</v>
      </c>
      <c r="F296" t="inlineStr">
        <is>
          <t>VÄRMLANDS LÄN</t>
        </is>
      </c>
      <c r="G296" t="inlineStr">
        <is>
          <t>FILIPSTAD</t>
        </is>
      </c>
      <c r="H296" t="inlineStr">
        <is>
          <t>Bergvik skog väst AB</t>
        </is>
      </c>
      <c r="I296" t="n">
        <v>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29127-2026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46202</v>
      </c>
      <c r="E297" s="1" t="n">
        <v>46241</v>
      </c>
      <c r="F297" t="inlineStr">
        <is>
          <t>VÄRMLANDS LÄN</t>
        </is>
      </c>
      <c r="G297" t="inlineStr">
        <is>
          <t>FILIPSTAD</t>
        </is>
      </c>
      <c r="H297" t="inlineStr">
        <is>
          <t>Bergvik skog väst AB</t>
        </is>
      </c>
      <c r="I297" t="n">
        <v>2.8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61719-2025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46002</v>
      </c>
      <c r="E298" s="1" t="n">
        <v>46241</v>
      </c>
      <c r="F298" t="inlineStr">
        <is>
          <t>VÄRMLANDS LÄN</t>
        </is>
      </c>
      <c r="G298" t="inlineStr">
        <is>
          <t>FILIPSTAD</t>
        </is>
      </c>
      <c r="I298" t="n">
        <v>0.3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61566-2025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46001</v>
      </c>
      <c r="E299" s="1" t="n">
        <v>46241</v>
      </c>
      <c r="F299" t="inlineStr">
        <is>
          <t>VÄRMLANDS LÄN</t>
        </is>
      </c>
      <c r="G299" t="inlineStr">
        <is>
          <t>FILIPSTAD</t>
        </is>
      </c>
      <c r="I299" t="n">
        <v>7.7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61793-2025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46002</v>
      </c>
      <c r="E300" s="1" t="n">
        <v>46241</v>
      </c>
      <c r="F300" t="inlineStr">
        <is>
          <t>VÄRMLANDS LÄN</t>
        </is>
      </c>
      <c r="G300" t="inlineStr">
        <is>
          <t>FILIPSTAD</t>
        </is>
      </c>
      <c r="I300" t="n">
        <v>5.6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17795-2024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45418</v>
      </c>
      <c r="E301" s="1" t="n">
        <v>46241</v>
      </c>
      <c r="F301" t="inlineStr">
        <is>
          <t>VÄRMLANDS LÄN</t>
        </is>
      </c>
      <c r="G301" t="inlineStr">
        <is>
          <t>FILIPSTAD</t>
        </is>
      </c>
      <c r="I301" t="n">
        <v>3.1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61492-2025</t>
        </is>
      </c>
      <c r="B302" t="inlineStr">
        <is>
          <t>avverkningsanmälan</t>
        </is>
      </c>
      <c r="C302" t="inlineStr">
        <is>
          <t>Avverkning för annat ändamål</t>
        </is>
      </c>
      <c r="D302" s="1" t="n">
        <v>46001</v>
      </c>
      <c r="E302" s="1" t="n">
        <v>46241</v>
      </c>
      <c r="F302" t="inlineStr">
        <is>
          <t>VÄRMLANDS LÄN</t>
        </is>
      </c>
      <c r="G302" t="inlineStr">
        <is>
          <t>FILIPSTAD</t>
        </is>
      </c>
      <c r="H302" t="inlineStr">
        <is>
          <t>Bergvik skog väst AB</t>
        </is>
      </c>
      <c r="I302" t="n">
        <v>1.9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61391-2025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46001</v>
      </c>
      <c r="E303" s="1" t="n">
        <v>46241</v>
      </c>
      <c r="F303" t="inlineStr">
        <is>
          <t>VÄRMLANDS LÄN</t>
        </is>
      </c>
      <c r="G303" t="inlineStr">
        <is>
          <t>FILIPSTAD</t>
        </is>
      </c>
      <c r="I303" t="n">
        <v>0.6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47890-2024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45588</v>
      </c>
      <c r="E304" s="1" t="n">
        <v>46241</v>
      </c>
      <c r="F304" t="inlineStr">
        <is>
          <t>VÄRMLANDS LÄN</t>
        </is>
      </c>
      <c r="G304" t="inlineStr">
        <is>
          <t>FILIPSTAD</t>
        </is>
      </c>
      <c r="I304" t="n">
        <v>0.9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62034-2025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46004</v>
      </c>
      <c r="E305" s="1" t="n">
        <v>46241</v>
      </c>
      <c r="F305" t="inlineStr">
        <is>
          <t>VÄRMLANDS LÄN</t>
        </is>
      </c>
      <c r="G305" t="inlineStr">
        <is>
          <t>FILIPSTAD</t>
        </is>
      </c>
      <c r="I305" t="n">
        <v>2.2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62021-2025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46003</v>
      </c>
      <c r="E306" s="1" t="n">
        <v>46241</v>
      </c>
      <c r="F306" t="inlineStr">
        <is>
          <t>VÄRMLANDS LÄN</t>
        </is>
      </c>
      <c r="G306" t="inlineStr">
        <is>
          <t>FILIPSTAD</t>
        </is>
      </c>
      <c r="I306" t="n">
        <v>1.1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62033-2025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46004</v>
      </c>
      <c r="E307" s="1" t="n">
        <v>46241</v>
      </c>
      <c r="F307" t="inlineStr">
        <is>
          <t>VÄRMLANDS LÄN</t>
        </is>
      </c>
      <c r="G307" t="inlineStr">
        <is>
          <t>FILIPSTAD</t>
        </is>
      </c>
      <c r="I307" t="n">
        <v>1.4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61823-2025</t>
        </is>
      </c>
      <c r="B308" t="inlineStr">
        <is>
          <t>avverkningsanmälan</t>
        </is>
      </c>
      <c r="C308" t="inlineStr">
        <is>
          <t>Avverkning för annat ändamål</t>
        </is>
      </c>
      <c r="D308" s="1" t="n">
        <v>46003</v>
      </c>
      <c r="E308" s="1" t="n">
        <v>46241</v>
      </c>
      <c r="F308" t="inlineStr">
        <is>
          <t>VÄRMLANDS LÄN</t>
        </is>
      </c>
      <c r="G308" t="inlineStr">
        <is>
          <t>FILIPSTAD</t>
        </is>
      </c>
      <c r="H308" t="inlineStr">
        <is>
          <t>Bergvik skog väst AB</t>
        </is>
      </c>
      <c r="I308" t="n">
        <v>0.9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62252-2025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46006</v>
      </c>
      <c r="E309" s="1" t="n">
        <v>46241</v>
      </c>
      <c r="F309" t="inlineStr">
        <is>
          <t>VÄRMLANDS LÄN</t>
        </is>
      </c>
      <c r="G309" t="inlineStr">
        <is>
          <t>FILIPSTAD</t>
        </is>
      </c>
      <c r="H309" t="inlineStr">
        <is>
          <t>Bergvik skog väst AB</t>
        </is>
      </c>
      <c r="I309" t="n">
        <v>2.2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62243-2025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46006</v>
      </c>
      <c r="E310" s="1" t="n">
        <v>46241</v>
      </c>
      <c r="F310" t="inlineStr">
        <is>
          <t>VÄRMLANDS LÄN</t>
        </is>
      </c>
      <c r="G310" t="inlineStr">
        <is>
          <t>FILIPSTAD</t>
        </is>
      </c>
      <c r="H310" t="inlineStr">
        <is>
          <t>Bergvik skog väst AB</t>
        </is>
      </c>
      <c r="I310" t="n">
        <v>4.5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12247-2022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44637</v>
      </c>
      <c r="E311" s="1" t="n">
        <v>46241</v>
      </c>
      <c r="F311" t="inlineStr">
        <is>
          <t>VÄRMLANDS LÄN</t>
        </is>
      </c>
      <c r="G311" t="inlineStr">
        <is>
          <t>FILIPSTAD</t>
        </is>
      </c>
      <c r="I311" t="n">
        <v>1.9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20966-2024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45439</v>
      </c>
      <c r="E312" s="1" t="n">
        <v>46241</v>
      </c>
      <c r="F312" t="inlineStr">
        <is>
          <t>VÄRMLANDS LÄN</t>
        </is>
      </c>
      <c r="G312" t="inlineStr">
        <is>
          <t>FILIPSTAD</t>
        </is>
      </c>
      <c r="H312" t="inlineStr">
        <is>
          <t>Bergvik skog väst AB</t>
        </is>
      </c>
      <c r="I312" t="n">
        <v>0.9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54127-2023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45232</v>
      </c>
      <c r="E313" s="1" t="n">
        <v>46241</v>
      </c>
      <c r="F313" t="inlineStr">
        <is>
          <t>VÄRMLANDS LÄN</t>
        </is>
      </c>
      <c r="G313" t="inlineStr">
        <is>
          <t>FILIPSTAD</t>
        </is>
      </c>
      <c r="I313" t="n">
        <v>15.5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63186-2025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46010</v>
      </c>
      <c r="E314" s="1" t="n">
        <v>46241</v>
      </c>
      <c r="F314" t="inlineStr">
        <is>
          <t>VÄRMLANDS LÄN</t>
        </is>
      </c>
      <c r="G314" t="inlineStr">
        <is>
          <t>FILIPSTAD</t>
        </is>
      </c>
      <c r="H314" t="inlineStr">
        <is>
          <t>Bergvik skog väst AB</t>
        </is>
      </c>
      <c r="I314" t="n">
        <v>2.6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1750-2025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45671</v>
      </c>
      <c r="E315" s="1" t="n">
        <v>46241</v>
      </c>
      <c r="F315" t="inlineStr">
        <is>
          <t>VÄRMLANDS LÄN</t>
        </is>
      </c>
      <c r="G315" t="inlineStr">
        <is>
          <t>FILIPSTAD</t>
        </is>
      </c>
      <c r="I315" t="n">
        <v>0.5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28977-2026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46199</v>
      </c>
      <c r="E316" s="1" t="n">
        <v>46241</v>
      </c>
      <c r="F316" t="inlineStr">
        <is>
          <t>VÄRMLANDS LÄN</t>
        </is>
      </c>
      <c r="G316" t="inlineStr">
        <is>
          <t>FILIPSTAD</t>
        </is>
      </c>
      <c r="H316" t="inlineStr">
        <is>
          <t>Bergvik skog väst AB</t>
        </is>
      </c>
      <c r="I316" t="n">
        <v>5.6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63678-2025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46014</v>
      </c>
      <c r="E317" s="1" t="n">
        <v>46241</v>
      </c>
      <c r="F317" t="inlineStr">
        <is>
          <t>VÄRMLANDS LÄN</t>
        </is>
      </c>
      <c r="G317" t="inlineStr">
        <is>
          <t>FILIPSTAD</t>
        </is>
      </c>
      <c r="I317" t="n">
        <v>9.9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29328-2026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46202</v>
      </c>
      <c r="E318" s="1" t="n">
        <v>46241</v>
      </c>
      <c r="F318" t="inlineStr">
        <is>
          <t>VÄRMLANDS LÄN</t>
        </is>
      </c>
      <c r="G318" t="inlineStr">
        <is>
          <t>FILIPSTAD</t>
        </is>
      </c>
      <c r="H318" t="inlineStr">
        <is>
          <t>Bergvik skog väst AB</t>
        </is>
      </c>
      <c r="I318" t="n">
        <v>3.5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63411-2023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45274</v>
      </c>
      <c r="E319" s="1" t="n">
        <v>46241</v>
      </c>
      <c r="F319" t="inlineStr">
        <is>
          <t>VÄRMLANDS LÄN</t>
        </is>
      </c>
      <c r="G319" t="inlineStr">
        <is>
          <t>FILIPSTAD</t>
        </is>
      </c>
      <c r="I319" t="n">
        <v>2.4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63629-2025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46014</v>
      </c>
      <c r="E320" s="1" t="n">
        <v>46241</v>
      </c>
      <c r="F320" t="inlineStr">
        <is>
          <t>VÄRMLANDS LÄN</t>
        </is>
      </c>
      <c r="G320" t="inlineStr">
        <is>
          <t>FILIPSTAD</t>
        </is>
      </c>
      <c r="H320" t="inlineStr">
        <is>
          <t>Bergvik skog väst AB</t>
        </is>
      </c>
      <c r="I320" t="n">
        <v>14.1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17763-2025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45758</v>
      </c>
      <c r="E321" s="1" t="n">
        <v>46241</v>
      </c>
      <c r="F321" t="inlineStr">
        <is>
          <t>VÄRMLANDS LÄN</t>
        </is>
      </c>
      <c r="G321" t="inlineStr">
        <is>
          <t>FILIPSTAD</t>
        </is>
      </c>
      <c r="H321" t="inlineStr">
        <is>
          <t>Bergvik skog väst AB</t>
        </is>
      </c>
      <c r="I321" t="n">
        <v>13.1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51639-2025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45951</v>
      </c>
      <c r="E322" s="1" t="n">
        <v>46241</v>
      </c>
      <c r="F322" t="inlineStr">
        <is>
          <t>VÄRMLANDS LÄN</t>
        </is>
      </c>
      <c r="G322" t="inlineStr">
        <is>
          <t>FILIPSTAD</t>
        </is>
      </c>
      <c r="H322" t="inlineStr">
        <is>
          <t>Bergvik skog väst AB</t>
        </is>
      </c>
      <c r="I322" t="n">
        <v>5.3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29474-2024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45484</v>
      </c>
      <c r="E323" s="1" t="n">
        <v>46241</v>
      </c>
      <c r="F323" t="inlineStr">
        <is>
          <t>VÄRMLANDS LÄN</t>
        </is>
      </c>
      <c r="G323" t="inlineStr">
        <is>
          <t>FILIPSTAD</t>
        </is>
      </c>
      <c r="I323" t="n">
        <v>1.1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63482-2021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44508</v>
      </c>
      <c r="E324" s="1" t="n">
        <v>46241</v>
      </c>
      <c r="F324" t="inlineStr">
        <is>
          <t>VÄRMLANDS LÄN</t>
        </is>
      </c>
      <c r="G324" t="inlineStr">
        <is>
          <t>FILIPSTAD</t>
        </is>
      </c>
      <c r="I324" t="n">
        <v>2.1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29010-2026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46199</v>
      </c>
      <c r="E325" s="1" t="n">
        <v>46241</v>
      </c>
      <c r="F325" t="inlineStr">
        <is>
          <t>VÄRMLANDS LÄN</t>
        </is>
      </c>
      <c r="G325" t="inlineStr">
        <is>
          <t>FILIPSTAD</t>
        </is>
      </c>
      <c r="H325" t="inlineStr">
        <is>
          <t>Bergvik skog väst AB</t>
        </is>
      </c>
      <c r="I325" t="n">
        <v>4.8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29591-2026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46204</v>
      </c>
      <c r="E326" s="1" t="n">
        <v>46241</v>
      </c>
      <c r="F326" t="inlineStr">
        <is>
          <t>VÄRMLANDS LÄN</t>
        </is>
      </c>
      <c r="G326" t="inlineStr">
        <is>
          <t>FILIPSTAD</t>
        </is>
      </c>
      <c r="H326" t="inlineStr">
        <is>
          <t>Bergvik skog väst AB</t>
        </is>
      </c>
      <c r="I326" t="n">
        <v>5.6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869-2025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45665</v>
      </c>
      <c r="E327" s="1" t="n">
        <v>46241</v>
      </c>
      <c r="F327" t="inlineStr">
        <is>
          <t>VÄRMLANDS LÄN</t>
        </is>
      </c>
      <c r="G327" t="inlineStr">
        <is>
          <t>FILIPSTAD</t>
        </is>
      </c>
      <c r="I327" t="n">
        <v>11.7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58611-2025</t>
        </is>
      </c>
      <c r="B328" t="inlineStr">
        <is>
          <t>avverkningsanmälan</t>
        </is>
      </c>
      <c r="C328" t="inlineStr">
        <is>
          <t>Avverkning för annat ändamål</t>
        </is>
      </c>
      <c r="D328" s="1" t="n">
        <v>45986</v>
      </c>
      <c r="E328" s="1" t="n">
        <v>46241</v>
      </c>
      <c r="F328" t="inlineStr">
        <is>
          <t>VÄRMLANDS LÄN</t>
        </is>
      </c>
      <c r="G328" t="inlineStr">
        <is>
          <t>FILIPSTAD</t>
        </is>
      </c>
      <c r="I328" t="n">
        <v>3.7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70405-2021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44536</v>
      </c>
      <c r="E329" s="1" t="n">
        <v>46241</v>
      </c>
      <c r="F329" t="inlineStr">
        <is>
          <t>VÄRMLANDS LÄN</t>
        </is>
      </c>
      <c r="G329" t="inlineStr">
        <is>
          <t>FILIPSTAD</t>
        </is>
      </c>
      <c r="H329" t="inlineStr">
        <is>
          <t>Bergvik skog väst AB</t>
        </is>
      </c>
      <c r="I329" t="n">
        <v>1.4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5754-2022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44596</v>
      </c>
      <c r="E330" s="1" t="n">
        <v>46241</v>
      </c>
      <c r="F330" t="inlineStr">
        <is>
          <t>VÄRMLANDS LÄN</t>
        </is>
      </c>
      <c r="G330" t="inlineStr">
        <is>
          <t>FILIPSTAD</t>
        </is>
      </c>
      <c r="I330" t="n">
        <v>1.8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28989-2026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46199</v>
      </c>
      <c r="E331" s="1" t="n">
        <v>46241</v>
      </c>
      <c r="F331" t="inlineStr">
        <is>
          <t>VÄRMLANDS LÄN</t>
        </is>
      </c>
      <c r="G331" t="inlineStr">
        <is>
          <t>FILIPSTAD</t>
        </is>
      </c>
      <c r="H331" t="inlineStr">
        <is>
          <t>Bergvik skog väst AB</t>
        </is>
      </c>
      <c r="I331" t="n">
        <v>7.2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23620-2023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45077</v>
      </c>
      <c r="E332" s="1" t="n">
        <v>46241</v>
      </c>
      <c r="F332" t="inlineStr">
        <is>
          <t>VÄRMLANDS LÄN</t>
        </is>
      </c>
      <c r="G332" t="inlineStr">
        <is>
          <t>FILIPSTAD</t>
        </is>
      </c>
      <c r="I332" t="n">
        <v>7.5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29385-2026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46203</v>
      </c>
      <c r="E333" s="1" t="n">
        <v>46241</v>
      </c>
      <c r="F333" t="inlineStr">
        <is>
          <t>VÄRMLANDS LÄN</t>
        </is>
      </c>
      <c r="G333" t="inlineStr">
        <is>
          <t>FILIPSTAD</t>
        </is>
      </c>
      <c r="H333" t="inlineStr">
        <is>
          <t>Bergvik skog väst AB</t>
        </is>
      </c>
      <c r="I333" t="n">
        <v>5.5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29417-2026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46203</v>
      </c>
      <c r="E334" s="1" t="n">
        <v>46241</v>
      </c>
      <c r="F334" t="inlineStr">
        <is>
          <t>VÄRMLANDS LÄN</t>
        </is>
      </c>
      <c r="G334" t="inlineStr">
        <is>
          <t>FILIPSTAD</t>
        </is>
      </c>
      <c r="H334" t="inlineStr">
        <is>
          <t>Bergvik skog väst AB</t>
        </is>
      </c>
      <c r="I334" t="n">
        <v>7.4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54735-2024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45618</v>
      </c>
      <c r="E335" s="1" t="n">
        <v>46241</v>
      </c>
      <c r="F335" t="inlineStr">
        <is>
          <t>VÄRMLANDS LÄN</t>
        </is>
      </c>
      <c r="G335" t="inlineStr">
        <is>
          <t>FILIPSTAD</t>
        </is>
      </c>
      <c r="H335" t="inlineStr">
        <is>
          <t>Bergvik skog väst AB</t>
        </is>
      </c>
      <c r="I335" t="n">
        <v>2.6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3071-2026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46040</v>
      </c>
      <c r="E336" s="1" t="n">
        <v>46241</v>
      </c>
      <c r="F336" t="inlineStr">
        <is>
          <t>VÄRMLANDS LÄN</t>
        </is>
      </c>
      <c r="G336" t="inlineStr">
        <is>
          <t>FILIPSTAD</t>
        </is>
      </c>
      <c r="I336" t="n">
        <v>3.8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40244-2023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45169</v>
      </c>
      <c r="E337" s="1" t="n">
        <v>46241</v>
      </c>
      <c r="F337" t="inlineStr">
        <is>
          <t>VÄRMLANDS LÄN</t>
        </is>
      </c>
      <c r="G337" t="inlineStr">
        <is>
          <t>FILIPSTAD</t>
        </is>
      </c>
      <c r="H337" t="inlineStr">
        <is>
          <t>Bergvik skog väst AB</t>
        </is>
      </c>
      <c r="I337" t="n">
        <v>1.2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29389-2026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46203</v>
      </c>
      <c r="E338" s="1" t="n">
        <v>46241</v>
      </c>
      <c r="F338" t="inlineStr">
        <is>
          <t>VÄRMLANDS LÄN</t>
        </is>
      </c>
      <c r="G338" t="inlineStr">
        <is>
          <t>FILIPSTAD</t>
        </is>
      </c>
      <c r="H338" t="inlineStr">
        <is>
          <t>Bergvik skog väst AB</t>
        </is>
      </c>
      <c r="I338" t="n">
        <v>8.199999999999999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29376-2026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46203</v>
      </c>
      <c r="E339" s="1" t="n">
        <v>46241</v>
      </c>
      <c r="F339" t="inlineStr">
        <is>
          <t>VÄRMLANDS LÄN</t>
        </is>
      </c>
      <c r="G339" t="inlineStr">
        <is>
          <t>FILIPSTAD</t>
        </is>
      </c>
      <c r="H339" t="inlineStr">
        <is>
          <t>Bergvik skog väst AB</t>
        </is>
      </c>
      <c r="I339" t="n">
        <v>14.6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23602-2026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46163</v>
      </c>
      <c r="E340" s="1" t="n">
        <v>46241</v>
      </c>
      <c r="F340" t="inlineStr">
        <is>
          <t>VÄRMLANDS LÄN</t>
        </is>
      </c>
      <c r="G340" t="inlineStr">
        <is>
          <t>FILIPSTAD</t>
        </is>
      </c>
      <c r="H340" t="inlineStr">
        <is>
          <t>Bergvik skog väst AB</t>
        </is>
      </c>
      <c r="I340" t="n">
        <v>8.699999999999999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23576-2026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46163</v>
      </c>
      <c r="E341" s="1" t="n">
        <v>46241</v>
      </c>
      <c r="F341" t="inlineStr">
        <is>
          <t>VÄRMLANDS LÄN</t>
        </is>
      </c>
      <c r="G341" t="inlineStr">
        <is>
          <t>FILIPSTAD</t>
        </is>
      </c>
      <c r="H341" t="inlineStr">
        <is>
          <t>Bergvik skog väst AB</t>
        </is>
      </c>
      <c r="I341" t="n">
        <v>17.9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23529-2026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46163</v>
      </c>
      <c r="E342" s="1" t="n">
        <v>46241</v>
      </c>
      <c r="F342" t="inlineStr">
        <is>
          <t>VÄRMLANDS LÄN</t>
        </is>
      </c>
      <c r="G342" t="inlineStr">
        <is>
          <t>FILIPSTAD</t>
        </is>
      </c>
      <c r="H342" t="inlineStr">
        <is>
          <t>Bergvik skog väst AB</t>
        </is>
      </c>
      <c r="I342" t="n">
        <v>20.3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30074-2026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46206</v>
      </c>
      <c r="E343" s="1" t="n">
        <v>46241</v>
      </c>
      <c r="F343" t="inlineStr">
        <is>
          <t>VÄRMLANDS LÄN</t>
        </is>
      </c>
      <c r="G343" t="inlineStr">
        <is>
          <t>FILIPSTAD</t>
        </is>
      </c>
      <c r="H343" t="inlineStr">
        <is>
          <t>Bergvik skog väst AB</t>
        </is>
      </c>
      <c r="I343" t="n">
        <v>12.8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23440-2026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46163</v>
      </c>
      <c r="E344" s="1" t="n">
        <v>46241</v>
      </c>
      <c r="F344" t="inlineStr">
        <is>
          <t>VÄRMLANDS LÄN</t>
        </is>
      </c>
      <c r="G344" t="inlineStr">
        <is>
          <t>FILIPSTAD</t>
        </is>
      </c>
      <c r="H344" t="inlineStr">
        <is>
          <t>Bergvik skog väst AB</t>
        </is>
      </c>
      <c r="I344" t="n">
        <v>3.9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23555-2026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46163</v>
      </c>
      <c r="E345" s="1" t="n">
        <v>46241</v>
      </c>
      <c r="F345" t="inlineStr">
        <is>
          <t>VÄRMLANDS LÄN</t>
        </is>
      </c>
      <c r="G345" t="inlineStr">
        <is>
          <t>FILIPSTAD</t>
        </is>
      </c>
      <c r="H345" t="inlineStr">
        <is>
          <t>Bergvik skog väst AB</t>
        </is>
      </c>
      <c r="I345" t="n">
        <v>11.7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23500-2026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46163</v>
      </c>
      <c r="E346" s="1" t="n">
        <v>46241</v>
      </c>
      <c r="F346" t="inlineStr">
        <is>
          <t>VÄRMLANDS LÄN</t>
        </is>
      </c>
      <c r="G346" t="inlineStr">
        <is>
          <t>FILIPSTAD</t>
        </is>
      </c>
      <c r="H346" t="inlineStr">
        <is>
          <t>Bergvik skog väst AB</t>
        </is>
      </c>
      <c r="I346" t="n">
        <v>5.4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29863-2026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46205</v>
      </c>
      <c r="E347" s="1" t="n">
        <v>46241</v>
      </c>
      <c r="F347" t="inlineStr">
        <is>
          <t>VÄRMLANDS LÄN</t>
        </is>
      </c>
      <c r="G347" t="inlineStr">
        <is>
          <t>FILIPSTAD</t>
        </is>
      </c>
      <c r="H347" t="inlineStr">
        <is>
          <t>Bergvik skog väst AB</t>
        </is>
      </c>
      <c r="I347" t="n">
        <v>26.6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29814-2026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46205</v>
      </c>
      <c r="E348" s="1" t="n">
        <v>46241</v>
      </c>
      <c r="F348" t="inlineStr">
        <is>
          <t>VÄRMLANDS LÄN</t>
        </is>
      </c>
      <c r="G348" t="inlineStr">
        <is>
          <t>FILIPSTAD</t>
        </is>
      </c>
      <c r="I348" t="n">
        <v>1.2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15-2025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45658</v>
      </c>
      <c r="E349" s="1" t="n">
        <v>46241</v>
      </c>
      <c r="F349" t="inlineStr">
        <is>
          <t>VÄRMLANDS LÄN</t>
        </is>
      </c>
      <c r="G349" t="inlineStr">
        <is>
          <t>FILIPSTAD</t>
        </is>
      </c>
      <c r="I349" t="n">
        <v>2.5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29821-2026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46205</v>
      </c>
      <c r="E350" s="1" t="n">
        <v>46241</v>
      </c>
      <c r="F350" t="inlineStr">
        <is>
          <t>VÄRMLANDS LÄN</t>
        </is>
      </c>
      <c r="G350" t="inlineStr">
        <is>
          <t>FILIPSTAD</t>
        </is>
      </c>
      <c r="H350" t="inlineStr">
        <is>
          <t>Bergvik skog väst AB</t>
        </is>
      </c>
      <c r="I350" t="n">
        <v>1.9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23514-2026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46163</v>
      </c>
      <c r="E351" s="1" t="n">
        <v>46241</v>
      </c>
      <c r="F351" t="inlineStr">
        <is>
          <t>VÄRMLANDS LÄN</t>
        </is>
      </c>
      <c r="G351" t="inlineStr">
        <is>
          <t>FILIPSTAD</t>
        </is>
      </c>
      <c r="H351" t="inlineStr">
        <is>
          <t>Bergvik skog väst AB</t>
        </is>
      </c>
      <c r="I351" t="n">
        <v>1.9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21608-2023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45063</v>
      </c>
      <c r="E352" s="1" t="n">
        <v>46241</v>
      </c>
      <c r="F352" t="inlineStr">
        <is>
          <t>VÄRMLANDS LÄN</t>
        </is>
      </c>
      <c r="G352" t="inlineStr">
        <is>
          <t>FILIPSTAD</t>
        </is>
      </c>
      <c r="I352" t="n">
        <v>1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59436-2024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45638</v>
      </c>
      <c r="E353" s="1" t="n">
        <v>46241</v>
      </c>
      <c r="F353" t="inlineStr">
        <is>
          <t>VÄRMLANDS LÄN</t>
        </is>
      </c>
      <c r="G353" t="inlineStr">
        <is>
          <t>FILIPSTAD</t>
        </is>
      </c>
      <c r="H353" t="inlineStr">
        <is>
          <t>Kyrkan</t>
        </is>
      </c>
      <c r="I353" t="n">
        <v>3.7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23943-2026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46167</v>
      </c>
      <c r="E354" s="1" t="n">
        <v>46241</v>
      </c>
      <c r="F354" t="inlineStr">
        <is>
          <t>VÄRMLANDS LÄN</t>
        </is>
      </c>
      <c r="G354" t="inlineStr">
        <is>
          <t>FILIPSTAD</t>
        </is>
      </c>
      <c r="H354" t="inlineStr">
        <is>
          <t>Bergvik skog väst AB</t>
        </is>
      </c>
      <c r="I354" t="n">
        <v>3.6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6593-2026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46056</v>
      </c>
      <c r="E355" s="1" t="n">
        <v>46241</v>
      </c>
      <c r="F355" t="inlineStr">
        <is>
          <t>VÄRMLANDS LÄN</t>
        </is>
      </c>
      <c r="G355" t="inlineStr">
        <is>
          <t>FILIPSTAD</t>
        </is>
      </c>
      <c r="I355" t="n">
        <v>2.1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6600-2026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46056</v>
      </c>
      <c r="E356" s="1" t="n">
        <v>46241</v>
      </c>
      <c r="F356" t="inlineStr">
        <is>
          <t>VÄRMLANDS LÄN</t>
        </is>
      </c>
      <c r="G356" t="inlineStr">
        <is>
          <t>FILIPSTAD</t>
        </is>
      </c>
      <c r="I356" t="n">
        <v>0.4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49935-2025</t>
        </is>
      </c>
      <c r="B357" t="inlineStr">
        <is>
          <t>avverkningsanmälan</t>
        </is>
      </c>
      <c r="C357" t="inlineStr">
        <is>
          <t>Avverkning för att bevara och utveckla /försöksver</t>
        </is>
      </c>
      <c r="D357" s="1" t="n">
        <v>45940</v>
      </c>
      <c r="E357" s="1" t="n">
        <v>46241</v>
      </c>
      <c r="F357" t="inlineStr">
        <is>
          <t>VÄRMLANDS LÄN</t>
        </is>
      </c>
      <c r="G357" t="inlineStr">
        <is>
          <t>FILIPSTAD</t>
        </is>
      </c>
      <c r="H357" t="inlineStr">
        <is>
          <t>Bergvik skog väst AB</t>
        </is>
      </c>
      <c r="I357" t="n">
        <v>1.8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24027-2026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46167</v>
      </c>
      <c r="E358" s="1" t="n">
        <v>46241</v>
      </c>
      <c r="F358" t="inlineStr">
        <is>
          <t>VÄRMLANDS LÄN</t>
        </is>
      </c>
      <c r="G358" t="inlineStr">
        <is>
          <t>FILIPSTAD</t>
        </is>
      </c>
      <c r="H358" t="inlineStr">
        <is>
          <t>Bergvik skog väst AB</t>
        </is>
      </c>
      <c r="I358" t="n">
        <v>2.7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23934-2026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46167</v>
      </c>
      <c r="E359" s="1" t="n">
        <v>46241</v>
      </c>
      <c r="F359" t="inlineStr">
        <is>
          <t>VÄRMLANDS LÄN</t>
        </is>
      </c>
      <c r="G359" t="inlineStr">
        <is>
          <t>FILIPSTAD</t>
        </is>
      </c>
      <c r="H359" t="inlineStr">
        <is>
          <t>Bergvik skog väst AB</t>
        </is>
      </c>
      <c r="I359" t="n">
        <v>1.2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54836-2023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45229</v>
      </c>
      <c r="E360" s="1" t="n">
        <v>46241</v>
      </c>
      <c r="F360" t="inlineStr">
        <is>
          <t>VÄRMLANDS LÄN</t>
        </is>
      </c>
      <c r="G360" t="inlineStr">
        <is>
          <t>FILIPSTAD</t>
        </is>
      </c>
      <c r="I360" t="n">
        <v>1.2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15459-2026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46106</v>
      </c>
      <c r="E361" s="1" t="n">
        <v>46241</v>
      </c>
      <c r="F361" t="inlineStr">
        <is>
          <t>VÄRMLANDS LÄN</t>
        </is>
      </c>
      <c r="G361" t="inlineStr">
        <is>
          <t>FILIPSTAD</t>
        </is>
      </c>
      <c r="H361" t="inlineStr">
        <is>
          <t>Bergvik skog väst AB</t>
        </is>
      </c>
      <c r="I361" t="n">
        <v>11.8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23959-2026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46167</v>
      </c>
      <c r="E362" s="1" t="n">
        <v>46241</v>
      </c>
      <c r="F362" t="inlineStr">
        <is>
          <t>VÄRMLANDS LÄN</t>
        </is>
      </c>
      <c r="G362" t="inlineStr">
        <is>
          <t>FILIPSTAD</t>
        </is>
      </c>
      <c r="H362" t="inlineStr">
        <is>
          <t>Bergvik skog väst AB</t>
        </is>
      </c>
      <c r="I362" t="n">
        <v>3.1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7430-2026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46059</v>
      </c>
      <c r="E363" s="1" t="n">
        <v>46241</v>
      </c>
      <c r="F363" t="inlineStr">
        <is>
          <t>VÄRMLANDS LÄN</t>
        </is>
      </c>
      <c r="G363" t="inlineStr">
        <is>
          <t>FILIPSTAD</t>
        </is>
      </c>
      <c r="H363" t="inlineStr">
        <is>
          <t>Bergvik skog väst AB</t>
        </is>
      </c>
      <c r="I363" t="n">
        <v>2.8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23952-2026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46167</v>
      </c>
      <c r="E364" s="1" t="n">
        <v>46241</v>
      </c>
      <c r="F364" t="inlineStr">
        <is>
          <t>VÄRMLANDS LÄN</t>
        </is>
      </c>
      <c r="G364" t="inlineStr">
        <is>
          <t>FILIPSTAD</t>
        </is>
      </c>
      <c r="H364" t="inlineStr">
        <is>
          <t>Bergvik skog väst AB</t>
        </is>
      </c>
      <c r="I364" t="n">
        <v>2.3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30540-2026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46210</v>
      </c>
      <c r="E365" s="1" t="n">
        <v>46241</v>
      </c>
      <c r="F365" t="inlineStr">
        <is>
          <t>VÄRMLANDS LÄN</t>
        </is>
      </c>
      <c r="G365" t="inlineStr">
        <is>
          <t>FILIPSTAD</t>
        </is>
      </c>
      <c r="H365" t="inlineStr">
        <is>
          <t>Bergvik skog väst AB</t>
        </is>
      </c>
      <c r="I365" t="n">
        <v>4.9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23922-2026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46167</v>
      </c>
      <c r="E366" s="1" t="n">
        <v>46241</v>
      </c>
      <c r="F366" t="inlineStr">
        <is>
          <t>VÄRMLANDS LÄN</t>
        </is>
      </c>
      <c r="G366" t="inlineStr">
        <is>
          <t>FILIPSTAD</t>
        </is>
      </c>
      <c r="H366" t="inlineStr">
        <is>
          <t>Bergvik skog väst AB</t>
        </is>
      </c>
      <c r="I366" t="n">
        <v>1.9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23931-2026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46167</v>
      </c>
      <c r="E367" s="1" t="n">
        <v>46241</v>
      </c>
      <c r="F367" t="inlineStr">
        <is>
          <t>VÄRMLANDS LÄN</t>
        </is>
      </c>
      <c r="G367" t="inlineStr">
        <is>
          <t>FILIPSTAD</t>
        </is>
      </c>
      <c r="H367" t="inlineStr">
        <is>
          <t>Bergvik skog väst AB</t>
        </is>
      </c>
      <c r="I367" t="n">
        <v>9.1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24005-2026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46167</v>
      </c>
      <c r="E368" s="1" t="n">
        <v>46241</v>
      </c>
      <c r="F368" t="inlineStr">
        <is>
          <t>VÄRMLANDS LÄN</t>
        </is>
      </c>
      <c r="G368" t="inlineStr">
        <is>
          <t>FILIPSTAD</t>
        </is>
      </c>
      <c r="H368" t="inlineStr">
        <is>
          <t>Bergvik skog väst AB</t>
        </is>
      </c>
      <c r="I368" t="n">
        <v>3.7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24026-2026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46167</v>
      </c>
      <c r="E369" s="1" t="n">
        <v>46241</v>
      </c>
      <c r="F369" t="inlineStr">
        <is>
          <t>VÄRMLANDS LÄN</t>
        </is>
      </c>
      <c r="G369" t="inlineStr">
        <is>
          <t>FILIPSTAD</t>
        </is>
      </c>
      <c r="H369" t="inlineStr">
        <is>
          <t>Bergvik skog väst AB</t>
        </is>
      </c>
      <c r="I369" t="n">
        <v>8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8139-2026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46064</v>
      </c>
      <c r="E370" s="1" t="n">
        <v>46241</v>
      </c>
      <c r="F370" t="inlineStr">
        <is>
          <t>VÄRMLANDS LÄN</t>
        </is>
      </c>
      <c r="G370" t="inlineStr">
        <is>
          <t>FILIPSTAD</t>
        </is>
      </c>
      <c r="I370" t="n">
        <v>1.6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23886-2026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46167</v>
      </c>
      <c r="E371" s="1" t="n">
        <v>46241</v>
      </c>
      <c r="F371" t="inlineStr">
        <is>
          <t>VÄRMLANDS LÄN</t>
        </is>
      </c>
      <c r="G371" t="inlineStr">
        <is>
          <t>FILIPSTAD</t>
        </is>
      </c>
      <c r="H371" t="inlineStr">
        <is>
          <t>Bergvik skog väst AB</t>
        </is>
      </c>
      <c r="I371" t="n">
        <v>4.5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24022-2026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46167</v>
      </c>
      <c r="E372" s="1" t="n">
        <v>46241</v>
      </c>
      <c r="F372" t="inlineStr">
        <is>
          <t>VÄRMLANDS LÄN</t>
        </is>
      </c>
      <c r="G372" t="inlineStr">
        <is>
          <t>FILIPSTAD</t>
        </is>
      </c>
      <c r="H372" t="inlineStr">
        <is>
          <t>Bergvik skog väst AB</t>
        </is>
      </c>
      <c r="I372" t="n">
        <v>3.3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24008-2026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46167</v>
      </c>
      <c r="E373" s="1" t="n">
        <v>46241</v>
      </c>
      <c r="F373" t="inlineStr">
        <is>
          <t>VÄRMLANDS LÄN</t>
        </is>
      </c>
      <c r="G373" t="inlineStr">
        <is>
          <t>FILIPSTAD</t>
        </is>
      </c>
      <c r="H373" t="inlineStr">
        <is>
          <t>Bergvik skog väst AB</t>
        </is>
      </c>
      <c r="I373" t="n">
        <v>1.6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23970-2026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46167</v>
      </c>
      <c r="E374" s="1" t="n">
        <v>46241</v>
      </c>
      <c r="F374" t="inlineStr">
        <is>
          <t>VÄRMLANDS LÄN</t>
        </is>
      </c>
      <c r="G374" t="inlineStr">
        <is>
          <t>FILIPSTAD</t>
        </is>
      </c>
      <c r="H374" t="inlineStr">
        <is>
          <t>Bergvik skog väst AB</t>
        </is>
      </c>
      <c r="I374" t="n">
        <v>9.300000000000001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30799-2026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46212</v>
      </c>
      <c r="E375" s="1" t="n">
        <v>46241</v>
      </c>
      <c r="F375" t="inlineStr">
        <is>
          <t>VÄRMLANDS LÄN</t>
        </is>
      </c>
      <c r="G375" t="inlineStr">
        <is>
          <t>FILIPSTAD</t>
        </is>
      </c>
      <c r="H375" t="inlineStr">
        <is>
          <t>Bergvik skog väst AB</t>
        </is>
      </c>
      <c r="I375" t="n">
        <v>10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29825-2023</t>
        </is>
      </c>
      <c r="B376" t="inlineStr">
        <is>
          <t>avverkningsanmälan</t>
        </is>
      </c>
      <c r="C376" t="inlineStr">
        <is>
          <t>Avverkning för annat ändamål</t>
        </is>
      </c>
      <c r="D376" s="1" t="n">
        <v>45107</v>
      </c>
      <c r="E376" s="1" t="n">
        <v>46241</v>
      </c>
      <c r="F376" t="inlineStr">
        <is>
          <t>VÄRMLANDS LÄN</t>
        </is>
      </c>
      <c r="G376" t="inlineStr">
        <is>
          <t>FILIPSTAD</t>
        </is>
      </c>
      <c r="I376" t="n">
        <v>0.3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24288-2026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46169</v>
      </c>
      <c r="E377" s="1" t="n">
        <v>46241</v>
      </c>
      <c r="F377" t="inlineStr">
        <is>
          <t>VÄRMLANDS LÄN</t>
        </is>
      </c>
      <c r="G377" t="inlineStr">
        <is>
          <t>FILIPSTAD</t>
        </is>
      </c>
      <c r="H377" t="inlineStr">
        <is>
          <t>Bergvik skog väst AB</t>
        </is>
      </c>
      <c r="I377" t="n">
        <v>5.7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24260-2026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46169</v>
      </c>
      <c r="E378" s="1" t="n">
        <v>46241</v>
      </c>
      <c r="F378" t="inlineStr">
        <is>
          <t>VÄRMLANDS LÄN</t>
        </is>
      </c>
      <c r="G378" t="inlineStr">
        <is>
          <t>FILIPSTAD</t>
        </is>
      </c>
      <c r="H378" t="inlineStr">
        <is>
          <t>Bergvik skog väst AB</t>
        </is>
      </c>
      <c r="I378" t="n">
        <v>11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24291-2026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46169</v>
      </c>
      <c r="E379" s="1" t="n">
        <v>46241</v>
      </c>
      <c r="F379" t="inlineStr">
        <is>
          <t>VÄRMLANDS LÄN</t>
        </is>
      </c>
      <c r="G379" t="inlineStr">
        <is>
          <t>FILIPSTAD</t>
        </is>
      </c>
      <c r="H379" t="inlineStr">
        <is>
          <t>Bergvik skog väst AB</t>
        </is>
      </c>
      <c r="I379" t="n">
        <v>5.6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24514-2026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46170</v>
      </c>
      <c r="E380" s="1" t="n">
        <v>46241</v>
      </c>
      <c r="F380" t="inlineStr">
        <is>
          <t>VÄRMLANDS LÄN</t>
        </is>
      </c>
      <c r="G380" t="inlineStr">
        <is>
          <t>FILIPSTAD</t>
        </is>
      </c>
      <c r="H380" t="inlineStr">
        <is>
          <t>Bergvik skog väst AB</t>
        </is>
      </c>
      <c r="I380" t="n">
        <v>14.3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24519-2026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46170</v>
      </c>
      <c r="E381" s="1" t="n">
        <v>46241</v>
      </c>
      <c r="F381" t="inlineStr">
        <is>
          <t>VÄRMLANDS LÄN</t>
        </is>
      </c>
      <c r="G381" t="inlineStr">
        <is>
          <t>FILIPSTAD</t>
        </is>
      </c>
      <c r="H381" t="inlineStr">
        <is>
          <t>Bergvik skog väst AB</t>
        </is>
      </c>
      <c r="I381" t="n">
        <v>5.4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24520-2026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46170</v>
      </c>
      <c r="E382" s="1" t="n">
        <v>46241</v>
      </c>
      <c r="F382" t="inlineStr">
        <is>
          <t>VÄRMLANDS LÄN</t>
        </is>
      </c>
      <c r="G382" t="inlineStr">
        <is>
          <t>FILIPSTAD</t>
        </is>
      </c>
      <c r="H382" t="inlineStr">
        <is>
          <t>Bergvik skog väst AB</t>
        </is>
      </c>
      <c r="I382" t="n">
        <v>4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24529-2026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46170</v>
      </c>
      <c r="E383" s="1" t="n">
        <v>46241</v>
      </c>
      <c r="F383" t="inlineStr">
        <is>
          <t>VÄRMLANDS LÄN</t>
        </is>
      </c>
      <c r="G383" t="inlineStr">
        <is>
          <t>FILIPSTAD</t>
        </is>
      </c>
      <c r="H383" t="inlineStr">
        <is>
          <t>Bergvik skog väst AB</t>
        </is>
      </c>
      <c r="I383" t="n">
        <v>4.3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24537-2026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46170</v>
      </c>
      <c r="E384" s="1" t="n">
        <v>46241</v>
      </c>
      <c r="F384" t="inlineStr">
        <is>
          <t>VÄRMLANDS LÄN</t>
        </is>
      </c>
      <c r="G384" t="inlineStr">
        <is>
          <t>FILIPSTAD</t>
        </is>
      </c>
      <c r="H384" t="inlineStr">
        <is>
          <t>Bergvik skog väst AB</t>
        </is>
      </c>
      <c r="I384" t="n">
        <v>2.7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4462-2025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45686</v>
      </c>
      <c r="E385" s="1" t="n">
        <v>46241</v>
      </c>
      <c r="F385" t="inlineStr">
        <is>
          <t>VÄRMLANDS LÄN</t>
        </is>
      </c>
      <c r="G385" t="inlineStr">
        <is>
          <t>FILIPSTAD</t>
        </is>
      </c>
      <c r="H385" t="inlineStr">
        <is>
          <t>Bergvik skog väst AB</t>
        </is>
      </c>
      <c r="I385" t="n">
        <v>0.6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10279-2026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46076</v>
      </c>
      <c r="E386" s="1" t="n">
        <v>46241</v>
      </c>
      <c r="F386" t="inlineStr">
        <is>
          <t>VÄRMLANDS LÄN</t>
        </is>
      </c>
      <c r="G386" t="inlineStr">
        <is>
          <t>FILIPSTAD</t>
        </is>
      </c>
      <c r="I386" t="n">
        <v>1.6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27789-2022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44743</v>
      </c>
      <c r="E387" s="1" t="n">
        <v>46241</v>
      </c>
      <c r="F387" t="inlineStr">
        <is>
          <t>VÄRMLANDS LÄN</t>
        </is>
      </c>
      <c r="G387" t="inlineStr">
        <is>
          <t>FILIPSTAD</t>
        </is>
      </c>
      <c r="H387" t="inlineStr">
        <is>
          <t>Bergvik skog väst AB</t>
        </is>
      </c>
      <c r="I387" t="n">
        <v>2.4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43484-2023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45184</v>
      </c>
      <c r="E388" s="1" t="n">
        <v>46241</v>
      </c>
      <c r="F388" t="inlineStr">
        <is>
          <t>VÄRMLANDS LÄN</t>
        </is>
      </c>
      <c r="G388" t="inlineStr">
        <is>
          <t>FILIPSTAD</t>
        </is>
      </c>
      <c r="H388" t="inlineStr">
        <is>
          <t>Bergvik skog väst AB</t>
        </is>
      </c>
      <c r="I388" t="n">
        <v>3.4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6674-2025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45700</v>
      </c>
      <c r="E389" s="1" t="n">
        <v>46241</v>
      </c>
      <c r="F389" t="inlineStr">
        <is>
          <t>VÄRMLANDS LÄN</t>
        </is>
      </c>
      <c r="G389" t="inlineStr">
        <is>
          <t>FILIPSTAD</t>
        </is>
      </c>
      <c r="I389" t="n">
        <v>5.7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24452-2026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46170</v>
      </c>
      <c r="E390" s="1" t="n">
        <v>46241</v>
      </c>
      <c r="F390" t="inlineStr">
        <is>
          <t>VÄRMLANDS LÄN</t>
        </is>
      </c>
      <c r="G390" t="inlineStr">
        <is>
          <t>FILIPSTAD</t>
        </is>
      </c>
      <c r="H390" t="inlineStr">
        <is>
          <t>Bergvik skog väst AB</t>
        </is>
      </c>
      <c r="I390" t="n">
        <v>1.2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24453-2026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46170</v>
      </c>
      <c r="E391" s="1" t="n">
        <v>46241</v>
      </c>
      <c r="F391" t="inlineStr">
        <is>
          <t>VÄRMLANDS LÄN</t>
        </is>
      </c>
      <c r="G391" t="inlineStr">
        <is>
          <t>FILIPSTAD</t>
        </is>
      </c>
      <c r="H391" t="inlineStr">
        <is>
          <t>Bergvik skog väst AB</t>
        </is>
      </c>
      <c r="I391" t="n">
        <v>1.5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28161-2023</t>
        </is>
      </c>
      <c r="B392" t="inlineStr">
        <is>
          <t>avverkningsanmälan</t>
        </is>
      </c>
      <c r="C392" t="inlineStr">
        <is>
          <t>Avverkning för annat ändamål</t>
        </is>
      </c>
      <c r="D392" s="1" t="n">
        <v>45093</v>
      </c>
      <c r="E392" s="1" t="n">
        <v>46241</v>
      </c>
      <c r="F392" t="inlineStr">
        <is>
          <t>VÄRMLANDS LÄN</t>
        </is>
      </c>
      <c r="G392" t="inlineStr">
        <is>
          <t>FILIPSTAD</t>
        </is>
      </c>
      <c r="H392" t="inlineStr">
        <is>
          <t>Kommuner</t>
        </is>
      </c>
      <c r="I392" t="n">
        <v>15.4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24745-2026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46171</v>
      </c>
      <c r="E393" s="1" t="n">
        <v>46241</v>
      </c>
      <c r="F393" t="inlineStr">
        <is>
          <t>VÄRMLANDS LÄN</t>
        </is>
      </c>
      <c r="G393" t="inlineStr">
        <is>
          <t>FILIPSTAD</t>
        </is>
      </c>
      <c r="I393" t="n">
        <v>6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24054-2024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45456</v>
      </c>
      <c r="E394" s="1" t="n">
        <v>46241</v>
      </c>
      <c r="F394" t="inlineStr">
        <is>
          <t>VÄRMLANDS LÄN</t>
        </is>
      </c>
      <c r="G394" t="inlineStr">
        <is>
          <t>FILIPSTAD</t>
        </is>
      </c>
      <c r="H394" t="inlineStr">
        <is>
          <t>Bergvik skog väst AB</t>
        </is>
      </c>
      <c r="I394" t="n">
        <v>4.1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32183-2025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45835</v>
      </c>
      <c r="E395" s="1" t="n">
        <v>46241</v>
      </c>
      <c r="F395" t="inlineStr">
        <is>
          <t>VÄRMLANDS LÄN</t>
        </is>
      </c>
      <c r="G395" t="inlineStr">
        <is>
          <t>FILIPSTAD</t>
        </is>
      </c>
      <c r="I395" t="n">
        <v>1.6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16063-2025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45749</v>
      </c>
      <c r="E396" s="1" t="n">
        <v>46241</v>
      </c>
      <c r="F396" t="inlineStr">
        <is>
          <t>VÄRMLANDS LÄN</t>
        </is>
      </c>
      <c r="G396" t="inlineStr">
        <is>
          <t>FILIPSTAD</t>
        </is>
      </c>
      <c r="H396" t="inlineStr">
        <is>
          <t>Bergvik skog väst AB</t>
        </is>
      </c>
      <c r="I396" t="n">
        <v>4.1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19030-2022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44691</v>
      </c>
      <c r="E397" s="1" t="n">
        <v>46241</v>
      </c>
      <c r="F397" t="inlineStr">
        <is>
          <t>VÄRMLANDS LÄN</t>
        </is>
      </c>
      <c r="G397" t="inlineStr">
        <is>
          <t>FILIPSTAD</t>
        </is>
      </c>
      <c r="I397" t="n">
        <v>1.7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12216-2026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46087</v>
      </c>
      <c r="E398" s="1" t="n">
        <v>46241</v>
      </c>
      <c r="F398" t="inlineStr">
        <is>
          <t>VÄRMLANDS LÄN</t>
        </is>
      </c>
      <c r="G398" t="inlineStr">
        <is>
          <t>FILIPSTAD</t>
        </is>
      </c>
      <c r="H398" t="inlineStr">
        <is>
          <t>Bergvik skog väst AB</t>
        </is>
      </c>
      <c r="I398" t="n">
        <v>6.3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37577-2023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45159</v>
      </c>
      <c r="E399" s="1" t="n">
        <v>46241</v>
      </c>
      <c r="F399" t="inlineStr">
        <is>
          <t>VÄRMLANDS LÄN</t>
        </is>
      </c>
      <c r="G399" t="inlineStr">
        <is>
          <t>FILIPSTAD</t>
        </is>
      </c>
      <c r="I399" t="n">
        <v>1.5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43233-2023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45180</v>
      </c>
      <c r="E400" s="1" t="n">
        <v>46241</v>
      </c>
      <c r="F400" t="inlineStr">
        <is>
          <t>VÄRMLANDS LÄN</t>
        </is>
      </c>
      <c r="G400" t="inlineStr">
        <is>
          <t>FILIPSTAD</t>
        </is>
      </c>
      <c r="I400" t="n">
        <v>2.4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12491-2026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46090</v>
      </c>
      <c r="E401" s="1" t="n">
        <v>46241</v>
      </c>
      <c r="F401" t="inlineStr">
        <is>
          <t>VÄRMLANDS LÄN</t>
        </is>
      </c>
      <c r="G401" t="inlineStr">
        <is>
          <t>FILIPSTAD</t>
        </is>
      </c>
      <c r="I401" t="n">
        <v>8.6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16371-2024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45407</v>
      </c>
      <c r="E402" s="1" t="n">
        <v>46241</v>
      </c>
      <c r="F402" t="inlineStr">
        <is>
          <t>VÄRMLANDS LÄN</t>
        </is>
      </c>
      <c r="G402" t="inlineStr">
        <is>
          <t>FILIPSTAD</t>
        </is>
      </c>
      <c r="H402" t="inlineStr">
        <is>
          <t>Bergvik skog väst AB</t>
        </is>
      </c>
      <c r="I402" t="n">
        <v>5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25205-2026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46175</v>
      </c>
      <c r="E403" s="1" t="n">
        <v>46241</v>
      </c>
      <c r="F403" t="inlineStr">
        <is>
          <t>VÄRMLANDS LÄN</t>
        </is>
      </c>
      <c r="G403" t="inlineStr">
        <is>
          <t>FILIPSTAD</t>
        </is>
      </c>
      <c r="H403" t="inlineStr">
        <is>
          <t>Bergvik skog väst AB</t>
        </is>
      </c>
      <c r="I403" t="n">
        <v>16.5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31283-2026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46218</v>
      </c>
      <c r="E404" s="1" t="n">
        <v>46241</v>
      </c>
      <c r="F404" t="inlineStr">
        <is>
          <t>VÄRMLANDS LÄN</t>
        </is>
      </c>
      <c r="G404" t="inlineStr">
        <is>
          <t>FILIPSTAD</t>
        </is>
      </c>
      <c r="H404" t="inlineStr">
        <is>
          <t>Bergvik skog väst AB</t>
        </is>
      </c>
      <c r="I404" t="n">
        <v>4.6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12509-2026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46090</v>
      </c>
      <c r="E405" s="1" t="n">
        <v>46241</v>
      </c>
      <c r="F405" t="inlineStr">
        <is>
          <t>VÄRMLANDS LÄN</t>
        </is>
      </c>
      <c r="G405" t="inlineStr">
        <is>
          <t>FILIPSTAD</t>
        </is>
      </c>
      <c r="I405" t="n">
        <v>5.3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24886-2026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46174</v>
      </c>
      <c r="E406" s="1" t="n">
        <v>46241</v>
      </c>
      <c r="F406" t="inlineStr">
        <is>
          <t>VÄRMLANDS LÄN</t>
        </is>
      </c>
      <c r="G406" t="inlineStr">
        <is>
          <t>FILIPSTAD</t>
        </is>
      </c>
      <c r="H406" t="inlineStr">
        <is>
          <t>Bergvik skog väst AB</t>
        </is>
      </c>
      <c r="I406" t="n">
        <v>1.9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12943-2026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46092</v>
      </c>
      <c r="E407" s="1" t="n">
        <v>46241</v>
      </c>
      <c r="F407" t="inlineStr">
        <is>
          <t>VÄRMLANDS LÄN</t>
        </is>
      </c>
      <c r="G407" t="inlineStr">
        <is>
          <t>FILIPSTAD</t>
        </is>
      </c>
      <c r="H407" t="inlineStr">
        <is>
          <t>Bergvik skog väst AB</t>
        </is>
      </c>
      <c r="I407" t="n">
        <v>3.4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25203-2026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46175</v>
      </c>
      <c r="E408" s="1" t="n">
        <v>46241</v>
      </c>
      <c r="F408" t="inlineStr">
        <is>
          <t>VÄRMLANDS LÄN</t>
        </is>
      </c>
      <c r="G408" t="inlineStr">
        <is>
          <t>FILIPSTAD</t>
        </is>
      </c>
      <c r="H408" t="inlineStr">
        <is>
          <t>Bergvik skog väst AB</t>
        </is>
      </c>
      <c r="I408" t="n">
        <v>8.9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24941-2026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46174</v>
      </c>
      <c r="E409" s="1" t="n">
        <v>46241</v>
      </c>
      <c r="F409" t="inlineStr">
        <is>
          <t>VÄRMLANDS LÄN</t>
        </is>
      </c>
      <c r="G409" t="inlineStr">
        <is>
          <t>FILIPSTAD</t>
        </is>
      </c>
      <c r="H409" t="inlineStr">
        <is>
          <t>Bergvik skog väst AB</t>
        </is>
      </c>
      <c r="I409" t="n">
        <v>8.5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12955-2026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46092</v>
      </c>
      <c r="E410" s="1" t="n">
        <v>46241</v>
      </c>
      <c r="F410" t="inlineStr">
        <is>
          <t>VÄRMLANDS LÄN</t>
        </is>
      </c>
      <c r="G410" t="inlineStr">
        <is>
          <t>FILIPSTAD</t>
        </is>
      </c>
      <c r="H410" t="inlineStr">
        <is>
          <t>Bergvik skog väst AB</t>
        </is>
      </c>
      <c r="I410" t="n">
        <v>1.6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13555-2026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46094</v>
      </c>
      <c r="E411" s="1" t="n">
        <v>46241</v>
      </c>
      <c r="F411" t="inlineStr">
        <is>
          <t>VÄRMLANDS LÄN</t>
        </is>
      </c>
      <c r="G411" t="inlineStr">
        <is>
          <t>FILIPSTAD</t>
        </is>
      </c>
      <c r="H411" t="inlineStr">
        <is>
          <t>Bergvik skog väst AB</t>
        </is>
      </c>
      <c r="I411" t="n">
        <v>4.8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13520-2026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46094</v>
      </c>
      <c r="E412" s="1" t="n">
        <v>46241</v>
      </c>
      <c r="F412" t="inlineStr">
        <is>
          <t>VÄRMLANDS LÄN</t>
        </is>
      </c>
      <c r="G412" t="inlineStr">
        <is>
          <t>FILIPSTAD</t>
        </is>
      </c>
      <c r="H412" t="inlineStr">
        <is>
          <t>Bergvik skog väst AB</t>
        </is>
      </c>
      <c r="I412" t="n">
        <v>5.5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53210-2023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45222</v>
      </c>
      <c r="E413" s="1" t="n">
        <v>46241</v>
      </c>
      <c r="F413" t="inlineStr">
        <is>
          <t>VÄRMLANDS LÄN</t>
        </is>
      </c>
      <c r="G413" t="inlineStr">
        <is>
          <t>FILIPSTAD</t>
        </is>
      </c>
      <c r="I413" t="n">
        <v>4.9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13387-2026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46094</v>
      </c>
      <c r="E414" s="1" t="n">
        <v>46241</v>
      </c>
      <c r="F414" t="inlineStr">
        <is>
          <t>VÄRMLANDS LÄN</t>
        </is>
      </c>
      <c r="G414" t="inlineStr">
        <is>
          <t>FILIPSTAD</t>
        </is>
      </c>
      <c r="H414" t="inlineStr">
        <is>
          <t>Bergvik skog väst AB</t>
        </is>
      </c>
      <c r="I414" t="n">
        <v>7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39633-2023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45167</v>
      </c>
      <c r="E415" s="1" t="n">
        <v>46241</v>
      </c>
      <c r="F415" t="inlineStr">
        <is>
          <t>VÄRMLANDS LÄN</t>
        </is>
      </c>
      <c r="G415" t="inlineStr">
        <is>
          <t>FILIPSTAD</t>
        </is>
      </c>
      <c r="H415" t="inlineStr">
        <is>
          <t>Bergvik skog väst AB</t>
        </is>
      </c>
      <c r="I415" t="n">
        <v>3.5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13553-2026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46094</v>
      </c>
      <c r="E416" s="1" t="n">
        <v>46241</v>
      </c>
      <c r="F416" t="inlineStr">
        <is>
          <t>VÄRMLANDS LÄN</t>
        </is>
      </c>
      <c r="G416" t="inlineStr">
        <is>
          <t>FILIPSTAD</t>
        </is>
      </c>
      <c r="H416" t="inlineStr">
        <is>
          <t>Bergvik skog väst AB</t>
        </is>
      </c>
      <c r="I416" t="n">
        <v>8.9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43635-2023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45186</v>
      </c>
      <c r="E417" s="1" t="n">
        <v>46241</v>
      </c>
      <c r="F417" t="inlineStr">
        <is>
          <t>VÄRMLANDS LÄN</t>
        </is>
      </c>
      <c r="G417" t="inlineStr">
        <is>
          <t>FILIPSTAD</t>
        </is>
      </c>
      <c r="I417" t="n">
        <v>15.3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31316-2026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46219</v>
      </c>
      <c r="E418" s="1" t="n">
        <v>46241</v>
      </c>
      <c r="F418" t="inlineStr">
        <is>
          <t>VÄRMLANDS LÄN</t>
        </is>
      </c>
      <c r="G418" t="inlineStr">
        <is>
          <t>FILIPSTAD</t>
        </is>
      </c>
      <c r="H418" t="inlineStr">
        <is>
          <t>Bergvik skog väst AB</t>
        </is>
      </c>
      <c r="I418" t="n">
        <v>1.9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13393-2026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46094</v>
      </c>
      <c r="E419" s="1" t="n">
        <v>46241</v>
      </c>
      <c r="F419" t="inlineStr">
        <is>
          <t>VÄRMLANDS LÄN</t>
        </is>
      </c>
      <c r="G419" t="inlineStr">
        <is>
          <t>FILIPSTAD</t>
        </is>
      </c>
      <c r="H419" t="inlineStr">
        <is>
          <t>Bergvik skog väst AB</t>
        </is>
      </c>
      <c r="I419" t="n">
        <v>2.3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13863-2026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46098</v>
      </c>
      <c r="E420" s="1" t="n">
        <v>46241</v>
      </c>
      <c r="F420" t="inlineStr">
        <is>
          <t>VÄRMLANDS LÄN</t>
        </is>
      </c>
      <c r="G420" t="inlineStr">
        <is>
          <t>FILIPSTAD</t>
        </is>
      </c>
      <c r="H420" t="inlineStr">
        <is>
          <t>Bergvik skog väst AB</t>
        </is>
      </c>
      <c r="I420" t="n">
        <v>13.7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16103-2025</t>
        </is>
      </c>
      <c r="B421" t="inlineStr">
        <is>
          <t>avverkningsanmälan</t>
        </is>
      </c>
      <c r="C421" t="inlineStr">
        <is>
          <t>Avverkning för annat ändamål</t>
        </is>
      </c>
      <c r="D421" s="1" t="n">
        <v>45750</v>
      </c>
      <c r="E421" s="1" t="n">
        <v>46241</v>
      </c>
      <c r="F421" t="inlineStr">
        <is>
          <t>VÄRMLANDS LÄN</t>
        </is>
      </c>
      <c r="G421" t="inlineStr">
        <is>
          <t>FILIPSTAD</t>
        </is>
      </c>
      <c r="I421" t="n">
        <v>0.5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13955-2026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46098</v>
      </c>
      <c r="E422" s="1" t="n">
        <v>46241</v>
      </c>
      <c r="F422" t="inlineStr">
        <is>
          <t>VÄRMLANDS LÄN</t>
        </is>
      </c>
      <c r="G422" t="inlineStr">
        <is>
          <t>FILIPSTAD</t>
        </is>
      </c>
      <c r="H422" t="inlineStr">
        <is>
          <t>Bergvik skog väst AB</t>
        </is>
      </c>
      <c r="I422" t="n">
        <v>1.6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14379-2026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46100</v>
      </c>
      <c r="E423" s="1" t="n">
        <v>46241</v>
      </c>
      <c r="F423" t="inlineStr">
        <is>
          <t>VÄRMLANDS LÄN</t>
        </is>
      </c>
      <c r="G423" t="inlineStr">
        <is>
          <t>FILIPSTAD</t>
        </is>
      </c>
      <c r="H423" t="inlineStr">
        <is>
          <t>Bergvik skog väst AB</t>
        </is>
      </c>
      <c r="I423" t="n">
        <v>5.7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4620-2024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45328</v>
      </c>
      <c r="E424" s="1" t="n">
        <v>46241</v>
      </c>
      <c r="F424" t="inlineStr">
        <is>
          <t>VÄRMLANDS LÄN</t>
        </is>
      </c>
      <c r="G424" t="inlineStr">
        <is>
          <t>FILIPSTAD</t>
        </is>
      </c>
      <c r="H424" t="inlineStr">
        <is>
          <t>Bergvik skog väst AB</t>
        </is>
      </c>
      <c r="I424" t="n">
        <v>2.9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36251-2022</t>
        </is>
      </c>
      <c r="B425" t="inlineStr">
        <is>
          <t>avverkningsanmälan</t>
        </is>
      </c>
      <c r="C425" t="inlineStr">
        <is>
          <t>Avverkning för annat ändamål</t>
        </is>
      </c>
      <c r="D425" s="1" t="n">
        <v>44803</v>
      </c>
      <c r="E425" s="1" t="n">
        <v>46241</v>
      </c>
      <c r="F425" t="inlineStr">
        <is>
          <t>VÄRMLANDS LÄN</t>
        </is>
      </c>
      <c r="G425" t="inlineStr">
        <is>
          <t>FILIPSTAD</t>
        </is>
      </c>
      <c r="H425" t="inlineStr">
        <is>
          <t>Bergvik skog väst AB</t>
        </is>
      </c>
      <c r="I425" t="n">
        <v>4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14315-2026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46099</v>
      </c>
      <c r="E426" s="1" t="n">
        <v>46241</v>
      </c>
      <c r="F426" t="inlineStr">
        <is>
          <t>VÄRMLANDS LÄN</t>
        </is>
      </c>
      <c r="G426" t="inlineStr">
        <is>
          <t>FILIPSTAD</t>
        </is>
      </c>
      <c r="H426" t="inlineStr">
        <is>
          <t>Bergvik skog väst AB</t>
        </is>
      </c>
      <c r="I426" t="n">
        <v>1.5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15197-2026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46105</v>
      </c>
      <c r="E427" s="1" t="n">
        <v>46241</v>
      </c>
      <c r="F427" t="inlineStr">
        <is>
          <t>VÄRMLANDS LÄN</t>
        </is>
      </c>
      <c r="G427" t="inlineStr">
        <is>
          <t>FILIPSTAD</t>
        </is>
      </c>
      <c r="H427" t="inlineStr">
        <is>
          <t>Bergvik skog väst AB</t>
        </is>
      </c>
      <c r="I427" t="n">
        <v>2.1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33671-2022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44789</v>
      </c>
      <c r="E428" s="1" t="n">
        <v>46241</v>
      </c>
      <c r="F428" t="inlineStr">
        <is>
          <t>VÄRMLANDS LÄN</t>
        </is>
      </c>
      <c r="G428" t="inlineStr">
        <is>
          <t>FILIPSTAD</t>
        </is>
      </c>
      <c r="H428" t="inlineStr">
        <is>
          <t>Bergvik skog väst AB</t>
        </is>
      </c>
      <c r="I428" t="n">
        <v>10.6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25869-2026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46178</v>
      </c>
      <c r="E429" s="1" t="n">
        <v>46241</v>
      </c>
      <c r="F429" t="inlineStr">
        <is>
          <t>VÄRMLANDS LÄN</t>
        </is>
      </c>
      <c r="G429" t="inlineStr">
        <is>
          <t>FILIPSTAD</t>
        </is>
      </c>
      <c r="H429" t="inlineStr">
        <is>
          <t>Bergvik skog väst AB</t>
        </is>
      </c>
      <c r="I429" t="n">
        <v>0.6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46257-2022</t>
        </is>
      </c>
      <c r="B430" t="inlineStr">
        <is>
          <t>avverkningsanmälan</t>
        </is>
      </c>
      <c r="C430" t="inlineStr">
        <is>
          <t>Avverkning för annat ändamål</t>
        </is>
      </c>
      <c r="D430" s="1" t="n">
        <v>44847</v>
      </c>
      <c r="E430" s="1" t="n">
        <v>46241</v>
      </c>
      <c r="F430" t="inlineStr">
        <is>
          <t>VÄRMLANDS LÄN</t>
        </is>
      </c>
      <c r="G430" t="inlineStr">
        <is>
          <t>FILIPSTAD</t>
        </is>
      </c>
      <c r="I430" t="n">
        <v>0.3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36827-2022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44805</v>
      </c>
      <c r="E431" s="1" t="n">
        <v>46241</v>
      </c>
      <c r="F431" t="inlineStr">
        <is>
          <t>VÄRMLANDS LÄN</t>
        </is>
      </c>
      <c r="G431" t="inlineStr">
        <is>
          <t>FILIPSTAD</t>
        </is>
      </c>
      <c r="H431" t="inlineStr">
        <is>
          <t>Bergvik skog väst AB</t>
        </is>
      </c>
      <c r="I431" t="n">
        <v>3.8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37611-2022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44809</v>
      </c>
      <c r="E432" s="1" t="n">
        <v>46241</v>
      </c>
      <c r="F432" t="inlineStr">
        <is>
          <t>VÄRMLANDS LÄN</t>
        </is>
      </c>
      <c r="G432" t="inlineStr">
        <is>
          <t>FILIPSTAD</t>
        </is>
      </c>
      <c r="I432" t="n">
        <v>5.4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15848-2026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46107</v>
      </c>
      <c r="E433" s="1" t="n">
        <v>46241</v>
      </c>
      <c r="F433" t="inlineStr">
        <is>
          <t>VÄRMLANDS LÄN</t>
        </is>
      </c>
      <c r="G433" t="inlineStr">
        <is>
          <t>FILIPSTAD</t>
        </is>
      </c>
      <c r="H433" t="inlineStr">
        <is>
          <t>Bergvik skog väst AB</t>
        </is>
      </c>
      <c r="I433" t="n">
        <v>8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57244-2023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45245</v>
      </c>
      <c r="E434" s="1" t="n">
        <v>46241</v>
      </c>
      <c r="F434" t="inlineStr">
        <is>
          <t>VÄRMLANDS LÄN</t>
        </is>
      </c>
      <c r="G434" t="inlineStr">
        <is>
          <t>FILIPSTAD</t>
        </is>
      </c>
      <c r="H434" t="inlineStr">
        <is>
          <t>Bergvik skog väst AB</t>
        </is>
      </c>
      <c r="I434" t="n">
        <v>1.6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15619-2026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46106</v>
      </c>
      <c r="E435" s="1" t="n">
        <v>46241</v>
      </c>
      <c r="F435" t="inlineStr">
        <is>
          <t>VÄRMLANDS LÄN</t>
        </is>
      </c>
      <c r="G435" t="inlineStr">
        <is>
          <t>FILIPSTAD</t>
        </is>
      </c>
      <c r="H435" t="inlineStr">
        <is>
          <t>Bergvik skog väst AB</t>
        </is>
      </c>
      <c r="I435" t="n">
        <v>4.4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15920-2026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46107</v>
      </c>
      <c r="E436" s="1" t="n">
        <v>46241</v>
      </c>
      <c r="F436" t="inlineStr">
        <is>
          <t>VÄRMLANDS LÄN</t>
        </is>
      </c>
      <c r="G436" t="inlineStr">
        <is>
          <t>FILIPSTAD</t>
        </is>
      </c>
      <c r="H436" t="inlineStr">
        <is>
          <t>Bergvik skog väst AB</t>
        </is>
      </c>
      <c r="I436" t="n">
        <v>3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15889-2026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46107</v>
      </c>
      <c r="E437" s="1" t="n">
        <v>46241</v>
      </c>
      <c r="F437" t="inlineStr">
        <is>
          <t>VÄRMLANDS LÄN</t>
        </is>
      </c>
      <c r="G437" t="inlineStr">
        <is>
          <t>FILIPSTAD</t>
        </is>
      </c>
      <c r="I437" t="n">
        <v>2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15644-2026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46106</v>
      </c>
      <c r="E438" s="1" t="n">
        <v>46241</v>
      </c>
      <c r="F438" t="inlineStr">
        <is>
          <t>VÄRMLANDS LÄN</t>
        </is>
      </c>
      <c r="G438" t="inlineStr">
        <is>
          <t>FILIPSTAD</t>
        </is>
      </c>
      <c r="H438" t="inlineStr">
        <is>
          <t>Bergvik skog väst AB</t>
        </is>
      </c>
      <c r="I438" t="n">
        <v>4.4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15645-2026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46106</v>
      </c>
      <c r="E439" s="1" t="n">
        <v>46241</v>
      </c>
      <c r="F439" t="inlineStr">
        <is>
          <t>VÄRMLANDS LÄN</t>
        </is>
      </c>
      <c r="G439" t="inlineStr">
        <is>
          <t>FILIPSTAD</t>
        </is>
      </c>
      <c r="H439" t="inlineStr">
        <is>
          <t>Bergvik skog väst AB</t>
        </is>
      </c>
      <c r="I439" t="n">
        <v>6.7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26107-2026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46181</v>
      </c>
      <c r="E440" s="1" t="n">
        <v>46241</v>
      </c>
      <c r="F440" t="inlineStr">
        <is>
          <t>VÄRMLANDS LÄN</t>
        </is>
      </c>
      <c r="G440" t="inlineStr">
        <is>
          <t>FILIPSTAD</t>
        </is>
      </c>
      <c r="H440" t="inlineStr">
        <is>
          <t>Bergvik skog väst AB</t>
        </is>
      </c>
      <c r="I440" t="n">
        <v>20.9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16009-2026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46108</v>
      </c>
      <c r="E441" s="1" t="n">
        <v>46241</v>
      </c>
      <c r="F441" t="inlineStr">
        <is>
          <t>VÄRMLANDS LÄN</t>
        </is>
      </c>
      <c r="G441" t="inlineStr">
        <is>
          <t>FILIPSTAD</t>
        </is>
      </c>
      <c r="H441" t="inlineStr">
        <is>
          <t>Bergvik skog väst AB</t>
        </is>
      </c>
      <c r="I441" t="n">
        <v>2.2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16040-2026</t>
        </is>
      </c>
      <c r="B442" t="inlineStr">
        <is>
          <t>avverkningsanmälan</t>
        </is>
      </c>
      <c r="C442" t="inlineStr">
        <is>
          <t>Avverkning för att bevara och utveckla /försöksver</t>
        </is>
      </c>
      <c r="D442" s="1" t="n">
        <v>46108</v>
      </c>
      <c r="E442" s="1" t="n">
        <v>46241</v>
      </c>
      <c r="F442" t="inlineStr">
        <is>
          <t>VÄRMLANDS LÄN</t>
        </is>
      </c>
      <c r="G442" t="inlineStr">
        <is>
          <t>FILIPSTAD</t>
        </is>
      </c>
      <c r="H442" t="inlineStr">
        <is>
          <t>Bergvik skog väst AB</t>
        </is>
      </c>
      <c r="I442" t="n">
        <v>1.3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16050-2026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46108</v>
      </c>
      <c r="E443" s="1" t="n">
        <v>46241</v>
      </c>
      <c r="F443" t="inlineStr">
        <is>
          <t>VÄRMLANDS LÄN</t>
        </is>
      </c>
      <c r="G443" t="inlineStr">
        <is>
          <t>FILIPSTAD</t>
        </is>
      </c>
      <c r="H443" t="inlineStr">
        <is>
          <t>Bergvik skog väst AB</t>
        </is>
      </c>
      <c r="I443" t="n">
        <v>2.3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25769-2026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46178</v>
      </c>
      <c r="E444" s="1" t="n">
        <v>46241</v>
      </c>
      <c r="F444" t="inlineStr">
        <is>
          <t>VÄRMLANDS LÄN</t>
        </is>
      </c>
      <c r="G444" t="inlineStr">
        <is>
          <t>FILIPSTAD</t>
        </is>
      </c>
      <c r="H444" t="inlineStr">
        <is>
          <t>Bergvik skog väst AB</t>
        </is>
      </c>
      <c r="I444" t="n">
        <v>3.8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31537-2026</t>
        </is>
      </c>
      <c r="B445" t="inlineStr">
        <is>
          <t>avverkningsanmälan</t>
        </is>
      </c>
      <c r="C445" t="inlineStr">
        <is>
          <t>Avverkning för att bevara och utveckla /försöksver</t>
        </is>
      </c>
      <c r="D445" s="1" t="n">
        <v>46223</v>
      </c>
      <c r="E445" s="1" t="n">
        <v>46241</v>
      </c>
      <c r="F445" t="inlineStr">
        <is>
          <t>VÄRMLANDS LÄN</t>
        </is>
      </c>
      <c r="G445" t="inlineStr">
        <is>
          <t>FILIPSTAD</t>
        </is>
      </c>
      <c r="I445" t="n">
        <v>1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31548-2026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46223</v>
      </c>
      <c r="E446" s="1" t="n">
        <v>46241</v>
      </c>
      <c r="F446" t="inlineStr">
        <is>
          <t>VÄRMLANDS LÄN</t>
        </is>
      </c>
      <c r="G446" t="inlineStr">
        <is>
          <t>FILIPSTAD</t>
        </is>
      </c>
      <c r="I446" t="n">
        <v>3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25786-2026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46178</v>
      </c>
      <c r="E447" s="1" t="n">
        <v>46241</v>
      </c>
      <c r="F447" t="inlineStr">
        <is>
          <t>VÄRMLANDS LÄN</t>
        </is>
      </c>
      <c r="G447" t="inlineStr">
        <is>
          <t>FILIPSTAD</t>
        </is>
      </c>
      <c r="H447" t="inlineStr">
        <is>
          <t>Bergvik skog väst AB</t>
        </is>
      </c>
      <c r="I447" t="n">
        <v>7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31688-2026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46226</v>
      </c>
      <c r="E448" s="1" t="n">
        <v>46241</v>
      </c>
      <c r="F448" t="inlineStr">
        <is>
          <t>VÄRMLANDS LÄN</t>
        </is>
      </c>
      <c r="G448" t="inlineStr">
        <is>
          <t>FILIPSTAD</t>
        </is>
      </c>
      <c r="H448" t="inlineStr">
        <is>
          <t>Bergvik skog väst AB</t>
        </is>
      </c>
      <c r="I448" t="n">
        <v>14.9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25338-2023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45087</v>
      </c>
      <c r="E449" s="1" t="n">
        <v>46241</v>
      </c>
      <c r="F449" t="inlineStr">
        <is>
          <t>VÄRMLANDS LÄN</t>
        </is>
      </c>
      <c r="G449" t="inlineStr">
        <is>
          <t>FILIPSTAD</t>
        </is>
      </c>
      <c r="I449" t="n">
        <v>0.9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26211-2026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46182</v>
      </c>
      <c r="E450" s="1" t="n">
        <v>46241</v>
      </c>
      <c r="F450" t="inlineStr">
        <is>
          <t>VÄRMLANDS LÄN</t>
        </is>
      </c>
      <c r="G450" t="inlineStr">
        <is>
          <t>FILIPSTAD</t>
        </is>
      </c>
      <c r="H450" t="inlineStr">
        <is>
          <t>Bergvik skog väst AB</t>
        </is>
      </c>
      <c r="I450" t="n">
        <v>4.4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31706-2026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46226</v>
      </c>
      <c r="E451" s="1" t="n">
        <v>46241</v>
      </c>
      <c r="F451" t="inlineStr">
        <is>
          <t>VÄRMLANDS LÄN</t>
        </is>
      </c>
      <c r="G451" t="inlineStr">
        <is>
          <t>FILIPSTAD</t>
        </is>
      </c>
      <c r="H451" t="inlineStr">
        <is>
          <t>Bergvik skog väst AB</t>
        </is>
      </c>
      <c r="I451" t="n">
        <v>4.2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26323-2026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46182</v>
      </c>
      <c r="E452" s="1" t="n">
        <v>46241</v>
      </c>
      <c r="F452" t="inlineStr">
        <is>
          <t>VÄRMLANDS LÄN</t>
        </is>
      </c>
      <c r="G452" t="inlineStr">
        <is>
          <t>FILIPSTAD</t>
        </is>
      </c>
      <c r="H452" t="inlineStr">
        <is>
          <t>Bergvik skog väst AB</t>
        </is>
      </c>
      <c r="I452" t="n">
        <v>11.9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31699-2026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46226</v>
      </c>
      <c r="E453" s="1" t="n">
        <v>46241</v>
      </c>
      <c r="F453" t="inlineStr">
        <is>
          <t>VÄRMLANDS LÄN</t>
        </is>
      </c>
      <c r="G453" t="inlineStr">
        <is>
          <t>FILIPSTAD</t>
        </is>
      </c>
      <c r="H453" t="inlineStr">
        <is>
          <t>Bergvik skog väst AB</t>
        </is>
      </c>
      <c r="I453" t="n">
        <v>20.1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26229-2026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46182</v>
      </c>
      <c r="E454" s="1" t="n">
        <v>46241</v>
      </c>
      <c r="F454" t="inlineStr">
        <is>
          <t>VÄRMLANDS LÄN</t>
        </is>
      </c>
      <c r="G454" t="inlineStr">
        <is>
          <t>FILIPSTAD</t>
        </is>
      </c>
      <c r="H454" t="inlineStr">
        <is>
          <t>Bergvik skog väst AB</t>
        </is>
      </c>
      <c r="I454" t="n">
        <v>5.3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26227-2026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46182</v>
      </c>
      <c r="E455" s="1" t="n">
        <v>46241</v>
      </c>
      <c r="F455" t="inlineStr">
        <is>
          <t>VÄRMLANDS LÄN</t>
        </is>
      </c>
      <c r="G455" t="inlineStr">
        <is>
          <t>FILIPSTAD</t>
        </is>
      </c>
      <c r="H455" t="inlineStr">
        <is>
          <t>Bergvik skog väst AB</t>
        </is>
      </c>
      <c r="I455" t="n">
        <v>12.8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26501-2026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46183</v>
      </c>
      <c r="E456" s="1" t="n">
        <v>46241</v>
      </c>
      <c r="F456" t="inlineStr">
        <is>
          <t>VÄRMLANDS LÄN</t>
        </is>
      </c>
      <c r="G456" t="inlineStr">
        <is>
          <t>FILIPSTAD</t>
        </is>
      </c>
      <c r="H456" t="inlineStr">
        <is>
          <t>Bergvik skog väst AB</t>
        </is>
      </c>
      <c r="I456" t="n">
        <v>14.2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26298-2026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46182</v>
      </c>
      <c r="E457" s="1" t="n">
        <v>46241</v>
      </c>
      <c r="F457" t="inlineStr">
        <is>
          <t>VÄRMLANDS LÄN</t>
        </is>
      </c>
      <c r="G457" t="inlineStr">
        <is>
          <t>FILIPSTAD</t>
        </is>
      </c>
      <c r="H457" t="inlineStr">
        <is>
          <t>Bergvik skog väst AB</t>
        </is>
      </c>
      <c r="I457" t="n">
        <v>4.7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25976-2026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46181</v>
      </c>
      <c r="E458" s="1" t="n">
        <v>46241</v>
      </c>
      <c r="F458" t="inlineStr">
        <is>
          <t>VÄRMLANDS LÄN</t>
        </is>
      </c>
      <c r="G458" t="inlineStr">
        <is>
          <t>FILIPSTAD</t>
        </is>
      </c>
      <c r="H458" t="inlineStr">
        <is>
          <t>Bergvik skog väst AB</t>
        </is>
      </c>
      <c r="I458" t="n">
        <v>11.1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31648-2026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46225</v>
      </c>
      <c r="E459" s="1" t="n">
        <v>46241</v>
      </c>
      <c r="F459" t="inlineStr">
        <is>
          <t>VÄRMLANDS LÄN</t>
        </is>
      </c>
      <c r="G459" t="inlineStr">
        <is>
          <t>FILIPSTAD</t>
        </is>
      </c>
      <c r="H459" t="inlineStr">
        <is>
          <t>Bergvik skog väst AB</t>
        </is>
      </c>
      <c r="I459" t="n">
        <v>1.6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26343-2026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46182</v>
      </c>
      <c r="E460" s="1" t="n">
        <v>46241</v>
      </c>
      <c r="F460" t="inlineStr">
        <is>
          <t>VÄRMLANDS LÄN</t>
        </is>
      </c>
      <c r="G460" t="inlineStr">
        <is>
          <t>FILIPSTAD</t>
        </is>
      </c>
      <c r="H460" t="inlineStr">
        <is>
          <t>Bergvik skog väst AB</t>
        </is>
      </c>
      <c r="I460" t="n">
        <v>1.5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27007-2026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46185</v>
      </c>
      <c r="E461" s="1" t="n">
        <v>46241</v>
      </c>
      <c r="F461" t="inlineStr">
        <is>
          <t>VÄRMLANDS LÄN</t>
        </is>
      </c>
      <c r="G461" t="inlineStr">
        <is>
          <t>FILIPSTAD</t>
        </is>
      </c>
      <c r="H461" t="inlineStr">
        <is>
          <t>Bergvik skog väst AB</t>
        </is>
      </c>
      <c r="I461" t="n">
        <v>1.6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31746-2026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46227</v>
      </c>
      <c r="E462" s="1" t="n">
        <v>46241</v>
      </c>
      <c r="F462" t="inlineStr">
        <is>
          <t>VÄRMLANDS LÄN</t>
        </is>
      </c>
      <c r="G462" t="inlineStr">
        <is>
          <t>FILIPSTAD</t>
        </is>
      </c>
      <c r="H462" t="inlineStr">
        <is>
          <t>Bergvik skog väst AB</t>
        </is>
      </c>
      <c r="I462" t="n">
        <v>10.4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31726-2026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46227</v>
      </c>
      <c r="E463" s="1" t="n">
        <v>46241</v>
      </c>
      <c r="F463" t="inlineStr">
        <is>
          <t>VÄRMLANDS LÄN</t>
        </is>
      </c>
      <c r="G463" t="inlineStr">
        <is>
          <t>FILIPSTAD</t>
        </is>
      </c>
      <c r="H463" t="inlineStr">
        <is>
          <t>Bergvik skog väst AB</t>
        </is>
      </c>
      <c r="I463" t="n">
        <v>4.3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41983-2023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45177</v>
      </c>
      <c r="E464" s="1" t="n">
        <v>46241</v>
      </c>
      <c r="F464" t="inlineStr">
        <is>
          <t>VÄRMLANDS LÄN</t>
        </is>
      </c>
      <c r="G464" t="inlineStr">
        <is>
          <t>FILIPSTAD</t>
        </is>
      </c>
      <c r="I464" t="n">
        <v>2.7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45139-2021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44439</v>
      </c>
      <c r="E465" s="1" t="n">
        <v>46241</v>
      </c>
      <c r="F465" t="inlineStr">
        <is>
          <t>VÄRMLANDS LÄN</t>
        </is>
      </c>
      <c r="G465" t="inlineStr">
        <is>
          <t>FILIPSTAD</t>
        </is>
      </c>
      <c r="H465" t="inlineStr">
        <is>
          <t>Bergvik skog väst AB</t>
        </is>
      </c>
      <c r="I465" t="n">
        <v>1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27085-2026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46187</v>
      </c>
      <c r="E466" s="1" t="n">
        <v>46241</v>
      </c>
      <c r="F466" t="inlineStr">
        <is>
          <t>VÄRMLANDS LÄN</t>
        </is>
      </c>
      <c r="G466" t="inlineStr">
        <is>
          <t>FILIPSTAD</t>
        </is>
      </c>
      <c r="H466" t="inlineStr">
        <is>
          <t>Bergvik skog väst AB</t>
        </is>
      </c>
      <c r="I466" t="n">
        <v>1.6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26549-2026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46183</v>
      </c>
      <c r="E467" s="1" t="n">
        <v>46241</v>
      </c>
      <c r="F467" t="inlineStr">
        <is>
          <t>VÄRMLANDS LÄN</t>
        </is>
      </c>
      <c r="G467" t="inlineStr">
        <is>
          <t>FILIPSTAD</t>
        </is>
      </c>
      <c r="H467" t="inlineStr">
        <is>
          <t>Bergvik skog väst AB</t>
        </is>
      </c>
      <c r="I467" t="n">
        <v>1.6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27078-2026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46186</v>
      </c>
      <c r="E468" s="1" t="n">
        <v>46241</v>
      </c>
      <c r="F468" t="inlineStr">
        <is>
          <t>VÄRMLANDS LÄN</t>
        </is>
      </c>
      <c r="G468" t="inlineStr">
        <is>
          <t>FILIPSTAD</t>
        </is>
      </c>
      <c r="H468" t="inlineStr">
        <is>
          <t>Bergvik skog väst AB</t>
        </is>
      </c>
      <c r="I468" t="n">
        <v>5.6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27079-2026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46186</v>
      </c>
      <c r="E469" s="1" t="n">
        <v>46241</v>
      </c>
      <c r="F469" t="inlineStr">
        <is>
          <t>VÄRMLANDS LÄN</t>
        </is>
      </c>
      <c r="G469" t="inlineStr">
        <is>
          <t>FILIPSTAD</t>
        </is>
      </c>
      <c r="H469" t="inlineStr">
        <is>
          <t>Bergvik skog väst AB</t>
        </is>
      </c>
      <c r="I469" t="n">
        <v>11.7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53034-2022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44876</v>
      </c>
      <c r="E470" s="1" t="n">
        <v>46241</v>
      </c>
      <c r="F470" t="inlineStr">
        <is>
          <t>VÄRMLANDS LÄN</t>
        </is>
      </c>
      <c r="G470" t="inlineStr">
        <is>
          <t>FILIPSTAD</t>
        </is>
      </c>
      <c r="I470" t="n">
        <v>0.6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27300-2026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46188</v>
      </c>
      <c r="E471" s="1" t="n">
        <v>46241</v>
      </c>
      <c r="F471" t="inlineStr">
        <is>
          <t>VÄRMLANDS LÄN</t>
        </is>
      </c>
      <c r="G471" t="inlineStr">
        <is>
          <t>FILIPSTAD</t>
        </is>
      </c>
      <c r="H471" t="inlineStr">
        <is>
          <t>Bergvik skog väst AB</t>
        </is>
      </c>
      <c r="I471" t="n">
        <v>2.5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53348-2023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45229</v>
      </c>
      <c r="E472" s="1" t="n">
        <v>46241</v>
      </c>
      <c r="F472" t="inlineStr">
        <is>
          <t>VÄRMLANDS LÄN</t>
        </is>
      </c>
      <c r="G472" t="inlineStr">
        <is>
          <t>FILIPSTAD</t>
        </is>
      </c>
      <c r="H472" t="inlineStr">
        <is>
          <t>Bergvik skog väst AB</t>
        </is>
      </c>
      <c r="I472" t="n">
        <v>2.4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27426-2026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46189</v>
      </c>
      <c r="E473" s="1" t="n">
        <v>46241</v>
      </c>
      <c r="F473" t="inlineStr">
        <is>
          <t>VÄRMLANDS LÄN</t>
        </is>
      </c>
      <c r="G473" t="inlineStr">
        <is>
          <t>FILIPSTAD</t>
        </is>
      </c>
      <c r="I473" t="n">
        <v>5.6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27372-2026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46188</v>
      </c>
      <c r="E474" s="1" t="n">
        <v>46241</v>
      </c>
      <c r="F474" t="inlineStr">
        <is>
          <t>VÄRMLANDS LÄN</t>
        </is>
      </c>
      <c r="G474" t="inlineStr">
        <is>
          <t>FILIPSTAD</t>
        </is>
      </c>
      <c r="H474" t="inlineStr">
        <is>
          <t>Bergvik skog väst AB</t>
        </is>
      </c>
      <c r="I474" t="n">
        <v>7.4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31950-2026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46232</v>
      </c>
      <c r="E475" s="1" t="n">
        <v>46241</v>
      </c>
      <c r="F475" t="inlineStr">
        <is>
          <t>VÄRMLANDS LÄN</t>
        </is>
      </c>
      <c r="G475" t="inlineStr">
        <is>
          <t>FILIPSTAD</t>
        </is>
      </c>
      <c r="H475" t="inlineStr">
        <is>
          <t>Bergvik skog väst AB</t>
        </is>
      </c>
      <c r="I475" t="n">
        <v>1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31914-2026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46231</v>
      </c>
      <c r="E476" s="1" t="n">
        <v>46241</v>
      </c>
      <c r="F476" t="inlineStr">
        <is>
          <t>VÄRMLANDS LÄN</t>
        </is>
      </c>
      <c r="G476" t="inlineStr">
        <is>
          <t>FILIPSTAD</t>
        </is>
      </c>
      <c r="H476" t="inlineStr">
        <is>
          <t>Bergvik skog väst AB</t>
        </is>
      </c>
      <c r="I476" t="n">
        <v>3.6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31957-2026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46232</v>
      </c>
      <c r="E477" s="1" t="n">
        <v>46241</v>
      </c>
      <c r="F477" t="inlineStr">
        <is>
          <t>VÄRMLANDS LÄN</t>
        </is>
      </c>
      <c r="G477" t="inlineStr">
        <is>
          <t>FILIPSTAD</t>
        </is>
      </c>
      <c r="H477" t="inlineStr">
        <is>
          <t>Bergvik skog väst AB</t>
        </is>
      </c>
      <c r="I477" t="n">
        <v>1.4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31963-2026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46232</v>
      </c>
      <c r="E478" s="1" t="n">
        <v>46241</v>
      </c>
      <c r="F478" t="inlineStr">
        <is>
          <t>VÄRMLANDS LÄN</t>
        </is>
      </c>
      <c r="G478" t="inlineStr">
        <is>
          <t>FILIPSTAD</t>
        </is>
      </c>
      <c r="H478" t="inlineStr">
        <is>
          <t>Bergvik skog väst AB</t>
        </is>
      </c>
      <c r="I478" t="n">
        <v>8.699999999999999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51985-2023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45223</v>
      </c>
      <c r="E479" s="1" t="n">
        <v>46241</v>
      </c>
      <c r="F479" t="inlineStr">
        <is>
          <t>VÄRMLANDS LÄN</t>
        </is>
      </c>
      <c r="G479" t="inlineStr">
        <is>
          <t>FILIPSTAD</t>
        </is>
      </c>
      <c r="H479" t="inlineStr">
        <is>
          <t>Bergvik skog väst AB</t>
        </is>
      </c>
      <c r="I479" t="n">
        <v>6.7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50904-2023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45218</v>
      </c>
      <c r="E480" s="1" t="n">
        <v>46241</v>
      </c>
      <c r="F480" t="inlineStr">
        <is>
          <t>VÄRMLANDS LÄN</t>
        </is>
      </c>
      <c r="G480" t="inlineStr">
        <is>
          <t>FILIPSTAD</t>
        </is>
      </c>
      <c r="I480" t="n">
        <v>2.1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55397-2022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44887</v>
      </c>
      <c r="E481" s="1" t="n">
        <v>46241</v>
      </c>
      <c r="F481" t="inlineStr">
        <is>
          <t>VÄRMLANDS LÄN</t>
        </is>
      </c>
      <c r="G481" t="inlineStr">
        <is>
          <t>FILIPSTAD</t>
        </is>
      </c>
      <c r="H481" t="inlineStr">
        <is>
          <t>Bergvik skog väst AB</t>
        </is>
      </c>
      <c r="I481" t="n">
        <v>1.6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6520-2023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44960</v>
      </c>
      <c r="E482" s="1" t="n">
        <v>46241</v>
      </c>
      <c r="F482" t="inlineStr">
        <is>
          <t>VÄRMLANDS LÄN</t>
        </is>
      </c>
      <c r="G482" t="inlineStr">
        <is>
          <t>FILIPSTAD</t>
        </is>
      </c>
      <c r="H482" t="inlineStr">
        <is>
          <t>Kommuner</t>
        </is>
      </c>
      <c r="I482" t="n">
        <v>1.6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55978-2022</t>
        </is>
      </c>
      <c r="B483" t="inlineStr">
        <is>
          <t>avverkningsanmälan</t>
        </is>
      </c>
      <c r="C483" t="inlineStr">
        <is>
          <t>Avverkning för annat ändamål</t>
        </is>
      </c>
      <c r="D483" s="1" t="n">
        <v>44889</v>
      </c>
      <c r="E483" s="1" t="n">
        <v>46241</v>
      </c>
      <c r="F483" t="inlineStr">
        <is>
          <t>VÄRMLANDS LÄN</t>
        </is>
      </c>
      <c r="G483" t="inlineStr">
        <is>
          <t>FILIPSTAD</t>
        </is>
      </c>
      <c r="H483" t="inlineStr">
        <is>
          <t>Bergvik skog väst AB</t>
        </is>
      </c>
      <c r="I483" t="n">
        <v>2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27774-2026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46191</v>
      </c>
      <c r="E484" s="1" t="n">
        <v>46241</v>
      </c>
      <c r="F484" t="inlineStr">
        <is>
          <t>VÄRMLANDS LÄN</t>
        </is>
      </c>
      <c r="G484" t="inlineStr">
        <is>
          <t>FILIPSTAD</t>
        </is>
      </c>
      <c r="H484" t="inlineStr">
        <is>
          <t>Bergvik skog väst AB</t>
        </is>
      </c>
      <c r="I484" t="n">
        <v>5.5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32031-2026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46233</v>
      </c>
      <c r="E485" s="1" t="n">
        <v>46241</v>
      </c>
      <c r="F485" t="inlineStr">
        <is>
          <t>VÄRMLANDS LÄN</t>
        </is>
      </c>
      <c r="G485" t="inlineStr">
        <is>
          <t>FILIPSTAD</t>
        </is>
      </c>
      <c r="H485" t="inlineStr">
        <is>
          <t>Bergvik skog väst AB</t>
        </is>
      </c>
      <c r="I485" t="n">
        <v>4.7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27595-2026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46190</v>
      </c>
      <c r="E486" s="1" t="n">
        <v>46241</v>
      </c>
      <c r="F486" t="inlineStr">
        <is>
          <t>VÄRMLANDS LÄN</t>
        </is>
      </c>
      <c r="G486" t="inlineStr">
        <is>
          <t>FILIPSTAD</t>
        </is>
      </c>
      <c r="H486" t="inlineStr">
        <is>
          <t>Bergvik skog väst AB</t>
        </is>
      </c>
      <c r="I486" t="n">
        <v>2.4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50856-2022</t>
        </is>
      </c>
      <c r="B487" t="inlineStr">
        <is>
          <t>avverkningsanmälan</t>
        </is>
      </c>
      <c r="C487" t="inlineStr">
        <is>
          <t>Avverkning för annat ändamål</t>
        </is>
      </c>
      <c r="D487" s="1" t="n">
        <v>44867</v>
      </c>
      <c r="E487" s="1" t="n">
        <v>46241</v>
      </c>
      <c r="F487" t="inlineStr">
        <is>
          <t>VÄRMLANDS LÄN</t>
        </is>
      </c>
      <c r="G487" t="inlineStr">
        <is>
          <t>FILIPSTAD</t>
        </is>
      </c>
      <c r="H487" t="inlineStr">
        <is>
          <t>Bergvik skog väst AB</t>
        </is>
      </c>
      <c r="I487" t="n">
        <v>3.5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32035-2026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46233</v>
      </c>
      <c r="E488" s="1" t="n">
        <v>46241</v>
      </c>
      <c r="F488" t="inlineStr">
        <is>
          <t>VÄRMLANDS LÄN</t>
        </is>
      </c>
      <c r="G488" t="inlineStr">
        <is>
          <t>FILIPSTAD</t>
        </is>
      </c>
      <c r="H488" t="inlineStr">
        <is>
          <t>Bergvik skog väst AB</t>
        </is>
      </c>
      <c r="I488" t="n">
        <v>3.8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61628-2022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44911</v>
      </c>
      <c r="E489" s="1" t="n">
        <v>46241</v>
      </c>
      <c r="F489" t="inlineStr">
        <is>
          <t>VÄRMLANDS LÄN</t>
        </is>
      </c>
      <c r="G489" t="inlineStr">
        <is>
          <t>FILIPSTAD</t>
        </is>
      </c>
      <c r="I489" t="n">
        <v>1.7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43264-2024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45568</v>
      </c>
      <c r="E490" s="1" t="n">
        <v>46241</v>
      </c>
      <c r="F490" t="inlineStr">
        <is>
          <t>VÄRMLANDS LÄN</t>
        </is>
      </c>
      <c r="G490" t="inlineStr">
        <is>
          <t>FILIPSTAD</t>
        </is>
      </c>
      <c r="I490" t="n">
        <v>2.4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32008-2026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46233</v>
      </c>
      <c r="E491" s="1" t="n">
        <v>46241</v>
      </c>
      <c r="F491" t="inlineStr">
        <is>
          <t>VÄRMLANDS LÄN</t>
        </is>
      </c>
      <c r="G491" t="inlineStr">
        <is>
          <t>FILIPSTAD</t>
        </is>
      </c>
      <c r="H491" t="inlineStr">
        <is>
          <t>Bergvik skog väst AB</t>
        </is>
      </c>
      <c r="I491" t="n">
        <v>5.1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32141-2026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46234</v>
      </c>
      <c r="E492" s="1" t="n">
        <v>46241</v>
      </c>
      <c r="F492" t="inlineStr">
        <is>
          <t>VÄRMLANDS LÄN</t>
        </is>
      </c>
      <c r="G492" t="inlineStr">
        <is>
          <t>FILIPSTAD</t>
        </is>
      </c>
      <c r="H492" t="inlineStr">
        <is>
          <t>Bergvik skog väst AB</t>
        </is>
      </c>
      <c r="I492" t="n">
        <v>16.5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27867-2026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46191</v>
      </c>
      <c r="E493" s="1" t="n">
        <v>46241</v>
      </c>
      <c r="F493" t="inlineStr">
        <is>
          <t>VÄRMLANDS LÄN</t>
        </is>
      </c>
      <c r="G493" t="inlineStr">
        <is>
          <t>FILIPSTAD</t>
        </is>
      </c>
      <c r="I493" t="n">
        <v>2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59296-2023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45253</v>
      </c>
      <c r="E494" s="1" t="n">
        <v>46241</v>
      </c>
      <c r="F494" t="inlineStr">
        <is>
          <t>VÄRMLANDS LÄN</t>
        </is>
      </c>
      <c r="G494" t="inlineStr">
        <is>
          <t>FILIPSTAD</t>
        </is>
      </c>
      <c r="I494" t="n">
        <v>0.9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27968-2026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46195</v>
      </c>
      <c r="E495" s="1" t="n">
        <v>46241</v>
      </c>
      <c r="F495" t="inlineStr">
        <is>
          <t>VÄRMLANDS LÄN</t>
        </is>
      </c>
      <c r="G495" t="inlineStr">
        <is>
          <t>FILIPSTAD</t>
        </is>
      </c>
      <c r="H495" t="inlineStr">
        <is>
          <t>Bergvik skog väst AB</t>
        </is>
      </c>
      <c r="I495" t="n">
        <v>6.3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32248-2026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46237</v>
      </c>
      <c r="E496" s="1" t="n">
        <v>46241</v>
      </c>
      <c r="F496" t="inlineStr">
        <is>
          <t>VÄRMLANDS LÄN</t>
        </is>
      </c>
      <c r="G496" t="inlineStr">
        <is>
          <t>FILIPSTAD</t>
        </is>
      </c>
      <c r="I496" t="n">
        <v>13.4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28094-2026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46195</v>
      </c>
      <c r="E497" s="1" t="n">
        <v>46241</v>
      </c>
      <c r="F497" t="inlineStr">
        <is>
          <t>VÄRMLANDS LÄN</t>
        </is>
      </c>
      <c r="G497" t="inlineStr">
        <is>
          <t>FILIPSTAD</t>
        </is>
      </c>
      <c r="H497" t="inlineStr">
        <is>
          <t>Bergvik skog väst AB</t>
        </is>
      </c>
      <c r="I497" t="n">
        <v>23.8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32249-2026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46237</v>
      </c>
      <c r="E498" s="1" t="n">
        <v>46241</v>
      </c>
      <c r="F498" t="inlineStr">
        <is>
          <t>VÄRMLANDS LÄN</t>
        </is>
      </c>
      <c r="G498" t="inlineStr">
        <is>
          <t>FILIPSTAD</t>
        </is>
      </c>
      <c r="H498" t="inlineStr">
        <is>
          <t>Kommuner</t>
        </is>
      </c>
      <c r="I498" t="n">
        <v>5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51031-2025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45947</v>
      </c>
      <c r="E499" s="1" t="n">
        <v>46241</v>
      </c>
      <c r="F499" t="inlineStr">
        <is>
          <t>VÄRMLANDS LÄN</t>
        </is>
      </c>
      <c r="G499" t="inlineStr">
        <is>
          <t>FILIPSTAD</t>
        </is>
      </c>
      <c r="H499" t="inlineStr">
        <is>
          <t>Bergvik skog väst AB</t>
        </is>
      </c>
      <c r="I499" t="n">
        <v>2.6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11680-2023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44994</v>
      </c>
      <c r="E500" s="1" t="n">
        <v>46241</v>
      </c>
      <c r="F500" t="inlineStr">
        <is>
          <t>VÄRMLANDS LÄN</t>
        </is>
      </c>
      <c r="G500" t="inlineStr">
        <is>
          <t>FILIPSTAD</t>
        </is>
      </c>
      <c r="H500" t="inlineStr">
        <is>
          <t>Bergvik skog väst AB</t>
        </is>
      </c>
      <c r="I500" t="n">
        <v>3.2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44384-2021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44435</v>
      </c>
      <c r="E501" s="1" t="n">
        <v>46241</v>
      </c>
      <c r="F501" t="inlineStr">
        <is>
          <t>VÄRMLANDS LÄN</t>
        </is>
      </c>
      <c r="G501" t="inlineStr">
        <is>
          <t>FILIPSTAD</t>
        </is>
      </c>
      <c r="I501" t="n">
        <v>9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32563-2026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46239</v>
      </c>
      <c r="E502" s="1" t="n">
        <v>46241</v>
      </c>
      <c r="F502" t="inlineStr">
        <is>
          <t>VÄRMLANDS LÄN</t>
        </is>
      </c>
      <c r="G502" t="inlineStr">
        <is>
          <t>FILIPSTAD</t>
        </is>
      </c>
      <c r="H502" t="inlineStr">
        <is>
          <t>Bergvik skog väst AB</t>
        </is>
      </c>
      <c r="I502" t="n">
        <v>3.4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32572-2026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46239</v>
      </c>
      <c r="E503" s="1" t="n">
        <v>46241</v>
      </c>
      <c r="F503" t="inlineStr">
        <is>
          <t>VÄRMLANDS LÄN</t>
        </is>
      </c>
      <c r="G503" t="inlineStr">
        <is>
          <t>FILIPSTAD</t>
        </is>
      </c>
      <c r="H503" t="inlineStr">
        <is>
          <t>Bergvik skog väst AB</t>
        </is>
      </c>
      <c r="I503" t="n">
        <v>4.7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32600-2026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46240</v>
      </c>
      <c r="E504" s="1" t="n">
        <v>46241</v>
      </c>
      <c r="F504" t="inlineStr">
        <is>
          <t>VÄRMLANDS LÄN</t>
        </is>
      </c>
      <c r="G504" t="inlineStr">
        <is>
          <t>FILIPSTAD</t>
        </is>
      </c>
      <c r="H504" t="inlineStr">
        <is>
          <t>Bergvik skog väst AB</t>
        </is>
      </c>
      <c r="I504" t="n">
        <v>1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32603-2026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46240</v>
      </c>
      <c r="E505" s="1" t="n">
        <v>46241</v>
      </c>
      <c r="F505" t="inlineStr">
        <is>
          <t>VÄRMLANDS LÄN</t>
        </is>
      </c>
      <c r="G505" t="inlineStr">
        <is>
          <t>FILIPSTAD</t>
        </is>
      </c>
      <c r="H505" t="inlineStr">
        <is>
          <t>Bergvik skog väst AB</t>
        </is>
      </c>
      <c r="I505" t="n">
        <v>3.8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36680-2023</t>
        </is>
      </c>
      <c r="B506" t="inlineStr">
        <is>
          <t>avverkningsanmälan</t>
        </is>
      </c>
      <c r="C506" t="inlineStr">
        <is>
          <t>Avverkning för annat ändamål</t>
        </is>
      </c>
      <c r="D506" s="1" t="n">
        <v>45153</v>
      </c>
      <c r="E506" s="1" t="n">
        <v>46241</v>
      </c>
      <c r="F506" t="inlineStr">
        <is>
          <t>VÄRMLANDS LÄN</t>
        </is>
      </c>
      <c r="G506" t="inlineStr">
        <is>
          <t>FILIPSTAD</t>
        </is>
      </c>
      <c r="I506" t="n">
        <v>0.3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28516-2026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46197</v>
      </c>
      <c r="E507" s="1" t="n">
        <v>46241</v>
      </c>
      <c r="F507" t="inlineStr">
        <is>
          <t>VÄRMLANDS LÄN</t>
        </is>
      </c>
      <c r="G507" t="inlineStr">
        <is>
          <t>FILIPSTAD</t>
        </is>
      </c>
      <c r="I507" t="n">
        <v>3.8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5803-2023</t>
        </is>
      </c>
      <c r="B508" t="inlineStr">
        <is>
          <t>avverkningsanmälan</t>
        </is>
      </c>
      <c r="C508" t="inlineStr">
        <is>
          <t>Avverkning för annat ändamål</t>
        </is>
      </c>
      <c r="D508" s="1" t="n">
        <v>44963</v>
      </c>
      <c r="E508" s="1" t="n">
        <v>46241</v>
      </c>
      <c r="F508" t="inlineStr">
        <is>
          <t>VÄRMLANDS LÄN</t>
        </is>
      </c>
      <c r="G508" t="inlineStr">
        <is>
          <t>FILIPSTAD</t>
        </is>
      </c>
      <c r="H508" t="inlineStr">
        <is>
          <t>Bergvik skog väst AB</t>
        </is>
      </c>
      <c r="I508" t="n">
        <v>2.5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32601-2026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46240</v>
      </c>
      <c r="E509" s="1" t="n">
        <v>46241</v>
      </c>
      <c r="F509" t="inlineStr">
        <is>
          <t>VÄRMLANDS LÄN</t>
        </is>
      </c>
      <c r="G509" t="inlineStr">
        <is>
          <t>FILIPSTAD</t>
        </is>
      </c>
      <c r="H509" t="inlineStr">
        <is>
          <t>Bergvik skog väst AB</t>
        </is>
      </c>
      <c r="I509" t="n">
        <v>1.1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50776-2024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45602</v>
      </c>
      <c r="E510" s="1" t="n">
        <v>46241</v>
      </c>
      <c r="F510" t="inlineStr">
        <is>
          <t>VÄRMLANDS LÄN</t>
        </is>
      </c>
      <c r="G510" t="inlineStr">
        <is>
          <t>FILIPSTAD</t>
        </is>
      </c>
      <c r="H510" t="inlineStr">
        <is>
          <t>Bergvik skog väst AB</t>
        </is>
      </c>
      <c r="I510" t="n">
        <v>15.5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28419-2026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46197</v>
      </c>
      <c r="E511" s="1" t="n">
        <v>46241</v>
      </c>
      <c r="F511" t="inlineStr">
        <is>
          <t>VÄRMLANDS LÄN</t>
        </is>
      </c>
      <c r="G511" t="inlineStr">
        <is>
          <t>FILIPSTAD</t>
        </is>
      </c>
      <c r="H511" t="inlineStr">
        <is>
          <t>Bergvik skog väst AB</t>
        </is>
      </c>
      <c r="I511" t="n">
        <v>2.3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32588-2026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46240</v>
      </c>
      <c r="E512" s="1" t="n">
        <v>46241</v>
      </c>
      <c r="F512" t="inlineStr">
        <is>
          <t>VÄRMLANDS LÄN</t>
        </is>
      </c>
      <c r="G512" t="inlineStr">
        <is>
          <t>FILIPSTAD</t>
        </is>
      </c>
      <c r="H512" t="inlineStr">
        <is>
          <t>Bergvik skog väst AB</t>
        </is>
      </c>
      <c r="I512" t="n">
        <v>1.4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51618-2022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44872</v>
      </c>
      <c r="E513" s="1" t="n">
        <v>46241</v>
      </c>
      <c r="F513" t="inlineStr">
        <is>
          <t>VÄRMLANDS LÄN</t>
        </is>
      </c>
      <c r="G513" t="inlineStr">
        <is>
          <t>FILIPSTAD</t>
        </is>
      </c>
      <c r="I513" t="n">
        <v>1.6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32442-2026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46239</v>
      </c>
      <c r="E514" s="1" t="n">
        <v>46241</v>
      </c>
      <c r="F514" t="inlineStr">
        <is>
          <t>VÄRMLANDS LÄN</t>
        </is>
      </c>
      <c r="G514" t="inlineStr">
        <is>
          <t>FILIPSTAD</t>
        </is>
      </c>
      <c r="H514" t="inlineStr">
        <is>
          <t>Bergvik skog väst AB</t>
        </is>
      </c>
      <c r="I514" t="n">
        <v>1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71971-2021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44544</v>
      </c>
      <c r="E515" s="1" t="n">
        <v>46241</v>
      </c>
      <c r="F515" t="inlineStr">
        <is>
          <t>VÄRMLANDS LÄN</t>
        </is>
      </c>
      <c r="G515" t="inlineStr">
        <is>
          <t>FILIPSTAD</t>
        </is>
      </c>
      <c r="H515" t="inlineStr">
        <is>
          <t>Bergvik skog väst AB</t>
        </is>
      </c>
      <c r="I515" t="n">
        <v>6.1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31306-2023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45114</v>
      </c>
      <c r="E516" s="1" t="n">
        <v>46241</v>
      </c>
      <c r="F516" t="inlineStr">
        <is>
          <t>VÄRMLANDS LÄN</t>
        </is>
      </c>
      <c r="G516" t="inlineStr">
        <is>
          <t>FILIPSTAD</t>
        </is>
      </c>
      <c r="H516" t="inlineStr">
        <is>
          <t>Bergvik skog väst AB</t>
        </is>
      </c>
      <c r="I516" t="n">
        <v>6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9370-2023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44981</v>
      </c>
      <c r="E517" s="1" t="n">
        <v>46241</v>
      </c>
      <c r="F517" t="inlineStr">
        <is>
          <t>VÄRMLANDS LÄN</t>
        </is>
      </c>
      <c r="G517" t="inlineStr">
        <is>
          <t>FILIPSTAD</t>
        </is>
      </c>
      <c r="H517" t="inlineStr">
        <is>
          <t>Bergvik skog väst AB</t>
        </is>
      </c>
      <c r="I517" t="n">
        <v>8.1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54008-2021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44470</v>
      </c>
      <c r="E518" s="1" t="n">
        <v>46241</v>
      </c>
      <c r="F518" t="inlineStr">
        <is>
          <t>VÄRMLANDS LÄN</t>
        </is>
      </c>
      <c r="G518" t="inlineStr">
        <is>
          <t>FILIPSTAD</t>
        </is>
      </c>
      <c r="I518" t="n">
        <v>2.1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50786-2024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45602</v>
      </c>
      <c r="E519" s="1" t="n">
        <v>46241</v>
      </c>
      <c r="F519" t="inlineStr">
        <is>
          <t>VÄRMLANDS LÄN</t>
        </is>
      </c>
      <c r="G519" t="inlineStr">
        <is>
          <t>FILIPSTAD</t>
        </is>
      </c>
      <c r="H519" t="inlineStr">
        <is>
          <t>Bergvik skog väst AB</t>
        </is>
      </c>
      <c r="I519" t="n">
        <v>3.9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5846-2023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44963</v>
      </c>
      <c r="E520" s="1" t="n">
        <v>46241</v>
      </c>
      <c r="F520" t="inlineStr">
        <is>
          <t>VÄRMLANDS LÄN</t>
        </is>
      </c>
      <c r="G520" t="inlineStr">
        <is>
          <t>FILIPSTAD</t>
        </is>
      </c>
      <c r="I520" t="n">
        <v>2.1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36809-2022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44805</v>
      </c>
      <c r="E521" s="1" t="n">
        <v>46241</v>
      </c>
      <c r="F521" t="inlineStr">
        <is>
          <t>VÄRMLANDS LÄN</t>
        </is>
      </c>
      <c r="G521" t="inlineStr">
        <is>
          <t>FILIPSTAD</t>
        </is>
      </c>
      <c r="I521" t="n">
        <v>3.8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33967-2023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45124</v>
      </c>
      <c r="E522" s="1" t="n">
        <v>46241</v>
      </c>
      <c r="F522" t="inlineStr">
        <is>
          <t>VÄRMLANDS LÄN</t>
        </is>
      </c>
      <c r="G522" t="inlineStr">
        <is>
          <t>FILIPSTAD</t>
        </is>
      </c>
      <c r="I522" t="n">
        <v>3.1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33973-2023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45124</v>
      </c>
      <c r="E523" s="1" t="n">
        <v>46241</v>
      </c>
      <c r="F523" t="inlineStr">
        <is>
          <t>VÄRMLANDS LÄN</t>
        </is>
      </c>
      <c r="G523" t="inlineStr">
        <is>
          <t>FILIPSTAD</t>
        </is>
      </c>
      <c r="I523" t="n">
        <v>7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61741-2022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44911</v>
      </c>
      <c r="E524" s="1" t="n">
        <v>46241</v>
      </c>
      <c r="F524" t="inlineStr">
        <is>
          <t>VÄRMLANDS LÄN</t>
        </is>
      </c>
      <c r="G524" t="inlineStr">
        <is>
          <t>FILIPSTAD</t>
        </is>
      </c>
      <c r="I524" t="n">
        <v>1.9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25737-2023</t>
        </is>
      </c>
      <c r="B525" t="inlineStr">
        <is>
          <t>avverkningsanmälan</t>
        </is>
      </c>
      <c r="C525" t="inlineStr">
        <is>
          <t>Avverkning för annat ändamål</t>
        </is>
      </c>
      <c r="D525" s="1" t="n">
        <v>45090</v>
      </c>
      <c r="E525" s="1" t="n">
        <v>46241</v>
      </c>
      <c r="F525" t="inlineStr">
        <is>
          <t>VÄRMLANDS LÄN</t>
        </is>
      </c>
      <c r="G525" t="inlineStr">
        <is>
          <t>FILIPSTAD</t>
        </is>
      </c>
      <c r="H525" t="inlineStr">
        <is>
          <t>Bergvik skog väst AB</t>
        </is>
      </c>
      <c r="I525" t="n">
        <v>1.8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2443-2022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44579</v>
      </c>
      <c r="E526" s="1" t="n">
        <v>46241</v>
      </c>
      <c r="F526" t="inlineStr">
        <is>
          <t>VÄRMLANDS LÄN</t>
        </is>
      </c>
      <c r="G526" t="inlineStr">
        <is>
          <t>FILIPSTAD</t>
        </is>
      </c>
      <c r="I526" t="n">
        <v>1.6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15471-2024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45401</v>
      </c>
      <c r="E527" s="1" t="n">
        <v>46241</v>
      </c>
      <c r="F527" t="inlineStr">
        <is>
          <t>VÄRMLANDS LÄN</t>
        </is>
      </c>
      <c r="G527" t="inlineStr">
        <is>
          <t>FILIPSTAD</t>
        </is>
      </c>
      <c r="I527" t="n">
        <v>0.5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32786-2024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45516</v>
      </c>
      <c r="E528" s="1" t="n">
        <v>46241</v>
      </c>
      <c r="F528" t="inlineStr">
        <is>
          <t>VÄRMLANDS LÄN</t>
        </is>
      </c>
      <c r="G528" t="inlineStr">
        <is>
          <t>FILIPSTAD</t>
        </is>
      </c>
      <c r="I528" t="n">
        <v>1.7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5992-2023</t>
        </is>
      </c>
      <c r="B529" t="inlineStr">
        <is>
          <t>avverkningsanmälan</t>
        </is>
      </c>
      <c r="C529" t="inlineStr">
        <is>
          <t>Avverkning för annat ändamål</t>
        </is>
      </c>
      <c r="D529" s="1" t="n">
        <v>44959</v>
      </c>
      <c r="E529" s="1" t="n">
        <v>46241</v>
      </c>
      <c r="F529" t="inlineStr">
        <is>
          <t>VÄRMLANDS LÄN</t>
        </is>
      </c>
      <c r="G529" t="inlineStr">
        <is>
          <t>FILIPSTAD</t>
        </is>
      </c>
      <c r="I529" t="n">
        <v>0.6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62014-2024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45655</v>
      </c>
      <c r="E530" s="1" t="n">
        <v>46241</v>
      </c>
      <c r="F530" t="inlineStr">
        <is>
          <t>VÄRMLANDS LÄN</t>
        </is>
      </c>
      <c r="G530" t="inlineStr">
        <is>
          <t>FILIPSTAD</t>
        </is>
      </c>
      <c r="I530" t="n">
        <v>1.6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17686-2023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45037</v>
      </c>
      <c r="E531" s="1" t="n">
        <v>46241</v>
      </c>
      <c r="F531" t="inlineStr">
        <is>
          <t>VÄRMLANDS LÄN</t>
        </is>
      </c>
      <c r="G531" t="inlineStr">
        <is>
          <t>FILIPSTAD</t>
        </is>
      </c>
      <c r="I531" t="n">
        <v>3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4418-2024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45327</v>
      </c>
      <c r="E532" s="1" t="n">
        <v>46241</v>
      </c>
      <c r="F532" t="inlineStr">
        <is>
          <t>VÄRMLANDS LÄN</t>
        </is>
      </c>
      <c r="G532" t="inlineStr">
        <is>
          <t>FILIPSTAD</t>
        </is>
      </c>
      <c r="H532" t="inlineStr">
        <is>
          <t>Bergvik skog väst AB</t>
        </is>
      </c>
      <c r="I532" t="n">
        <v>9.300000000000001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45516-2024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45578</v>
      </c>
      <c r="E533" s="1" t="n">
        <v>46241</v>
      </c>
      <c r="F533" t="inlineStr">
        <is>
          <t>VÄRMLANDS LÄN</t>
        </is>
      </c>
      <c r="G533" t="inlineStr">
        <is>
          <t>FILIPSTAD</t>
        </is>
      </c>
      <c r="I533" t="n">
        <v>27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46680-2024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45583</v>
      </c>
      <c r="E534" s="1" t="n">
        <v>46241</v>
      </c>
      <c r="F534" t="inlineStr">
        <is>
          <t>VÄRMLANDS LÄN</t>
        </is>
      </c>
      <c r="G534" t="inlineStr">
        <is>
          <t>FILIPSTAD</t>
        </is>
      </c>
      <c r="H534" t="inlineStr">
        <is>
          <t>Bergvik skog väst AB</t>
        </is>
      </c>
      <c r="I534" t="n">
        <v>2.5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22830-2023</t>
        </is>
      </c>
      <c r="B535" t="inlineStr">
        <is>
          <t>avverkningsanmälan</t>
        </is>
      </c>
      <c r="C535" t="inlineStr">
        <is>
          <t>Avverkning för annat ändamål</t>
        </is>
      </c>
      <c r="D535" s="1" t="n">
        <v>45072</v>
      </c>
      <c r="E535" s="1" t="n">
        <v>46241</v>
      </c>
      <c r="F535" t="inlineStr">
        <is>
          <t>VÄRMLANDS LÄN</t>
        </is>
      </c>
      <c r="G535" t="inlineStr">
        <is>
          <t>FILIPSTAD</t>
        </is>
      </c>
      <c r="H535" t="inlineStr">
        <is>
          <t>Bergvik skog väst AB</t>
        </is>
      </c>
      <c r="I535" t="n">
        <v>1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62013-2024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45655</v>
      </c>
      <c r="E536" s="1" t="n">
        <v>46241</v>
      </c>
      <c r="F536" t="inlineStr">
        <is>
          <t>VÄRMLANDS LÄN</t>
        </is>
      </c>
      <c r="G536" t="inlineStr">
        <is>
          <t>FILIPSTAD</t>
        </is>
      </c>
      <c r="I536" t="n">
        <v>26.5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48040-2023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45204</v>
      </c>
      <c r="E537" s="1" t="n">
        <v>46241</v>
      </c>
      <c r="F537" t="inlineStr">
        <is>
          <t>VÄRMLANDS LÄN</t>
        </is>
      </c>
      <c r="G537" t="inlineStr">
        <is>
          <t>FILIPSTAD</t>
        </is>
      </c>
      <c r="I537" t="n">
        <v>4.2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48908-2023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45195</v>
      </c>
      <c r="E538" s="1" t="n">
        <v>46241</v>
      </c>
      <c r="F538" t="inlineStr">
        <is>
          <t>VÄRMLANDS LÄN</t>
        </is>
      </c>
      <c r="G538" t="inlineStr">
        <is>
          <t>FILIPSTAD</t>
        </is>
      </c>
      <c r="H538" t="inlineStr">
        <is>
          <t>Bergvik skog väst AB</t>
        </is>
      </c>
      <c r="I538" t="n">
        <v>2.3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1042-2023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44935</v>
      </c>
      <c r="E539" s="1" t="n">
        <v>46241</v>
      </c>
      <c r="F539" t="inlineStr">
        <is>
          <t>VÄRMLANDS LÄN</t>
        </is>
      </c>
      <c r="G539" t="inlineStr">
        <is>
          <t>FILIPSTAD</t>
        </is>
      </c>
      <c r="I539" t="n">
        <v>1.3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10306-2025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45720</v>
      </c>
      <c r="E540" s="1" t="n">
        <v>46241</v>
      </c>
      <c r="F540" t="inlineStr">
        <is>
          <t>VÄRMLANDS LÄN</t>
        </is>
      </c>
      <c r="G540" t="inlineStr">
        <is>
          <t>FILIPSTAD</t>
        </is>
      </c>
      <c r="H540" t="inlineStr">
        <is>
          <t>Bergvik skog väst AB</t>
        </is>
      </c>
      <c r="I540" t="n">
        <v>3.1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41075-2023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45173</v>
      </c>
      <c r="E541" s="1" t="n">
        <v>46241</v>
      </c>
      <c r="F541" t="inlineStr">
        <is>
          <t>VÄRMLANDS LÄN</t>
        </is>
      </c>
      <c r="G541" t="inlineStr">
        <is>
          <t>FILIPSTAD</t>
        </is>
      </c>
      <c r="H541" t="inlineStr">
        <is>
          <t>Bergvik skog väst AB</t>
        </is>
      </c>
      <c r="I541" t="n">
        <v>4.6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14582-2025</t>
        </is>
      </c>
      <c r="B542" t="inlineStr">
        <is>
          <t>avverkningsanmälan</t>
        </is>
      </c>
      <c r="C542" t="inlineStr">
        <is>
          <t>Avverkning för annat ändamål</t>
        </is>
      </c>
      <c r="D542" s="1" t="n">
        <v>45742</v>
      </c>
      <c r="E542" s="1" t="n">
        <v>46241</v>
      </c>
      <c r="F542" t="inlineStr">
        <is>
          <t>VÄRMLANDS LÄN</t>
        </is>
      </c>
      <c r="G542" t="inlineStr">
        <is>
          <t>FILIPSTAD</t>
        </is>
      </c>
      <c r="H542" t="inlineStr">
        <is>
          <t>Bergvik skog väst AB</t>
        </is>
      </c>
      <c r="I542" t="n">
        <v>2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56840-2024</t>
        </is>
      </c>
      <c r="B543" t="inlineStr">
        <is>
          <t>avverkningsanmälan</t>
        </is>
      </c>
      <c r="C543" t="inlineStr">
        <is>
          <t>Avverkning för annat ändamål</t>
        </is>
      </c>
      <c r="D543" s="1" t="n">
        <v>45628</v>
      </c>
      <c r="E543" s="1" t="n">
        <v>46241</v>
      </c>
      <c r="F543" t="inlineStr">
        <is>
          <t>VÄRMLANDS LÄN</t>
        </is>
      </c>
      <c r="G543" t="inlineStr">
        <is>
          <t>FILIPSTAD</t>
        </is>
      </c>
      <c r="H543" t="inlineStr">
        <is>
          <t>Bergvik skog väst AB</t>
        </is>
      </c>
      <c r="I543" t="n">
        <v>1.7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8692-2025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45712</v>
      </c>
      <c r="E544" s="1" t="n">
        <v>46241</v>
      </c>
      <c r="F544" t="inlineStr">
        <is>
          <t>VÄRMLANDS LÄN</t>
        </is>
      </c>
      <c r="G544" t="inlineStr">
        <is>
          <t>FILIPSTAD</t>
        </is>
      </c>
      <c r="I544" t="n">
        <v>2.3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23618-2023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45077</v>
      </c>
      <c r="E545" s="1" t="n">
        <v>46241</v>
      </c>
      <c r="F545" t="inlineStr">
        <is>
          <t>VÄRMLANDS LÄN</t>
        </is>
      </c>
      <c r="G545" t="inlineStr">
        <is>
          <t>FILIPSTAD</t>
        </is>
      </c>
      <c r="I545" t="n">
        <v>15.8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60524-2024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45643</v>
      </c>
      <c r="E546" s="1" t="n">
        <v>46241</v>
      </c>
      <c r="F546" t="inlineStr">
        <is>
          <t>VÄRMLANDS LÄN</t>
        </is>
      </c>
      <c r="G546" t="inlineStr">
        <is>
          <t>FILIPSTAD</t>
        </is>
      </c>
      <c r="I546" t="n">
        <v>3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14328-2025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45740</v>
      </c>
      <c r="E547" s="1" t="n">
        <v>46241</v>
      </c>
      <c r="F547" t="inlineStr">
        <is>
          <t>VÄRMLANDS LÄN</t>
        </is>
      </c>
      <c r="G547" t="inlineStr">
        <is>
          <t>FILIPSTAD</t>
        </is>
      </c>
      <c r="I547" t="n">
        <v>4.3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15228-2025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45744</v>
      </c>
      <c r="E548" s="1" t="n">
        <v>46241</v>
      </c>
      <c r="F548" t="inlineStr">
        <is>
          <t>VÄRMLANDS LÄN</t>
        </is>
      </c>
      <c r="G548" t="inlineStr">
        <is>
          <t>FILIPSTAD</t>
        </is>
      </c>
      <c r="H548" t="inlineStr">
        <is>
          <t>Kommuner</t>
        </is>
      </c>
      <c r="I548" t="n">
        <v>17.7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20661-2024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45436</v>
      </c>
      <c r="E549" s="1" t="n">
        <v>46241</v>
      </c>
      <c r="F549" t="inlineStr">
        <is>
          <t>VÄRMLANDS LÄN</t>
        </is>
      </c>
      <c r="G549" t="inlineStr">
        <is>
          <t>FILIPSTAD</t>
        </is>
      </c>
      <c r="I549" t="n">
        <v>0.8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34262-2024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45524</v>
      </c>
      <c r="E550" s="1" t="n">
        <v>46241</v>
      </c>
      <c r="F550" t="inlineStr">
        <is>
          <t>VÄRMLANDS LÄN</t>
        </is>
      </c>
      <c r="G550" t="inlineStr">
        <is>
          <t>FILIPSTAD</t>
        </is>
      </c>
      <c r="I550" t="n">
        <v>1.4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491-2024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45299</v>
      </c>
      <c r="E551" s="1" t="n">
        <v>46241</v>
      </c>
      <c r="F551" t="inlineStr">
        <is>
          <t>VÄRMLANDS LÄN</t>
        </is>
      </c>
      <c r="G551" t="inlineStr">
        <is>
          <t>FILIPSTAD</t>
        </is>
      </c>
      <c r="H551" t="inlineStr">
        <is>
          <t>Bergvik skog väst AB</t>
        </is>
      </c>
      <c r="I551" t="n">
        <v>4.6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30646-2024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45495</v>
      </c>
      <c r="E552" s="1" t="n">
        <v>46241</v>
      </c>
      <c r="F552" t="inlineStr">
        <is>
          <t>VÄRMLANDS LÄN</t>
        </is>
      </c>
      <c r="G552" t="inlineStr">
        <is>
          <t>FILIPSTAD</t>
        </is>
      </c>
      <c r="I552" t="n">
        <v>4.6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27139-2024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45471</v>
      </c>
      <c r="E553" s="1" t="n">
        <v>46241</v>
      </c>
      <c r="F553" t="inlineStr">
        <is>
          <t>VÄRMLANDS LÄN</t>
        </is>
      </c>
      <c r="G553" t="inlineStr">
        <is>
          <t>FILIPSTAD</t>
        </is>
      </c>
      <c r="H553" t="inlineStr">
        <is>
          <t>Bergvik skog väst AB</t>
        </is>
      </c>
      <c r="I553" t="n">
        <v>2.5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17244-2024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45414</v>
      </c>
      <c r="E554" s="1" t="n">
        <v>46241</v>
      </c>
      <c r="F554" t="inlineStr">
        <is>
          <t>VÄRMLANDS LÄN</t>
        </is>
      </c>
      <c r="G554" t="inlineStr">
        <is>
          <t>FILIPSTAD</t>
        </is>
      </c>
      <c r="I554" t="n">
        <v>5.2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20875-2024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45439</v>
      </c>
      <c r="E555" s="1" t="n">
        <v>46241</v>
      </c>
      <c r="F555" t="inlineStr">
        <is>
          <t>VÄRMLANDS LÄN</t>
        </is>
      </c>
      <c r="G555" t="inlineStr">
        <is>
          <t>FILIPSTAD</t>
        </is>
      </c>
      <c r="H555" t="inlineStr">
        <is>
          <t>Bergvik skog väst AB</t>
        </is>
      </c>
      <c r="I555" t="n">
        <v>6.8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1346-2025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45667</v>
      </c>
      <c r="E556" s="1" t="n">
        <v>46241</v>
      </c>
      <c r="F556" t="inlineStr">
        <is>
          <t>VÄRMLANDS LÄN</t>
        </is>
      </c>
      <c r="G556" t="inlineStr">
        <is>
          <t>FILIPSTAD</t>
        </is>
      </c>
      <c r="H556" t="inlineStr">
        <is>
          <t>Kommuner</t>
        </is>
      </c>
      <c r="I556" t="n">
        <v>6.9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47002-2024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45586</v>
      </c>
      <c r="E557" s="1" t="n">
        <v>46241</v>
      </c>
      <c r="F557" t="inlineStr">
        <is>
          <t>VÄRMLANDS LÄN</t>
        </is>
      </c>
      <c r="G557" t="inlineStr">
        <is>
          <t>FILIPSTAD</t>
        </is>
      </c>
      <c r="H557" t="inlineStr">
        <is>
          <t>Bergvik skog väst AB</t>
        </is>
      </c>
      <c r="I557" t="n">
        <v>3.1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65167-2021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44515</v>
      </c>
      <c r="E558" s="1" t="n">
        <v>46241</v>
      </c>
      <c r="F558" t="inlineStr">
        <is>
          <t>VÄRMLANDS LÄN</t>
        </is>
      </c>
      <c r="G558" t="inlineStr">
        <is>
          <t>FILIPSTAD</t>
        </is>
      </c>
      <c r="I558" t="n">
        <v>1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22880-2025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45790</v>
      </c>
      <c r="E559" s="1" t="n">
        <v>46241</v>
      </c>
      <c r="F559" t="inlineStr">
        <is>
          <t>VÄRMLANDS LÄN</t>
        </is>
      </c>
      <c r="G559" t="inlineStr">
        <is>
          <t>FILIPSTAD</t>
        </is>
      </c>
      <c r="H559" t="inlineStr">
        <is>
          <t>Kyrkan</t>
        </is>
      </c>
      <c r="I559" t="n">
        <v>5.4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23266-2025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45791</v>
      </c>
      <c r="E560" s="1" t="n">
        <v>46241</v>
      </c>
      <c r="F560" t="inlineStr">
        <is>
          <t>VÄRMLANDS LÄN</t>
        </is>
      </c>
      <c r="G560" t="inlineStr">
        <is>
          <t>FILIPSTAD</t>
        </is>
      </c>
      <c r="I560" t="n">
        <v>2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23475-2025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45792</v>
      </c>
      <c r="E561" s="1" t="n">
        <v>46241</v>
      </c>
      <c r="F561" t="inlineStr">
        <is>
          <t>VÄRMLANDS LÄN</t>
        </is>
      </c>
      <c r="G561" t="inlineStr">
        <is>
          <t>FILIPSTAD</t>
        </is>
      </c>
      <c r="H561" t="inlineStr">
        <is>
          <t>Bergvik skog väst AB</t>
        </is>
      </c>
      <c r="I561" t="n">
        <v>2.5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28357-2024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45477</v>
      </c>
      <c r="E562" s="1" t="n">
        <v>46241</v>
      </c>
      <c r="F562" t="inlineStr">
        <is>
          <t>VÄRMLANDS LÄN</t>
        </is>
      </c>
      <c r="G562" t="inlineStr">
        <is>
          <t>FILIPSTAD</t>
        </is>
      </c>
      <c r="H562" t="inlineStr">
        <is>
          <t>Bergvik skog väst AB</t>
        </is>
      </c>
      <c r="I562" t="n">
        <v>5.9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48702-2024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45593</v>
      </c>
      <c r="E563" s="1" t="n">
        <v>46241</v>
      </c>
      <c r="F563" t="inlineStr">
        <is>
          <t>VÄRMLANDS LÄN</t>
        </is>
      </c>
      <c r="G563" t="inlineStr">
        <is>
          <t>FILIPSTAD</t>
        </is>
      </c>
      <c r="H563" t="inlineStr">
        <is>
          <t>Bergvik skog väst AB</t>
        </is>
      </c>
      <c r="I563" t="n">
        <v>4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35304-2024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45530</v>
      </c>
      <c r="E564" s="1" t="n">
        <v>46241</v>
      </c>
      <c r="F564" t="inlineStr">
        <is>
          <t>VÄRMLANDS LÄN</t>
        </is>
      </c>
      <c r="G564" t="inlineStr">
        <is>
          <t>FILIPSTAD</t>
        </is>
      </c>
      <c r="H564" t="inlineStr">
        <is>
          <t>Bergvik skog väst AB</t>
        </is>
      </c>
      <c r="I564" t="n">
        <v>6.6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23399-2025</t>
        </is>
      </c>
      <c r="B565" t="inlineStr">
        <is>
          <t>avverkningsanmälan</t>
        </is>
      </c>
      <c r="C565" t="inlineStr">
        <is>
          <t>Avverkning för annat ändamål</t>
        </is>
      </c>
      <c r="D565" s="1" t="n">
        <v>45792</v>
      </c>
      <c r="E565" s="1" t="n">
        <v>46241</v>
      </c>
      <c r="F565" t="inlineStr">
        <is>
          <t>VÄRMLANDS LÄN</t>
        </is>
      </c>
      <c r="G565" t="inlineStr">
        <is>
          <t>FILIPSTAD</t>
        </is>
      </c>
      <c r="H565" t="inlineStr">
        <is>
          <t>Bergvik skog väst AB</t>
        </is>
      </c>
      <c r="I565" t="n">
        <v>0.7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1350-2025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45667</v>
      </c>
      <c r="E566" s="1" t="n">
        <v>46241</v>
      </c>
      <c r="F566" t="inlineStr">
        <is>
          <t>VÄRMLANDS LÄN</t>
        </is>
      </c>
      <c r="G566" t="inlineStr">
        <is>
          <t>FILIPSTAD</t>
        </is>
      </c>
      <c r="H566" t="inlineStr">
        <is>
          <t>Kommuner</t>
        </is>
      </c>
      <c r="I566" t="n">
        <v>5.9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20844-2024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45439</v>
      </c>
      <c r="E567" s="1" t="n">
        <v>46241</v>
      </c>
      <c r="F567" t="inlineStr">
        <is>
          <t>VÄRMLANDS LÄN</t>
        </is>
      </c>
      <c r="G567" t="inlineStr">
        <is>
          <t>FILIPSTAD</t>
        </is>
      </c>
      <c r="I567" t="n">
        <v>1.6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3979-2024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45322</v>
      </c>
      <c r="E568" s="1" t="n">
        <v>46241</v>
      </c>
      <c r="F568" t="inlineStr">
        <is>
          <t>VÄRMLANDS LÄN</t>
        </is>
      </c>
      <c r="G568" t="inlineStr">
        <is>
          <t>FILIPSTAD</t>
        </is>
      </c>
      <c r="I568" t="n">
        <v>8.199999999999999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72118-2021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44543</v>
      </c>
      <c r="E569" s="1" t="n">
        <v>46241</v>
      </c>
      <c r="F569" t="inlineStr">
        <is>
          <t>VÄRMLANDS LÄN</t>
        </is>
      </c>
      <c r="G569" t="inlineStr">
        <is>
          <t>FILIPSTAD</t>
        </is>
      </c>
      <c r="I569" t="n">
        <v>2.3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24143-2025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45796</v>
      </c>
      <c r="E570" s="1" t="n">
        <v>46241</v>
      </c>
      <c r="F570" t="inlineStr">
        <is>
          <t>VÄRMLANDS LÄN</t>
        </is>
      </c>
      <c r="G570" t="inlineStr">
        <is>
          <t>FILIPSTAD</t>
        </is>
      </c>
      <c r="I570" t="n">
        <v>0.7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15396-2025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45747</v>
      </c>
      <c r="E571" s="1" t="n">
        <v>46241</v>
      </c>
      <c r="F571" t="inlineStr">
        <is>
          <t>VÄRMLANDS LÄN</t>
        </is>
      </c>
      <c r="G571" t="inlineStr">
        <is>
          <t>FILIPSTAD</t>
        </is>
      </c>
      <c r="I571" t="n">
        <v>1.5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23775-2025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45793</v>
      </c>
      <c r="E572" s="1" t="n">
        <v>46241</v>
      </c>
      <c r="F572" t="inlineStr">
        <is>
          <t>VÄRMLANDS LÄN</t>
        </is>
      </c>
      <c r="G572" t="inlineStr">
        <is>
          <t>FILIPSTAD</t>
        </is>
      </c>
      <c r="H572" t="inlineStr">
        <is>
          <t>Bergvik skog väst AB</t>
        </is>
      </c>
      <c r="I572" t="n">
        <v>1.9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8712-2024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45355</v>
      </c>
      <c r="E573" s="1" t="n">
        <v>46241</v>
      </c>
      <c r="F573" t="inlineStr">
        <is>
          <t>VÄRMLANDS LÄN</t>
        </is>
      </c>
      <c r="G573" t="inlineStr">
        <is>
          <t>FILIPSTAD</t>
        </is>
      </c>
      <c r="I573" t="n">
        <v>3.3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65174-2021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44515</v>
      </c>
      <c r="E574" s="1" t="n">
        <v>46241</v>
      </c>
      <c r="F574" t="inlineStr">
        <is>
          <t>VÄRMLANDS LÄN</t>
        </is>
      </c>
      <c r="G574" t="inlineStr">
        <is>
          <t>FILIPSTAD</t>
        </is>
      </c>
      <c r="I574" t="n">
        <v>8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15406-2025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45747</v>
      </c>
      <c r="E575" s="1" t="n">
        <v>46241</v>
      </c>
      <c r="F575" t="inlineStr">
        <is>
          <t>VÄRMLANDS LÄN</t>
        </is>
      </c>
      <c r="G575" t="inlineStr">
        <is>
          <t>FILIPSTAD</t>
        </is>
      </c>
      <c r="I575" t="n">
        <v>1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35799-2022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44801</v>
      </c>
      <c r="E576" s="1" t="n">
        <v>46241</v>
      </c>
      <c r="F576" t="inlineStr">
        <is>
          <t>VÄRMLANDS LÄN</t>
        </is>
      </c>
      <c r="G576" t="inlineStr">
        <is>
          <t>FILIPSTAD</t>
        </is>
      </c>
      <c r="I576" t="n">
        <v>2.4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47261-2024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45586</v>
      </c>
      <c r="E577" s="1" t="n">
        <v>46241</v>
      </c>
      <c r="F577" t="inlineStr">
        <is>
          <t>VÄRMLANDS LÄN</t>
        </is>
      </c>
      <c r="G577" t="inlineStr">
        <is>
          <t>FILIPSTAD</t>
        </is>
      </c>
      <c r="H577" t="inlineStr">
        <is>
          <t>Bergvik skog väst AB</t>
        </is>
      </c>
      <c r="I577" t="n">
        <v>3.3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26123-2025</t>
        </is>
      </c>
      <c r="B578" t="inlineStr">
        <is>
          <t>avverkningsanmälan</t>
        </is>
      </c>
      <c r="C578" t="inlineStr">
        <is>
          <t>Avverkning för annat ändamål</t>
        </is>
      </c>
      <c r="D578" s="1" t="n">
        <v>45805</v>
      </c>
      <c r="E578" s="1" t="n">
        <v>46241</v>
      </c>
      <c r="F578" t="inlineStr">
        <is>
          <t>VÄRMLANDS LÄN</t>
        </is>
      </c>
      <c r="G578" t="inlineStr">
        <is>
          <t>FILIPSTAD</t>
        </is>
      </c>
      <c r="I578" t="n">
        <v>1.3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26116-2025</t>
        </is>
      </c>
      <c r="B579" t="inlineStr">
        <is>
          <t>avverkningsanmälan</t>
        </is>
      </c>
      <c r="C579" t="inlineStr">
        <is>
          <t>Avverkning för annat ändamål</t>
        </is>
      </c>
      <c r="D579" s="1" t="n">
        <v>45805</v>
      </c>
      <c r="E579" s="1" t="n">
        <v>46241</v>
      </c>
      <c r="F579" t="inlineStr">
        <is>
          <t>VÄRMLANDS LÄN</t>
        </is>
      </c>
      <c r="G579" t="inlineStr">
        <is>
          <t>FILIPSTAD</t>
        </is>
      </c>
      <c r="I579" t="n">
        <v>1.2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26812-2025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45810</v>
      </c>
      <c r="E580" s="1" t="n">
        <v>46241</v>
      </c>
      <c r="F580" t="inlineStr">
        <is>
          <t>VÄRMLANDS LÄN</t>
        </is>
      </c>
      <c r="G580" t="inlineStr">
        <is>
          <t>FILIPSTAD</t>
        </is>
      </c>
      <c r="H580" t="inlineStr">
        <is>
          <t>Bergvik skog väst AB</t>
        </is>
      </c>
      <c r="I580" t="n">
        <v>5.8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26843-2024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45470</v>
      </c>
      <c r="E581" s="1" t="n">
        <v>46241</v>
      </c>
      <c r="F581" t="inlineStr">
        <is>
          <t>VÄRMLANDS LÄN</t>
        </is>
      </c>
      <c r="G581" t="inlineStr">
        <is>
          <t>FILIPSTAD</t>
        </is>
      </c>
      <c r="I581" t="n">
        <v>3.8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26599-2024</t>
        </is>
      </c>
      <c r="B582" t="inlineStr">
        <is>
          <t>avverkningsanmälan</t>
        </is>
      </c>
      <c r="C582" t="inlineStr">
        <is>
          <t>Avverkning för att bevara och utveckla /försöksver</t>
        </is>
      </c>
      <c r="D582" s="1" t="n">
        <v>45469</v>
      </c>
      <c r="E582" s="1" t="n">
        <v>46241</v>
      </c>
      <c r="F582" t="inlineStr">
        <is>
          <t>VÄRMLANDS LÄN</t>
        </is>
      </c>
      <c r="G582" t="inlineStr">
        <is>
          <t>FILIPSTAD</t>
        </is>
      </c>
      <c r="I582" t="n">
        <v>2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29885-2025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45826</v>
      </c>
      <c r="E583" s="1" t="n">
        <v>46241</v>
      </c>
      <c r="F583" t="inlineStr">
        <is>
          <t>VÄRMLANDS LÄN</t>
        </is>
      </c>
      <c r="G583" t="inlineStr">
        <is>
          <t>FILIPSTAD</t>
        </is>
      </c>
      <c r="H583" t="inlineStr">
        <is>
          <t>Bergvik skog väst AB</t>
        </is>
      </c>
      <c r="I583" t="n">
        <v>2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30049-2025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45826</v>
      </c>
      <c r="E584" s="1" t="n">
        <v>46241</v>
      </c>
      <c r="F584" t="inlineStr">
        <is>
          <t>VÄRMLANDS LÄN</t>
        </is>
      </c>
      <c r="G584" t="inlineStr">
        <is>
          <t>FILIPSTAD</t>
        </is>
      </c>
      <c r="H584" t="inlineStr">
        <is>
          <t>Bergvik skog väst AB</t>
        </is>
      </c>
      <c r="I584" t="n">
        <v>1.7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29568-2025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45825</v>
      </c>
      <c r="E585" s="1" t="n">
        <v>46241</v>
      </c>
      <c r="F585" t="inlineStr">
        <is>
          <t>VÄRMLANDS LÄN</t>
        </is>
      </c>
      <c r="G585" t="inlineStr">
        <is>
          <t>FILIPSTAD</t>
        </is>
      </c>
      <c r="H585" t="inlineStr">
        <is>
          <t>Kyrkan</t>
        </is>
      </c>
      <c r="I585" t="n">
        <v>9.199999999999999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29660-2025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45825</v>
      </c>
      <c r="E586" s="1" t="n">
        <v>46241</v>
      </c>
      <c r="F586" t="inlineStr">
        <is>
          <t>VÄRMLANDS LÄN</t>
        </is>
      </c>
      <c r="G586" t="inlineStr">
        <is>
          <t>FILIPSTAD</t>
        </is>
      </c>
      <c r="I586" t="n">
        <v>23.3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29944-2025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45826</v>
      </c>
      <c r="E587" s="1" t="n">
        <v>46241</v>
      </c>
      <c r="F587" t="inlineStr">
        <is>
          <t>VÄRMLANDS LÄN</t>
        </is>
      </c>
      <c r="G587" t="inlineStr">
        <is>
          <t>FILIPSTAD</t>
        </is>
      </c>
      <c r="H587" t="inlineStr">
        <is>
          <t>Bergvik skog väst AB</t>
        </is>
      </c>
      <c r="I587" t="n">
        <v>6.8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30169-2025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45827</v>
      </c>
      <c r="E588" s="1" t="n">
        <v>46241</v>
      </c>
      <c r="F588" t="inlineStr">
        <is>
          <t>VÄRMLANDS LÄN</t>
        </is>
      </c>
      <c r="G588" t="inlineStr">
        <is>
          <t>FILIPSTAD</t>
        </is>
      </c>
      <c r="H588" t="inlineStr">
        <is>
          <t>Kyrkan</t>
        </is>
      </c>
      <c r="I588" t="n">
        <v>6.5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31172-2025</t>
        </is>
      </c>
      <c r="B589" t="inlineStr">
        <is>
          <t>avverkningsanmälan</t>
        </is>
      </c>
      <c r="C589" t="inlineStr">
        <is>
          <t>Avverkning för att bevara och utveckla /försöksver</t>
        </is>
      </c>
      <c r="D589" s="1" t="n">
        <v>45832</v>
      </c>
      <c r="E589" s="1" t="n">
        <v>46241</v>
      </c>
      <c r="F589" t="inlineStr">
        <is>
          <t>VÄRMLANDS LÄN</t>
        </is>
      </c>
      <c r="G589" t="inlineStr">
        <is>
          <t>FILIPSTAD</t>
        </is>
      </c>
      <c r="H589" t="inlineStr">
        <is>
          <t>Bergvik skog väst AB</t>
        </is>
      </c>
      <c r="I589" t="n">
        <v>3.4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31883-2025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45834</v>
      </c>
      <c r="E590" s="1" t="n">
        <v>46241</v>
      </c>
      <c r="F590" t="inlineStr">
        <is>
          <t>VÄRMLANDS LÄN</t>
        </is>
      </c>
      <c r="G590" t="inlineStr">
        <is>
          <t>FILIPSTAD</t>
        </is>
      </c>
      <c r="I590" t="n">
        <v>18.7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32032-2025</t>
        </is>
      </c>
      <c r="B591" t="inlineStr">
        <is>
          <t>avverkningsanmälan</t>
        </is>
      </c>
      <c r="C591" t="inlineStr">
        <is>
          <t>Avverkning för annat ändamål</t>
        </is>
      </c>
      <c r="D591" s="1" t="n">
        <v>45835</v>
      </c>
      <c r="E591" s="1" t="n">
        <v>46241</v>
      </c>
      <c r="F591" t="inlineStr">
        <is>
          <t>VÄRMLANDS LÄN</t>
        </is>
      </c>
      <c r="G591" t="inlineStr">
        <is>
          <t>FILIPSTAD</t>
        </is>
      </c>
      <c r="I591" t="n">
        <v>0.2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30165-2025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45827</v>
      </c>
      <c r="E592" s="1" t="n">
        <v>46241</v>
      </c>
      <c r="F592" t="inlineStr">
        <is>
          <t>VÄRMLANDS LÄN</t>
        </is>
      </c>
      <c r="G592" t="inlineStr">
        <is>
          <t>FILIPSTAD</t>
        </is>
      </c>
      <c r="H592" t="inlineStr">
        <is>
          <t>Kyrkan</t>
        </is>
      </c>
      <c r="I592" t="n">
        <v>6.5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4743-2025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45688</v>
      </c>
      <c r="E593" s="1" t="n">
        <v>46241</v>
      </c>
      <c r="F593" t="inlineStr">
        <is>
          <t>VÄRMLANDS LÄN</t>
        </is>
      </c>
      <c r="G593" t="inlineStr">
        <is>
          <t>FILIPSTAD</t>
        </is>
      </c>
      <c r="I593" t="n">
        <v>1.7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33407-2025</t>
        </is>
      </c>
      <c r="B594" t="inlineStr">
        <is>
          <t>avverkningsanmälan</t>
        </is>
      </c>
      <c r="C594" t="inlineStr">
        <is>
          <t>Avverkning för annat ändamål</t>
        </is>
      </c>
      <c r="D594" s="1" t="n">
        <v>45841</v>
      </c>
      <c r="E594" s="1" t="n">
        <v>46241</v>
      </c>
      <c r="F594" t="inlineStr">
        <is>
          <t>VÄRMLANDS LÄN</t>
        </is>
      </c>
      <c r="G594" t="inlineStr">
        <is>
          <t>FILIPSTAD</t>
        </is>
      </c>
      <c r="H594" t="inlineStr">
        <is>
          <t>Bergvik skog väst AB</t>
        </is>
      </c>
      <c r="I594" t="n">
        <v>2.8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30077-2025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45826</v>
      </c>
      <c r="E595" s="1" t="n">
        <v>46241</v>
      </c>
      <c r="F595" t="inlineStr">
        <is>
          <t>VÄRMLANDS LÄN</t>
        </is>
      </c>
      <c r="G595" t="inlineStr">
        <is>
          <t>FILIPSTAD</t>
        </is>
      </c>
      <c r="H595" t="inlineStr">
        <is>
          <t>Bergvik skog väst AB</t>
        </is>
      </c>
      <c r="I595" t="n">
        <v>3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S 5757-2021</t>
        </is>
      </c>
      <c r="B596" t="inlineStr">
        <is>
          <t>samrådsanmälan</t>
        </is>
      </c>
      <c r="C596" t="inlineStr">
        <is>
          <t>Basväg</t>
        </is>
      </c>
      <c r="D596" s="1" t="n">
        <v>44438</v>
      </c>
      <c r="E596" s="1" t="n">
        <v>46241</v>
      </c>
      <c r="F596" t="inlineStr">
        <is>
          <t>VÄRMLANDS LÄN</t>
        </is>
      </c>
      <c r="G596" t="inlineStr">
        <is>
          <t>FILIPSTAD</t>
        </is>
      </c>
      <c r="H596" t="inlineStr">
        <is>
          <t>Bergvik skog väst AB</t>
        </is>
      </c>
      <c r="I596" t="n">
        <v>0.2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S 1191-2021</t>
        </is>
      </c>
      <c r="B597" t="inlineStr">
        <is>
          <t>samrådsanmälan</t>
        </is>
      </c>
      <c r="C597" t="inlineStr">
        <is>
          <t>Åtgärd i nyckelbiotop</t>
        </is>
      </c>
      <c r="D597" s="1" t="n">
        <v>44328</v>
      </c>
      <c r="E597" s="1" t="n">
        <v>46241</v>
      </c>
      <c r="F597" t="inlineStr">
        <is>
          <t>VÄRMLANDS LÄN</t>
        </is>
      </c>
      <c r="G597" t="inlineStr">
        <is>
          <t>FILIPSTAD</t>
        </is>
      </c>
      <c r="I597" t="n">
        <v>2.4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S 4134-2023</t>
        </is>
      </c>
      <c r="B598" t="inlineStr">
        <is>
          <t>samrådsanmälan</t>
        </is>
      </c>
      <c r="C598" t="inlineStr">
        <is>
          <t>Skogsgödsling</t>
        </is>
      </c>
      <c r="D598" s="1" t="n">
        <v>45247</v>
      </c>
      <c r="E598" s="1" t="n">
        <v>46241</v>
      </c>
      <c r="F598" t="inlineStr">
        <is>
          <t>VÄRMLANDS LÄN</t>
        </is>
      </c>
      <c r="G598" t="inlineStr">
        <is>
          <t>FILIPSTAD</t>
        </is>
      </c>
      <c r="H598" t="inlineStr">
        <is>
          <t>Bergvik skog väst AB</t>
        </is>
      </c>
      <c r="I598" t="n">
        <v>5.7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S 4115-2023</t>
        </is>
      </c>
      <c r="B599" t="inlineStr">
        <is>
          <t>samrådsanmälan</t>
        </is>
      </c>
      <c r="C599" t="inlineStr">
        <is>
          <t>Skogsgödsling</t>
        </is>
      </c>
      <c r="D599" s="1" t="n">
        <v>45246</v>
      </c>
      <c r="E599" s="1" t="n">
        <v>46241</v>
      </c>
      <c r="F599" t="inlineStr">
        <is>
          <t>VÄRMLANDS LÄN</t>
        </is>
      </c>
      <c r="G599" t="inlineStr">
        <is>
          <t>FILIPSTAD</t>
        </is>
      </c>
      <c r="H599" t="inlineStr">
        <is>
          <t>Bergvik skog väst AB</t>
        </is>
      </c>
      <c r="I599" t="n">
        <v>14.6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S 4137-2023</t>
        </is>
      </c>
      <c r="B600" t="inlineStr">
        <is>
          <t>samrådsanmälan</t>
        </is>
      </c>
      <c r="C600" t="inlineStr">
        <is>
          <t>Skogsgödsling</t>
        </is>
      </c>
      <c r="D600" s="1" t="n">
        <v>45247</v>
      </c>
      <c r="E600" s="1" t="n">
        <v>46241</v>
      </c>
      <c r="F600" t="inlineStr">
        <is>
          <t>VÄRMLANDS LÄN</t>
        </is>
      </c>
      <c r="G600" t="inlineStr">
        <is>
          <t>FILIPSTAD</t>
        </is>
      </c>
      <c r="H600" t="inlineStr">
        <is>
          <t>Bergvik skog väst AB</t>
        </is>
      </c>
      <c r="I600" t="n">
        <v>16.5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S 4132-2023</t>
        </is>
      </c>
      <c r="B601" t="inlineStr">
        <is>
          <t>samrådsanmälan</t>
        </is>
      </c>
      <c r="C601" t="inlineStr">
        <is>
          <t>Skogsgödsling</t>
        </is>
      </c>
      <c r="D601" s="1" t="n">
        <v>45247</v>
      </c>
      <c r="E601" s="1" t="n">
        <v>46241</v>
      </c>
      <c r="F601" t="inlineStr">
        <is>
          <t>VÄRMLANDS LÄN</t>
        </is>
      </c>
      <c r="G601" t="inlineStr">
        <is>
          <t>FILIPSTAD</t>
        </is>
      </c>
      <c r="H601" t="inlineStr">
        <is>
          <t>Bergvik skog väst AB</t>
        </is>
      </c>
      <c r="I601" t="n">
        <v>8.300000000000001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S 4130-2023</t>
        </is>
      </c>
      <c r="B602" t="inlineStr">
        <is>
          <t>samrådsanmälan</t>
        </is>
      </c>
      <c r="C602" t="inlineStr">
        <is>
          <t>Skogsgödsling</t>
        </is>
      </c>
      <c r="D602" s="1" t="n">
        <v>45247</v>
      </c>
      <c r="E602" s="1" t="n">
        <v>46241</v>
      </c>
      <c r="F602" t="inlineStr">
        <is>
          <t>VÄRMLANDS LÄN</t>
        </is>
      </c>
      <c r="G602" t="inlineStr">
        <is>
          <t>FILIPSTAD</t>
        </is>
      </c>
      <c r="H602" t="inlineStr">
        <is>
          <t>Bergvik skog väst AB</t>
        </is>
      </c>
      <c r="I602" t="n">
        <v>14.6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S 4127-2023</t>
        </is>
      </c>
      <c r="B603" t="inlineStr">
        <is>
          <t>samrådsanmälan</t>
        </is>
      </c>
      <c r="C603" t="inlineStr">
        <is>
          <t>Skogsgödsling</t>
        </is>
      </c>
      <c r="D603" s="1" t="n">
        <v>45247</v>
      </c>
      <c r="E603" s="1" t="n">
        <v>46241</v>
      </c>
      <c r="F603" t="inlineStr">
        <is>
          <t>VÄRMLANDS LÄN</t>
        </is>
      </c>
      <c r="G603" t="inlineStr">
        <is>
          <t>FILIPSTAD</t>
        </is>
      </c>
      <c r="H603" t="inlineStr">
        <is>
          <t>Bergvik skog väst AB</t>
        </is>
      </c>
      <c r="I603" t="n">
        <v>56.4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S 837-2023</t>
        </is>
      </c>
      <c r="B604" t="inlineStr">
        <is>
          <t>samrådsanmälan</t>
        </is>
      </c>
      <c r="C604" t="inlineStr">
        <is>
          <t>Annan skogsbruksåtgärd</t>
        </is>
      </c>
      <c r="D604" s="1" t="n">
        <v>44991</v>
      </c>
      <c r="E604" s="1" t="n">
        <v>46241</v>
      </c>
      <c r="F604" t="inlineStr">
        <is>
          <t>VÄRMLANDS LÄN</t>
        </is>
      </c>
      <c r="G604" t="inlineStr">
        <is>
          <t>FILIPSTAD</t>
        </is>
      </c>
      <c r="I604" t="n">
        <v>19.3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S 4129-2023</t>
        </is>
      </c>
      <c r="B605" t="inlineStr">
        <is>
          <t>samrådsanmälan</t>
        </is>
      </c>
      <c r="C605" t="inlineStr">
        <is>
          <t>Skogsgödsling</t>
        </is>
      </c>
      <c r="D605" s="1" t="n">
        <v>45247</v>
      </c>
      <c r="E605" s="1" t="n">
        <v>46241</v>
      </c>
      <c r="F605" t="inlineStr">
        <is>
          <t>VÄRMLANDS LÄN</t>
        </is>
      </c>
      <c r="G605" t="inlineStr">
        <is>
          <t>FILIPSTAD</t>
        </is>
      </c>
      <c r="H605" t="inlineStr">
        <is>
          <t>Bergvik skog väst AB</t>
        </is>
      </c>
      <c r="I605" t="n">
        <v>13.9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S 3919-2023</t>
        </is>
      </c>
      <c r="B606" t="inlineStr">
        <is>
          <t>samrådsanmälan</t>
        </is>
      </c>
      <c r="C606" t="inlineStr">
        <is>
          <t>Skogsgödsling</t>
        </is>
      </c>
      <c r="D606" s="1" t="n">
        <v>45233</v>
      </c>
      <c r="E606" s="1" t="n">
        <v>46241</v>
      </c>
      <c r="F606" t="inlineStr">
        <is>
          <t>VÄRMLANDS LÄN</t>
        </is>
      </c>
      <c r="G606" t="inlineStr">
        <is>
          <t>FILIPSTAD</t>
        </is>
      </c>
      <c r="H606" t="inlineStr">
        <is>
          <t>Bergvik skog väst AB</t>
        </is>
      </c>
      <c r="I606" t="n">
        <v>17.4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S 4135-2023</t>
        </is>
      </c>
      <c r="B607" t="inlineStr">
        <is>
          <t>samrådsanmälan</t>
        </is>
      </c>
      <c r="C607" t="inlineStr">
        <is>
          <t>Skogsgödsling</t>
        </is>
      </c>
      <c r="D607" s="1" t="n">
        <v>45247</v>
      </c>
      <c r="E607" s="1" t="n">
        <v>46241</v>
      </c>
      <c r="F607" t="inlineStr">
        <is>
          <t>VÄRMLANDS LÄN</t>
        </is>
      </c>
      <c r="G607" t="inlineStr">
        <is>
          <t>FILIPSTAD</t>
        </is>
      </c>
      <c r="H607" t="inlineStr">
        <is>
          <t>Bergvik skog väst AB</t>
        </is>
      </c>
      <c r="I607" t="n">
        <v>18.9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S 6078-2021</t>
        </is>
      </c>
      <c r="B608" t="inlineStr">
        <is>
          <t>samrådsanmälan</t>
        </is>
      </c>
      <c r="C608" t="inlineStr">
        <is>
          <t>Åtgärd i nyckelbiotop</t>
        </is>
      </c>
      <c r="D608" s="1" t="n">
        <v>44442</v>
      </c>
      <c r="E608" s="1" t="n">
        <v>46241</v>
      </c>
      <c r="F608" t="inlineStr">
        <is>
          <t>VÄRMLANDS LÄN</t>
        </is>
      </c>
      <c r="G608" t="inlineStr">
        <is>
          <t>FILIPSTAD</t>
        </is>
      </c>
      <c r="H608" t="inlineStr">
        <is>
          <t>Bergvik skog väst AB</t>
        </is>
      </c>
      <c r="I608" t="n">
        <v>3.7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S 4126-2023</t>
        </is>
      </c>
      <c r="B609" t="inlineStr">
        <is>
          <t>samrådsanmälan</t>
        </is>
      </c>
      <c r="C609" t="inlineStr">
        <is>
          <t>Skogsgödsling</t>
        </is>
      </c>
      <c r="D609" s="1" t="n">
        <v>45247</v>
      </c>
      <c r="E609" s="1" t="n">
        <v>46241</v>
      </c>
      <c r="F609" t="inlineStr">
        <is>
          <t>VÄRMLANDS LÄN</t>
        </is>
      </c>
      <c r="G609" t="inlineStr">
        <is>
          <t>FILIPSTAD</t>
        </is>
      </c>
      <c r="H609" t="inlineStr">
        <is>
          <t>Bergvik skog väst AB</t>
        </is>
      </c>
      <c r="I609" t="n">
        <v>20.4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S 294-2025</t>
        </is>
      </c>
      <c r="B610" t="inlineStr">
        <is>
          <t>samrådsanmälan</t>
        </is>
      </c>
      <c r="C610" t="inlineStr">
        <is>
          <t>Skogsgödsling</t>
        </is>
      </c>
      <c r="D610" s="1" t="n">
        <v>45687</v>
      </c>
      <c r="E610" s="1" t="n">
        <v>46241</v>
      </c>
      <c r="F610" t="inlineStr">
        <is>
          <t>VÄRMLANDS LÄN</t>
        </is>
      </c>
      <c r="G610" t="inlineStr">
        <is>
          <t>FILIPSTAD</t>
        </is>
      </c>
      <c r="H610" t="inlineStr">
        <is>
          <t>Bergvik skog väst AB</t>
        </is>
      </c>
      <c r="I610" t="n">
        <v>186.4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S 4116-2023</t>
        </is>
      </c>
      <c r="B611" t="inlineStr">
        <is>
          <t>samrådsanmälan</t>
        </is>
      </c>
      <c r="C611" t="inlineStr">
        <is>
          <t>Skogsgödsling</t>
        </is>
      </c>
      <c r="D611" s="1" t="n">
        <v>45246</v>
      </c>
      <c r="E611" s="1" t="n">
        <v>46241</v>
      </c>
      <c r="F611" t="inlineStr">
        <is>
          <t>VÄRMLANDS LÄN</t>
        </is>
      </c>
      <c r="G611" t="inlineStr">
        <is>
          <t>FILIPSTAD</t>
        </is>
      </c>
      <c r="H611" t="inlineStr">
        <is>
          <t>Bergvik skog väst AB</t>
        </is>
      </c>
      <c r="I611" t="n">
        <v>6.4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S 661-2025</t>
        </is>
      </c>
      <c r="B612" t="inlineStr">
        <is>
          <t>samrådsanmälan</t>
        </is>
      </c>
      <c r="C612" t="inlineStr">
        <is>
          <t>Skogsgödsling</t>
        </is>
      </c>
      <c r="D612" s="1" t="n">
        <v>45716</v>
      </c>
      <c r="E612" s="1" t="n">
        <v>46241</v>
      </c>
      <c r="F612" t="inlineStr">
        <is>
          <t>VÄRMLANDS LÄN</t>
        </is>
      </c>
      <c r="G612" t="inlineStr">
        <is>
          <t>FILIPSTAD</t>
        </is>
      </c>
      <c r="H612" t="inlineStr">
        <is>
          <t>Bergvik skog väst AB</t>
        </is>
      </c>
      <c r="I612" t="n">
        <v>161.7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S 3429-2025</t>
        </is>
      </c>
      <c r="B613" t="inlineStr">
        <is>
          <t>samrådsanmälan</t>
        </is>
      </c>
      <c r="C613" t="inlineStr">
        <is>
          <t>Annan skogsbruksåtgärd</t>
        </is>
      </c>
      <c r="D613" s="1" t="n">
        <v>45995</v>
      </c>
      <c r="E613" s="1" t="n">
        <v>46241</v>
      </c>
      <c r="F613" t="inlineStr">
        <is>
          <t>VÄRMLANDS LÄN</t>
        </is>
      </c>
      <c r="G613" t="inlineStr">
        <is>
          <t>FILIPSTAD</t>
        </is>
      </c>
      <c r="H613" t="inlineStr">
        <is>
          <t>Bergvik skog väst AB</t>
        </is>
      </c>
      <c r="I613" t="n">
        <v>12.1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S 3576-2025</t>
        </is>
      </c>
      <c r="B614" t="inlineStr">
        <is>
          <t>samrådsanmälan</t>
        </is>
      </c>
      <c r="C614" t="inlineStr">
        <is>
          <t>Skogsgödsling</t>
        </is>
      </c>
      <c r="D614" s="1" t="n">
        <v>46010</v>
      </c>
      <c r="E614" s="1" t="n">
        <v>46241</v>
      </c>
      <c r="F614" t="inlineStr">
        <is>
          <t>VÄRMLANDS LÄN</t>
        </is>
      </c>
      <c r="G614" t="inlineStr">
        <is>
          <t>FILIPSTAD</t>
        </is>
      </c>
      <c r="H614" t="inlineStr">
        <is>
          <t>Bergvik skog väst AB</t>
        </is>
      </c>
      <c r="I614" t="n">
        <v>27.1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>
      <c r="A615" t="inlineStr">
        <is>
          <t>S 105-2026</t>
        </is>
      </c>
      <c r="B615" t="inlineStr">
        <is>
          <t>samrådsanmälan</t>
        </is>
      </c>
      <c r="C615" t="inlineStr">
        <is>
          <t>Skogsgödsling</t>
        </is>
      </c>
      <c r="D615" s="1" t="n">
        <v>46036</v>
      </c>
      <c r="E615" s="1" t="n">
        <v>46241</v>
      </c>
      <c r="F615" t="inlineStr">
        <is>
          <t>VÄRMLANDS LÄN</t>
        </is>
      </c>
      <c r="G615" t="inlineStr">
        <is>
          <t>FILIPSTAD</t>
        </is>
      </c>
      <c r="H615" t="inlineStr">
        <is>
          <t>Bergvik skog väst AB</t>
        </is>
      </c>
      <c r="I615" t="n">
        <v>238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2026-08-07T01:54:25Z</dcterms:created>
  <dcterms:modified xmlns:dcterms="http://purl.org/dc/terms/" xmlns:xsi="http://www.w3.org/2001/XMLSchema-instance" xsi:type="dcterms:W3CDTF">2026-08-07T01:54:26Z</dcterms:modified>
</cp:coreProperties>
</file>