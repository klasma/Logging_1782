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46239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Vårärt
Grönkulla
Skogsknipprot
Svart trolldruva
Tibast
Tvåblad
Underviol</t>
        </is>
      </c>
      <c r="W4">
        <f>HYPERLINK("https://klasma.github.io/Logging_1782/artfynd/A 47888-2021 artfynd.xlsx", "A 47888-2021")</f>
        <v/>
      </c>
      <c r="X4">
        <f>HYPERLINK("https://klasma.github.io/Logging_1782/kartor/A 47888-2021 karta.png", "A 47888-2021")</f>
        <v/>
      </c>
      <c r="Y4">
        <f>HYPERLINK("https://klasma.github.io/Logging_1782/kartor_geotiff/A 47888-2021 georefererad karta.tif", "A 47888-2021")</f>
        <v/>
      </c>
      <c r="AA4">
        <f>HYPERLINK("https://klasma.github.io/Logging_1782/klagomål/A 47888-2021 FSC-klagomål.docx", "A 47888-2021")</f>
        <v/>
      </c>
      <c r="AB4">
        <f>HYPERLINK("https://klasma.github.io/Logging_1782/klagomålsmail/A 47888-2021 FSC-klagomål mail.docx", "A 47888-2021")</f>
        <v/>
      </c>
      <c r="AC4">
        <f>HYPERLINK("https://klasma.github.io/Logging_1782/tillsyn/A 47888-2021 tillsynsbegäran.docx", "A 47888-2021")</f>
        <v/>
      </c>
      <c r="AD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46239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t="n">
        <v>12</v>
      </c>
      <c r="V5" s="2" t="inlineStr">
        <is>
          <t>Garnlav
Dropptaggsvamp
Skuggblåslav
Ullticka
Vedtrappmossa
Bollvitmossa
Bronshjon</t>
        </is>
      </c>
      <c r="W5">
        <f>HYPERLINK("https://klasma.github.io/Logging_1782/artfynd/A 58718-2021 artfynd.xlsx", "A 58718-2021")</f>
        <v/>
      </c>
      <c r="X5">
        <f>HYPERLINK("https://klasma.github.io/Logging_1782/kartor/A 58718-2021 karta.png", "A 58718-2021")</f>
        <v/>
      </c>
      <c r="Y5">
        <f>HYPERLINK("https://klasma.github.io/Logging_1782/kartor_geotiff/A 58718-2021 georefererad karta.tif", "A 58718-2021")</f>
        <v/>
      </c>
      <c r="AA5">
        <f>HYPERLINK("https://klasma.github.io/Logging_1782/klagomål/A 58718-2021 FSC-klagomål.docx", "A 58718-2021")</f>
        <v/>
      </c>
      <c r="AB5">
        <f>HYPERLINK("https://klasma.github.io/Logging_1782/klagomålsmail/A 58718-2021 FSC-klagomål mail.docx", "A 58718-2021")</f>
        <v/>
      </c>
      <c r="AC5">
        <f>HYPERLINK("https://klasma.github.io/Logging_1782/tillsyn/A 58718-2021 tillsynsbegäran.docx", "A 58718-2021")</f>
        <v/>
      </c>
      <c r="AD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46239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46239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46239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46239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46239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46239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63625-2023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46239</v>
      </c>
      <c r="F14" t="inlineStr">
        <is>
          <t>VÄRMLANDS LÄN</t>
        </is>
      </c>
      <c r="G14" t="inlineStr">
        <is>
          <t>FILIPSTAD</t>
        </is>
      </c>
      <c r="I14" t="n">
        <v>1.9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Smalfotad taggsvamp
Vaddporing
Utter</t>
        </is>
      </c>
      <c r="W14">
        <f>HYPERLINK("https://klasma.github.io/Logging_1782/artfynd/A 63625-2023 artfynd.xlsx", "A 63625-2023")</f>
        <v/>
      </c>
      <c r="X14">
        <f>HYPERLINK("https://klasma.github.io/Logging_1782/kartor/A 63625-2023 karta.png", "A 63625-2023")</f>
        <v/>
      </c>
      <c r="Y14">
        <f>HYPERLINK("https://klasma.github.io/Logging_1782/kartor_geotiff/A 63625-2023 georefererad karta.tif", "A 63625-2023")</f>
        <v/>
      </c>
      <c r="AA14">
        <f>HYPERLINK("https://klasma.github.io/Logging_1782/klagomål/A 63625-2023 FSC-klagomål.docx", "A 63625-2023")</f>
        <v/>
      </c>
      <c r="AB14">
        <f>HYPERLINK("https://klasma.github.io/Logging_1782/klagomålsmail/A 63625-2023 FSC-klagomål mail.docx", "A 63625-2023")</f>
        <v/>
      </c>
      <c r="AC14">
        <f>HYPERLINK("https://klasma.github.io/Logging_1782/tillsyn/A 63625-2023 tillsynsbegäran.docx", "A 63625-2023")</f>
        <v/>
      </c>
      <c r="AD14">
        <f>HYPERLINK("https://klasma.github.io/Logging_1782/tillsynsmail/A 63625-2023 tillsynsbegäran mail.docx", "A 63625-2023")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46239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62116-2025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46006</v>
      </c>
      <c r="E16" s="1" t="n">
        <v>46239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Tjäder
Orre
Fläcknycklar</t>
        </is>
      </c>
      <c r="W16">
        <f>HYPERLINK("https://klasma.github.io/Logging_1782/artfynd/A 62116-2025 artfynd.xlsx", "A 62116-2025")</f>
        <v/>
      </c>
      <c r="X16">
        <f>HYPERLINK("https://klasma.github.io/Logging_1782/kartor/A 62116-2025 karta.png", "A 62116-2025")</f>
        <v/>
      </c>
      <c r="Y16">
        <f>HYPERLINK("https://klasma.github.io/Logging_1782/kartor_geotiff/A 62116-2025 georefererad karta.tif", "A 62116-2025")</f>
        <v/>
      </c>
      <c r="AA16">
        <f>HYPERLINK("https://klasma.github.io/Logging_1782/klagomål/A 62116-2025 FSC-klagomål.docx", "A 62116-2025")</f>
        <v/>
      </c>
      <c r="AB16">
        <f>HYPERLINK("https://klasma.github.io/Logging_1782/klagomålsmail/A 62116-2025 FSC-klagomål mail.docx", "A 62116-2025")</f>
        <v/>
      </c>
      <c r="AC16">
        <f>HYPERLINK("https://klasma.github.io/Logging_1782/tillsyn/A 62116-2025 tillsynsbegäran.docx", "A 62116-2025")</f>
        <v/>
      </c>
      <c r="AD16">
        <f>HYPERLINK("https://klasma.github.io/Logging_1782/tillsynsmail/A 62116-2025 tillsynsbegäran mail.docx", "A 62116-2025")</f>
        <v/>
      </c>
      <c r="AE16">
        <f>HYPERLINK("https://klasma.github.io/Logging_1782/fåglar/A 62116-2025 prioriterade fågelarter.docx", "A 62116-2025")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46239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46239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46239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16139-2025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45750</v>
      </c>
      <c r="E20" s="1" t="n">
        <v>46239</v>
      </c>
      <c r="F20" t="inlineStr">
        <is>
          <t>VÄRMLANDS LÄN</t>
        </is>
      </c>
      <c r="G20" t="inlineStr">
        <is>
          <t>FILIPSTAD</t>
        </is>
      </c>
      <c r="I20" t="n">
        <v>18.2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Bronshjon</t>
        </is>
      </c>
      <c r="W20">
        <f>HYPERLINK("https://klasma.github.io/Logging_1782/artfynd/A 16139-2025 artfynd.xlsx", "A 16139-2025")</f>
        <v/>
      </c>
      <c r="X20">
        <f>HYPERLINK("https://klasma.github.io/Logging_1782/kartor/A 16139-2025 karta.png", "A 16139-2025")</f>
        <v/>
      </c>
      <c r="Y20">
        <f>HYPERLINK("https://klasma.github.io/Logging_1782/kartor_geotiff/A 16139-2025 georefererad karta.tif", "A 16139-2025")</f>
        <v/>
      </c>
      <c r="AA20">
        <f>HYPERLINK("https://klasma.github.io/Logging_1782/klagomål/A 16139-2025 FSC-klagomål.docx", "A 16139-2025")</f>
        <v/>
      </c>
      <c r="AB20">
        <f>HYPERLINK("https://klasma.github.io/Logging_1782/klagomålsmail/A 16139-2025 FSC-klagomål mail.docx", "A 16139-2025")</f>
        <v/>
      </c>
      <c r="AC20">
        <f>HYPERLINK("https://klasma.github.io/Logging_1782/tillsyn/A 16139-2025 tillsynsbegäran.docx", "A 16139-2025")</f>
        <v/>
      </c>
      <c r="AD20">
        <f>HYPERLINK("https://klasma.github.io/Logging_1782/tillsynsmail/A 16139-2025 tillsynsbegäran mail.docx", "A 16139-2025")</f>
        <v/>
      </c>
    </row>
    <row r="21" ht="15" customHeight="1">
      <c r="A21" t="inlineStr">
        <is>
          <t>A 51103-2025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46239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8.300000000000001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Grönsiska
Smålom</t>
        </is>
      </c>
      <c r="W21">
        <f>HYPERLINK("https://klasma.github.io/Logging_1782/artfynd/A 51103-2025 artfynd.xlsx", "A 51103-2025")</f>
        <v/>
      </c>
      <c r="X21">
        <f>HYPERLINK("https://klasma.github.io/Logging_1782/kartor/A 51103-2025 karta.png", "A 51103-2025")</f>
        <v/>
      </c>
      <c r="Y21">
        <f>HYPERLINK("https://klasma.github.io/Logging_1782/kartor_geotiff/A 51103-2025 georefererad karta.tif", "A 51103-2025")</f>
        <v/>
      </c>
      <c r="AA21">
        <f>HYPERLINK("https://klasma.github.io/Logging_1782/klagomål/A 51103-2025 FSC-klagomål.docx", "A 51103-2025")</f>
        <v/>
      </c>
      <c r="AB21">
        <f>HYPERLINK("https://klasma.github.io/Logging_1782/klagomålsmail/A 51103-2025 FSC-klagomål mail.docx", "A 51103-2025")</f>
        <v/>
      </c>
      <c r="AC21">
        <f>HYPERLINK("https://klasma.github.io/Logging_1782/tillsyn/A 51103-2025 tillsynsbegäran.docx", "A 51103-2025")</f>
        <v/>
      </c>
      <c r="AD21">
        <f>HYPERLINK("https://klasma.github.io/Logging_1782/tillsynsmail/A 51103-2025 tillsynsbegäran mail.docx", "A 51103-2025")</f>
        <v/>
      </c>
      <c r="AE21">
        <f>HYPERLINK("https://klasma.github.io/Logging_1782/fåglar/A 51103-2025 prioriterade fågelarter.docx", "A 51103-2025")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46239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46239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46239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51922-2024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46239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Läderlappslav
Tjäder</t>
        </is>
      </c>
      <c r="W25">
        <f>HYPERLINK("https://klasma.github.io/Logging_1782/artfynd/A 51922-2024 artfynd.xlsx", "A 51922-2024")</f>
        <v/>
      </c>
      <c r="X25">
        <f>HYPERLINK("https://klasma.github.io/Logging_1782/kartor/A 51922-2024 karta.png", "A 51922-2024")</f>
        <v/>
      </c>
      <c r="Y25">
        <f>HYPERLINK("https://klasma.github.io/Logging_1782/kartor_geotiff/A 51922-2024 georefererad karta.tif", "A 51922-2024")</f>
        <v/>
      </c>
      <c r="AA25">
        <f>HYPERLINK("https://klasma.github.io/Logging_1782/klagomål/A 51922-2024 FSC-klagomål.docx", "A 51922-2024")</f>
        <v/>
      </c>
      <c r="AB25">
        <f>HYPERLINK("https://klasma.github.io/Logging_1782/klagomålsmail/A 51922-2024 FSC-klagomål mail.docx", "A 51922-2024")</f>
        <v/>
      </c>
      <c r="AC25">
        <f>HYPERLINK("https://klasma.github.io/Logging_1782/tillsyn/A 51922-2024 tillsynsbegäran.docx", "A 51922-2024")</f>
        <v/>
      </c>
      <c r="AD25">
        <f>HYPERLINK("https://klasma.github.io/Logging_1782/tillsynsmail/A 51922-2024 tillsynsbegäran mail.docx", "A 51922-2024")</f>
        <v/>
      </c>
      <c r="AE25">
        <f>HYPERLINK("https://klasma.github.io/Logging_1782/fåglar/A 51922-2024 prioriterade fågelarter.docx", "A 51922-2024")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46239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46239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46239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46239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25916-2025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45804</v>
      </c>
      <c r="E30" s="1" t="n">
        <v>46239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26.4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HYPERLINK("https://klasma.github.io/Logging_1782/artfynd/A 25916-2025 artfynd.xlsx", "A 25916-2025")</f>
        <v/>
      </c>
      <c r="X30">
        <f>HYPERLINK("https://klasma.github.io/Logging_1782/kartor/A 25916-2025 karta.png", "A 25916-2025")</f>
        <v/>
      </c>
      <c r="Y30">
        <f>HYPERLINK("https://klasma.github.io/Logging_1782/kartor_geotiff/A 25916-2025 georefererad karta.tif", "A 25916-2025")</f>
        <v/>
      </c>
      <c r="AA30">
        <f>HYPERLINK("https://klasma.github.io/Logging_1782/klagomål/A 25916-2025 FSC-klagomål.docx", "A 25916-2025")</f>
        <v/>
      </c>
      <c r="AB30">
        <f>HYPERLINK("https://klasma.github.io/Logging_1782/klagomålsmail/A 25916-2025 FSC-klagomål mail.docx", "A 25916-2025")</f>
        <v/>
      </c>
      <c r="AC30">
        <f>HYPERLINK("https://klasma.github.io/Logging_1782/tillsyn/A 25916-2025 tillsynsbegäran.docx", "A 25916-2025")</f>
        <v/>
      </c>
      <c r="AD30">
        <f>HYPERLINK("https://klasma.github.io/Logging_1782/tillsynsmail/A 25916-2025 tillsynsbegäran mail.docx", "A 25916-2025")</f>
        <v/>
      </c>
    </row>
    <row r="31" ht="15" customHeight="1">
      <c r="A31" t="inlineStr">
        <is>
          <t>A 10138-2024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45364</v>
      </c>
      <c r="E31" s="1" t="n">
        <v>46239</v>
      </c>
      <c r="F31" t="inlineStr">
        <is>
          <t>VÄRMLANDS LÄN</t>
        </is>
      </c>
      <c r="G31" t="inlineStr">
        <is>
          <t>FILIPSTAD</t>
        </is>
      </c>
      <c r="H31" t="inlineStr">
        <is>
          <t>Kommuner</t>
        </is>
      </c>
      <c r="I31" t="n">
        <v>6.8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Purpurknipprot</t>
        </is>
      </c>
      <c r="W31">
        <f>HYPERLINK("https://klasma.github.io/Logging_1782/artfynd/A 10138-2024 artfynd.xlsx", "A 10138-2024")</f>
        <v/>
      </c>
      <c r="X31">
        <f>HYPERLINK("https://klasma.github.io/Logging_1782/kartor/A 10138-2024 karta.png", "A 10138-2024")</f>
        <v/>
      </c>
      <c r="Y31">
        <f>HYPERLINK("https://klasma.github.io/Logging_1782/kartor_geotiff/A 10138-2024 georefererad karta.tif", "A 10138-2024")</f>
        <v/>
      </c>
      <c r="AA31">
        <f>HYPERLINK("https://klasma.github.io/Logging_1782/klagomål/A 10138-2024 FSC-klagomål.docx", "A 10138-2024")</f>
        <v/>
      </c>
      <c r="AB31">
        <f>HYPERLINK("https://klasma.github.io/Logging_1782/klagomålsmail/A 10138-2024 FSC-klagomål mail.docx", "A 10138-2024")</f>
        <v/>
      </c>
      <c r="AC31">
        <f>HYPERLINK("https://klasma.github.io/Logging_1782/tillsyn/A 10138-2024 tillsynsbegäran.docx", "A 10138-2024")</f>
        <v/>
      </c>
      <c r="AD31">
        <f>HYPERLINK("https://klasma.github.io/Logging_1782/tillsynsmail/A 10138-2024 tillsynsbegäran mail.docx", "A 10138-2024")</f>
        <v/>
      </c>
    </row>
    <row r="32" ht="15" customHeight="1">
      <c r="A32" t="inlineStr">
        <is>
          <t>A 30652-2025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45831</v>
      </c>
      <c r="E32" s="1" t="n">
        <v>46239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HYPERLINK("https://klasma.github.io/Logging_1782/artfynd/A 30652-2025 artfynd.xlsx", "A 30652-2025")</f>
        <v/>
      </c>
      <c r="X32">
        <f>HYPERLINK("https://klasma.github.io/Logging_1782/kartor/A 30652-2025 karta.png", "A 30652-2025")</f>
        <v/>
      </c>
      <c r="Y32">
        <f>HYPERLINK("https://klasma.github.io/Logging_1782/kartor_geotiff/A 30652-2025 georefererad karta.tif", "A 30652-2025")</f>
        <v/>
      </c>
      <c r="AA32">
        <f>HYPERLINK("https://klasma.github.io/Logging_1782/klagomål/A 30652-2025 FSC-klagomål.docx", "A 30652-2025")</f>
        <v/>
      </c>
      <c r="AB32">
        <f>HYPERLINK("https://klasma.github.io/Logging_1782/klagomålsmail/A 30652-2025 FSC-klagomål mail.docx", "A 30652-2025")</f>
        <v/>
      </c>
      <c r="AC32">
        <f>HYPERLINK("https://klasma.github.io/Logging_1782/tillsyn/A 30652-2025 tillsynsbegäran.docx", "A 30652-2025")</f>
        <v/>
      </c>
      <c r="AD32">
        <f>HYPERLINK("https://klasma.github.io/Logging_1782/tillsynsmail/A 30652-2025 tillsynsbegäran mail.docx", "A 30652-2025")</f>
        <v/>
      </c>
      <c r="AE32">
        <f>HYPERLINK("https://klasma.github.io/Logging_1782/fåglar/A 30652-2025 prioriterade fågelarter.docx", "A 30652-2025")</f>
        <v/>
      </c>
    </row>
    <row r="33" ht="15" customHeight="1">
      <c r="A33" t="inlineStr">
        <is>
          <t>A 51522-2022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44869</v>
      </c>
      <c r="E33" s="1" t="n">
        <v>46239</v>
      </c>
      <c r="F33" t="inlineStr">
        <is>
          <t>VÄRMLANDS LÄN</t>
        </is>
      </c>
      <c r="G33" t="inlineStr">
        <is>
          <t>FILIPSTAD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HYPERLINK("https://klasma.github.io/Logging_1782/artfynd/A 51522-2022 artfynd.xlsx", "A 51522-2022")</f>
        <v/>
      </c>
      <c r="X33">
        <f>HYPERLINK("https://klasma.github.io/Logging_1782/kartor/A 51522-2022 karta.png", "A 51522-2022")</f>
        <v/>
      </c>
      <c r="Y33">
        <f>HYPERLINK("https://klasma.github.io/Logging_1782/kartor_geotiff/A 51522-2022 georefererad karta.tif", "A 51522-2022")</f>
        <v/>
      </c>
      <c r="AA33">
        <f>HYPERLINK("https://klasma.github.io/Logging_1782/klagomål/A 51522-2022 FSC-klagomål.docx", "A 51522-2022")</f>
        <v/>
      </c>
      <c r="AB33">
        <f>HYPERLINK("https://klasma.github.io/Logging_1782/klagomålsmail/A 51522-2022 FSC-klagomål mail.docx", "A 51522-2022")</f>
        <v/>
      </c>
      <c r="AC33">
        <f>HYPERLINK("https://klasma.github.io/Logging_1782/tillsyn/A 51522-2022 tillsynsbegäran.docx", "A 51522-2022")</f>
        <v/>
      </c>
      <c r="AD33">
        <f>HYPERLINK("https://klasma.github.io/Logging_1782/tillsynsmail/A 51522-2022 tillsynsbegäran mail.docx", "A 51522-2022")</f>
        <v/>
      </c>
    </row>
    <row r="34" ht="15" customHeight="1">
      <c r="A34" t="inlineStr">
        <is>
          <t>A 38140-2024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46239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HYPERLINK("https://klasma.github.io/Logging_1782/artfynd/A 38140-2024 artfynd.xlsx", "A 38140-2024")</f>
        <v/>
      </c>
      <c r="X34">
        <f>HYPERLINK("https://klasma.github.io/Logging_1782/kartor/A 38140-2024 karta.png", "A 38140-2024")</f>
        <v/>
      </c>
      <c r="Y34">
        <f>HYPERLINK("https://klasma.github.io/Logging_1782/kartor_geotiff/A 38140-2024 georefererad karta.tif", "A 38140-2024")</f>
        <v/>
      </c>
      <c r="AA34">
        <f>HYPERLINK("https://klasma.github.io/Logging_1782/klagomål/A 38140-2024 FSC-klagomål.docx", "A 38140-2024")</f>
        <v/>
      </c>
      <c r="AB34">
        <f>HYPERLINK("https://klasma.github.io/Logging_1782/klagomålsmail/A 38140-2024 FSC-klagomål mail.docx", "A 38140-2024")</f>
        <v/>
      </c>
      <c r="AC34">
        <f>HYPERLINK("https://klasma.github.io/Logging_1782/tillsyn/A 38140-2024 tillsynsbegäran.docx", "A 38140-2024")</f>
        <v/>
      </c>
      <c r="AD34">
        <f>HYPERLINK("https://klasma.github.io/Logging_1782/tillsynsmail/A 38140-2024 tillsynsbegäran mail.docx", "A 38140-2024")</f>
        <v/>
      </c>
    </row>
    <row r="35" ht="15" customHeight="1">
      <c r="A35" t="inlineStr">
        <is>
          <t>A 34145-2024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45524</v>
      </c>
      <c r="E35" s="1" t="n">
        <v>46239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Brunklöver</t>
        </is>
      </c>
      <c r="W35">
        <f>HYPERLINK("https://klasma.github.io/Logging_1782/artfynd/A 34145-2024 artfynd.xlsx", "A 34145-2024")</f>
        <v/>
      </c>
      <c r="X35">
        <f>HYPERLINK("https://klasma.github.io/Logging_1782/kartor/A 34145-2024 karta.png", "A 34145-2024")</f>
        <v/>
      </c>
      <c r="Y35">
        <f>HYPERLINK("https://klasma.github.io/Logging_1782/kartor_geotiff/A 34145-2024 georefererad karta.tif", "A 34145-2024")</f>
        <v/>
      </c>
      <c r="AA35">
        <f>HYPERLINK("https://klasma.github.io/Logging_1782/klagomål/A 34145-2024 FSC-klagomål.docx", "A 34145-2024")</f>
        <v/>
      </c>
      <c r="AB35">
        <f>HYPERLINK("https://klasma.github.io/Logging_1782/klagomålsmail/A 34145-2024 FSC-klagomål mail.docx", "A 34145-2024")</f>
        <v/>
      </c>
      <c r="AC35">
        <f>HYPERLINK("https://klasma.github.io/Logging_1782/tillsyn/A 34145-2024 tillsynsbegäran.docx", "A 34145-2024")</f>
        <v/>
      </c>
      <c r="AD35">
        <f>HYPERLINK("https://klasma.github.io/Logging_1782/tillsynsmail/A 34145-2024 tillsynsbegäran mail.docx", "A 34145-2024")</f>
        <v/>
      </c>
    </row>
    <row r="36" ht="15" customHeight="1">
      <c r="A36" t="inlineStr">
        <is>
          <t>A 23046-2023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46239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HYPERLINK("https://klasma.github.io/Logging_1782/artfynd/A 23046-2023 artfynd.xlsx", "A 23046-2023")</f>
        <v/>
      </c>
      <c r="X36">
        <f>HYPERLINK("https://klasma.github.io/Logging_1782/kartor/A 23046-2023 karta.png", "A 23046-2023")</f>
        <v/>
      </c>
      <c r="Y36">
        <f>HYPERLINK("https://klasma.github.io/Logging_1782/kartor_geotiff/A 23046-2023 georefererad karta.tif", "A 23046-2023")</f>
        <v/>
      </c>
      <c r="Z36">
        <f>HYPERLINK("https://klasma.github.io/Logging_1782/knärot/A 23046-2023 karta knärot.png", "A 23046-2023")</f>
        <v/>
      </c>
      <c r="AA36">
        <f>HYPERLINK("https://klasma.github.io/Logging_1782/klagomål/A 23046-2023 FSC-klagomål.docx", "A 23046-2023")</f>
        <v/>
      </c>
      <c r="AB36">
        <f>HYPERLINK("https://klasma.github.io/Logging_1782/klagomålsmail/A 23046-2023 FSC-klagomål mail.docx", "A 23046-2023")</f>
        <v/>
      </c>
      <c r="AC36">
        <f>HYPERLINK("https://klasma.github.io/Logging_1782/tillsyn/A 23046-2023 tillsynsbegäran.docx", "A 23046-2023")</f>
        <v/>
      </c>
      <c r="AD36">
        <f>HYPERLINK("https://klasma.github.io/Logging_1782/tillsynsmail/A 23046-2023 tillsynsbegäran mail.docx", "A 23046-2023")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46239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11453-2025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45726</v>
      </c>
      <c r="E38" s="1" t="n">
        <v>46239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Purpurknipprot</t>
        </is>
      </c>
      <c r="W38">
        <f>HYPERLINK("https://klasma.github.io/Logging_1782/artfynd/A 11453-2025 artfynd.xlsx", "A 11453-2025")</f>
        <v/>
      </c>
      <c r="X38">
        <f>HYPERLINK("https://klasma.github.io/Logging_1782/kartor/A 11453-2025 karta.png", "A 11453-2025")</f>
        <v/>
      </c>
      <c r="Y38">
        <f>HYPERLINK("https://klasma.github.io/Logging_1782/kartor_geotiff/A 11453-2025 georefererad karta.tif", "A 11453-2025")</f>
        <v/>
      </c>
      <c r="AA38">
        <f>HYPERLINK("https://klasma.github.io/Logging_1782/klagomål/A 11453-2025 FSC-klagomål.docx", "A 11453-2025")</f>
        <v/>
      </c>
      <c r="AB38">
        <f>HYPERLINK("https://klasma.github.io/Logging_1782/klagomålsmail/A 11453-2025 FSC-klagomål mail.docx", "A 11453-2025")</f>
        <v/>
      </c>
      <c r="AC38">
        <f>HYPERLINK("https://klasma.github.io/Logging_1782/tillsyn/A 11453-2025 tillsynsbegäran.docx", "A 11453-2025")</f>
        <v/>
      </c>
      <c r="AD38">
        <f>HYPERLINK("https://klasma.github.io/Logging_1782/tillsynsmail/A 11453-2025 tillsynsbegäran mail.docx", "A 11453-2025")</f>
        <v/>
      </c>
    </row>
    <row r="39" ht="15" customHeight="1">
      <c r="A39" t="inlineStr">
        <is>
          <t>A 28915-2026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46239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Stjärnstarr</t>
        </is>
      </c>
      <c r="W39">
        <f>HYPERLINK("https://klasma.github.io/Logging_1782/artfynd/A 28915-2026 artfynd.xlsx", "A 28915-2026")</f>
        <v/>
      </c>
      <c r="X39">
        <f>HYPERLINK("https://klasma.github.io/Logging_1782/kartor/A 28915-2026 karta.png", "A 28915-2026")</f>
        <v/>
      </c>
      <c r="Y39">
        <f>HYPERLINK("https://klasma.github.io/Logging_1782/kartor_geotiff/A 28915-2026 georefererad karta.tif", "A 28915-2026")</f>
        <v/>
      </c>
      <c r="AA39">
        <f>HYPERLINK("https://klasma.github.io/Logging_1782/klagomål/A 28915-2026 FSC-klagomål.docx", "A 28915-2026")</f>
        <v/>
      </c>
      <c r="AB39">
        <f>HYPERLINK("https://klasma.github.io/Logging_1782/klagomålsmail/A 28915-2026 FSC-klagomål mail.docx", "A 28915-2026")</f>
        <v/>
      </c>
      <c r="AC39">
        <f>HYPERLINK("https://klasma.github.io/Logging_1782/tillsyn/A 28915-2026 tillsynsbegäran.docx", "A 28915-2026")</f>
        <v/>
      </c>
      <c r="AD39">
        <f>HYPERLINK("https://klasma.github.io/Logging_1782/tillsynsmail/A 28915-2026 tillsynsbegäran mail.docx", "A 28915-2026")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46239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31257-2026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46239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10.2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Gräsull</t>
        </is>
      </c>
      <c r="W41">
        <f>HYPERLINK("https://klasma.github.io/Logging_1782/artfynd/A 31257-2026 artfynd.xlsx", "A 31257-2026")</f>
        <v/>
      </c>
      <c r="X41">
        <f>HYPERLINK("https://klasma.github.io/Logging_1782/kartor/A 31257-2026 karta.png", "A 31257-2026")</f>
        <v/>
      </c>
      <c r="Y41">
        <f>HYPERLINK("https://klasma.github.io/Logging_1782/kartor_geotiff/A 31257-2026 georefererad karta.tif", "A 31257-2026")</f>
        <v/>
      </c>
      <c r="AA41">
        <f>HYPERLINK("https://klasma.github.io/Logging_1782/klagomål/A 31257-2026 FSC-klagomål.docx", "A 31257-2026")</f>
        <v/>
      </c>
      <c r="AB41">
        <f>HYPERLINK("https://klasma.github.io/Logging_1782/klagomålsmail/A 31257-2026 FSC-klagomål mail.docx", "A 31257-2026")</f>
        <v/>
      </c>
      <c r="AC41">
        <f>HYPERLINK("https://klasma.github.io/Logging_1782/tillsyn/A 31257-2026 tillsynsbegäran.docx", "A 31257-2026")</f>
        <v/>
      </c>
      <c r="AD41">
        <f>HYPERLINK("https://klasma.github.io/Logging_1782/tillsynsmail/A 31257-2026 tillsynsbegäran mail.docx", "A 31257-2026")</f>
        <v/>
      </c>
    </row>
    <row r="42" ht="15" customHeight="1">
      <c r="A42" t="inlineStr">
        <is>
          <t>A 4560-2025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45687</v>
      </c>
      <c r="E42" s="1" t="n">
        <v>46239</v>
      </c>
      <c r="F42" t="inlineStr">
        <is>
          <t>VÄRMLANDS LÄN</t>
        </is>
      </c>
      <c r="G42" t="inlineStr">
        <is>
          <t>FILIPSTAD</t>
        </is>
      </c>
      <c r="I42" t="n">
        <v>13.6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Skrovlig taggsvamp</t>
        </is>
      </c>
      <c r="W42">
        <f>HYPERLINK("https://klasma.github.io/Logging_1782/artfynd/A 4560-2025 artfynd.xlsx", "A 4560-2025")</f>
        <v/>
      </c>
      <c r="X42">
        <f>HYPERLINK("https://klasma.github.io/Logging_1782/kartor/A 4560-2025 karta.png", "A 4560-2025")</f>
        <v/>
      </c>
      <c r="Y42">
        <f>HYPERLINK("https://klasma.github.io/Logging_1782/kartor_geotiff/A 4560-2025 georefererad karta.tif", "A 4560-2025")</f>
        <v/>
      </c>
      <c r="AA42">
        <f>HYPERLINK("https://klasma.github.io/Logging_1782/klagomål/A 4560-2025 FSC-klagomål.docx", "A 4560-2025")</f>
        <v/>
      </c>
      <c r="AB42">
        <f>HYPERLINK("https://klasma.github.io/Logging_1782/klagomålsmail/A 4560-2025 FSC-klagomål mail.docx", "A 4560-2025")</f>
        <v/>
      </c>
      <c r="AC42">
        <f>HYPERLINK("https://klasma.github.io/Logging_1782/tillsyn/A 4560-2025 tillsynsbegäran.docx", "A 4560-2025")</f>
        <v/>
      </c>
      <c r="AD42">
        <f>HYPERLINK("https://klasma.github.io/Logging_1782/tillsynsmail/A 4560-2025 tillsynsbegäran mail.docx", "A 4560-2025")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46239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Talltaggsvamp</t>
        </is>
      </c>
      <c r="W43">
        <f>HYPERLINK("https://klasma.github.io/Logging_1782/artfynd/A 25862-2026 artfynd.xlsx", "A 25862-2026")</f>
        <v/>
      </c>
      <c r="X43">
        <f>HYPERLINK("https://klasma.github.io/Logging_1782/kartor/A 25862-2026 karta.png", "A 25862-2026")</f>
        <v/>
      </c>
      <c r="Y43">
        <f>HYPERLINK("https://klasma.github.io/Logging_1782/kartor_geotiff/A 25862-2026 georefererad karta.tif", "A 25862-2026")</f>
        <v/>
      </c>
      <c r="AA43">
        <f>HYPERLINK("https://klasma.github.io/Logging_1782/klagomål/A 25862-2026 FSC-klagomål.docx", "A 25862-2026")</f>
        <v/>
      </c>
      <c r="AB43">
        <f>HYPERLINK("https://klasma.github.io/Logging_1782/klagomålsmail/A 25862-2026 FSC-klagomål mail.docx", "A 25862-2026")</f>
        <v/>
      </c>
      <c r="AC43">
        <f>HYPERLINK("https://klasma.github.io/Logging_1782/tillsyn/A 25862-2026 tillsynsbegäran.docx", "A 25862-2026")</f>
        <v/>
      </c>
      <c r="AD43">
        <f>HYPERLINK("https://klasma.github.io/Logging_1782/tillsynsmail/A 25862-2026 tillsynsbegäran mail.docx", "A 25862-2026")</f>
        <v/>
      </c>
    </row>
    <row r="44" ht="15" customHeight="1">
      <c r="A44" t="inlineStr">
        <is>
          <t>A 17529-2026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46239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Ädellav</t>
        </is>
      </c>
      <c r="W44">
        <f>HYPERLINK("https://klasma.github.io/Logging_1782/artfynd/A 17529-2026 artfynd.xlsx", "A 17529-2026")</f>
        <v/>
      </c>
      <c r="X44">
        <f>HYPERLINK("https://klasma.github.io/Logging_1782/kartor/A 17529-2026 karta.png", "A 17529-2026")</f>
        <v/>
      </c>
      <c r="Y44">
        <f>HYPERLINK("https://klasma.github.io/Logging_1782/kartor_geotiff/A 17529-2026 georefererad karta.tif", "A 17529-2026")</f>
        <v/>
      </c>
      <c r="AA44">
        <f>HYPERLINK("https://klasma.github.io/Logging_1782/klagomål/A 17529-2026 FSC-klagomål.docx", "A 17529-2026")</f>
        <v/>
      </c>
      <c r="AB44">
        <f>HYPERLINK("https://klasma.github.io/Logging_1782/klagomålsmail/A 17529-2026 FSC-klagomål mail.docx", "A 17529-2026")</f>
        <v/>
      </c>
      <c r="AC44">
        <f>HYPERLINK("https://klasma.github.io/Logging_1782/tillsyn/A 17529-2026 tillsynsbegäran.docx", "A 17529-2026")</f>
        <v/>
      </c>
      <c r="AD44">
        <f>HYPERLINK("https://klasma.github.io/Logging_1782/tillsynsmail/A 17529-2026 tillsynsbegäran mail.docx", "A 17529-2026")</f>
        <v/>
      </c>
    </row>
    <row r="45" ht="15" customHeight="1">
      <c r="A45" t="inlineStr">
        <is>
          <t>A 874-2025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45665</v>
      </c>
      <c r="E45" s="1" t="n">
        <v>46239</v>
      </c>
      <c r="F45" t="inlineStr">
        <is>
          <t>VÄRMLANDS LÄN</t>
        </is>
      </c>
      <c r="G45" t="inlineStr">
        <is>
          <t>FILIPSTAD</t>
        </is>
      </c>
      <c r="H45" t="inlineStr">
        <is>
          <t>Kyrkan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Kamjordstjärna</t>
        </is>
      </c>
      <c r="W45">
        <f>HYPERLINK("https://klasma.github.io/Logging_1782/artfynd/A 874-2025 artfynd.xlsx", "A 874-2025")</f>
        <v/>
      </c>
      <c r="X45">
        <f>HYPERLINK("https://klasma.github.io/Logging_1782/kartor/A 874-2025 karta.png", "A 874-2025")</f>
        <v/>
      </c>
      <c r="Y45">
        <f>HYPERLINK("https://klasma.github.io/Logging_1782/kartor_geotiff/A 874-2025 georefererad karta.tif", "A 874-2025")</f>
        <v/>
      </c>
      <c r="AA45">
        <f>HYPERLINK("https://klasma.github.io/Logging_1782/klagomål/A 874-2025 FSC-klagomål.docx", "A 874-2025")</f>
        <v/>
      </c>
      <c r="AB45">
        <f>HYPERLINK("https://klasma.github.io/Logging_1782/klagomålsmail/A 874-2025 FSC-klagomål mail.docx", "A 874-2025")</f>
        <v/>
      </c>
      <c r="AC45">
        <f>HYPERLINK("https://klasma.github.io/Logging_1782/tillsyn/A 874-2025 tillsynsbegäran.docx", "A 874-2025")</f>
        <v/>
      </c>
      <c r="AD45">
        <f>HYPERLINK("https://klasma.github.io/Logging_1782/tillsynsmail/A 874-2025 tillsynsbegäran mail.docx", "A 874-2025")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46239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46239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46239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46239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46239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46239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46239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46239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46239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46239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46239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46239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46239</v>
      </c>
      <c r="F58" t="inlineStr">
        <is>
          <t>VÄRMLANDS LÄN</t>
        </is>
      </c>
      <c r="G58" t="inlineStr">
        <is>
          <t>FILIPSTAD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46239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18.7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46239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46239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46239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44655</v>
      </c>
      <c r="E63" s="1" t="n">
        <v>46239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46239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44482</v>
      </c>
      <c r="E65" s="1" t="n">
        <v>46239</v>
      </c>
      <c r="F65" t="inlineStr">
        <is>
          <t>VÄRMLANDS LÄN</t>
        </is>
      </c>
      <c r="G65" t="inlineStr">
        <is>
          <t>FILIPSTAD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46239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44651</v>
      </c>
      <c r="E67" s="1" t="n">
        <v>46239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66376-2021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44518</v>
      </c>
      <c r="E68" s="1" t="n">
        <v>46239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46239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46239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46239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57087-2021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46239</v>
      </c>
      <c r="F72" t="inlineStr">
        <is>
          <t>VÄRMLANDS LÄN</t>
        </is>
      </c>
      <c r="G72" t="inlineStr">
        <is>
          <t>FILIPSTAD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44598</v>
      </c>
      <c r="E73" s="1" t="n">
        <v>46239</v>
      </c>
      <c r="F73" t="inlineStr">
        <is>
          <t>VÄRMLANDS LÄN</t>
        </is>
      </c>
      <c r="G73" t="inlineStr">
        <is>
          <t>FILIPSTAD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19626-2022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44694</v>
      </c>
      <c r="E74" s="1" t="n">
        <v>46239</v>
      </c>
      <c r="F74" t="inlineStr">
        <is>
          <t>VÄRMLANDS LÄN</t>
        </is>
      </c>
      <c r="G74" t="inlineStr">
        <is>
          <t>FILIPSTAD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46239</v>
      </c>
      <c r="F75" t="inlineStr">
        <is>
          <t>VÄRMLANDS LÄN</t>
        </is>
      </c>
      <c r="G75" t="inlineStr">
        <is>
          <t>FILIPSTAD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46257-2022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44847</v>
      </c>
      <c r="E76" s="1" t="n">
        <v>46239</v>
      </c>
      <c r="F76" t="inlineStr">
        <is>
          <t>VÄRMLANDS LÄN</t>
        </is>
      </c>
      <c r="G76" t="inlineStr">
        <is>
          <t>FILIPSTAD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44805</v>
      </c>
      <c r="E77" s="1" t="n">
        <v>46239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37611-2022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44809</v>
      </c>
      <c r="E78" s="1" t="n">
        <v>46239</v>
      </c>
      <c r="F78" t="inlineStr">
        <is>
          <t>VÄRMLANDS LÄN</t>
        </is>
      </c>
      <c r="G78" t="inlineStr">
        <is>
          <t>FILIPSTAD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57244-2023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45245</v>
      </c>
      <c r="E79" s="1" t="n">
        <v>46239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26123-2025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45805</v>
      </c>
      <c r="E80" s="1" t="n">
        <v>46239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26116-2025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45805</v>
      </c>
      <c r="E81" s="1" t="n">
        <v>46239</v>
      </c>
      <c r="F81" t="inlineStr">
        <is>
          <t>VÄRMLANDS LÄN</t>
        </is>
      </c>
      <c r="G81" t="inlineStr">
        <is>
          <t>FILIPSTAD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46239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44788</v>
      </c>
      <c r="E83" s="1" t="n">
        <v>46239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45470</v>
      </c>
      <c r="E84" s="1" t="n">
        <v>46239</v>
      </c>
      <c r="F84" t="inlineStr">
        <is>
          <t>VÄRMLANDS LÄN</t>
        </is>
      </c>
      <c r="G84" t="inlineStr">
        <is>
          <t>FILIPSTAD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25338-2023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45087</v>
      </c>
      <c r="E85" s="1" t="n">
        <v>46239</v>
      </c>
      <c r="F85" t="inlineStr">
        <is>
          <t>VÄRMLANDS LÄN</t>
        </is>
      </c>
      <c r="G85" t="inlineStr">
        <is>
          <t>FILIPSTAD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45230</v>
      </c>
      <c r="E86" s="1" t="n">
        <v>46239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26599-2024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45469</v>
      </c>
      <c r="E87" s="1" t="n">
        <v>46239</v>
      </c>
      <c r="F87" t="inlineStr">
        <is>
          <t>VÄRMLANDS LÄN</t>
        </is>
      </c>
      <c r="G87" t="inlineStr">
        <is>
          <t>FILIPSTAD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46239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46239</v>
      </c>
      <c r="F89" t="inlineStr">
        <is>
          <t>VÄRMLANDS LÄN</t>
        </is>
      </c>
      <c r="G89" t="inlineStr">
        <is>
          <t>FILIPSTAD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46239</v>
      </c>
      <c r="F90" t="inlineStr">
        <is>
          <t>VÄRMLANDS LÄN</t>
        </is>
      </c>
      <c r="G90" t="inlineStr">
        <is>
          <t>FILIPSTAD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46239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45826</v>
      </c>
      <c r="E92" s="1" t="n">
        <v>46239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45826</v>
      </c>
      <c r="E93" s="1" t="n">
        <v>46239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46239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29568-2025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46239</v>
      </c>
      <c r="F95" t="inlineStr">
        <is>
          <t>VÄRMLANDS LÄN</t>
        </is>
      </c>
      <c r="G95" t="inlineStr">
        <is>
          <t>FILIPSTAD</t>
        </is>
      </c>
      <c r="H95" t="inlineStr">
        <is>
          <t>Kyrkan</t>
        </is>
      </c>
      <c r="I95" t="n">
        <v>9.199999999999999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46239</v>
      </c>
      <c r="F96" t="inlineStr">
        <is>
          <t>VÄRMLANDS LÄN</t>
        </is>
      </c>
      <c r="G96" t="inlineStr">
        <is>
          <t>FILIPSTAD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29660-2025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45825</v>
      </c>
      <c r="E97" s="1" t="n">
        <v>46239</v>
      </c>
      <c r="F97" t="inlineStr">
        <is>
          <t>VÄRMLANDS LÄN</t>
        </is>
      </c>
      <c r="G97" t="inlineStr">
        <is>
          <t>FILIPSTAD</t>
        </is>
      </c>
      <c r="I97" t="n">
        <v>23.3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45826</v>
      </c>
      <c r="E98" s="1" t="n">
        <v>46239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46239</v>
      </c>
      <c r="F99" t="inlineStr">
        <is>
          <t>VÄRMLANDS LÄN</t>
        </is>
      </c>
      <c r="G99" t="inlineStr">
        <is>
          <t>FILIPSTAD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6860-2024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45342</v>
      </c>
      <c r="E100" s="1" t="n">
        <v>46239</v>
      </c>
      <c r="F100" t="inlineStr">
        <is>
          <t>VÄRMLANDS LÄN</t>
        </is>
      </c>
      <c r="G100" t="inlineStr">
        <is>
          <t>FILIPSTAD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30169-2025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45827</v>
      </c>
      <c r="E101" s="1" t="n">
        <v>46239</v>
      </c>
      <c r="F101" t="inlineStr">
        <is>
          <t>VÄRMLANDS LÄN</t>
        </is>
      </c>
      <c r="G101" t="inlineStr">
        <is>
          <t>FILIPSTAD</t>
        </is>
      </c>
      <c r="H101" t="inlineStr">
        <is>
          <t>Kyrkan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31172-2025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45832</v>
      </c>
      <c r="E102" s="1" t="n">
        <v>46239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46239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46239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50904-2023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45218</v>
      </c>
      <c r="E105" s="1" t="n">
        <v>46239</v>
      </c>
      <c r="F105" t="inlineStr">
        <is>
          <t>VÄRMLANDS LÄN</t>
        </is>
      </c>
      <c r="G105" t="inlineStr">
        <is>
          <t>FILIPSTAD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46239</v>
      </c>
      <c r="F106" t="inlineStr">
        <is>
          <t>VÄRMLANDS LÄN</t>
        </is>
      </c>
      <c r="G106" t="inlineStr">
        <is>
          <t>FILIPSTAD</t>
        </is>
      </c>
      <c r="I106" t="n">
        <v>18.7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45391</v>
      </c>
      <c r="E107" s="1" t="n">
        <v>46239</v>
      </c>
      <c r="F107" t="inlineStr">
        <is>
          <t>VÄRMLANDS LÄN</t>
        </is>
      </c>
      <c r="G107" t="inlineStr">
        <is>
          <t>FILIPSTAD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46239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46239</v>
      </c>
      <c r="F109" t="inlineStr">
        <is>
          <t>VÄRMLANDS LÄN</t>
        </is>
      </c>
      <c r="G109" t="inlineStr">
        <is>
          <t>FILIPSTAD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44887</v>
      </c>
      <c r="E110" s="1" t="n">
        <v>46239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32032-2025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45835</v>
      </c>
      <c r="E111" s="1" t="n">
        <v>46239</v>
      </c>
      <c r="F111" t="inlineStr">
        <is>
          <t>VÄRMLANDS LÄN</t>
        </is>
      </c>
      <c r="G111" t="inlineStr">
        <is>
          <t>FILIPSTAD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45428</v>
      </c>
      <c r="E112" s="1" t="n">
        <v>46239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8.4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46239</v>
      </c>
      <c r="F113" t="inlineStr">
        <is>
          <t>VÄRMLANDS LÄN</t>
        </is>
      </c>
      <c r="G113" t="inlineStr">
        <is>
          <t>FILIPSTAD</t>
        </is>
      </c>
      <c r="H113" t="inlineStr">
        <is>
          <t>Kyrkan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44960</v>
      </c>
      <c r="E114" s="1" t="n">
        <v>46239</v>
      </c>
      <c r="F114" t="inlineStr">
        <is>
          <t>VÄRMLANDS LÄN</t>
        </is>
      </c>
      <c r="G114" t="inlineStr">
        <is>
          <t>FILIPSTAD</t>
        </is>
      </c>
      <c r="H114" t="inlineStr">
        <is>
          <t>Kommuner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45208</v>
      </c>
      <c r="E115" s="1" t="n">
        <v>46239</v>
      </c>
      <c r="F115" t="inlineStr">
        <is>
          <t>VÄRMLANDS LÄN</t>
        </is>
      </c>
      <c r="G115" t="inlineStr">
        <is>
          <t>FILIPSTAD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45688</v>
      </c>
      <c r="E116" s="1" t="n">
        <v>46239</v>
      </c>
      <c r="F116" t="inlineStr">
        <is>
          <t>VÄRMLANDS LÄN</t>
        </is>
      </c>
      <c r="G116" t="inlineStr">
        <is>
          <t>FILIPSTAD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55978-2022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44889</v>
      </c>
      <c r="E117" s="1" t="n">
        <v>46239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45223</v>
      </c>
      <c r="E118" s="1" t="n">
        <v>46239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27107-2024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45471</v>
      </c>
      <c r="E119" s="1" t="n">
        <v>46239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33407-2025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45841</v>
      </c>
      <c r="E120" s="1" t="n">
        <v>46239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50856-2022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44867</v>
      </c>
      <c r="E121" s="1" t="n">
        <v>46239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44911</v>
      </c>
      <c r="E122" s="1" t="n">
        <v>46239</v>
      </c>
      <c r="F122" t="inlineStr">
        <is>
          <t>VÄRMLANDS LÄN</t>
        </is>
      </c>
      <c r="G122" t="inlineStr">
        <is>
          <t>FILIPSTAD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43264-2024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46239</v>
      </c>
      <c r="F123" t="inlineStr">
        <is>
          <t>VÄRMLANDS LÄN</t>
        </is>
      </c>
      <c r="G123" t="inlineStr">
        <is>
          <t>FILIPSTAD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46239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46239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46239</v>
      </c>
      <c r="F126" t="inlineStr">
        <is>
          <t>VÄRMLANDS LÄN</t>
        </is>
      </c>
      <c r="G126" t="inlineStr">
        <is>
          <t>FILIPSTAD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45253</v>
      </c>
      <c r="E127" s="1" t="n">
        <v>46239</v>
      </c>
      <c r="F127" t="inlineStr">
        <is>
          <t>VÄRMLANDS LÄN</t>
        </is>
      </c>
      <c r="G127" t="inlineStr">
        <is>
          <t>FILIPSTAD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46239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51266-2021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44461</v>
      </c>
      <c r="E129" s="1" t="n">
        <v>46239</v>
      </c>
      <c r="F129" t="inlineStr">
        <is>
          <t>VÄRMLANDS LÄN</t>
        </is>
      </c>
      <c r="G129" t="inlineStr">
        <is>
          <t>FILIPSTAD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46239</v>
      </c>
      <c r="F130" t="inlineStr">
        <is>
          <t>VÄRMLANDS LÄN</t>
        </is>
      </c>
      <c r="G130" t="inlineStr">
        <is>
          <t>FILIPSTAD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45257</v>
      </c>
      <c r="E131" s="1" t="n">
        <v>46239</v>
      </c>
      <c r="F131" t="inlineStr">
        <is>
          <t>VÄRMLANDS LÄN</t>
        </is>
      </c>
      <c r="G131" t="inlineStr">
        <is>
          <t>FILIPSTAD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45418</v>
      </c>
      <c r="E132" s="1" t="n">
        <v>46239</v>
      </c>
      <c r="F132" t="inlineStr">
        <is>
          <t>VÄRMLANDS LÄN</t>
        </is>
      </c>
      <c r="G132" t="inlineStr">
        <is>
          <t>FILIPSTAD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46239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44384-2021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44435</v>
      </c>
      <c r="E134" s="1" t="n">
        <v>46239</v>
      </c>
      <c r="F134" t="inlineStr">
        <is>
          <t>VÄRMLANDS LÄN</t>
        </is>
      </c>
      <c r="G134" t="inlineStr">
        <is>
          <t>FILIPSTAD</t>
        </is>
      </c>
      <c r="I134" t="n">
        <v>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36680-2023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45153</v>
      </c>
      <c r="E135" s="1" t="n">
        <v>46239</v>
      </c>
      <c r="F135" t="inlineStr">
        <is>
          <t>VÄRMLANDS LÄN</t>
        </is>
      </c>
      <c r="G135" t="inlineStr">
        <is>
          <t>FILIPSTAD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44963</v>
      </c>
      <c r="E136" s="1" t="n">
        <v>46239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36582-2025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45870</v>
      </c>
      <c r="E137" s="1" t="n">
        <v>46239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45602</v>
      </c>
      <c r="E138" s="1" t="n">
        <v>46239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51618-2022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44872</v>
      </c>
      <c r="E139" s="1" t="n">
        <v>46239</v>
      </c>
      <c r="F139" t="inlineStr">
        <is>
          <t>VÄRMLANDS LÄN</t>
        </is>
      </c>
      <c r="G139" t="inlineStr">
        <is>
          <t>FILIPSTAD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46239</v>
      </c>
      <c r="F140" t="inlineStr">
        <is>
          <t>VÄRMLANDS LÄN</t>
        </is>
      </c>
      <c r="G140" t="inlineStr">
        <is>
          <t>FILIPSTAD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45463</v>
      </c>
      <c r="E141" s="1" t="n">
        <v>46239</v>
      </c>
      <c r="F141" t="inlineStr">
        <is>
          <t>VÄRMLANDS LÄN</t>
        </is>
      </c>
      <c r="G141" t="inlineStr">
        <is>
          <t>FILIPSTAD</t>
        </is>
      </c>
      <c r="I141" t="n">
        <v>13.2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71971-2021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44544</v>
      </c>
      <c r="E142" s="1" t="n">
        <v>46239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45511</v>
      </c>
      <c r="E143" s="1" t="n">
        <v>46239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46239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45114</v>
      </c>
      <c r="E145" s="1" t="n">
        <v>46239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45120</v>
      </c>
      <c r="E146" s="1" t="n">
        <v>46239</v>
      </c>
      <c r="F146" t="inlineStr">
        <is>
          <t>VÄRMLANDS LÄN</t>
        </is>
      </c>
      <c r="G146" t="inlineStr">
        <is>
          <t>FILIPSTAD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46239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54398-2024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45617</v>
      </c>
      <c r="E148" s="1" t="n">
        <v>46239</v>
      </c>
      <c r="F148" t="inlineStr">
        <is>
          <t>VÄRMLANDS LÄN</t>
        </is>
      </c>
      <c r="G148" t="inlineStr">
        <is>
          <t>FILIPSTAD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46239</v>
      </c>
      <c r="F149" t="inlineStr">
        <is>
          <t>VÄRMLANDS LÄN</t>
        </is>
      </c>
      <c r="G149" t="inlineStr">
        <is>
          <t>FILIPSTAD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45567</v>
      </c>
      <c r="E150" s="1" t="n">
        <v>46239</v>
      </c>
      <c r="F150" t="inlineStr">
        <is>
          <t>VÄRMLANDS LÄN</t>
        </is>
      </c>
      <c r="G150" t="inlineStr">
        <is>
          <t>FILIPSTAD</t>
        </is>
      </c>
      <c r="H150" t="inlineStr">
        <is>
          <t>Kyrkan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54008-2021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44470</v>
      </c>
      <c r="E151" s="1" t="n">
        <v>46239</v>
      </c>
      <c r="F151" t="inlineStr">
        <is>
          <t>VÄRMLANDS LÄN</t>
        </is>
      </c>
      <c r="G151" t="inlineStr">
        <is>
          <t>FILIPSTAD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45602</v>
      </c>
      <c r="E152" s="1" t="n">
        <v>46239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44963</v>
      </c>
      <c r="E153" s="1" t="n">
        <v>46239</v>
      </c>
      <c r="F153" t="inlineStr">
        <is>
          <t>VÄRMLANDS LÄN</t>
        </is>
      </c>
      <c r="G153" t="inlineStr">
        <is>
          <t>FILIPSTAD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44805</v>
      </c>
      <c r="E154" s="1" t="n">
        <v>46239</v>
      </c>
      <c r="F154" t="inlineStr">
        <is>
          <t>VÄRMLANDS LÄN</t>
        </is>
      </c>
      <c r="G154" t="inlineStr">
        <is>
          <t>FILIPSTAD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45124</v>
      </c>
      <c r="E155" s="1" t="n">
        <v>46239</v>
      </c>
      <c r="F155" t="inlineStr">
        <is>
          <t>VÄRMLANDS LÄN</t>
        </is>
      </c>
      <c r="G155" t="inlineStr">
        <is>
          <t>FILIPSTAD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45124</v>
      </c>
      <c r="E156" s="1" t="n">
        <v>46239</v>
      </c>
      <c r="F156" t="inlineStr">
        <is>
          <t>VÄRMLANDS LÄN</t>
        </is>
      </c>
      <c r="G156" t="inlineStr">
        <is>
          <t>FILIPSTAD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44911</v>
      </c>
      <c r="E157" s="1" t="n">
        <v>46239</v>
      </c>
      <c r="F157" t="inlineStr">
        <is>
          <t>VÄRMLANDS LÄN</t>
        </is>
      </c>
      <c r="G157" t="inlineStr">
        <is>
          <t>FILIPSTAD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45393</v>
      </c>
      <c r="E158" s="1" t="n">
        <v>46239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25737-2023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45090</v>
      </c>
      <c r="E159" s="1" t="n">
        <v>46239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46239</v>
      </c>
      <c r="F160" t="inlineStr">
        <is>
          <t>VÄRMLANDS LÄN</t>
        </is>
      </c>
      <c r="G160" t="inlineStr">
        <is>
          <t>FILIPSTAD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44588</v>
      </c>
      <c r="E161" s="1" t="n">
        <v>46239</v>
      </c>
      <c r="F161" t="inlineStr">
        <is>
          <t>VÄRMLANDS LÄN</t>
        </is>
      </c>
      <c r="G161" t="inlineStr">
        <is>
          <t>FILIPSTAD</t>
        </is>
      </c>
      <c r="H161" t="inlineStr">
        <is>
          <t>Kommuner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45401</v>
      </c>
      <c r="E162" s="1" t="n">
        <v>46239</v>
      </c>
      <c r="F162" t="inlineStr">
        <is>
          <t>VÄRMLANDS LÄN</t>
        </is>
      </c>
      <c r="G162" t="inlineStr">
        <is>
          <t>FILIPSTAD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45674</v>
      </c>
      <c r="E163" s="1" t="n">
        <v>46239</v>
      </c>
      <c r="F163" t="inlineStr">
        <is>
          <t>VÄRMLANDS LÄN</t>
        </is>
      </c>
      <c r="G163" t="inlineStr">
        <is>
          <t>FILIPSTAD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32786-2024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45516</v>
      </c>
      <c r="E164" s="1" t="n">
        <v>46239</v>
      </c>
      <c r="F164" t="inlineStr">
        <is>
          <t>VÄRMLANDS LÄN</t>
        </is>
      </c>
      <c r="G164" t="inlineStr">
        <is>
          <t>FILIPSTAD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44959</v>
      </c>
      <c r="E165" s="1" t="n">
        <v>46239</v>
      </c>
      <c r="F165" t="inlineStr">
        <is>
          <t>VÄRMLANDS LÄN</t>
        </is>
      </c>
      <c r="G165" t="inlineStr">
        <is>
          <t>FILIPSTAD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45655</v>
      </c>
      <c r="E166" s="1" t="n">
        <v>46239</v>
      </c>
      <c r="F166" t="inlineStr">
        <is>
          <t>VÄRMLANDS LÄN</t>
        </is>
      </c>
      <c r="G166" t="inlineStr">
        <is>
          <t>FILIPSTAD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45037</v>
      </c>
      <c r="E167" s="1" t="n">
        <v>46239</v>
      </c>
      <c r="F167" t="inlineStr">
        <is>
          <t>VÄRMLANDS LÄN</t>
        </is>
      </c>
      <c r="G167" t="inlineStr">
        <is>
          <t>FILIPSTAD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46239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46239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9.300000000000001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20663-2024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45436</v>
      </c>
      <c r="E170" s="1" t="n">
        <v>46239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46239</v>
      </c>
      <c r="F171" t="inlineStr">
        <is>
          <t>VÄRMLANDS LÄN</t>
        </is>
      </c>
      <c r="G171" t="inlineStr">
        <is>
          <t>FILIPSTAD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45897</v>
      </c>
      <c r="E172" s="1" t="n">
        <v>46239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45578</v>
      </c>
      <c r="E173" s="1" t="n">
        <v>46239</v>
      </c>
      <c r="F173" t="inlineStr">
        <is>
          <t>VÄRMLANDS LÄN</t>
        </is>
      </c>
      <c r="G173" t="inlineStr">
        <is>
          <t>FILIPSTAD</t>
        </is>
      </c>
      <c r="I173" t="n">
        <v>27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45418</v>
      </c>
      <c r="E174" s="1" t="n">
        <v>46239</v>
      </c>
      <c r="F174" t="inlineStr">
        <is>
          <t>VÄRMLANDS LÄN</t>
        </is>
      </c>
      <c r="G174" t="inlineStr">
        <is>
          <t>FILIPSTAD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46239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22830-2023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45072</v>
      </c>
      <c r="E176" s="1" t="n">
        <v>46239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44672</v>
      </c>
      <c r="E177" s="1" t="n">
        <v>46239</v>
      </c>
      <c r="F177" t="inlineStr">
        <is>
          <t>VÄRMLANDS LÄN</t>
        </is>
      </c>
      <c r="G177" t="inlineStr">
        <is>
          <t>FILIPSTAD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45578</v>
      </c>
      <c r="E178" s="1" t="n">
        <v>46239</v>
      </c>
      <c r="F178" t="inlineStr">
        <is>
          <t>VÄRMLANDS LÄN</t>
        </is>
      </c>
      <c r="G178" t="inlineStr">
        <is>
          <t>FILIPSTAD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46239</v>
      </c>
      <c r="F179" t="inlineStr">
        <is>
          <t>VÄRMLANDS LÄN</t>
        </is>
      </c>
      <c r="G179" t="inlineStr">
        <is>
          <t>FILIPSTAD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41718-2025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45902</v>
      </c>
      <c r="E180" s="1" t="n">
        <v>46239</v>
      </c>
      <c r="F180" t="inlineStr">
        <is>
          <t>VÄRMLANDS LÄN</t>
        </is>
      </c>
      <c r="G180" t="inlineStr">
        <is>
          <t>FILIPSTAD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62013-2024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45655</v>
      </c>
      <c r="E181" s="1" t="n">
        <v>46239</v>
      </c>
      <c r="F181" t="inlineStr">
        <is>
          <t>VÄRMLANDS LÄN</t>
        </is>
      </c>
      <c r="G181" t="inlineStr">
        <is>
          <t>FILIPSTAD</t>
        </is>
      </c>
      <c r="I181" t="n">
        <v>26.5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69015-2021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46239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46239</v>
      </c>
      <c r="F183" t="inlineStr">
        <is>
          <t>VÄRMLANDS LÄN</t>
        </is>
      </c>
      <c r="G183" t="inlineStr">
        <is>
          <t>FILIPSTAD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46239</v>
      </c>
      <c r="F184" t="inlineStr">
        <is>
          <t>VÄRMLANDS LÄN</t>
        </is>
      </c>
      <c r="G184" t="inlineStr">
        <is>
          <t>FILIPSTAD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48908-2023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45195</v>
      </c>
      <c r="E185" s="1" t="n">
        <v>46239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46239</v>
      </c>
      <c r="F186" t="inlineStr">
        <is>
          <t>VÄRMLANDS LÄN</t>
        </is>
      </c>
      <c r="G186" t="inlineStr">
        <is>
          <t>FILIPSTAD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47344-2023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45202</v>
      </c>
      <c r="E187" s="1" t="n">
        <v>46239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46239</v>
      </c>
      <c r="F188" t="inlineStr">
        <is>
          <t>VÄRMLANDS LÄN</t>
        </is>
      </c>
      <c r="G188" t="inlineStr">
        <is>
          <t>FILIPSTAD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43633-2024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46239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47436-2024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45587</v>
      </c>
      <c r="E190" s="1" t="n">
        <v>46239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46239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46239</v>
      </c>
      <c r="F192" t="inlineStr">
        <is>
          <t>VÄRMLANDS LÄN</t>
        </is>
      </c>
      <c r="G192" t="inlineStr">
        <is>
          <t>FILIPSTAD</t>
        </is>
      </c>
      <c r="H192" t="inlineStr">
        <is>
          <t>Kyrkan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45173</v>
      </c>
      <c r="E193" s="1" t="n">
        <v>46239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44935</v>
      </c>
      <c r="E194" s="1" t="n">
        <v>46239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46239</v>
      </c>
      <c r="F195" t="inlineStr">
        <is>
          <t>VÄRMLANDS LÄN</t>
        </is>
      </c>
      <c r="G195" t="inlineStr">
        <is>
          <t>FILIPSTAD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14582-2025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45742</v>
      </c>
      <c r="E196" s="1" t="n">
        <v>46239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56840-2024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45628</v>
      </c>
      <c r="E197" s="1" t="n">
        <v>46239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46282-2025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46239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45712</v>
      </c>
      <c r="E199" s="1" t="n">
        <v>46239</v>
      </c>
      <c r="F199" t="inlineStr">
        <is>
          <t>VÄRMLANDS LÄN</t>
        </is>
      </c>
      <c r="G199" t="inlineStr">
        <is>
          <t>FILIPSTAD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45077</v>
      </c>
      <c r="E200" s="1" t="n">
        <v>46239</v>
      </c>
      <c r="F200" t="inlineStr">
        <is>
          <t>VÄRMLANDS LÄN</t>
        </is>
      </c>
      <c r="G200" t="inlineStr">
        <is>
          <t>FILIPSTAD</t>
        </is>
      </c>
      <c r="I200" t="n">
        <v>15.8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46906-2025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46239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46239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46239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46239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45364</v>
      </c>
      <c r="E205" s="1" t="n">
        <v>46239</v>
      </c>
      <c r="F205" t="inlineStr">
        <is>
          <t>VÄRMLANDS LÄN</t>
        </is>
      </c>
      <c r="G205" t="inlineStr">
        <is>
          <t>FILIPSTAD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60524-2024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45643</v>
      </c>
      <c r="E206" s="1" t="n">
        <v>46239</v>
      </c>
      <c r="F206" t="inlineStr">
        <is>
          <t>VÄRMLANDS LÄN</t>
        </is>
      </c>
      <c r="G206" t="inlineStr">
        <is>
          <t>FILIPSTAD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45740</v>
      </c>
      <c r="E207" s="1" t="n">
        <v>46239</v>
      </c>
      <c r="F207" t="inlineStr">
        <is>
          <t>VÄRMLANDS LÄN</t>
        </is>
      </c>
      <c r="G207" t="inlineStr">
        <is>
          <t>FILIPSTAD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48103-2025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45933</v>
      </c>
      <c r="E208" s="1" t="n">
        <v>46239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46148</v>
      </c>
      <c r="E209" s="1" t="n">
        <v>46239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45744</v>
      </c>
      <c r="E210" s="1" t="n">
        <v>46239</v>
      </c>
      <c r="F210" t="inlineStr">
        <is>
          <t>VÄRMLANDS LÄN</t>
        </is>
      </c>
      <c r="G210" t="inlineStr">
        <is>
          <t>FILIPSTAD</t>
        </is>
      </c>
      <c r="H210" t="inlineStr">
        <is>
          <t>Kommuner</t>
        </is>
      </c>
      <c r="I210" t="n">
        <v>17.7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22866-2023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45072</v>
      </c>
      <c r="E211" s="1" t="n">
        <v>46239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29473-2024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45484</v>
      </c>
      <c r="E212" s="1" t="n">
        <v>46239</v>
      </c>
      <c r="F212" t="inlineStr">
        <is>
          <t>VÄRMLANDS LÄN</t>
        </is>
      </c>
      <c r="G212" t="inlineStr">
        <is>
          <t>FILIPSTAD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45436</v>
      </c>
      <c r="E213" s="1" t="n">
        <v>46239</v>
      </c>
      <c r="F213" t="inlineStr">
        <is>
          <t>VÄRMLANDS LÄN</t>
        </is>
      </c>
      <c r="G213" t="inlineStr">
        <is>
          <t>FILIPSTAD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45940</v>
      </c>
      <c r="E214" s="1" t="n">
        <v>46239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34262-2024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45524</v>
      </c>
      <c r="E215" s="1" t="n">
        <v>46239</v>
      </c>
      <c r="F215" t="inlineStr">
        <is>
          <t>VÄRMLANDS LÄN</t>
        </is>
      </c>
      <c r="G215" t="inlineStr">
        <is>
          <t>FILIPSTAD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45299</v>
      </c>
      <c r="E216" s="1" t="n">
        <v>46239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46153</v>
      </c>
      <c r="E217" s="1" t="n">
        <v>46239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46153</v>
      </c>
      <c r="E218" s="1" t="n">
        <v>46239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46239</v>
      </c>
      <c r="F219" t="inlineStr">
        <is>
          <t>VÄRMLANDS LÄN</t>
        </is>
      </c>
      <c r="G219" t="inlineStr">
        <is>
          <t>FILIPSTAD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46153</v>
      </c>
      <c r="E220" s="1" t="n">
        <v>46239</v>
      </c>
      <c r="F220" t="inlineStr">
        <is>
          <t>VÄRMLANDS LÄN</t>
        </is>
      </c>
      <c r="G220" t="inlineStr">
        <is>
          <t>FILIPSTAD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46153</v>
      </c>
      <c r="E221" s="1" t="n">
        <v>46239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22176-2026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46153</v>
      </c>
      <c r="E222" s="1" t="n">
        <v>46239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46153</v>
      </c>
      <c r="E223" s="1" t="n">
        <v>46239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46239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46153</v>
      </c>
      <c r="E225" s="1" t="n">
        <v>46239</v>
      </c>
      <c r="F225" t="inlineStr">
        <is>
          <t>VÄRMLANDS LÄN</t>
        </is>
      </c>
      <c r="G225" t="inlineStr">
        <is>
          <t>FILIPSTAD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46153</v>
      </c>
      <c r="E226" s="1" t="n">
        <v>46239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22115-2026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46153</v>
      </c>
      <c r="E227" s="1" t="n">
        <v>46239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51355-2025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46239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46153</v>
      </c>
      <c r="E229" s="1" t="n">
        <v>46239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46153</v>
      </c>
      <c r="E230" s="1" t="n">
        <v>46239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46153</v>
      </c>
      <c r="E231" s="1" t="n">
        <v>46239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30646-2024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45495</v>
      </c>
      <c r="E232" s="1" t="n">
        <v>46239</v>
      </c>
      <c r="F232" t="inlineStr">
        <is>
          <t>VÄRMLANDS LÄN</t>
        </is>
      </c>
      <c r="G232" t="inlineStr">
        <is>
          <t>FILIPSTAD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46239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45471</v>
      </c>
      <c r="E234" s="1" t="n">
        <v>46239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45414</v>
      </c>
      <c r="E235" s="1" t="n">
        <v>46239</v>
      </c>
      <c r="F235" t="inlineStr">
        <is>
          <t>VÄRMLANDS LÄN</t>
        </is>
      </c>
      <c r="G235" t="inlineStr">
        <is>
          <t>FILIPSTAD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51790-2025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46239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46197</v>
      </c>
      <c r="E237" s="1" t="n">
        <v>46239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46239</v>
      </c>
      <c r="F238" t="inlineStr">
        <is>
          <t>VÄRMLANDS LÄN</t>
        </is>
      </c>
      <c r="G238" t="inlineStr">
        <is>
          <t>FILIPSTAD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28516-2026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46197</v>
      </c>
      <c r="E239" s="1" t="n">
        <v>46239</v>
      </c>
      <c r="F239" t="inlineStr">
        <is>
          <t>VÄRMLANDS LÄN</t>
        </is>
      </c>
      <c r="G239" t="inlineStr">
        <is>
          <t>FILIPSTAD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46239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45439</v>
      </c>
      <c r="E241" s="1" t="n">
        <v>46239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46239</v>
      </c>
      <c r="F242" t="inlineStr">
        <is>
          <t>VÄRMLANDS LÄN</t>
        </is>
      </c>
      <c r="G242" t="inlineStr">
        <is>
          <t>FILIPSTAD</t>
        </is>
      </c>
      <c r="H242" t="inlineStr">
        <is>
          <t>Kommuner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46239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46155</v>
      </c>
      <c r="E244" s="1" t="n">
        <v>46239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53649-2025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46239</v>
      </c>
      <c r="F245" t="inlineStr">
        <is>
          <t>VÄRMLANDS LÄN</t>
        </is>
      </c>
      <c r="G245" t="inlineStr">
        <is>
          <t>FILIPSTAD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53655-2025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46239</v>
      </c>
      <c r="F246" t="inlineStr">
        <is>
          <t>VÄRMLANDS LÄN</t>
        </is>
      </c>
      <c r="G246" t="inlineStr">
        <is>
          <t>FILIPSTAD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46239</v>
      </c>
      <c r="F247" t="inlineStr">
        <is>
          <t>VÄRMLANDS LÄN</t>
        </is>
      </c>
      <c r="G247" t="inlineStr">
        <is>
          <t>FILIPSTAD</t>
        </is>
      </c>
      <c r="H247" t="inlineStr">
        <is>
          <t>Kyrkan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46239</v>
      </c>
      <c r="F248" t="inlineStr">
        <is>
          <t>VÄRMLANDS LÄN</t>
        </is>
      </c>
      <c r="G248" t="inlineStr">
        <is>
          <t>FILIPSTAD</t>
        </is>
      </c>
      <c r="H248" t="inlineStr">
        <is>
          <t>Kyrkan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65167-2021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44515</v>
      </c>
      <c r="E249" s="1" t="n">
        <v>46239</v>
      </c>
      <c r="F249" t="inlineStr">
        <is>
          <t>VÄRMLANDS LÄN</t>
        </is>
      </c>
      <c r="G249" t="inlineStr">
        <is>
          <t>FILIPSTAD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46202</v>
      </c>
      <c r="E250" s="1" t="n">
        <v>46239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45790</v>
      </c>
      <c r="E251" s="1" t="n">
        <v>46239</v>
      </c>
      <c r="F251" t="inlineStr">
        <is>
          <t>VÄRMLANDS LÄN</t>
        </is>
      </c>
      <c r="G251" t="inlineStr">
        <is>
          <t>FILIPSTAD</t>
        </is>
      </c>
      <c r="H251" t="inlineStr">
        <is>
          <t>Kyrkan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46239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23266-2025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45791</v>
      </c>
      <c r="E253" s="1" t="n">
        <v>46239</v>
      </c>
      <c r="F253" t="inlineStr">
        <is>
          <t>VÄRMLANDS LÄN</t>
        </is>
      </c>
      <c r="G253" t="inlineStr">
        <is>
          <t>FILIPSTAD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23475-2025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46239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45477</v>
      </c>
      <c r="E255" s="1" t="n">
        <v>46239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46239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46239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46239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23399-2025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45792</v>
      </c>
      <c r="E259" s="1" t="n">
        <v>46239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28977-2026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46239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46202</v>
      </c>
      <c r="E261" s="1" t="n">
        <v>46239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55173-2025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45968</v>
      </c>
      <c r="E262" s="1" t="n">
        <v>46239</v>
      </c>
      <c r="F262" t="inlineStr">
        <is>
          <t>VÄRMLANDS LÄN</t>
        </is>
      </c>
      <c r="G262" t="inlineStr">
        <is>
          <t>FILIPSTAD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55175-2025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45968</v>
      </c>
      <c r="E263" s="1" t="n">
        <v>46239</v>
      </c>
      <c r="F263" t="inlineStr">
        <is>
          <t>VÄRMLANDS LÄN</t>
        </is>
      </c>
      <c r="G263" t="inlineStr">
        <is>
          <t>FILIPSTAD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45667</v>
      </c>
      <c r="E264" s="1" t="n">
        <v>46239</v>
      </c>
      <c r="F264" t="inlineStr">
        <is>
          <t>VÄRMLANDS LÄN</t>
        </is>
      </c>
      <c r="G264" t="inlineStr">
        <is>
          <t>FILIPSTAD</t>
        </is>
      </c>
      <c r="H264" t="inlineStr">
        <is>
          <t>Kommuner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45439</v>
      </c>
      <c r="E265" s="1" t="n">
        <v>46239</v>
      </c>
      <c r="F265" t="inlineStr">
        <is>
          <t>VÄRMLANDS LÄN</t>
        </is>
      </c>
      <c r="G265" t="inlineStr">
        <is>
          <t>FILIPSTAD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45322</v>
      </c>
      <c r="E266" s="1" t="n">
        <v>46239</v>
      </c>
      <c r="F266" t="inlineStr">
        <is>
          <t>VÄRMLANDS LÄN</t>
        </is>
      </c>
      <c r="G266" t="inlineStr">
        <is>
          <t>FILIPSTAD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72118-2021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44543</v>
      </c>
      <c r="E267" s="1" t="n">
        <v>46239</v>
      </c>
      <c r="F267" t="inlineStr">
        <is>
          <t>VÄRMLANDS LÄN</t>
        </is>
      </c>
      <c r="G267" t="inlineStr">
        <is>
          <t>FILIPSTAD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24143-2025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45796</v>
      </c>
      <c r="E268" s="1" t="n">
        <v>46239</v>
      </c>
      <c r="F268" t="inlineStr">
        <is>
          <t>VÄRMLANDS LÄN</t>
        </is>
      </c>
      <c r="G268" t="inlineStr">
        <is>
          <t>FILIPSTAD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46239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46239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46239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8.699999999999999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46239</v>
      </c>
      <c r="F272" t="inlineStr">
        <is>
          <t>VÄRMLANDS LÄN</t>
        </is>
      </c>
      <c r="G272" t="inlineStr">
        <is>
          <t>FILIPSTAD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55668-2025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46239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46204</v>
      </c>
      <c r="E274" s="1" t="n">
        <v>46239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56086-2025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46239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45793</v>
      </c>
      <c r="E276" s="1" t="n">
        <v>46239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56180-2025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45974</v>
      </c>
      <c r="E277" s="1" t="n">
        <v>46239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56037-2025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45973</v>
      </c>
      <c r="E278" s="1" t="n">
        <v>46239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46239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56158-2025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46239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56167-2025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46239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56182-2025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45974</v>
      </c>
      <c r="E282" s="1" t="n">
        <v>46239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56184-2025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46239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56062-2025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46239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45355</v>
      </c>
      <c r="E285" s="1" t="n">
        <v>46239</v>
      </c>
      <c r="F285" t="inlineStr">
        <is>
          <t>VÄRMLANDS LÄN</t>
        </is>
      </c>
      <c r="G285" t="inlineStr">
        <is>
          <t>FILIPSTAD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56028-2025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45973</v>
      </c>
      <c r="E286" s="1" t="n">
        <v>46239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65174-2021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44515</v>
      </c>
      <c r="E287" s="1" t="n">
        <v>46239</v>
      </c>
      <c r="F287" t="inlineStr">
        <is>
          <t>VÄRMLANDS LÄN</t>
        </is>
      </c>
      <c r="G287" t="inlineStr">
        <is>
          <t>FILIPSTAD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46239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56008-2025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46239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56083-2025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46239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15406-2025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45747</v>
      </c>
      <c r="E291" s="1" t="n">
        <v>46239</v>
      </c>
      <c r="F291" t="inlineStr">
        <is>
          <t>VÄRMLANDS LÄN</t>
        </is>
      </c>
      <c r="G291" t="inlineStr">
        <is>
          <t>FILIPSTAD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45077</v>
      </c>
      <c r="E292" s="1" t="n">
        <v>46239</v>
      </c>
      <c r="F292" t="inlineStr">
        <is>
          <t>VÄRMLANDS LÄN</t>
        </is>
      </c>
      <c r="G292" t="inlineStr">
        <is>
          <t>FILIPSTAD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46239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56032-2025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46239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5.8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46239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29385-2026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46203</v>
      </c>
      <c r="E296" s="1" t="n">
        <v>46239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46203</v>
      </c>
      <c r="E297" s="1" t="n">
        <v>46239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46978-2023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45195</v>
      </c>
      <c r="E298" s="1" t="n">
        <v>46239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46203</v>
      </c>
      <c r="E299" s="1" t="n">
        <v>46239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8.199999999999999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44801</v>
      </c>
      <c r="E300" s="1" t="n">
        <v>46239</v>
      </c>
      <c r="F300" t="inlineStr">
        <is>
          <t>VÄRMLANDS LÄN</t>
        </is>
      </c>
      <c r="G300" t="inlineStr">
        <is>
          <t>FILIPSTAD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29376-2026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46203</v>
      </c>
      <c r="E301" s="1" t="n">
        <v>46239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56925-2025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46239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18.8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46239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23576-2026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46239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46239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20.3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47261-2024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45586</v>
      </c>
      <c r="E306" s="1" t="n">
        <v>46239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46239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46163</v>
      </c>
      <c r="E308" s="1" t="n">
        <v>46239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58019-2025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46239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46239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57872-2025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46239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46239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29863-2026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46205</v>
      </c>
      <c r="E313" s="1" t="n">
        <v>46239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46205</v>
      </c>
      <c r="E314" s="1" t="n">
        <v>46239</v>
      </c>
      <c r="F314" t="inlineStr">
        <is>
          <t>VÄRMLANDS LÄN</t>
        </is>
      </c>
      <c r="G314" t="inlineStr">
        <is>
          <t>FILIPSTAD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46239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46239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59290-2025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46239</v>
      </c>
      <c r="F317" t="inlineStr">
        <is>
          <t>VÄRMLANDS LÄN</t>
        </is>
      </c>
      <c r="G317" t="inlineStr">
        <is>
          <t>FILIPSTAD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46205</v>
      </c>
      <c r="E318" s="1" t="n">
        <v>46239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23514-2026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46239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46239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46239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46239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46239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23943-2026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46239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49935-2025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45940</v>
      </c>
      <c r="E325" s="1" t="n">
        <v>46239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45989</v>
      </c>
      <c r="E326" s="1" t="n">
        <v>46239</v>
      </c>
      <c r="F326" t="inlineStr">
        <is>
          <t>VÄRMLANDS LÄN</t>
        </is>
      </c>
      <c r="G326" t="inlineStr">
        <is>
          <t>FILIPSTAD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45989</v>
      </c>
      <c r="E327" s="1" t="n">
        <v>46239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46167</v>
      </c>
      <c r="E328" s="1" t="n">
        <v>46239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45989</v>
      </c>
      <c r="E329" s="1" t="n">
        <v>46239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23934-2026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46239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46239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46239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59966-2025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46239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37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23952-2026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46167</v>
      </c>
      <c r="E334" s="1" t="n">
        <v>46239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45993</v>
      </c>
      <c r="E335" s="1" t="n">
        <v>46239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30540-2026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46210</v>
      </c>
      <c r="E336" s="1" t="n">
        <v>46239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44579</v>
      </c>
      <c r="E337" s="1" t="n">
        <v>46239</v>
      </c>
      <c r="F337" t="inlineStr">
        <is>
          <t>VÄRMLANDS LÄN</t>
        </is>
      </c>
      <c r="G337" t="inlineStr">
        <is>
          <t>FILIPSTAD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60653-2025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45996</v>
      </c>
      <c r="E338" s="1" t="n">
        <v>46239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46239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46239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46239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45995</v>
      </c>
      <c r="E342" s="1" t="n">
        <v>46239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24005-2026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46239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45995</v>
      </c>
      <c r="E344" s="1" t="n">
        <v>46239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24026-2026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46239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46239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46239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46239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61069-2025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46239</v>
      </c>
      <c r="F349" t="inlineStr">
        <is>
          <t>VÄRMLANDS LÄN</t>
        </is>
      </c>
      <c r="G349" t="inlineStr">
        <is>
          <t>FILIPSTAD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23970-2026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46239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9.300000000000001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30799-2026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46212</v>
      </c>
      <c r="E351" s="1" t="n">
        <v>46239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46239</v>
      </c>
      <c r="F352" t="inlineStr">
        <is>
          <t>VÄRMLANDS LÄN</t>
        </is>
      </c>
      <c r="G352" t="inlineStr">
        <is>
          <t>FILIPSTAD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46169</v>
      </c>
      <c r="E353" s="1" t="n">
        <v>46239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61327-2025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46001</v>
      </c>
      <c r="E354" s="1" t="n">
        <v>46239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46001</v>
      </c>
      <c r="E355" s="1" t="n">
        <v>46239</v>
      </c>
      <c r="F355" t="inlineStr">
        <is>
          <t>VÄRMLANDS LÄN</t>
        </is>
      </c>
      <c r="G355" t="inlineStr">
        <is>
          <t>FILIPSTAD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45771</v>
      </c>
      <c r="E356" s="1" t="n">
        <v>46239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46001</v>
      </c>
      <c r="E357" s="1" t="n">
        <v>46239</v>
      </c>
      <c r="F357" t="inlineStr">
        <is>
          <t>VÄRMLANDS LÄN</t>
        </is>
      </c>
      <c r="G357" t="inlineStr">
        <is>
          <t>FILIPSTAD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46002</v>
      </c>
      <c r="E358" s="1" t="n">
        <v>46239</v>
      </c>
      <c r="F358" t="inlineStr">
        <is>
          <t>VÄRMLANDS LÄN</t>
        </is>
      </c>
      <c r="G358" t="inlineStr">
        <is>
          <t>FILIPSTAD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61417-2025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46001</v>
      </c>
      <c r="E359" s="1" t="n">
        <v>46239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61719-2025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46002</v>
      </c>
      <c r="E360" s="1" t="n">
        <v>46239</v>
      </c>
      <c r="F360" t="inlineStr">
        <is>
          <t>VÄRMLANDS LÄN</t>
        </is>
      </c>
      <c r="G360" t="inlineStr">
        <is>
          <t>FILIPSTAD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61566-2025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46001</v>
      </c>
      <c r="E361" s="1" t="n">
        <v>46239</v>
      </c>
      <c r="F361" t="inlineStr">
        <is>
          <t>VÄRMLANDS LÄN</t>
        </is>
      </c>
      <c r="G361" t="inlineStr">
        <is>
          <t>FILIPSTAD</t>
        </is>
      </c>
      <c r="I361" t="n">
        <v>7.7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46002</v>
      </c>
      <c r="E362" s="1" t="n">
        <v>46239</v>
      </c>
      <c r="F362" t="inlineStr">
        <is>
          <t>VÄRMLANDS LÄN</t>
        </is>
      </c>
      <c r="G362" t="inlineStr">
        <is>
          <t>FILIPSTAD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46169</v>
      </c>
      <c r="E363" s="1" t="n">
        <v>46239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46239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61492-2025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46001</v>
      </c>
      <c r="E365" s="1" t="n">
        <v>46239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61391-2025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46239</v>
      </c>
      <c r="F366" t="inlineStr">
        <is>
          <t>VÄRMLANDS LÄN</t>
        </is>
      </c>
      <c r="G366" t="inlineStr">
        <is>
          <t>FILIPSTAD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46004</v>
      </c>
      <c r="E367" s="1" t="n">
        <v>46239</v>
      </c>
      <c r="F367" t="inlineStr">
        <is>
          <t>VÄRMLANDS LÄN</t>
        </is>
      </c>
      <c r="G367" t="inlineStr">
        <is>
          <t>FILIPSTAD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62021-2025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46003</v>
      </c>
      <c r="E368" s="1" t="n">
        <v>46239</v>
      </c>
      <c r="F368" t="inlineStr">
        <is>
          <t>VÄRMLANDS LÄN</t>
        </is>
      </c>
      <c r="G368" t="inlineStr">
        <is>
          <t>FILIPSTAD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46239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46239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46239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46239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46239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46004</v>
      </c>
      <c r="E374" s="1" t="n">
        <v>46239</v>
      </c>
      <c r="F374" t="inlineStr">
        <is>
          <t>VÄRMLANDS LÄN</t>
        </is>
      </c>
      <c r="G374" t="inlineStr">
        <is>
          <t>FILIPSTAD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45229</v>
      </c>
      <c r="E375" s="1" t="n">
        <v>46239</v>
      </c>
      <c r="F375" t="inlineStr">
        <is>
          <t>VÄRMLANDS LÄN</t>
        </is>
      </c>
      <c r="G375" t="inlineStr">
        <is>
          <t>FILIPSTAD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61823-2025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46003</v>
      </c>
      <c r="E376" s="1" t="n">
        <v>46239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62252-2025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46006</v>
      </c>
      <c r="E377" s="1" t="n">
        <v>46239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46239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46239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46239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54127-2023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45232</v>
      </c>
      <c r="E381" s="1" t="n">
        <v>46239</v>
      </c>
      <c r="F381" t="inlineStr">
        <is>
          <t>VÄRMLANDS LÄN</t>
        </is>
      </c>
      <c r="G381" t="inlineStr">
        <is>
          <t>FILIPSTAD</t>
        </is>
      </c>
      <c r="I381" t="n">
        <v>15.5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46171</v>
      </c>
      <c r="E382" s="1" t="n">
        <v>46239</v>
      </c>
      <c r="F382" t="inlineStr">
        <is>
          <t>VÄRMLANDS LÄN</t>
        </is>
      </c>
      <c r="G382" t="inlineStr">
        <is>
          <t>FILIPSTAD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45835</v>
      </c>
      <c r="E383" s="1" t="n">
        <v>46239</v>
      </c>
      <c r="F383" t="inlineStr">
        <is>
          <t>VÄRMLANDS LÄN</t>
        </is>
      </c>
      <c r="G383" t="inlineStr">
        <is>
          <t>FILIPSTAD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16063-2025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45749</v>
      </c>
      <c r="E384" s="1" t="n">
        <v>46239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63186-2025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46239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45700</v>
      </c>
      <c r="E386" s="1" t="n">
        <v>46239</v>
      </c>
      <c r="F386" t="inlineStr">
        <is>
          <t>VÄRMLANDS LÄN</t>
        </is>
      </c>
      <c r="G386" t="inlineStr">
        <is>
          <t>FILIPSTAD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63678-2025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46014</v>
      </c>
      <c r="E387" s="1" t="n">
        <v>46239</v>
      </c>
      <c r="F387" t="inlineStr">
        <is>
          <t>VÄRMLANDS LÄN</t>
        </is>
      </c>
      <c r="G387" t="inlineStr">
        <is>
          <t>FILIPSTAD</t>
        </is>
      </c>
      <c r="I387" t="n">
        <v>9.9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16100-2025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45750</v>
      </c>
      <c r="E388" s="1" t="n">
        <v>46239</v>
      </c>
      <c r="F388" t="inlineStr">
        <is>
          <t>VÄRMLANDS LÄN</t>
        </is>
      </c>
      <c r="G388" t="inlineStr">
        <is>
          <t>FILIPSTAD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63629-2025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46014</v>
      </c>
      <c r="E389" s="1" t="n">
        <v>46239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25205-2026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46239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45758</v>
      </c>
      <c r="E391" s="1" t="n">
        <v>46239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46239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45951</v>
      </c>
      <c r="E393" s="1" t="n">
        <v>46239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46239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46239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8.9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46174</v>
      </c>
      <c r="E396" s="1" t="n">
        <v>46239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18138-2022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44684</v>
      </c>
      <c r="E397" s="1" t="n">
        <v>46239</v>
      </c>
      <c r="F397" t="inlineStr">
        <is>
          <t>VÄRMLANDS LÄN</t>
        </is>
      </c>
      <c r="G397" t="inlineStr">
        <is>
          <t>FILIPSTAD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31316-2026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46219</v>
      </c>
      <c r="E398" s="1" t="n">
        <v>46239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25869-2026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46178</v>
      </c>
      <c r="E399" s="1" t="n">
        <v>46239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58611-2025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45986</v>
      </c>
      <c r="E400" s="1" t="n">
        <v>46239</v>
      </c>
      <c r="F400" t="inlineStr">
        <is>
          <t>VÄRMLANDS LÄN</t>
        </is>
      </c>
      <c r="G400" t="inlineStr">
        <is>
          <t>FILIPSTAD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45012</v>
      </c>
      <c r="E401" s="1" t="n">
        <v>46239</v>
      </c>
      <c r="F401" t="inlineStr">
        <is>
          <t>VÄRMLANDS LÄN</t>
        </is>
      </c>
      <c r="G401" t="inlineStr">
        <is>
          <t>FILIPSTAD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46239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46239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31537-2026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46223</v>
      </c>
      <c r="E404" s="1" t="n">
        <v>46239</v>
      </c>
      <c r="F404" t="inlineStr">
        <is>
          <t>VÄRMLANDS LÄN</t>
        </is>
      </c>
      <c r="G404" t="inlineStr">
        <is>
          <t>FILIPSTAD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46040</v>
      </c>
      <c r="E405" s="1" t="n">
        <v>46239</v>
      </c>
      <c r="F405" t="inlineStr">
        <is>
          <t>VÄRMLANDS LÄN</t>
        </is>
      </c>
      <c r="G405" t="inlineStr">
        <is>
          <t>FILIPSTAD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31548-2026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46223</v>
      </c>
      <c r="E406" s="1" t="n">
        <v>46239</v>
      </c>
      <c r="F406" t="inlineStr">
        <is>
          <t>VÄRMLANDS LÄN</t>
        </is>
      </c>
      <c r="G406" t="inlineStr">
        <is>
          <t>FILIPSTAD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46239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46226</v>
      </c>
      <c r="E408" s="1" t="n">
        <v>46239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46239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46226</v>
      </c>
      <c r="E410" s="1" t="n">
        <v>46239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46239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46226</v>
      </c>
      <c r="E412" s="1" t="n">
        <v>46239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46239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46182</v>
      </c>
      <c r="E414" s="1" t="n">
        <v>46239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46239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46239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26298-2026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46239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46239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46225</v>
      </c>
      <c r="E419" s="1" t="n">
        <v>46239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26343-2026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46239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46546-2021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44445</v>
      </c>
      <c r="E421" s="1" t="n">
        <v>46239</v>
      </c>
      <c r="F421" t="inlineStr">
        <is>
          <t>VÄRMLANDS LÄN</t>
        </is>
      </c>
      <c r="G421" t="inlineStr">
        <is>
          <t>FILIPSTAD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27007-2026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46185</v>
      </c>
      <c r="E422" s="1" t="n">
        <v>46239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31746-2026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46227</v>
      </c>
      <c r="E423" s="1" t="n">
        <v>46239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46227</v>
      </c>
      <c r="E424" s="1" t="n">
        <v>46239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46239</v>
      </c>
      <c r="F425" t="inlineStr">
        <is>
          <t>VÄRMLANDS LÄN</t>
        </is>
      </c>
      <c r="G425" t="inlineStr">
        <is>
          <t>FILIPSTAD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46056</v>
      </c>
      <c r="E426" s="1" t="n">
        <v>46239</v>
      </c>
      <c r="F426" t="inlineStr">
        <is>
          <t>VÄRMLANDS LÄN</t>
        </is>
      </c>
      <c r="G426" t="inlineStr">
        <is>
          <t>FILIPSTAD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14840-2023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45014</v>
      </c>
      <c r="E427" s="1" t="n">
        <v>46239</v>
      </c>
      <c r="F427" t="inlineStr">
        <is>
          <t>VÄRMLANDS LÄN</t>
        </is>
      </c>
      <c r="G427" t="inlineStr">
        <is>
          <t>FILIPSTAD</t>
        </is>
      </c>
      <c r="H427" t="inlineStr">
        <is>
          <t>Kyrkan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18999-2024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45427</v>
      </c>
      <c r="E428" s="1" t="n">
        <v>46239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27085-2026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46187</v>
      </c>
      <c r="E429" s="1" t="n">
        <v>46239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46239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27078-2026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46186</v>
      </c>
      <c r="E431" s="1" t="n">
        <v>46239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46186</v>
      </c>
      <c r="E432" s="1" t="n">
        <v>46239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25375-2023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45088</v>
      </c>
      <c r="E433" s="1" t="n">
        <v>46239</v>
      </c>
      <c r="F433" t="inlineStr">
        <is>
          <t>VÄRMLANDS LÄN</t>
        </is>
      </c>
      <c r="G433" t="inlineStr">
        <is>
          <t>FILIPSTAD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39566-2023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45167</v>
      </c>
      <c r="E434" s="1" t="n">
        <v>46239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19351-2025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45769</v>
      </c>
      <c r="E435" s="1" t="n">
        <v>46239</v>
      </c>
      <c r="F435" t="inlineStr">
        <is>
          <t>VÄRMLANDS LÄN</t>
        </is>
      </c>
      <c r="G435" t="inlineStr">
        <is>
          <t>FILIPSTAD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27300-2026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46239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7430-2026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46059</v>
      </c>
      <c r="E437" s="1" t="n">
        <v>46239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25376-2023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45088</v>
      </c>
      <c r="E438" s="1" t="n">
        <v>46239</v>
      </c>
      <c r="F438" t="inlineStr">
        <is>
          <t>VÄRMLANDS LÄN</t>
        </is>
      </c>
      <c r="G438" t="inlineStr">
        <is>
          <t>FILIPSTAD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46239</v>
      </c>
      <c r="F439" t="inlineStr">
        <is>
          <t>VÄRMLANDS LÄN</t>
        </is>
      </c>
      <c r="G439" t="inlineStr">
        <is>
          <t>FILIPSTAD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46239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46239</v>
      </c>
      <c r="F441" t="inlineStr">
        <is>
          <t>VÄRMLANDS LÄN</t>
        </is>
      </c>
      <c r="G441" t="inlineStr">
        <is>
          <t>FILIPSTAD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21593-2023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45063</v>
      </c>
      <c r="E442" s="1" t="n">
        <v>46239</v>
      </c>
      <c r="F442" t="inlineStr">
        <is>
          <t>VÄRMLANDS LÄN</t>
        </is>
      </c>
      <c r="G442" t="inlineStr">
        <is>
          <t>FILIPSTAD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31950-2026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46232</v>
      </c>
      <c r="E443" s="1" t="n">
        <v>46239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46231</v>
      </c>
      <c r="E444" s="1" t="n">
        <v>46239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46232</v>
      </c>
      <c r="E445" s="1" t="n">
        <v>46239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31963-2026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46232</v>
      </c>
      <c r="E446" s="1" t="n">
        <v>46239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38866-2024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45547</v>
      </c>
      <c r="E447" s="1" t="n">
        <v>46239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46239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32031-2026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46233</v>
      </c>
      <c r="E449" s="1" t="n">
        <v>46239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46239</v>
      </c>
      <c r="F450" t="inlineStr">
        <is>
          <t>VÄRMLANDS LÄN</t>
        </is>
      </c>
      <c r="G450" t="inlineStr">
        <is>
          <t>FILIPSTAD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27595-2026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46190</v>
      </c>
      <c r="E451" s="1" t="n">
        <v>46239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57212-2023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45245</v>
      </c>
      <c r="E452" s="1" t="n">
        <v>46239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46233</v>
      </c>
      <c r="E453" s="1" t="n">
        <v>46239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46233</v>
      </c>
      <c r="E454" s="1" t="n">
        <v>46239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32141-2026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46234</v>
      </c>
      <c r="E455" s="1" t="n">
        <v>46239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46191</v>
      </c>
      <c r="E456" s="1" t="n">
        <v>46239</v>
      </c>
      <c r="F456" t="inlineStr">
        <is>
          <t>VÄRMLANDS LÄN</t>
        </is>
      </c>
      <c r="G456" t="inlineStr">
        <is>
          <t>FILIPSTAD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29426-2023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45106</v>
      </c>
      <c r="E457" s="1" t="n">
        <v>46239</v>
      </c>
      <c r="F457" t="inlineStr">
        <is>
          <t>VÄRMLANDS LÄN</t>
        </is>
      </c>
      <c r="G457" t="inlineStr">
        <is>
          <t>FILIPSTAD</t>
        </is>
      </c>
      <c r="H457" t="inlineStr">
        <is>
          <t>Kyrkan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46239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62787-2023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45271</v>
      </c>
      <c r="E459" s="1" t="n">
        <v>46239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14432-2025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45741</v>
      </c>
      <c r="E460" s="1" t="n">
        <v>46239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46239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32248-2026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46237</v>
      </c>
      <c r="E462" s="1" t="n">
        <v>46239</v>
      </c>
      <c r="F462" t="inlineStr">
        <is>
          <t>VÄRMLANDS LÄN</t>
        </is>
      </c>
      <c r="G462" t="inlineStr">
        <is>
          <t>FILIPSTAD</t>
        </is>
      </c>
      <c r="I462" t="n">
        <v>13.4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12491-2026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46090</v>
      </c>
      <c r="E463" s="1" t="n">
        <v>46239</v>
      </c>
      <c r="F463" t="inlineStr">
        <is>
          <t>VÄRMLANDS LÄN</t>
        </is>
      </c>
      <c r="G463" t="inlineStr">
        <is>
          <t>FILIPSTAD</t>
        </is>
      </c>
      <c r="I463" t="n">
        <v>8.6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28094-2026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46195</v>
      </c>
      <c r="E464" s="1" t="n">
        <v>46239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46090</v>
      </c>
      <c r="E465" s="1" t="n">
        <v>46239</v>
      </c>
      <c r="F465" t="inlineStr">
        <is>
          <t>VÄRMLANDS LÄN</t>
        </is>
      </c>
      <c r="G465" t="inlineStr">
        <is>
          <t>FILIPSTAD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34512-2023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45133</v>
      </c>
      <c r="E466" s="1" t="n">
        <v>46239</v>
      </c>
      <c r="F466" t="inlineStr">
        <is>
          <t>VÄRMLANDS LÄN</t>
        </is>
      </c>
      <c r="G466" t="inlineStr">
        <is>
          <t>FILIPSTAD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12498-2026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46090</v>
      </c>
      <c r="E467" s="1" t="n">
        <v>46239</v>
      </c>
      <c r="F467" t="inlineStr">
        <is>
          <t>VÄRMLANDS LÄN</t>
        </is>
      </c>
      <c r="G467" t="inlineStr">
        <is>
          <t>FILIPSTAD</t>
        </is>
      </c>
      <c r="I467" t="n">
        <v>7.7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32249-2026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46237</v>
      </c>
      <c r="E468" s="1" t="n">
        <v>46239</v>
      </c>
      <c r="F468" t="inlineStr">
        <is>
          <t>VÄRMLANDS LÄN</t>
        </is>
      </c>
      <c r="G468" t="inlineStr">
        <is>
          <t>FILIPSTAD</t>
        </is>
      </c>
      <c r="H468" t="inlineStr">
        <is>
          <t>Kommuner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46239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46092</v>
      </c>
      <c r="E470" s="1" t="n">
        <v>46239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13555-2026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46239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46239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46239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13553-2026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46239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13393-2026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46094</v>
      </c>
      <c r="E475" s="1" t="n">
        <v>46239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46098</v>
      </c>
      <c r="E476" s="1" t="n">
        <v>46239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46239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51031-2025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45947</v>
      </c>
      <c r="E478" s="1" t="n">
        <v>46239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14379-2026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46239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6573-2023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44960</v>
      </c>
      <c r="E480" s="1" t="n">
        <v>46239</v>
      </c>
      <c r="F480" t="inlineStr">
        <is>
          <t>VÄRMLANDS LÄN</t>
        </is>
      </c>
      <c r="G480" t="inlineStr">
        <is>
          <t>FILIPSTAD</t>
        </is>
      </c>
      <c r="H480" t="inlineStr">
        <is>
          <t>Kommuner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4819-2023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44957</v>
      </c>
      <c r="E481" s="1" t="n">
        <v>46239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45393</v>
      </c>
      <c r="E482" s="1" t="n">
        <v>46239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9270-2023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44980</v>
      </c>
      <c r="E483" s="1" t="n">
        <v>46239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14315-2026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46239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37945-2024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46239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5.2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15197-2026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46105</v>
      </c>
      <c r="E486" s="1" t="n">
        <v>46239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15848-2026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46239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46239</v>
      </c>
      <c r="F488" t="inlineStr">
        <is>
          <t>VÄRMLANDS LÄN</t>
        </is>
      </c>
      <c r="G488" t="inlineStr">
        <is>
          <t>FILIPSTAD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46239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15920-2026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46239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15889-2026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46239</v>
      </c>
      <c r="F491" t="inlineStr">
        <is>
          <t>VÄRMLANDS LÄN</t>
        </is>
      </c>
      <c r="G491" t="inlineStr">
        <is>
          <t>FILIPSTAD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15644-2026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46239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45524</v>
      </c>
      <c r="E493" s="1" t="n">
        <v>46239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15645-2026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46239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46239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16040-2026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46108</v>
      </c>
      <c r="E496" s="1" t="n">
        <v>46239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16050-2026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46108</v>
      </c>
      <c r="E497" s="1" t="n">
        <v>46239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43059-2024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45567</v>
      </c>
      <c r="E498" s="1" t="n">
        <v>46239</v>
      </c>
      <c r="F498" t="inlineStr">
        <is>
          <t>VÄRMLANDS LÄN</t>
        </is>
      </c>
      <c r="G498" t="inlineStr">
        <is>
          <t>FILIPSTAD</t>
        </is>
      </c>
      <c r="H498" t="inlineStr">
        <is>
          <t>Kyrkan</t>
        </is>
      </c>
      <c r="I498" t="n">
        <v>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46239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17795-2024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45418</v>
      </c>
      <c r="E500" s="1" t="n">
        <v>46239</v>
      </c>
      <c r="F500" t="inlineStr">
        <is>
          <t>VÄRMLANDS LÄN</t>
        </is>
      </c>
      <c r="G500" t="inlineStr">
        <is>
          <t>FILIPSTAD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47890-2024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45588</v>
      </c>
      <c r="E501" s="1" t="n">
        <v>46239</v>
      </c>
      <c r="F501" t="inlineStr">
        <is>
          <t>VÄRMLANDS LÄN</t>
        </is>
      </c>
      <c r="G501" t="inlineStr">
        <is>
          <t>FILIPSTAD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12247-2022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44637</v>
      </c>
      <c r="E502" s="1" t="n">
        <v>46239</v>
      </c>
      <c r="F502" t="inlineStr">
        <is>
          <t>VÄRMLANDS LÄN</t>
        </is>
      </c>
      <c r="G502" t="inlineStr">
        <is>
          <t>FILIPSTAD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46114</v>
      </c>
      <c r="E503" s="1" t="n">
        <v>46239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8.1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20966-2024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45439</v>
      </c>
      <c r="E504" s="1" t="n">
        <v>46239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46239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17278-2026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46239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17326-2026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46239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46239</v>
      </c>
      <c r="F508" t="inlineStr">
        <is>
          <t>VÄRMLANDS LÄN</t>
        </is>
      </c>
      <c r="G508" t="inlineStr">
        <is>
          <t>FILIPSTAD</t>
        </is>
      </c>
      <c r="I508" t="n">
        <v>9.699999999999999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17949-2026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46122</v>
      </c>
      <c r="E509" s="1" t="n">
        <v>46239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17845-2026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46122</v>
      </c>
      <c r="E510" s="1" t="n">
        <v>46239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17931-2026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46122</v>
      </c>
      <c r="E511" s="1" t="n">
        <v>46239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45671</v>
      </c>
      <c r="E512" s="1" t="n">
        <v>46239</v>
      </c>
      <c r="F512" t="inlineStr">
        <is>
          <t>VÄRMLANDS LÄN</t>
        </is>
      </c>
      <c r="G512" t="inlineStr">
        <is>
          <t>FILIPSTAD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46125</v>
      </c>
      <c r="E513" s="1" t="n">
        <v>46239</v>
      </c>
      <c r="F513" t="inlineStr">
        <is>
          <t>VÄRMLANDS LÄN</t>
        </is>
      </c>
      <c r="G513" t="inlineStr">
        <is>
          <t>FILIPSTAD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17900-2026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46239</v>
      </c>
      <c r="F514" t="inlineStr">
        <is>
          <t>VÄRMLANDS LÄN</t>
        </is>
      </c>
      <c r="G514" t="inlineStr">
        <is>
          <t>FILIPSTAD</t>
        </is>
      </c>
      <c r="H514" t="inlineStr">
        <is>
          <t>Kommuner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17914-2026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46122</v>
      </c>
      <c r="E515" s="1" t="n">
        <v>46239</v>
      </c>
      <c r="F515" t="inlineStr">
        <is>
          <t>VÄRMLANDS LÄN</t>
        </is>
      </c>
      <c r="G515" t="inlineStr">
        <is>
          <t>FILIPSTAD</t>
        </is>
      </c>
      <c r="H515" t="inlineStr">
        <is>
          <t>Kommuner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46239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63411-2023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45274</v>
      </c>
      <c r="E517" s="1" t="n">
        <v>46239</v>
      </c>
      <c r="F517" t="inlineStr">
        <is>
          <t>VÄRMLANDS LÄN</t>
        </is>
      </c>
      <c r="G517" t="inlineStr">
        <is>
          <t>FILIPSTAD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18533-2026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46239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6.1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44951</v>
      </c>
      <c r="E519" s="1" t="n">
        <v>46239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18443-2026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46127</v>
      </c>
      <c r="E520" s="1" t="n">
        <v>46239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46127</v>
      </c>
      <c r="E521" s="1" t="n">
        <v>46239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18445-2026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46127</v>
      </c>
      <c r="E522" s="1" t="n">
        <v>46239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46239</v>
      </c>
      <c r="F523" t="inlineStr">
        <is>
          <t>VÄRMLANDS LÄN</t>
        </is>
      </c>
      <c r="G523" t="inlineStr">
        <is>
          <t>FILIPSTAD</t>
        </is>
      </c>
      <c r="H523" t="inlineStr">
        <is>
          <t>Kommuner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46126</v>
      </c>
      <c r="E524" s="1" t="n">
        <v>46239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36377-2023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45152</v>
      </c>
      <c r="E525" s="1" t="n">
        <v>46239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18969-2026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46129</v>
      </c>
      <c r="E526" s="1" t="n">
        <v>46239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46129</v>
      </c>
      <c r="E527" s="1" t="n">
        <v>46239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29474-2024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45484</v>
      </c>
      <c r="E528" s="1" t="n">
        <v>46239</v>
      </c>
      <c r="F528" t="inlineStr">
        <is>
          <t>VÄRMLANDS LÄN</t>
        </is>
      </c>
      <c r="G528" t="inlineStr">
        <is>
          <t>FILIPSTAD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46128</v>
      </c>
      <c r="E529" s="1" t="n">
        <v>46239</v>
      </c>
      <c r="F529" t="inlineStr">
        <is>
          <t>VÄRMLANDS LÄN</t>
        </is>
      </c>
      <c r="G529" t="inlineStr">
        <is>
          <t>FILIPSTAD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63482-2021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44508</v>
      </c>
      <c r="E530" s="1" t="n">
        <v>46239</v>
      </c>
      <c r="F530" t="inlineStr">
        <is>
          <t>VÄRMLANDS LÄN</t>
        </is>
      </c>
      <c r="G530" t="inlineStr">
        <is>
          <t>FILIPSTAD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869-2025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45665</v>
      </c>
      <c r="E531" s="1" t="n">
        <v>46239</v>
      </c>
      <c r="F531" t="inlineStr">
        <is>
          <t>VÄRMLANDS LÄN</t>
        </is>
      </c>
      <c r="G531" t="inlineStr">
        <is>
          <t>FILIPSTAD</t>
        </is>
      </c>
      <c r="I531" t="n">
        <v>11.7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19435-2026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46133</v>
      </c>
      <c r="E532" s="1" t="n">
        <v>46239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19676-2026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46239</v>
      </c>
      <c r="F533" t="inlineStr">
        <is>
          <t>VÄRMLANDS LÄN</t>
        </is>
      </c>
      <c r="G533" t="inlineStr">
        <is>
          <t>FILIPSTAD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46239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19595-2026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46134</v>
      </c>
      <c r="E535" s="1" t="n">
        <v>46239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46239</v>
      </c>
      <c r="F536" t="inlineStr">
        <is>
          <t>VÄRMLANDS LÄN</t>
        </is>
      </c>
      <c r="G536" t="inlineStr">
        <is>
          <t>FILIPSTAD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70405-2021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44536</v>
      </c>
      <c r="E537" s="1" t="n">
        <v>46239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20014-2026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46136</v>
      </c>
      <c r="E538" s="1" t="n">
        <v>46239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5754-2022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44596</v>
      </c>
      <c r="E539" s="1" t="n">
        <v>46239</v>
      </c>
      <c r="F539" t="inlineStr">
        <is>
          <t>VÄRMLANDS LÄN</t>
        </is>
      </c>
      <c r="G539" t="inlineStr">
        <is>
          <t>FILIPSTAD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46239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38075-2025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45882</v>
      </c>
      <c r="E541" s="1" t="n">
        <v>46239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20045-2026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46239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46135</v>
      </c>
      <c r="E543" s="1" t="n">
        <v>46239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54735-2024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45618</v>
      </c>
      <c r="E544" s="1" t="n">
        <v>46239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40244-2023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45169</v>
      </c>
      <c r="E545" s="1" t="n">
        <v>46239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43634-2021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44433</v>
      </c>
      <c r="E546" s="1" t="n">
        <v>46239</v>
      </c>
      <c r="F546" t="inlineStr">
        <is>
          <t>VÄRMLANDS LÄN</t>
        </is>
      </c>
      <c r="G546" t="inlineStr">
        <is>
          <t>FILIPSTAD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19760-2026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46135</v>
      </c>
      <c r="E547" s="1" t="n">
        <v>46239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46136</v>
      </c>
      <c r="E548" s="1" t="n">
        <v>46239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19882-2026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46135</v>
      </c>
      <c r="E549" s="1" t="n">
        <v>46239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8.800000000000001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45420</v>
      </c>
      <c r="E550" s="1" t="n">
        <v>46239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40646-2025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45896</v>
      </c>
      <c r="E551" s="1" t="n">
        <v>46239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41521-2025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45901</v>
      </c>
      <c r="E552" s="1" t="n">
        <v>46239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45658</v>
      </c>
      <c r="E553" s="1" t="n">
        <v>46239</v>
      </c>
      <c r="F553" t="inlineStr">
        <is>
          <t>VÄRMLANDS LÄN</t>
        </is>
      </c>
      <c r="G553" t="inlineStr">
        <is>
          <t>FILIPSTAD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57456-2022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44896</v>
      </c>
      <c r="E554" s="1" t="n">
        <v>46239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22843-2025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45790</v>
      </c>
      <c r="E555" s="1" t="n">
        <v>46239</v>
      </c>
      <c r="F555" t="inlineStr">
        <is>
          <t>VÄRMLANDS LÄN</t>
        </is>
      </c>
      <c r="G555" t="inlineStr">
        <is>
          <t>FILIPSTAD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21608-2023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45063</v>
      </c>
      <c r="E556" s="1" t="n">
        <v>46239</v>
      </c>
      <c r="F556" t="inlineStr">
        <is>
          <t>VÄRMLANDS LÄN</t>
        </is>
      </c>
      <c r="G556" t="inlineStr">
        <is>
          <t>FILIPSTAD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59436-2024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45638</v>
      </c>
      <c r="E557" s="1" t="n">
        <v>46239</v>
      </c>
      <c r="F557" t="inlineStr">
        <is>
          <t>VÄRMLANDS LÄN</t>
        </is>
      </c>
      <c r="G557" t="inlineStr">
        <is>
          <t>FILIPSTAD</t>
        </is>
      </c>
      <c r="H557" t="inlineStr">
        <is>
          <t>Kyrkan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20487-2026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46140</v>
      </c>
      <c r="E558" s="1" t="n">
        <v>46239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28687-2025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46239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22558-2025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45789</v>
      </c>
      <c r="E560" s="1" t="n">
        <v>46239</v>
      </c>
      <c r="F560" t="inlineStr">
        <is>
          <t>VÄRMLANDS LÄN</t>
        </is>
      </c>
      <c r="G560" t="inlineStr">
        <is>
          <t>FILIPSTAD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54080-2025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45964</v>
      </c>
      <c r="E561" s="1" t="n">
        <v>46239</v>
      </c>
      <c r="F561" t="inlineStr">
        <is>
          <t>VÄRMLANDS LÄN</t>
        </is>
      </c>
      <c r="G561" t="inlineStr">
        <is>
          <t>FILIPSTAD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33379-2025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45841</v>
      </c>
      <c r="E562" s="1" t="n">
        <v>46239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54836-2023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45229</v>
      </c>
      <c r="E563" s="1" t="n">
        <v>46239</v>
      </c>
      <c r="F563" t="inlineStr">
        <is>
          <t>VÄRMLANDS LÄN</t>
        </is>
      </c>
      <c r="G563" t="inlineStr">
        <is>
          <t>FILIPSTAD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45880</v>
      </c>
      <c r="E564" s="1" t="n">
        <v>46239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33449-2025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46239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46239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39896-2025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45891</v>
      </c>
      <c r="E567" s="1" t="n">
        <v>46239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29825-2023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45107</v>
      </c>
      <c r="E568" s="1" t="n">
        <v>46239</v>
      </c>
      <c r="F568" t="inlineStr">
        <is>
          <t>VÄRMLANDS LÄN</t>
        </is>
      </c>
      <c r="G568" t="inlineStr">
        <is>
          <t>FILIPSTAD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45835</v>
      </c>
      <c r="E569" s="1" t="n">
        <v>46239</v>
      </c>
      <c r="F569" t="inlineStr">
        <is>
          <t>VÄRMLANDS LÄN</t>
        </is>
      </c>
      <c r="G569" t="inlineStr">
        <is>
          <t>FILIPSTAD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20661-2026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46239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20801-2026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46239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4462-2025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45686</v>
      </c>
      <c r="E572" s="1" t="n">
        <v>46239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27789-2022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44743</v>
      </c>
      <c r="E573" s="1" t="n">
        <v>46239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20554-2025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45775</v>
      </c>
      <c r="E574" s="1" t="n">
        <v>46239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43484-2023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45184</v>
      </c>
      <c r="E575" s="1" t="n">
        <v>46239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49602-2025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45939</v>
      </c>
      <c r="E576" s="1" t="n">
        <v>46239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20919-2026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46142</v>
      </c>
      <c r="E577" s="1" t="n">
        <v>46239</v>
      </c>
      <c r="F577" t="inlineStr">
        <is>
          <t>VÄRMLANDS LÄN</t>
        </is>
      </c>
      <c r="G577" t="inlineStr">
        <is>
          <t>FILIPSTAD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6674-2025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45700</v>
      </c>
      <c r="E578" s="1" t="n">
        <v>46239</v>
      </c>
      <c r="F578" t="inlineStr">
        <is>
          <t>VÄRMLANDS LÄN</t>
        </is>
      </c>
      <c r="G578" t="inlineStr">
        <is>
          <t>FILIPSTAD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36272-2025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45867</v>
      </c>
      <c r="E579" s="1" t="n">
        <v>46239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28161-2023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45093</v>
      </c>
      <c r="E580" s="1" t="n">
        <v>46239</v>
      </c>
      <c r="F580" t="inlineStr">
        <is>
          <t>VÄRMLANDS LÄN</t>
        </is>
      </c>
      <c r="G580" t="inlineStr">
        <is>
          <t>FILIPSTAD</t>
        </is>
      </c>
      <c r="H580" t="inlineStr">
        <is>
          <t>Kommuner</t>
        </is>
      </c>
      <c r="I580" t="n">
        <v>15.4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45834</v>
      </c>
      <c r="E581" s="1" t="n">
        <v>46239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46142</v>
      </c>
      <c r="E582" s="1" t="n">
        <v>46239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45456</v>
      </c>
      <c r="E583" s="1" t="n">
        <v>46239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45456</v>
      </c>
      <c r="E584" s="1" t="n">
        <v>46239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16067-2026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46108</v>
      </c>
      <c r="E585" s="1" t="n">
        <v>46239</v>
      </c>
      <c r="F585" t="inlineStr">
        <is>
          <t>VÄRMLANDS LÄN</t>
        </is>
      </c>
      <c r="G585" t="inlineStr">
        <is>
          <t>FILIPSTAD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19030-2022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44691</v>
      </c>
      <c r="E586" s="1" t="n">
        <v>46239</v>
      </c>
      <c r="F586" t="inlineStr">
        <is>
          <t>VÄRMLANDS LÄN</t>
        </is>
      </c>
      <c r="G586" t="inlineStr">
        <is>
          <t>FILIPSTAD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37577-2023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45159</v>
      </c>
      <c r="E587" s="1" t="n">
        <v>46239</v>
      </c>
      <c r="F587" t="inlineStr">
        <is>
          <t>VÄRMLANDS LÄN</t>
        </is>
      </c>
      <c r="G587" t="inlineStr">
        <is>
          <t>FILIPSTAD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43233-2023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45180</v>
      </c>
      <c r="E588" s="1" t="n">
        <v>46239</v>
      </c>
      <c r="F588" t="inlineStr">
        <is>
          <t>VÄRMLANDS LÄN</t>
        </is>
      </c>
      <c r="G588" t="inlineStr">
        <is>
          <t>FILIPSTAD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16371-2024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45407</v>
      </c>
      <c r="E589" s="1" t="n">
        <v>46239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53210-2023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45222</v>
      </c>
      <c r="E590" s="1" t="n">
        <v>46239</v>
      </c>
      <c r="F590" t="inlineStr">
        <is>
          <t>VÄRMLANDS LÄN</t>
        </is>
      </c>
      <c r="G590" t="inlineStr">
        <is>
          <t>FILIPSTAD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39633-2023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45167</v>
      </c>
      <c r="E591" s="1" t="n">
        <v>46239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43635-2023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45186</v>
      </c>
      <c r="E592" s="1" t="n">
        <v>46239</v>
      </c>
      <c r="F592" t="inlineStr">
        <is>
          <t>VÄRMLANDS LÄN</t>
        </is>
      </c>
      <c r="G592" t="inlineStr">
        <is>
          <t>FILIPSTAD</t>
        </is>
      </c>
      <c r="I592" t="n">
        <v>15.3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16103-2025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45750</v>
      </c>
      <c r="E593" s="1" t="n">
        <v>46239</v>
      </c>
      <c r="F593" t="inlineStr">
        <is>
          <t>VÄRMLANDS LÄN</t>
        </is>
      </c>
      <c r="G593" t="inlineStr">
        <is>
          <t>FILIPSTAD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4620-2024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45328</v>
      </c>
      <c r="E594" s="1" t="n">
        <v>46239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36251-2022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44803</v>
      </c>
      <c r="E595" s="1" t="n">
        <v>46239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33671-2022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44789</v>
      </c>
      <c r="E596" s="1" t="n">
        <v>46239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5757-2021</t>
        </is>
      </c>
      <c r="B597" t="inlineStr">
        <is>
          <t>samrådsanmälan</t>
        </is>
      </c>
      <c r="C597" t="inlineStr">
        <is>
          <t>Basväg</t>
        </is>
      </c>
      <c r="D597" s="1" t="n">
        <v>44438</v>
      </c>
      <c r="E597" s="1" t="n">
        <v>46239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1191-2021</t>
        </is>
      </c>
      <c r="B598" t="inlineStr">
        <is>
          <t>samrådsanmälan</t>
        </is>
      </c>
      <c r="C598" t="inlineStr">
        <is>
          <t>Åtgärd i nyckelbiotop</t>
        </is>
      </c>
      <c r="D598" s="1" t="n">
        <v>44328</v>
      </c>
      <c r="E598" s="1" t="n">
        <v>46239</v>
      </c>
      <c r="F598" t="inlineStr">
        <is>
          <t>VÄRMLANDS LÄN</t>
        </is>
      </c>
      <c r="G598" t="inlineStr">
        <is>
          <t>FILIPSTAD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4134-2023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46239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4115-2023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45246</v>
      </c>
      <c r="E600" s="1" t="n">
        <v>46239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4137-2023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46239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4132-2023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46239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8.300000000000001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4130-2023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46239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4127-2023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46239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837-2023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44991</v>
      </c>
      <c r="E605" s="1" t="n">
        <v>46239</v>
      </c>
      <c r="F605" t="inlineStr">
        <is>
          <t>VÄRMLANDS LÄN</t>
        </is>
      </c>
      <c r="G605" t="inlineStr">
        <is>
          <t>FILIPSTAD</t>
        </is>
      </c>
      <c r="I605" t="n">
        <v>19.3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4129-2023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45247</v>
      </c>
      <c r="E606" s="1" t="n">
        <v>46239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3919-2023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45233</v>
      </c>
      <c r="E607" s="1" t="n">
        <v>46239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4135-2023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45247</v>
      </c>
      <c r="E608" s="1" t="n">
        <v>46239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18.9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6078-2021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44442</v>
      </c>
      <c r="E609" s="1" t="n">
        <v>46239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4126-2023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45247</v>
      </c>
      <c r="E610" s="1" t="n">
        <v>46239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294-2025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45687</v>
      </c>
      <c r="E611" s="1" t="n">
        <v>46239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186.4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4116-2023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45246</v>
      </c>
      <c r="E612" s="1" t="n">
        <v>46239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661-2025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45716</v>
      </c>
      <c r="E613" s="1" t="n">
        <v>46239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161.7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3429-2025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45995</v>
      </c>
      <c r="E614" s="1" t="n">
        <v>46239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3576-2025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46010</v>
      </c>
      <c r="E615" s="1" t="n">
        <v>46239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105-2026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46036</v>
      </c>
      <c r="E616" s="1" t="n">
        <v>46239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238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2026-08-05T20:39:14Z</dcterms:created>
  <dcterms:modified xmlns:dcterms="http://purl.org/dc/terms/" xmlns:xsi="http://www.w3.org/2001/XMLSchema-instance" xsi:type="dcterms:W3CDTF">2026-08-05T20:39:15Z</dcterms:modified>
</cp:coreProperties>
</file>