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46290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46290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46290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46290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46290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46290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46290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46290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46290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46290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46290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46290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46290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46290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32438-2026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46290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Dubbelnycklar
Ängsnycklar</t>
        </is>
      </c>
      <c r="W29">
        <f>HYPERLINK("https://klasma.github.io/Logging_1782/artfynd/A 32438-2026 artfynd.xlsx", "A 32438-2026")</f>
        <v/>
      </c>
      <c r="X29">
        <f>HYPERLINK("https://klasma.github.io/Logging_1782/kartor/A 32438-2026 karta.png", "A 32438-2026")</f>
        <v/>
      </c>
      <c r="Y29">
        <f>HYPERLINK("https://klasma.github.io/Logging_1782/kartor_geotiff/A 32438-2026 georefererad karta.tif", "A 32438-2026")</f>
        <v/>
      </c>
      <c r="AA29">
        <f>HYPERLINK("https://klasma.github.io/Logging_1782/klagomål/A 32438-2026 FSC-klagomål.docx", "A 32438-2026")</f>
        <v/>
      </c>
      <c r="AB29">
        <f>HYPERLINK("https://klasma.github.io/Logging_1782/klagomålsmail/A 32438-2026 FSC-klagomål mail.docx", "A 32438-2026")</f>
        <v/>
      </c>
      <c r="AC29">
        <f>HYPERLINK("https://klasma.github.io/Logging_1782/tillsyn/A 32438-2026 tillsynsbegäran.docx", "A 32438-2026")</f>
        <v/>
      </c>
      <c r="AD29">
        <f>HYPERLINK("https://klasma.github.io/Logging_1782/tillsynsmail/A 32438-2026 tillsynsbegäran mail.docx", "A 32438-2026")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46290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19945-2023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45054</v>
      </c>
      <c r="E31" s="1" t="n">
        <v>46290</v>
      </c>
      <c r="F31" t="inlineStr">
        <is>
          <t>VÄRMLANDS LÄN</t>
        </is>
      </c>
      <c r="G31" t="inlineStr">
        <is>
          <t>FILIPSTAD</t>
        </is>
      </c>
      <c r="I31" t="n">
        <v>3.3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3</v>
      </c>
      <c r="V31" s="2" t="inlineStr">
        <is>
          <t>Guckusko
Kransrams</t>
        </is>
      </c>
      <c r="W31">
        <f>HYPERLINK("https://klasma.github.io/Logging_1782/artfynd/A 19945-2023 artfynd.xlsx", "A 19945-2023")</f>
        <v/>
      </c>
      <c r="X31">
        <f>HYPERLINK("https://klasma.github.io/Logging_1782/kartor/A 19945-2023 karta.png", "A 19945-2023")</f>
        <v/>
      </c>
      <c r="Y31">
        <f>HYPERLINK("https://klasma.github.io/Logging_1782/kartor_geotiff/A 19945-2023 georefererad karta.tif", "A 19945-2023")</f>
        <v/>
      </c>
      <c r="AA31">
        <f>HYPERLINK("https://klasma.github.io/Logging_1782/klagomål/A 19945-2023 FSC-klagomål.docx", "A 19945-2023")</f>
        <v/>
      </c>
      <c r="AB31">
        <f>HYPERLINK("https://klasma.github.io/Logging_1782/klagomålsmail/A 19945-2023 FSC-klagomål mail.docx", "A 19945-2023")</f>
        <v/>
      </c>
      <c r="AC31">
        <f>HYPERLINK("https://klasma.github.io/Logging_1782/tillsyn/A 19945-2023 tillsynsbegäran.docx", "A 19945-2023")</f>
        <v/>
      </c>
      <c r="AD31">
        <f>HYPERLINK("https://klasma.github.io/Logging_1782/tillsynsmail/A 19945-2023 tillsynsbegäran mail.docx", "A 19945-2023")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46290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46290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46290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46290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46290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46290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46290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46290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46290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46290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46290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46290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5992-2023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44959</v>
      </c>
      <c r="E46" s="1" t="n">
        <v>46290</v>
      </c>
      <c r="F46" t="inlineStr">
        <is>
          <t>VÄRMLANDS LÄN</t>
        </is>
      </c>
      <c r="G46" t="inlineStr">
        <is>
          <t>FILIPSTAD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5992-2023 artfynd.xlsx", "A 5992-2023")</f>
        <v/>
      </c>
      <c r="X46">
        <f>HYPERLINK("https://klasma.github.io/Logging_1782/kartor/A 5992-2023 karta.png", "A 5992-2023")</f>
        <v/>
      </c>
      <c r="Y46">
        <f>HYPERLINK("https://klasma.github.io/Logging_1782/kartor_geotiff/A 5992-2023 georefererad karta.tif", "A 5992-2023")</f>
        <v/>
      </c>
      <c r="AA46">
        <f>HYPERLINK("https://klasma.github.io/Logging_1782/klagomål/A 5992-2023 FSC-klagomål.docx", "A 5992-2023")</f>
        <v/>
      </c>
      <c r="AB46">
        <f>HYPERLINK("https://klasma.github.io/Logging_1782/klagomålsmail/A 5992-2023 FSC-klagomål mail.docx", "A 5992-2023")</f>
        <v/>
      </c>
      <c r="AC46">
        <f>HYPERLINK("https://klasma.github.io/Logging_1782/tillsyn/A 5992-2023 tillsynsbegäran.docx", "A 5992-2023")</f>
        <v/>
      </c>
      <c r="AD46">
        <f>HYPERLINK("https://klasma.github.io/Logging_1782/tillsynsmail/A 5992-2023 tillsynsbegäran mail.docx", "A 5992-2023")</f>
        <v/>
      </c>
    </row>
    <row r="47" ht="15" customHeight="1">
      <c r="A47" t="inlineStr">
        <is>
          <t>A 51522-2022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46290</v>
      </c>
      <c r="F47" t="inlineStr">
        <is>
          <t>VÄRMLANDS LÄN</t>
        </is>
      </c>
      <c r="G47" t="inlineStr">
        <is>
          <t>FILIPSTAD</t>
        </is>
      </c>
      <c r="I47" t="n">
        <v>4.1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HYPERLINK("https://klasma.github.io/Logging_1782/artfynd/A 51522-2022 artfynd.xlsx", "A 51522-2022")</f>
        <v/>
      </c>
      <c r="X47">
        <f>HYPERLINK("https://klasma.github.io/Logging_1782/kartor/A 51522-2022 karta.png", "A 51522-2022")</f>
        <v/>
      </c>
      <c r="Y47">
        <f>HYPERLINK("https://klasma.github.io/Logging_1782/kartor_geotiff/A 51522-2022 georefererad karta.tif", "A 51522-2022")</f>
        <v/>
      </c>
      <c r="AA47">
        <f>HYPERLINK("https://klasma.github.io/Logging_1782/klagomål/A 51522-2022 FSC-klagomål.docx", "A 51522-2022")</f>
        <v/>
      </c>
      <c r="AB47">
        <f>HYPERLINK("https://klasma.github.io/Logging_1782/klagomålsmail/A 51522-2022 FSC-klagomål mail.docx", "A 51522-2022")</f>
        <v/>
      </c>
      <c r="AC47">
        <f>HYPERLINK("https://klasma.github.io/Logging_1782/tillsyn/A 51522-2022 tillsynsbegäran.docx", "A 51522-2022")</f>
        <v/>
      </c>
      <c r="AD47">
        <f>HYPERLINK("https://klasma.github.io/Logging_1782/tillsynsmail/A 51522-2022 tillsynsbegäran mail.docx", "A 51522-2022")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46290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46290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23046-2023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46290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HYPERLINK("https://klasma.github.io/Logging_1782/artfynd/A 23046-2023 artfynd.xlsx", "A 23046-2023")</f>
        <v/>
      </c>
      <c r="X50">
        <f>HYPERLINK("https://klasma.github.io/Logging_1782/kartor/A 23046-2023 karta.png", "A 23046-2023")</f>
        <v/>
      </c>
      <c r="Y50">
        <f>HYPERLINK("https://klasma.github.io/Logging_1782/kartor_geotiff/A 23046-2023 georefererad karta.tif", "A 23046-2023")</f>
        <v/>
      </c>
      <c r="Z50">
        <f>HYPERLINK("https://klasma.github.io/Logging_1782/knärot/A 23046-2023 karta knärot.png", "A 23046-2023")</f>
        <v/>
      </c>
      <c r="AA50">
        <f>HYPERLINK("https://klasma.github.io/Logging_1782/klagomål/A 23046-2023 FSC-klagomål.docx", "A 23046-2023")</f>
        <v/>
      </c>
      <c r="AB50">
        <f>HYPERLINK("https://klasma.github.io/Logging_1782/klagomålsmail/A 23046-2023 FSC-klagomål mail.docx", "A 23046-2023")</f>
        <v/>
      </c>
      <c r="AC50">
        <f>HYPERLINK("https://klasma.github.io/Logging_1782/tillsyn/A 23046-2023 tillsynsbegäran.docx", "A 23046-2023")</f>
        <v/>
      </c>
      <c r="AD50">
        <f>HYPERLINK("https://klasma.github.io/Logging_1782/tillsynsmail/A 23046-2023 tillsynsbegäran mail.docx", "A 23046-2023")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46290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46290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46290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46290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46290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46290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46290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46290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46290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46290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46290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46290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46290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46290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46290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46290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46290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46290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46290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46290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46290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46290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46290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46290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46290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46290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46290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9270-2023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44980</v>
      </c>
      <c r="E81" s="1" t="n">
        <v>46290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45674</v>
      </c>
      <c r="E82" s="1" t="n">
        <v>46290</v>
      </c>
      <c r="F82" t="inlineStr">
        <is>
          <t>VÄRMLANDS LÄN</t>
        </is>
      </c>
      <c r="G82" t="inlineStr">
        <is>
          <t>FILIPSTAD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46290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46290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44637</v>
      </c>
      <c r="E85" s="1" t="n">
        <v>46290</v>
      </c>
      <c r="F85" t="inlineStr">
        <is>
          <t>VÄRMLANDS LÄN</t>
        </is>
      </c>
      <c r="G85" t="inlineStr">
        <is>
          <t>FILIPSTAD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25737-2023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45090</v>
      </c>
      <c r="E86" s="1" t="n">
        <v>46290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46290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44963</v>
      </c>
      <c r="E88" s="1" t="n">
        <v>46290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46290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46290</v>
      </c>
      <c r="F90" t="inlineStr">
        <is>
          <t>VÄRMLANDS LÄN</t>
        </is>
      </c>
      <c r="G90" t="inlineStr">
        <is>
          <t>FILIPSTAD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45578</v>
      </c>
      <c r="E91" s="1" t="n">
        <v>46290</v>
      </c>
      <c r="F91" t="inlineStr">
        <is>
          <t>VÄRMLANDS LÄN</t>
        </is>
      </c>
      <c r="G91" t="inlineStr">
        <is>
          <t>FILIPSTAD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46290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46290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14582-2025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45742</v>
      </c>
      <c r="E94" s="1" t="n">
        <v>46290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46290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46290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46290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46290</v>
      </c>
      <c r="F98" t="inlineStr">
        <is>
          <t>VÄRMLANDS LÄN</t>
        </is>
      </c>
      <c r="G98" t="inlineStr">
        <is>
          <t>FILIPSTAD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55978-2022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44889</v>
      </c>
      <c r="E99" s="1" t="n">
        <v>46290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46290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46290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46290</v>
      </c>
      <c r="F102" t="inlineStr">
        <is>
          <t>VÄRMLANDS LÄN</t>
        </is>
      </c>
      <c r="G102" t="inlineStr">
        <is>
          <t>FILIPSTAD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46290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43059-2024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46290</v>
      </c>
      <c r="F104" t="inlineStr">
        <is>
          <t>VÄRMLANDS LÄN</t>
        </is>
      </c>
      <c r="G104" t="inlineStr">
        <is>
          <t>FILIPSTAD</t>
        </is>
      </c>
      <c r="H104" t="inlineStr">
        <is>
          <t>Kyrkan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46290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46290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46290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45153</v>
      </c>
      <c r="E108" s="1" t="n">
        <v>46290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46290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46290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46290</v>
      </c>
      <c r="F111" t="inlineStr">
        <is>
          <t>VÄRMLANDS LÄN</t>
        </is>
      </c>
      <c r="G111" t="inlineStr">
        <is>
          <t>FILIPSTAD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46290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44867</v>
      </c>
      <c r="E113" s="1" t="n">
        <v>46290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46290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46290</v>
      </c>
      <c r="F115" t="inlineStr">
        <is>
          <t>VÄRMLANDS LÄN</t>
        </is>
      </c>
      <c r="G115" t="inlineStr">
        <is>
          <t>FILIPSTAD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46290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46290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45870</v>
      </c>
      <c r="E118" s="1" t="n">
        <v>46290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71971-2021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46290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46290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46290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46290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46290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46290</v>
      </c>
      <c r="F124" t="inlineStr">
        <is>
          <t>VÄRMLANDS LÄN</t>
        </is>
      </c>
      <c r="G124" t="inlineStr">
        <is>
          <t>FILIPSTAD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46290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46290</v>
      </c>
      <c r="F126" t="inlineStr">
        <is>
          <t>VÄRMLANDS LÄN</t>
        </is>
      </c>
      <c r="G126" t="inlineStr">
        <is>
          <t>FILIPSTAD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29825-2023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45107</v>
      </c>
      <c r="E127" s="1" t="n">
        <v>46290</v>
      </c>
      <c r="F127" t="inlineStr">
        <is>
          <t>VÄRMLANDS LÄN</t>
        </is>
      </c>
      <c r="G127" t="inlineStr">
        <is>
          <t>FILIPSTAD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46290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45114</v>
      </c>
      <c r="E129" s="1" t="n">
        <v>46290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46290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46290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45896</v>
      </c>
      <c r="E132" s="1" t="n">
        <v>46290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46290</v>
      </c>
      <c r="F133" t="inlineStr">
        <is>
          <t>VÄRMLANDS LÄN</t>
        </is>
      </c>
      <c r="G133" t="inlineStr">
        <is>
          <t>FILIPSTAD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46290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41718-2025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45902</v>
      </c>
      <c r="E135" s="1" t="n">
        <v>46290</v>
      </c>
      <c r="F135" t="inlineStr">
        <is>
          <t>VÄRMLANDS LÄN</t>
        </is>
      </c>
      <c r="G135" t="inlineStr">
        <is>
          <t>FILIPSTAD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46290</v>
      </c>
      <c r="F136" t="inlineStr">
        <is>
          <t>VÄRMLANDS LÄN</t>
        </is>
      </c>
      <c r="G136" t="inlineStr">
        <is>
          <t>FILIPSTAD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46290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45180</v>
      </c>
      <c r="E138" s="1" t="n">
        <v>46290</v>
      </c>
      <c r="F138" t="inlineStr">
        <is>
          <t>VÄRMLANDS LÄN</t>
        </is>
      </c>
      <c r="G138" t="inlineStr">
        <is>
          <t>FILIPSTAD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22830-2023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45072</v>
      </c>
      <c r="E139" s="1" t="n">
        <v>46290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22866-2023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45072</v>
      </c>
      <c r="E140" s="1" t="n">
        <v>46290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46290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46290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46290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46290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46290</v>
      </c>
      <c r="F145" t="inlineStr">
        <is>
          <t>VÄRMLANDS LÄN</t>
        </is>
      </c>
      <c r="G145" t="inlineStr">
        <is>
          <t>FILIPSTAD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46290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46290</v>
      </c>
      <c r="F147" t="inlineStr">
        <is>
          <t>VÄRMLANDS LÄN</t>
        </is>
      </c>
      <c r="G147" t="inlineStr">
        <is>
          <t>FILIPSTAD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45420</v>
      </c>
      <c r="E148" s="1" t="n">
        <v>46290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46290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19351-2025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45769</v>
      </c>
      <c r="E150" s="1" t="n">
        <v>46290</v>
      </c>
      <c r="F150" t="inlineStr">
        <is>
          <t>VÄRMLANDS LÄN</t>
        </is>
      </c>
      <c r="G150" t="inlineStr">
        <is>
          <t>FILIPSTAD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46290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46290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45933</v>
      </c>
      <c r="E154" s="1" t="n">
        <v>46290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46290</v>
      </c>
      <c r="F155" t="inlineStr">
        <is>
          <t>VÄRMLANDS LÄN</t>
        </is>
      </c>
      <c r="G155" t="inlineStr">
        <is>
          <t>FILIPSTAD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46290</v>
      </c>
      <c r="F156" t="inlineStr">
        <is>
          <t>VÄRMLANDS LÄN</t>
        </is>
      </c>
      <c r="G156" t="inlineStr">
        <is>
          <t>FILIPSTAD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46290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46290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46290</v>
      </c>
      <c r="F159" t="inlineStr">
        <is>
          <t>VÄRMLANDS LÄN</t>
        </is>
      </c>
      <c r="G159" t="inlineStr">
        <is>
          <t>FILIPSTAD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45665</v>
      </c>
      <c r="E160" s="1" t="n">
        <v>46290</v>
      </c>
      <c r="F160" t="inlineStr">
        <is>
          <t>VÄRMLANDS LÄN</t>
        </is>
      </c>
      <c r="G160" t="inlineStr">
        <is>
          <t>FILIPSTAD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46290</v>
      </c>
      <c r="F161" t="inlineStr">
        <is>
          <t>VÄRMLANDS LÄN</t>
        </is>
      </c>
      <c r="G161" t="inlineStr">
        <is>
          <t>FILIPSTAD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46290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46290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46290</v>
      </c>
      <c r="F164" t="inlineStr">
        <is>
          <t>VÄRMLANDS LÄN</t>
        </is>
      </c>
      <c r="G164" t="inlineStr">
        <is>
          <t>FILIPSTAD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46290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46290</v>
      </c>
      <c r="F167" t="inlineStr">
        <is>
          <t>VÄRMLANDS LÄN</t>
        </is>
      </c>
      <c r="G167" t="inlineStr">
        <is>
          <t>FILIPSTAD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46290</v>
      </c>
      <c r="F168" t="inlineStr">
        <is>
          <t>VÄRMLANDS LÄN</t>
        </is>
      </c>
      <c r="G168" t="inlineStr">
        <is>
          <t>FILIPSTAD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33379-2025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46290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46290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46290</v>
      </c>
      <c r="F171" t="inlineStr">
        <is>
          <t>VÄRMLANDS LÄN</t>
        </is>
      </c>
      <c r="G171" t="inlineStr">
        <is>
          <t>FILIPSTAD</t>
        </is>
      </c>
      <c r="H171" t="inlineStr">
        <is>
          <t>Kommuner</t>
        </is>
      </c>
      <c r="I171" t="n">
        <v>17.7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45253</v>
      </c>
      <c r="E172" s="1" t="n">
        <v>46290</v>
      </c>
      <c r="F172" t="inlineStr">
        <is>
          <t>VÄRMLANDS LÄN</t>
        </is>
      </c>
      <c r="G172" t="inlineStr">
        <is>
          <t>FILIPSTAD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56840-2024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45628</v>
      </c>
      <c r="E173" s="1" t="n">
        <v>46290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46290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46290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46290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46290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46290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46290</v>
      </c>
      <c r="F180" t="inlineStr">
        <is>
          <t>VÄRMLANDS LÄN</t>
        </is>
      </c>
      <c r="G180" t="inlineStr">
        <is>
          <t>FILIPSTAD</t>
        </is>
      </c>
      <c r="H180" t="inlineStr">
        <is>
          <t>Kyrkan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46290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45087</v>
      </c>
      <c r="E182" s="1" t="n">
        <v>46290</v>
      </c>
      <c r="F182" t="inlineStr">
        <is>
          <t>VÄRMLANDS LÄN</t>
        </is>
      </c>
      <c r="G182" t="inlineStr">
        <is>
          <t>FILIPSTAD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45088</v>
      </c>
      <c r="E183" s="1" t="n">
        <v>46290</v>
      </c>
      <c r="F183" t="inlineStr">
        <is>
          <t>VÄRMLANDS LÄN</t>
        </is>
      </c>
      <c r="G183" t="inlineStr">
        <is>
          <t>FILIPSTAD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46290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46290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46290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46108</v>
      </c>
      <c r="E187" s="1" t="n">
        <v>46290</v>
      </c>
      <c r="F187" t="inlineStr">
        <is>
          <t>VÄRMLANDS LÄN</t>
        </is>
      </c>
      <c r="G187" t="inlineStr">
        <is>
          <t>FILIPSTAD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46290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45867</v>
      </c>
      <c r="E189" s="1" t="n">
        <v>46290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46290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45456</v>
      </c>
      <c r="E191" s="1" t="n">
        <v>46290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45968</v>
      </c>
      <c r="E192" s="1" t="n">
        <v>46290</v>
      </c>
      <c r="F192" t="inlineStr">
        <is>
          <t>VÄRMLANDS LÄN</t>
        </is>
      </c>
      <c r="G192" t="inlineStr">
        <is>
          <t>FILIPSTAD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45968</v>
      </c>
      <c r="E193" s="1" t="n">
        <v>46290</v>
      </c>
      <c r="F193" t="inlineStr">
        <is>
          <t>VÄRMLANDS LÄN</t>
        </is>
      </c>
      <c r="G193" t="inlineStr">
        <is>
          <t>FILIPSTAD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46290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46290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46290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46290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46290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46290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46290</v>
      </c>
      <c r="F200" t="inlineStr">
        <is>
          <t>VÄRMLANDS LÄN</t>
        </is>
      </c>
      <c r="G200" t="inlineStr">
        <is>
          <t>FILIPSTAD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46290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46290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46290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46290</v>
      </c>
      <c r="F207" t="inlineStr">
        <is>
          <t>VÄRMLANDS LÄN</t>
        </is>
      </c>
      <c r="G207" t="inlineStr">
        <is>
          <t>FILIPSTAD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46290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20554-2025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45775</v>
      </c>
      <c r="E209" s="1" t="n">
        <v>46290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46290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46290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46290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46290</v>
      </c>
      <c r="F213" t="inlineStr">
        <is>
          <t>VÄRMLANDS LÄN</t>
        </is>
      </c>
      <c r="G213" t="inlineStr">
        <is>
          <t>FILIPSTAD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28161-2023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45093</v>
      </c>
      <c r="E214" s="1" t="n">
        <v>46290</v>
      </c>
      <c r="F214" t="inlineStr">
        <is>
          <t>VÄRMLANDS LÄN</t>
        </is>
      </c>
      <c r="G214" t="inlineStr">
        <is>
          <t>FILIPSTAD</t>
        </is>
      </c>
      <c r="H214" t="inlineStr">
        <is>
          <t>Kommuner</t>
        </is>
      </c>
      <c r="I214" t="n">
        <v>15.4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46290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46290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46290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46290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46290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46290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45418</v>
      </c>
      <c r="E221" s="1" t="n">
        <v>46290</v>
      </c>
      <c r="F221" t="inlineStr">
        <is>
          <t>VÄRMLANDS LÄN</t>
        </is>
      </c>
      <c r="G221" t="inlineStr">
        <is>
          <t>FILIPSTAD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46290</v>
      </c>
      <c r="F222" t="inlineStr">
        <is>
          <t>VÄRMLANDS LÄN</t>
        </is>
      </c>
      <c r="G222" t="inlineStr">
        <is>
          <t>FILIPSTAD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46290</v>
      </c>
      <c r="F223" t="inlineStr">
        <is>
          <t>VÄRMLANDS LÄN</t>
        </is>
      </c>
      <c r="G223" t="inlineStr">
        <is>
          <t>FILIPSTAD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46290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46290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46290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45989</v>
      </c>
      <c r="E227" s="1" t="n">
        <v>46290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46148</v>
      </c>
      <c r="E228" s="1" t="n">
        <v>46290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45229</v>
      </c>
      <c r="E229" s="1" t="n">
        <v>46290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46290</v>
      </c>
      <c r="F230" t="inlineStr">
        <is>
          <t>VÄRMLANDS LÄN</t>
        </is>
      </c>
      <c r="G230" t="inlineStr">
        <is>
          <t>FILIPSTAD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46290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46290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46290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46290</v>
      </c>
      <c r="F234" t="inlineStr">
        <is>
          <t>VÄRMLANDS LÄN</t>
        </is>
      </c>
      <c r="G234" t="inlineStr">
        <is>
          <t>FILIPSTAD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46290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46290</v>
      </c>
      <c r="F236" t="inlineStr">
        <is>
          <t>VÄRMLANDS LÄN</t>
        </is>
      </c>
      <c r="G236" t="inlineStr">
        <is>
          <t>FILIPSTAD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46290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46290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46290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46290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46290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46290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22176-2026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46290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46290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46290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46290</v>
      </c>
      <c r="F246" t="inlineStr">
        <is>
          <t>VÄRMLANDS LÄN</t>
        </is>
      </c>
      <c r="G246" t="inlineStr">
        <is>
          <t>FILIPSTAD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46290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46290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46290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22021-2026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46290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46290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46290</v>
      </c>
      <c r="F252" t="inlineStr">
        <is>
          <t>VÄRMLANDS LÄN</t>
        </is>
      </c>
      <c r="G252" t="inlineStr">
        <is>
          <t>FILIPSTAD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46290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46290</v>
      </c>
      <c r="F254" t="inlineStr">
        <is>
          <t>VÄRMLANDS LÄN</t>
        </is>
      </c>
      <c r="G254" t="inlineStr">
        <is>
          <t>FILIPSTAD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61492-2025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46290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46290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46290</v>
      </c>
      <c r="F257" t="inlineStr">
        <is>
          <t>VÄRMLANDS LÄN</t>
        </is>
      </c>
      <c r="G257" t="inlineStr">
        <is>
          <t>FILIPSTAD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45428</v>
      </c>
      <c r="E258" s="1" t="n">
        <v>46290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46290</v>
      </c>
      <c r="F259" t="inlineStr">
        <is>
          <t>VÄRMLANDS LÄN</t>
        </is>
      </c>
      <c r="G259" t="inlineStr">
        <is>
          <t>FILIPSTAD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46290</v>
      </c>
      <c r="F260" t="inlineStr">
        <is>
          <t>VÄRMLANDS LÄN</t>
        </is>
      </c>
      <c r="G260" t="inlineStr">
        <is>
          <t>FILIPSTAD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61417-2025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46290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46290</v>
      </c>
      <c r="F262" t="inlineStr">
        <is>
          <t>VÄRMLANDS LÄN</t>
        </is>
      </c>
      <c r="G262" t="inlineStr">
        <is>
          <t>FILIPSTAD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46001</v>
      </c>
      <c r="E263" s="1" t="n">
        <v>46290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61823-2025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46003</v>
      </c>
      <c r="E264" s="1" t="n">
        <v>46290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46290</v>
      </c>
      <c r="F265" t="inlineStr">
        <is>
          <t>VÄRMLANDS LÄN</t>
        </is>
      </c>
      <c r="G265" t="inlineStr">
        <is>
          <t>FILIPSTAD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36251-2022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44803</v>
      </c>
      <c r="E266" s="1" t="n">
        <v>46290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46290</v>
      </c>
      <c r="F267" t="inlineStr">
        <is>
          <t>VÄRMLANDS LÄN</t>
        </is>
      </c>
      <c r="G267" t="inlineStr">
        <is>
          <t>FILIPSTAD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46290</v>
      </c>
      <c r="F268" t="inlineStr">
        <is>
          <t>VÄRMLANDS LÄN</t>
        </is>
      </c>
      <c r="G268" t="inlineStr">
        <is>
          <t>FILIPSTAD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45364</v>
      </c>
      <c r="E269" s="1" t="n">
        <v>46290</v>
      </c>
      <c r="F269" t="inlineStr">
        <is>
          <t>VÄRMLANDS LÄN</t>
        </is>
      </c>
      <c r="G269" t="inlineStr">
        <is>
          <t>FILIPSTAD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46290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46290</v>
      </c>
      <c r="F271" t="inlineStr">
        <is>
          <t>VÄRMLANDS LÄN</t>
        </is>
      </c>
      <c r="G271" t="inlineStr">
        <is>
          <t>FILIPSTAD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45658</v>
      </c>
      <c r="E272" s="1" t="n">
        <v>46290</v>
      </c>
      <c r="F272" t="inlineStr">
        <is>
          <t>VÄRMLANDS LÄN</t>
        </is>
      </c>
      <c r="G272" t="inlineStr">
        <is>
          <t>FILIPSTAD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46290</v>
      </c>
      <c r="F273" t="inlineStr">
        <is>
          <t>VÄRMLANDS LÄN</t>
        </is>
      </c>
      <c r="G273" t="inlineStr">
        <is>
          <t>FILIPSTAD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46290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46290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46290</v>
      </c>
      <c r="F276" t="inlineStr">
        <is>
          <t>VÄRMLANDS LÄN</t>
        </is>
      </c>
      <c r="G276" t="inlineStr">
        <is>
          <t>FILIPSTAD</t>
        </is>
      </c>
      <c r="I276" t="n">
        <v>15.5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46004</v>
      </c>
      <c r="E277" s="1" t="n">
        <v>46290</v>
      </c>
      <c r="F277" t="inlineStr">
        <is>
          <t>VÄRMLANDS LÄN</t>
        </is>
      </c>
      <c r="G277" t="inlineStr">
        <is>
          <t>FILIPSTAD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46004</v>
      </c>
      <c r="E278" s="1" t="n">
        <v>46290</v>
      </c>
      <c r="F278" t="inlineStr">
        <is>
          <t>VÄRMLANDS LÄN</t>
        </is>
      </c>
      <c r="G278" t="inlineStr">
        <is>
          <t>FILIPSTAD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45401</v>
      </c>
      <c r="E279" s="1" t="n">
        <v>46290</v>
      </c>
      <c r="F279" t="inlineStr">
        <is>
          <t>VÄRMLANDS LÄN</t>
        </is>
      </c>
      <c r="G279" t="inlineStr">
        <is>
          <t>FILIPSTAD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54735-2024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45618</v>
      </c>
      <c r="E280" s="1" t="n">
        <v>46290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45384</v>
      </c>
      <c r="E281" s="1" t="n">
        <v>46290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46290</v>
      </c>
      <c r="F282" t="inlineStr">
        <is>
          <t>VÄRMLANDS LÄN</t>
        </is>
      </c>
      <c r="G282" t="inlineStr">
        <is>
          <t>FILIPSTAD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45484</v>
      </c>
      <c r="E283" s="1" t="n">
        <v>46290</v>
      </c>
      <c r="F283" t="inlineStr">
        <is>
          <t>VÄRMLANDS LÄN</t>
        </is>
      </c>
      <c r="G283" t="inlineStr">
        <is>
          <t>FILIPSTAD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45327</v>
      </c>
      <c r="E284" s="1" t="n">
        <v>46290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46290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45740</v>
      </c>
      <c r="E286" s="1" t="n">
        <v>46290</v>
      </c>
      <c r="F286" t="inlineStr">
        <is>
          <t>VÄRMLANDS LÄN</t>
        </is>
      </c>
      <c r="G286" t="inlineStr">
        <is>
          <t>FILIPSTAD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46290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46290</v>
      </c>
      <c r="F288" t="inlineStr">
        <is>
          <t>VÄRMLANDS LÄN</t>
        </is>
      </c>
      <c r="G288" t="inlineStr">
        <is>
          <t>FILIPSTAD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46290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46290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46290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46290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45602</v>
      </c>
      <c r="E293" s="1" t="n">
        <v>46290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46290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46290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23620-2023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46290</v>
      </c>
      <c r="F296" t="inlineStr">
        <is>
          <t>VÄRMLANDS LÄN</t>
        </is>
      </c>
      <c r="G296" t="inlineStr">
        <is>
          <t>FILIPSTAD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58611-2025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45986</v>
      </c>
      <c r="E297" s="1" t="n">
        <v>46290</v>
      </c>
      <c r="F297" t="inlineStr">
        <is>
          <t>VÄRMLANDS LÄN</t>
        </is>
      </c>
      <c r="G297" t="inlineStr">
        <is>
          <t>FILIPSTAD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46290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46290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46290</v>
      </c>
      <c r="F300" t="inlineStr">
        <is>
          <t>VÄRMLANDS LÄN</t>
        </is>
      </c>
      <c r="G300" t="inlineStr">
        <is>
          <t>FILIPSTAD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46040</v>
      </c>
      <c r="E301" s="1" t="n">
        <v>46290</v>
      </c>
      <c r="F301" t="inlineStr">
        <is>
          <t>VÄRMLANDS LÄN</t>
        </is>
      </c>
      <c r="G301" t="inlineStr">
        <is>
          <t>FILIPSTAD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45391</v>
      </c>
      <c r="E302" s="1" t="n">
        <v>46290</v>
      </c>
      <c r="F302" t="inlineStr">
        <is>
          <t>VÄRMLANDS LÄN</t>
        </is>
      </c>
      <c r="G302" t="inlineStr">
        <is>
          <t>FILIPSTAD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70405-2021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44536</v>
      </c>
      <c r="E303" s="1" t="n">
        <v>46290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44579</v>
      </c>
      <c r="E304" s="1" t="n">
        <v>46290</v>
      </c>
      <c r="F304" t="inlineStr">
        <is>
          <t>VÄRMLANDS LÄN</t>
        </is>
      </c>
      <c r="G304" t="inlineStr">
        <is>
          <t>FILIPSTAD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46290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46290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46290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46290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61628-2022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46290</v>
      </c>
      <c r="F309" t="inlineStr">
        <is>
          <t>VÄRMLANDS LÄN</t>
        </is>
      </c>
      <c r="G309" t="inlineStr">
        <is>
          <t>FILIPSTAD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46290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46290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46290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46290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46290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46290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46290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46290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46290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46290</v>
      </c>
      <c r="F319" t="inlineStr">
        <is>
          <t>VÄRMLANDS LÄN</t>
        </is>
      </c>
      <c r="G319" t="inlineStr">
        <is>
          <t>FILIPSTAD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44789</v>
      </c>
      <c r="E320" s="1" t="n">
        <v>46290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46290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45202</v>
      </c>
      <c r="E322" s="1" t="n">
        <v>46290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45133</v>
      </c>
      <c r="E323" s="1" t="n">
        <v>46290</v>
      </c>
      <c r="F323" t="inlineStr">
        <is>
          <t>VÄRMLANDS LÄN</t>
        </is>
      </c>
      <c r="G323" t="inlineStr">
        <is>
          <t>FILIPSTAD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46169</v>
      </c>
      <c r="E324" s="1" t="n">
        <v>46290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24054-2024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46290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46290</v>
      </c>
      <c r="F326" t="inlineStr">
        <is>
          <t>VÄRMLANDS LÄN</t>
        </is>
      </c>
      <c r="G326" t="inlineStr">
        <is>
          <t>FILIPSTAD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46169</v>
      </c>
      <c r="E327" s="1" t="n">
        <v>46290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46056</v>
      </c>
      <c r="E328" s="1" t="n">
        <v>46290</v>
      </c>
      <c r="F328" t="inlineStr">
        <is>
          <t>VÄRMLANDS LÄN</t>
        </is>
      </c>
      <c r="G328" t="inlineStr">
        <is>
          <t>FILIPSTAD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46290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54008-2021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44470</v>
      </c>
      <c r="E330" s="1" t="n">
        <v>46290</v>
      </c>
      <c r="F330" t="inlineStr">
        <is>
          <t>VÄRMLANDS LÄN</t>
        </is>
      </c>
      <c r="G330" t="inlineStr">
        <is>
          <t>FILIPSTAD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46290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49935-2025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45940</v>
      </c>
      <c r="E332" s="1" t="n">
        <v>46290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46257-2022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44847</v>
      </c>
      <c r="E333" s="1" t="n">
        <v>46290</v>
      </c>
      <c r="F333" t="inlineStr">
        <is>
          <t>VÄRMLANDS LÄN</t>
        </is>
      </c>
      <c r="G333" t="inlineStr">
        <is>
          <t>FILIPSTAD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46290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46290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46290</v>
      </c>
      <c r="F336" t="inlineStr">
        <is>
          <t>VÄRMLANDS LÄN</t>
        </is>
      </c>
      <c r="G336" t="inlineStr">
        <is>
          <t>FILIPSTAD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46290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46290</v>
      </c>
      <c r="F338" t="inlineStr">
        <is>
          <t>VÄRMLANDS LÄN</t>
        </is>
      </c>
      <c r="G338" t="inlineStr">
        <is>
          <t>FILIPSTAD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46290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46290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46290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46290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46290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45077</v>
      </c>
      <c r="E344" s="1" t="n">
        <v>46290</v>
      </c>
      <c r="F344" t="inlineStr">
        <is>
          <t>VÄRMLANDS LÄN</t>
        </is>
      </c>
      <c r="G344" t="inlineStr">
        <is>
          <t>FILIPSTAD</t>
        </is>
      </c>
      <c r="I344" t="n">
        <v>15.8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44960</v>
      </c>
      <c r="E345" s="1" t="n">
        <v>46290</v>
      </c>
      <c r="F345" t="inlineStr">
        <is>
          <t>VÄRMLANDS LÄN</t>
        </is>
      </c>
      <c r="G345" t="inlineStr">
        <is>
          <t>FILIPSTAD</t>
        </is>
      </c>
      <c r="H345" t="inlineStr">
        <is>
          <t>Kommuner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29473-2024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45484</v>
      </c>
      <c r="E346" s="1" t="n">
        <v>46290</v>
      </c>
      <c r="F346" t="inlineStr">
        <is>
          <t>VÄRMLANDS LÄN</t>
        </is>
      </c>
      <c r="G346" t="inlineStr">
        <is>
          <t>FILIPSTAD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44588</v>
      </c>
      <c r="E347" s="1" t="n">
        <v>46290</v>
      </c>
      <c r="F347" t="inlineStr">
        <is>
          <t>VÄRMLANDS LÄN</t>
        </is>
      </c>
      <c r="G347" t="inlineStr">
        <is>
          <t>FILIPSTAD</t>
        </is>
      </c>
      <c r="H347" t="inlineStr">
        <is>
          <t>Kommuner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46290</v>
      </c>
      <c r="F348" t="inlineStr">
        <is>
          <t>VÄRMLANDS LÄN</t>
        </is>
      </c>
      <c r="G348" t="inlineStr">
        <is>
          <t>FILIPSTAD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46290</v>
      </c>
      <c r="F349" t="inlineStr">
        <is>
          <t>VÄRMLANDS LÄN</t>
        </is>
      </c>
      <c r="G349" t="inlineStr">
        <is>
          <t>FILIPSTAD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46290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47536-2023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46290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45463</v>
      </c>
      <c r="E352" s="1" t="n">
        <v>46290</v>
      </c>
      <c r="F352" t="inlineStr">
        <is>
          <t>VÄRMLANDS LÄN</t>
        </is>
      </c>
      <c r="G352" t="inlineStr">
        <is>
          <t>FILIPSTAD</t>
        </is>
      </c>
      <c r="I352" t="n">
        <v>13.2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44579</v>
      </c>
      <c r="E353" s="1" t="n">
        <v>46290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46290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45749</v>
      </c>
      <c r="E355" s="1" t="n">
        <v>46290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46171</v>
      </c>
      <c r="E356" s="1" t="n">
        <v>46290</v>
      </c>
      <c r="F356" t="inlineStr">
        <is>
          <t>VÄRMLANDS LÄN</t>
        </is>
      </c>
      <c r="G356" t="inlineStr">
        <is>
          <t>FILIPSTAD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46290</v>
      </c>
      <c r="F357" t="inlineStr">
        <is>
          <t>VÄRMLANDS LÄN</t>
        </is>
      </c>
      <c r="G357" t="inlineStr">
        <is>
          <t>FILIPSTAD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46290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46290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46290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46290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46290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46290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8.9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46290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46290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46290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46290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46290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46290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46290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46290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46290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46290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46182</v>
      </c>
      <c r="E375" s="1" t="n">
        <v>46290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46290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26229-2026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46182</v>
      </c>
      <c r="E377" s="1" t="n">
        <v>46290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46290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46290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46290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46290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46290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46290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46290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45516-2024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45578</v>
      </c>
      <c r="E385" s="1" t="n">
        <v>46290</v>
      </c>
      <c r="F385" t="inlineStr">
        <is>
          <t>VÄRMLANDS LÄN</t>
        </is>
      </c>
      <c r="G385" t="inlineStr">
        <is>
          <t>FILIPSTAD</t>
        </is>
      </c>
      <c r="I385" t="n">
        <v>27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46290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46290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46290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46187</v>
      </c>
      <c r="E389" s="1" t="n">
        <v>46290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46290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46290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45120</v>
      </c>
      <c r="E393" s="1" t="n">
        <v>46290</v>
      </c>
      <c r="F393" t="inlineStr">
        <is>
          <t>VÄRMLANDS LÄN</t>
        </is>
      </c>
      <c r="G393" t="inlineStr">
        <is>
          <t>FILIPSTAD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46290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46290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46290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46290</v>
      </c>
      <c r="F397" t="inlineStr">
        <is>
          <t>VÄRMLANDS LÄN</t>
        </is>
      </c>
      <c r="G397" t="inlineStr">
        <is>
          <t>FILIPSTAD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46290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46290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46290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46290</v>
      </c>
      <c r="F401" t="inlineStr">
        <is>
          <t>VÄRMLANDS LÄN</t>
        </is>
      </c>
      <c r="G401" t="inlineStr">
        <is>
          <t>FILIPSTAD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46290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16040-2026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46108</v>
      </c>
      <c r="E403" s="1" t="n">
        <v>46290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47344-2023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46290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46114</v>
      </c>
      <c r="E405" s="1" t="n">
        <v>46290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45418</v>
      </c>
      <c r="E406" s="1" t="n">
        <v>46290</v>
      </c>
      <c r="F406" t="inlineStr">
        <is>
          <t>VÄRMLANDS LÄN</t>
        </is>
      </c>
      <c r="G406" t="inlineStr">
        <is>
          <t>FILIPSTAD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46119</v>
      </c>
      <c r="E407" s="1" t="n">
        <v>46290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46119</v>
      </c>
      <c r="E408" s="1" t="n">
        <v>46290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46290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46120</v>
      </c>
      <c r="E410" s="1" t="n">
        <v>46290</v>
      </c>
      <c r="F410" t="inlineStr">
        <is>
          <t>VÄRMLANDS LÄN</t>
        </is>
      </c>
      <c r="G410" t="inlineStr">
        <is>
          <t>FILIPSTAD</t>
        </is>
      </c>
      <c r="I410" t="n">
        <v>9.699999999999999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46290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46290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46122</v>
      </c>
      <c r="E413" s="1" t="n">
        <v>46290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17931-2026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46290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46290</v>
      </c>
      <c r="F415" t="inlineStr">
        <is>
          <t>VÄRMLANDS LÄN</t>
        </is>
      </c>
      <c r="G415" t="inlineStr">
        <is>
          <t>FILIPSTAD</t>
        </is>
      </c>
      <c r="H415" t="inlineStr">
        <is>
          <t>Kommuner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46125</v>
      </c>
      <c r="E416" s="1" t="n">
        <v>46290</v>
      </c>
      <c r="F416" t="inlineStr">
        <is>
          <t>VÄRMLANDS LÄN</t>
        </is>
      </c>
      <c r="G416" t="inlineStr">
        <is>
          <t>FILIPSTAD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46290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46290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46290</v>
      </c>
      <c r="F419" t="inlineStr">
        <is>
          <t>VÄRMLANDS LÄN</t>
        </is>
      </c>
      <c r="G419" t="inlineStr">
        <is>
          <t>FILIPSTAD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55397-2022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46290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41075-2023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46290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46290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46290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45947</v>
      </c>
      <c r="E424" s="1" t="n">
        <v>46290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46127</v>
      </c>
      <c r="E425" s="1" t="n">
        <v>46290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45152</v>
      </c>
      <c r="E426" s="1" t="n">
        <v>46290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44951</v>
      </c>
      <c r="E427" s="1" t="n">
        <v>46290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46290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46290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18826-2026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46290</v>
      </c>
      <c r="F430" t="inlineStr">
        <is>
          <t>VÄRMLANDS LÄN</t>
        </is>
      </c>
      <c r="G430" t="inlineStr">
        <is>
          <t>FILIPSTAD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18507-2026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46290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46290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46290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46290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14840-2023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45014</v>
      </c>
      <c r="E435" s="1" t="n">
        <v>46290</v>
      </c>
      <c r="F435" t="inlineStr">
        <is>
          <t>VÄRMLANDS LÄN</t>
        </is>
      </c>
      <c r="G435" t="inlineStr">
        <is>
          <t>FILIPSTAD</t>
        </is>
      </c>
      <c r="H435" t="inlineStr">
        <is>
          <t>Kyrkan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44957</v>
      </c>
      <c r="E436" s="1" t="n">
        <v>46290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46195</v>
      </c>
      <c r="E437" s="1" t="n">
        <v>46290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46290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8.800000000000001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46290</v>
      </c>
      <c r="F439" t="inlineStr">
        <is>
          <t>VÄRMLANDS LÄN</t>
        </is>
      </c>
      <c r="G439" t="inlineStr">
        <is>
          <t>FILIPSTAD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46290</v>
      </c>
      <c r="F440" t="inlineStr">
        <is>
          <t>VÄRMLANDS LÄN</t>
        </is>
      </c>
      <c r="G440" t="inlineStr">
        <is>
          <t>FILIPSTAD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45511</v>
      </c>
      <c r="E441" s="1" t="n">
        <v>46290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46290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44596</v>
      </c>
      <c r="E443" s="1" t="n">
        <v>46290</v>
      </c>
      <c r="F443" t="inlineStr">
        <is>
          <t>VÄRMLANDS LÄN</t>
        </is>
      </c>
      <c r="G443" t="inlineStr">
        <is>
          <t>FILIPSTAD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45186</v>
      </c>
      <c r="E444" s="1" t="n">
        <v>46290</v>
      </c>
      <c r="F444" t="inlineStr">
        <is>
          <t>VÄRMLANDS LÄN</t>
        </is>
      </c>
      <c r="G444" t="inlineStr">
        <is>
          <t>FILIPSTAD</t>
        </is>
      </c>
      <c r="I444" t="n">
        <v>15.3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46290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45569</v>
      </c>
      <c r="E446" s="1" t="n">
        <v>46290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46290</v>
      </c>
      <c r="F447" t="inlineStr">
        <is>
          <t>VÄRMLANDS LÄN</t>
        </is>
      </c>
      <c r="G447" t="inlineStr">
        <is>
          <t>FILIPSTAD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45244</v>
      </c>
      <c r="E448" s="1" t="n">
        <v>46290</v>
      </c>
      <c r="F448" t="inlineStr">
        <is>
          <t>VÄRMLANDS LÄN</t>
        </is>
      </c>
      <c r="G448" t="inlineStr">
        <is>
          <t>FILIPSTAD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46290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46680-2024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45583</v>
      </c>
      <c r="E450" s="1" t="n">
        <v>46290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46290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46290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46290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46290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46090</v>
      </c>
      <c r="E455" s="1" t="n">
        <v>46290</v>
      </c>
      <c r="F455" t="inlineStr">
        <is>
          <t>VÄRMLANDS LÄN</t>
        </is>
      </c>
      <c r="G455" t="inlineStr">
        <is>
          <t>FILIPSTAD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44691</v>
      </c>
      <c r="E456" s="1" t="n">
        <v>46290</v>
      </c>
      <c r="F456" t="inlineStr">
        <is>
          <t>VÄRMLANDS LÄN</t>
        </is>
      </c>
      <c r="G456" t="inlineStr">
        <is>
          <t>FILIPSTAD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46290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46290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45096</v>
      </c>
      <c r="E459" s="1" t="n">
        <v>46290</v>
      </c>
      <c r="F459" t="inlineStr">
        <is>
          <t>VÄRMLANDS LÄN</t>
        </is>
      </c>
      <c r="G459" t="inlineStr">
        <is>
          <t>FILIPSTAD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46290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46290</v>
      </c>
      <c r="F461" t="inlineStr">
        <is>
          <t>VÄRMLANDS LÄN</t>
        </is>
      </c>
      <c r="G461" t="inlineStr">
        <is>
          <t>FILIPSTAD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45195</v>
      </c>
      <c r="E462" s="1" t="n">
        <v>46290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46290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46290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46290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46290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46251</v>
      </c>
      <c r="E467" s="1" t="n">
        <v>46290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62013-2024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45655</v>
      </c>
      <c r="E468" s="1" t="n">
        <v>46290</v>
      </c>
      <c r="F468" t="inlineStr">
        <is>
          <t>VÄRMLANDS LÄN</t>
        </is>
      </c>
      <c r="G468" t="inlineStr">
        <is>
          <t>FILIPSTAD</t>
        </is>
      </c>
      <c r="I468" t="n">
        <v>26.5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45655</v>
      </c>
      <c r="E469" s="1" t="n">
        <v>46290</v>
      </c>
      <c r="F469" t="inlineStr">
        <is>
          <t>VÄRMLANDS LÄN</t>
        </is>
      </c>
      <c r="G469" t="inlineStr">
        <is>
          <t>FILIPSTAD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1170-2023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44935</v>
      </c>
      <c r="E470" s="1" t="n">
        <v>46290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46290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29814-2026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46290</v>
      </c>
      <c r="F472" t="inlineStr">
        <is>
          <t>VÄRMLANDS LÄN</t>
        </is>
      </c>
      <c r="G472" t="inlineStr">
        <is>
          <t>FILIPSTAD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46251</v>
      </c>
      <c r="E473" s="1" t="n">
        <v>46290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46290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45230</v>
      </c>
      <c r="E475" s="1" t="n">
        <v>46290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46252</v>
      </c>
      <c r="E476" s="1" t="n">
        <v>46290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46290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63411-2023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45274</v>
      </c>
      <c r="E478" s="1" t="n">
        <v>46290</v>
      </c>
      <c r="F478" t="inlineStr">
        <is>
          <t>VÄRMLANDS LÄN</t>
        </is>
      </c>
      <c r="G478" t="inlineStr">
        <is>
          <t>FILIPSTAD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46290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46290</v>
      </c>
      <c r="F480" t="inlineStr">
        <is>
          <t>VÄRMLANDS LÄN</t>
        </is>
      </c>
      <c r="G480" t="inlineStr">
        <is>
          <t>FILIPSTAD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46290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46290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19.2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46290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46290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46212</v>
      </c>
      <c r="E485" s="1" t="n">
        <v>46290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45124</v>
      </c>
      <c r="E486" s="1" t="n">
        <v>46290</v>
      </c>
      <c r="F486" t="inlineStr">
        <is>
          <t>VÄRMLANDS LÄN</t>
        </is>
      </c>
      <c r="G486" t="inlineStr">
        <is>
          <t>FILIPSTAD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45524</v>
      </c>
      <c r="E487" s="1" t="n">
        <v>46290</v>
      </c>
      <c r="F487" t="inlineStr">
        <is>
          <t>VÄRMLANDS LÄN</t>
        </is>
      </c>
      <c r="G487" t="inlineStr">
        <is>
          <t>FILIPSTAD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46259</v>
      </c>
      <c r="E488" s="1" t="n">
        <v>46290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46259</v>
      </c>
      <c r="E489" s="1" t="n">
        <v>46290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46290</v>
      </c>
      <c r="F490" t="inlineStr">
        <is>
          <t>VÄRMLANDS LÄN</t>
        </is>
      </c>
      <c r="G490" t="inlineStr">
        <is>
          <t>FILIPSTAD</t>
        </is>
      </c>
      <c r="H490" t="inlineStr">
        <is>
          <t>Kyrkan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45568</v>
      </c>
      <c r="E491" s="1" t="n">
        <v>46290</v>
      </c>
      <c r="F491" t="inlineStr">
        <is>
          <t>VÄRMLANDS LÄN</t>
        </is>
      </c>
      <c r="G491" t="inlineStr">
        <is>
          <t>FILIPSTAD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6860-2024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45342</v>
      </c>
      <c r="E492" s="1" t="n">
        <v>46290</v>
      </c>
      <c r="F492" t="inlineStr">
        <is>
          <t>VÄRMLANDS LÄN</t>
        </is>
      </c>
      <c r="G492" t="inlineStr">
        <is>
          <t>FILIPSTAD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46218</v>
      </c>
      <c r="E493" s="1" t="n">
        <v>46290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46261</v>
      </c>
      <c r="E494" s="1" t="n">
        <v>46290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35314-2026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46261</v>
      </c>
      <c r="E495" s="1" t="n">
        <v>46290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35290-2026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46261</v>
      </c>
      <c r="E496" s="1" t="n">
        <v>46290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35423-2026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46261</v>
      </c>
      <c r="E497" s="1" t="n">
        <v>46290</v>
      </c>
      <c r="F497" t="inlineStr">
        <is>
          <t>VÄRMLANDS LÄN</t>
        </is>
      </c>
      <c r="G497" t="inlineStr">
        <is>
          <t>FILIPSTAD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46290</v>
      </c>
      <c r="F498" t="inlineStr">
        <is>
          <t>VÄRMLANDS LÄN</t>
        </is>
      </c>
      <c r="G498" t="inlineStr">
        <is>
          <t>FILIPSTAD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46223</v>
      </c>
      <c r="E499" s="1" t="n">
        <v>46290</v>
      </c>
      <c r="F499" t="inlineStr">
        <is>
          <t>VÄRMLANDS LÄN</t>
        </is>
      </c>
      <c r="G499" t="inlineStr">
        <is>
          <t>FILIPSTAD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46264</v>
      </c>
      <c r="E500" s="1" t="n">
        <v>46290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46290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46264</v>
      </c>
      <c r="E502" s="1" t="n">
        <v>46290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31537-2026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46223</v>
      </c>
      <c r="E503" s="1" t="n">
        <v>46290</v>
      </c>
      <c r="F503" t="inlineStr">
        <is>
          <t>VÄRMLANDS LÄN</t>
        </is>
      </c>
      <c r="G503" t="inlineStr">
        <is>
          <t>FILIPSTAD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46290</v>
      </c>
      <c r="F504" t="inlineStr">
        <is>
          <t>VÄRMLANDS LÄN</t>
        </is>
      </c>
      <c r="G504" t="inlineStr">
        <is>
          <t>FILIPSTAD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46219</v>
      </c>
      <c r="E505" s="1" t="n">
        <v>46290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46290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46290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43045-2024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45567</v>
      </c>
      <c r="E508" s="1" t="n">
        <v>46290</v>
      </c>
      <c r="F508" t="inlineStr">
        <is>
          <t>VÄRMLANDS LÄN</t>
        </is>
      </c>
      <c r="G508" t="inlineStr">
        <is>
          <t>FILIPSTAD</t>
        </is>
      </c>
      <c r="H508" t="inlineStr">
        <is>
          <t>Kyrkan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6683-2025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45700</v>
      </c>
      <c r="E509" s="1" t="n">
        <v>46290</v>
      </c>
      <c r="F509" t="inlineStr">
        <is>
          <t>VÄRMLANDS LÄN</t>
        </is>
      </c>
      <c r="G509" t="inlineStr">
        <is>
          <t>FILIPSTAD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35948-2026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46266</v>
      </c>
      <c r="E510" s="1" t="n">
        <v>46290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35995-2026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46290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46268</v>
      </c>
      <c r="E512" s="1" t="n">
        <v>46290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36455-2026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46290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46269</v>
      </c>
      <c r="E515" s="1" t="n">
        <v>46290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46290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46290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45088</v>
      </c>
      <c r="E518" s="1" t="n">
        <v>46290</v>
      </c>
      <c r="F518" t="inlineStr">
        <is>
          <t>VÄRMLANDS LÄN</t>
        </is>
      </c>
      <c r="G518" t="inlineStr">
        <is>
          <t>FILIPSTAD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46226</v>
      </c>
      <c r="E519" s="1" t="n">
        <v>46290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46290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46290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46227</v>
      </c>
      <c r="E522" s="1" t="n">
        <v>46290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69015-2021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44530</v>
      </c>
      <c r="E523" s="1" t="n">
        <v>46290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45439</v>
      </c>
      <c r="E524" s="1" t="n">
        <v>46290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36819-2026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46290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46227</v>
      </c>
      <c r="E526" s="1" t="n">
        <v>46290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36955-2026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46290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44960</v>
      </c>
      <c r="E528" s="1" t="n">
        <v>46290</v>
      </c>
      <c r="F528" t="inlineStr">
        <is>
          <t>VÄRMLANDS LÄN</t>
        </is>
      </c>
      <c r="G528" t="inlineStr">
        <is>
          <t>FILIPSTAD</t>
        </is>
      </c>
      <c r="H528" t="inlineStr">
        <is>
          <t>Kommuner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46290</v>
      </c>
      <c r="F529" t="inlineStr">
        <is>
          <t>VÄRMLANDS LÄN</t>
        </is>
      </c>
      <c r="G529" t="inlineStr">
        <is>
          <t>FILIPSTAD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46290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46290</v>
      </c>
      <c r="F531" t="inlineStr">
        <is>
          <t>VÄRMLANDS LÄN</t>
        </is>
      </c>
      <c r="G531" t="inlineStr">
        <is>
          <t>FILIPSTAD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45436</v>
      </c>
      <c r="E532" s="1" t="n">
        <v>46290</v>
      </c>
      <c r="F532" t="inlineStr">
        <is>
          <t>VÄRMLANDS LÄN</t>
        </is>
      </c>
      <c r="G532" t="inlineStr">
        <is>
          <t>FILIPSTAD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46290</v>
      </c>
      <c r="F533" t="inlineStr">
        <is>
          <t>VÄRMLANDS LÄN</t>
        </is>
      </c>
      <c r="G533" t="inlineStr">
        <is>
          <t>FILIPSTAD</t>
        </is>
      </c>
      <c r="I533" t="n">
        <v>11.6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53690-2022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44880</v>
      </c>
      <c r="E534" s="1" t="n">
        <v>46290</v>
      </c>
      <c r="F534" t="inlineStr">
        <is>
          <t>VÄRMLANDS LÄN</t>
        </is>
      </c>
      <c r="G534" t="inlineStr">
        <is>
          <t>FILIPSTAD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45700</v>
      </c>
      <c r="E535" s="1" t="n">
        <v>46290</v>
      </c>
      <c r="F535" t="inlineStr">
        <is>
          <t>VÄRMLANDS LÄN</t>
        </is>
      </c>
      <c r="G535" t="inlineStr">
        <is>
          <t>FILIPSTAD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46186</v>
      </c>
      <c r="E536" s="1" t="n">
        <v>46290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46290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48040-2023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46290</v>
      </c>
      <c r="F538" t="inlineStr">
        <is>
          <t>VÄRMLANDS LÄN</t>
        </is>
      </c>
      <c r="G538" t="inlineStr">
        <is>
          <t>FILIPSTAD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44467</v>
      </c>
      <c r="E539" s="1" t="n">
        <v>46290</v>
      </c>
      <c r="F539" t="inlineStr">
        <is>
          <t>VÄRMLANDS LÄN</t>
        </is>
      </c>
      <c r="G539" t="inlineStr">
        <is>
          <t>FILIPSTAD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46290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46231</v>
      </c>
      <c r="E541" s="1" t="n">
        <v>46290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46290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46232</v>
      </c>
      <c r="E543" s="1" t="n">
        <v>46290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31963-2026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46232</v>
      </c>
      <c r="E544" s="1" t="n">
        <v>46290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46290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46276</v>
      </c>
      <c r="E546" s="1" t="n">
        <v>46290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46290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51618-2022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44872</v>
      </c>
      <c r="E548" s="1" t="n">
        <v>46290</v>
      </c>
      <c r="F548" t="inlineStr">
        <is>
          <t>VÄRMLANDS LÄN</t>
        </is>
      </c>
      <c r="G548" t="inlineStr">
        <is>
          <t>FILIPSTAD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46234</v>
      </c>
      <c r="E549" s="1" t="n">
        <v>46290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45516</v>
      </c>
      <c r="E550" s="1" t="n">
        <v>46290</v>
      </c>
      <c r="F550" t="inlineStr">
        <is>
          <t>VÄRMLANDS LÄN</t>
        </is>
      </c>
      <c r="G550" t="inlineStr">
        <is>
          <t>FILIPSTAD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46269</v>
      </c>
      <c r="E551" s="1" t="n">
        <v>46290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46233</v>
      </c>
      <c r="E552" s="1" t="n">
        <v>46290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46290</v>
      </c>
      <c r="F553" t="inlineStr">
        <is>
          <t>VÄRMLANDS LÄN</t>
        </is>
      </c>
      <c r="G553" t="inlineStr">
        <is>
          <t>FILIPSTAD</t>
        </is>
      </c>
      <c r="I553" t="n">
        <v>13.4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32249-2026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46237</v>
      </c>
      <c r="E554" s="1" t="n">
        <v>46290</v>
      </c>
      <c r="F554" t="inlineStr">
        <is>
          <t>VÄRMLANDS LÄN</t>
        </is>
      </c>
      <c r="G554" t="inlineStr">
        <is>
          <t>FILIPSTAD</t>
        </is>
      </c>
      <c r="H554" t="inlineStr">
        <is>
          <t>Kommuner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44809</v>
      </c>
      <c r="E555" s="1" t="n">
        <v>46290</v>
      </c>
      <c r="F555" t="inlineStr">
        <is>
          <t>VÄRMLANDS LÄN</t>
        </is>
      </c>
      <c r="G555" t="inlineStr">
        <is>
          <t>FILIPSTAD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16591-2022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44672</v>
      </c>
      <c r="E556" s="1" t="n">
        <v>46290</v>
      </c>
      <c r="F556" t="inlineStr">
        <is>
          <t>VÄRMLANDS LÄN</t>
        </is>
      </c>
      <c r="G556" t="inlineStr">
        <is>
          <t>FILIPSTAD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46233</v>
      </c>
      <c r="E557" s="1" t="n">
        <v>46290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44998</v>
      </c>
      <c r="E558" s="1" t="n">
        <v>46290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38228-2026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46281</v>
      </c>
      <c r="E559" s="1" t="n">
        <v>46290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46290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46240</v>
      </c>
      <c r="E561" s="1" t="n">
        <v>46290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38578-2026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46290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38325-2026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46290</v>
      </c>
      <c r="F563" t="inlineStr">
        <is>
          <t>VÄRMLANDS LÄN</t>
        </is>
      </c>
      <c r="G563" t="inlineStr">
        <is>
          <t>FILIPSTAD</t>
        </is>
      </c>
      <c r="H563" t="inlineStr">
        <is>
          <t>Kyrkan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46239</v>
      </c>
      <c r="E564" s="1" t="n">
        <v>46290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32572-2026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46239</v>
      </c>
      <c r="E565" s="1" t="n">
        <v>46290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46240</v>
      </c>
      <c r="E566" s="1" t="n">
        <v>46290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46239</v>
      </c>
      <c r="E567" s="1" t="n">
        <v>46290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38575-2026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46283</v>
      </c>
      <c r="E568" s="1" t="n">
        <v>46290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32588-2026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46290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32603-2026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46240</v>
      </c>
      <c r="E570" s="1" t="n">
        <v>46290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46290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46287</v>
      </c>
      <c r="E572" s="1" t="n">
        <v>46290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45414</v>
      </c>
      <c r="E573" s="1" t="n">
        <v>46290</v>
      </c>
      <c r="F573" t="inlineStr">
        <is>
          <t>VÄRMLANDS LÄN</t>
        </is>
      </c>
      <c r="G573" t="inlineStr">
        <is>
          <t>FILIPSTAD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47002-2024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45586</v>
      </c>
      <c r="E574" s="1" t="n">
        <v>46290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46290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45495</v>
      </c>
      <c r="E576" s="1" t="n">
        <v>46290</v>
      </c>
      <c r="F576" t="inlineStr">
        <is>
          <t>VÄRMLANDS LÄN</t>
        </is>
      </c>
      <c r="G576" t="inlineStr">
        <is>
          <t>FILIPSTAD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46290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46290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46290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32852-2026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46244</v>
      </c>
      <c r="E580" s="1" t="n">
        <v>46290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32972-2026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46290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46290</v>
      </c>
      <c r="F582" t="inlineStr">
        <is>
          <t>VÄRMLANDS LÄN</t>
        </is>
      </c>
      <c r="G582" t="inlineStr">
        <is>
          <t>FILIPSTAD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46290</v>
      </c>
      <c r="F583" t="inlineStr">
        <is>
          <t>VÄRMLANDS LÄN</t>
        </is>
      </c>
      <c r="G583" t="inlineStr">
        <is>
          <t>FILIPSTAD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28357-2024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45477</v>
      </c>
      <c r="E584" s="1" t="n">
        <v>46290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35304-2024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46290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46290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46290</v>
      </c>
      <c r="F587" t="inlineStr">
        <is>
          <t>VÄRMLANDS LÄN</t>
        </is>
      </c>
      <c r="G587" t="inlineStr">
        <is>
          <t>FILIPSTAD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48702-2024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45593</v>
      </c>
      <c r="E588" s="1" t="n">
        <v>46290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32980-2026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46244</v>
      </c>
      <c r="E589" s="1" t="n">
        <v>46290</v>
      </c>
      <c r="F589" t="inlineStr">
        <is>
          <t>VÄRMLANDS LÄN</t>
        </is>
      </c>
      <c r="G589" t="inlineStr">
        <is>
          <t>FILIPSTAD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46290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46290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46289</v>
      </c>
      <c r="E592" s="1" t="n">
        <v>46290</v>
      </c>
      <c r="F592" t="inlineStr">
        <is>
          <t>VÄRMLANDS LÄN</t>
        </is>
      </c>
      <c r="G592" t="inlineStr">
        <is>
          <t>FILIPSTAD</t>
        </is>
      </c>
      <c r="H592" t="inlineStr">
        <is>
          <t>Kyrkan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45667</v>
      </c>
      <c r="E593" s="1" t="n">
        <v>46290</v>
      </c>
      <c r="F593" t="inlineStr">
        <is>
          <t>VÄRMLANDS LÄN</t>
        </is>
      </c>
      <c r="G593" t="inlineStr">
        <is>
          <t>FILIPSTAD</t>
        </is>
      </c>
      <c r="H593" t="inlineStr">
        <is>
          <t>Kommuner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46245</v>
      </c>
      <c r="E594" s="1" t="n">
        <v>46290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46266</v>
      </c>
      <c r="E595" s="1" t="n">
        <v>46290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45793</v>
      </c>
      <c r="E596" s="1" t="n">
        <v>46290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23399-2025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45792</v>
      </c>
      <c r="E597" s="1" t="n">
        <v>46290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45355</v>
      </c>
      <c r="E599" s="1" t="n">
        <v>46290</v>
      </c>
      <c r="F599" t="inlineStr">
        <is>
          <t>VÄRMLANDS LÄN</t>
        </is>
      </c>
      <c r="G599" t="inlineStr">
        <is>
          <t>FILIPSTAD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46246</v>
      </c>
      <c r="E600" s="1" t="n">
        <v>46290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72118-2021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44543</v>
      </c>
      <c r="E601" s="1" t="n">
        <v>46290</v>
      </c>
      <c r="F601" t="inlineStr">
        <is>
          <t>VÄRMLANDS LÄN</t>
        </is>
      </c>
      <c r="G601" t="inlineStr">
        <is>
          <t>FILIPSTAD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15396-2025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45747</v>
      </c>
      <c r="E602" s="1" t="n">
        <v>46290</v>
      </c>
      <c r="F602" t="inlineStr">
        <is>
          <t>VÄRMLANDS LÄN</t>
        </is>
      </c>
      <c r="G602" t="inlineStr">
        <is>
          <t>FILIPSTAD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46290</v>
      </c>
      <c r="F603" t="inlineStr">
        <is>
          <t>VÄRMLANDS LÄN</t>
        </is>
      </c>
      <c r="G603" t="inlineStr">
        <is>
          <t>FILIPSTAD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39333-2026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46290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46247</v>
      </c>
      <c r="E605" s="1" t="n">
        <v>46290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46290</v>
      </c>
      <c r="F606" t="inlineStr">
        <is>
          <t>VÄRMLANDS LÄN</t>
        </is>
      </c>
      <c r="G606" t="inlineStr">
        <is>
          <t>FILIPSTAD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20844-2024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45439</v>
      </c>
      <c r="E607" s="1" t="n">
        <v>46290</v>
      </c>
      <c r="F607" t="inlineStr">
        <is>
          <t>VÄRMLANDS LÄN</t>
        </is>
      </c>
      <c r="G607" t="inlineStr">
        <is>
          <t>FILIPSTAD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45322</v>
      </c>
      <c r="E608" s="1" t="n">
        <v>46290</v>
      </c>
      <c r="F608" t="inlineStr">
        <is>
          <t>VÄRMLANDS LÄN</t>
        </is>
      </c>
      <c r="G608" t="inlineStr">
        <is>
          <t>FILIPSTAD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45747</v>
      </c>
      <c r="E609" s="1" t="n">
        <v>46290</v>
      </c>
      <c r="F609" t="inlineStr">
        <is>
          <t>VÄRMLANDS LÄN</t>
        </is>
      </c>
      <c r="G609" t="inlineStr">
        <is>
          <t>FILIPSTAD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35799-2022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44801</v>
      </c>
      <c r="E610" s="1" t="n">
        <v>46290</v>
      </c>
      <c r="F610" t="inlineStr">
        <is>
          <t>VÄRMLANDS LÄN</t>
        </is>
      </c>
      <c r="G610" t="inlineStr">
        <is>
          <t>FILIPSTAD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47261-2024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45586</v>
      </c>
      <c r="E611" s="1" t="n">
        <v>46290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26116-2025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45805</v>
      </c>
      <c r="E612" s="1" t="n">
        <v>46290</v>
      </c>
      <c r="F612" t="inlineStr">
        <is>
          <t>VÄRMLANDS LÄN</t>
        </is>
      </c>
      <c r="G612" t="inlineStr">
        <is>
          <t>FILIPSTAD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26123-2025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45805</v>
      </c>
      <c r="E613" s="1" t="n">
        <v>46290</v>
      </c>
      <c r="F613" t="inlineStr">
        <is>
          <t>VÄRMLANDS LÄN</t>
        </is>
      </c>
      <c r="G613" t="inlineStr">
        <is>
          <t>FILIPSTAD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26812-2025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45810</v>
      </c>
      <c r="E614" s="1" t="n">
        <v>46290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45470</v>
      </c>
      <c r="E615" s="1" t="n">
        <v>46290</v>
      </c>
      <c r="F615" t="inlineStr">
        <is>
          <t>VÄRMLANDS LÄN</t>
        </is>
      </c>
      <c r="G615" t="inlineStr">
        <is>
          <t>FILIPSTAD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26599-2024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45469</v>
      </c>
      <c r="E616" s="1" t="n">
        <v>46290</v>
      </c>
      <c r="F616" t="inlineStr">
        <is>
          <t>VÄRMLANDS LÄN</t>
        </is>
      </c>
      <c r="G616" t="inlineStr">
        <is>
          <t>FILIPSTAD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46290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46290</v>
      </c>
      <c r="F618" t="inlineStr">
        <is>
          <t>VÄRMLANDS LÄN</t>
        </is>
      </c>
      <c r="G618" t="inlineStr">
        <is>
          <t>FILIPSTAD</t>
        </is>
      </c>
      <c r="I618" t="n">
        <v>23.3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29944-2025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46290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6.8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30049-2025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45826</v>
      </c>
      <c r="E620" s="1" t="n">
        <v>46290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45827</v>
      </c>
      <c r="E621" s="1" t="n">
        <v>46290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31172-2025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45832</v>
      </c>
      <c r="E622" s="1" t="n">
        <v>46290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32032-2025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45835</v>
      </c>
      <c r="E623" s="1" t="n">
        <v>46290</v>
      </c>
      <c r="F623" t="inlineStr">
        <is>
          <t>VÄRMLANDS LÄN</t>
        </is>
      </c>
      <c r="G623" t="inlineStr">
        <is>
          <t>FILIPSTAD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31883-2025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46290</v>
      </c>
      <c r="F624" t="inlineStr">
        <is>
          <t>VÄRMLANDS LÄN</t>
        </is>
      </c>
      <c r="G624" t="inlineStr">
        <is>
          <t>FILIPSTAD</t>
        </is>
      </c>
      <c r="I624" t="n">
        <v>18.7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45827</v>
      </c>
      <c r="E625" s="1" t="n">
        <v>46290</v>
      </c>
      <c r="F625" t="inlineStr">
        <is>
          <t>VÄRMLANDS LÄN</t>
        </is>
      </c>
      <c r="G625" t="inlineStr">
        <is>
          <t>FILIPSTAD</t>
        </is>
      </c>
      <c r="H625" t="inlineStr">
        <is>
          <t>Kyrkan</t>
        </is>
      </c>
      <c r="I625" t="n">
        <v>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46290</v>
      </c>
      <c r="F626" t="inlineStr">
        <is>
          <t>VÄRMLANDS LÄN</t>
        </is>
      </c>
      <c r="G626" t="inlineStr">
        <is>
          <t>FILIPSTAD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33407-2025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45841</v>
      </c>
      <c r="E627" s="1" t="n">
        <v>46290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30077-2025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45826</v>
      </c>
      <c r="E628" s="1" t="n">
        <v>46290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5757-2021</t>
        </is>
      </c>
      <c r="B629" t="inlineStr">
        <is>
          <t>samrådsanmälan</t>
        </is>
      </c>
      <c r="C629" t="inlineStr">
        <is>
          <t>Basväg</t>
        </is>
      </c>
      <c r="D629" s="1" t="n">
        <v>44438</v>
      </c>
      <c r="E629" s="1" t="n">
        <v>46290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1191-2021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44328</v>
      </c>
      <c r="E630" s="1" t="n">
        <v>46290</v>
      </c>
      <c r="F630" t="inlineStr">
        <is>
          <t>VÄRMLANDS LÄN</t>
        </is>
      </c>
      <c r="G630" t="inlineStr">
        <is>
          <t>FILIPSTAD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4134-2023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4115-2023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46290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4132-2023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46290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4130-2023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56.4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837-2023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44991</v>
      </c>
      <c r="E637" s="1" t="n">
        <v>46290</v>
      </c>
      <c r="F637" t="inlineStr">
        <is>
          <t>VÄRMLANDS LÄN</t>
        </is>
      </c>
      <c r="G637" t="inlineStr">
        <is>
          <t>FILIPSTAD</t>
        </is>
      </c>
      <c r="I637" t="n">
        <v>19.3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4129-2023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3919-2023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45233</v>
      </c>
      <c r="E639" s="1" t="n">
        <v>46290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4135-2023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46290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46290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294-2025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45687</v>
      </c>
      <c r="E642" s="1" t="n">
        <v>46290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4116-2023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45246</v>
      </c>
      <c r="E643" s="1" t="n">
        <v>46290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661-2025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45716</v>
      </c>
      <c r="E644" s="1" t="n">
        <v>46290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161.7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3429-2025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45995</v>
      </c>
      <c r="E645" s="1" t="n">
        <v>46290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3576-2025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46010</v>
      </c>
      <c r="E646" s="1" t="n">
        <v>46290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27.1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105-2026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46036</v>
      </c>
      <c r="E647" s="1" t="n">
        <v>46290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238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2026-09-25T02:02:23Z</dcterms:created>
  <dcterms:modified xmlns:dcterms="http://purl.org/dc/terms/" xmlns:xsi="http://www.w3.org/2001/XMLSchema-instance" xsi:type="dcterms:W3CDTF">2026-09-25T02:02:24Z</dcterms:modified>
</cp:coreProperties>
</file>