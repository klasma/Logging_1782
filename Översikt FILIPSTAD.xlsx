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45990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20.2</v>
      </c>
      <c r="H2" t="n">
        <v>3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Knärot
Gränsticka
Spillkråka
Tallticka
Ullticka
Vedtrappmossa
Dropptaggsvamp
Grön sköldmossa
Rostfläck
Vedticka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58718-2021</t>
        </is>
      </c>
      <c r="B3" s="1" t="n">
        <v>44489</v>
      </c>
      <c r="C3" s="1" t="n">
        <v>45990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12.2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Garnlav
Ullticka
Vedtrappmossa
Bollvitmossa
Bronshjon
Dropptaggsvamp
Skuggblåslav</t>
        </is>
      </c>
      <c r="S3">
        <f>HYPERLINK("https://klasma.github.io/Logging_1782/artfynd/A 58718-2021 artfynd.xlsx", "A 58718-2021")</f>
        <v/>
      </c>
      <c r="T3">
        <f>HYPERLINK("https://klasma.github.io/Logging_1782/kartor/A 58718-2021 karta.png", "A 58718-2021")</f>
        <v/>
      </c>
      <c r="V3">
        <f>HYPERLINK("https://klasma.github.io/Logging_1782/klagomål/A 58718-2021 FSC-klagomål.docx", "A 58718-2021")</f>
        <v/>
      </c>
      <c r="W3">
        <f>HYPERLINK("https://klasma.github.io/Logging_1782/klagomålsmail/A 58718-2021 FSC-klagomål mail.docx", "A 58718-2021")</f>
        <v/>
      </c>
      <c r="X3">
        <f>HYPERLINK("https://klasma.github.io/Logging_1782/tillsyn/A 58718-2021 tillsynsbegäran.docx", "A 58718-2021")</f>
        <v/>
      </c>
      <c r="Y3">
        <f>HYPERLINK("https://klasma.github.io/Logging_1782/tillsynsmail/A 58718-2021 tillsynsbegäran mail.docx", "A 58718-2021")</f>
        <v/>
      </c>
    </row>
    <row r="4" ht="15" customHeight="1">
      <c r="A4" t="inlineStr">
        <is>
          <t>A 47888-2021</t>
        </is>
      </c>
      <c r="B4" s="1" t="n">
        <v>44448</v>
      </c>
      <c r="C4" s="1" t="n">
        <v>45990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9</v>
      </c>
      <c r="H4" t="n">
        <v>3</v>
      </c>
      <c r="I4" t="n">
        <v>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Grönkulla
Skogsknipprot
Svart trolldruva
Tibast
Tvåblad
Underviol
Vårärt</t>
        </is>
      </c>
      <c r="S4">
        <f>HYPERLINK("https://klasma.github.io/Logging_1782/artfynd/A 47888-2021 artfynd.xlsx", "A 47888-2021")</f>
        <v/>
      </c>
      <c r="T4">
        <f>HYPERLINK("https://klasma.github.io/Logging_1782/kartor/A 47888-2021 karta.png", "A 47888-2021")</f>
        <v/>
      </c>
      <c r="V4">
        <f>HYPERLINK("https://klasma.github.io/Logging_1782/klagomål/A 47888-2021 FSC-klagomål.docx", "A 47888-2021")</f>
        <v/>
      </c>
      <c r="W4">
        <f>HYPERLINK("https://klasma.github.io/Logging_1782/klagomålsmail/A 47888-2021 FSC-klagomål mail.docx", "A 47888-2021")</f>
        <v/>
      </c>
      <c r="X4">
        <f>HYPERLINK("https://klasma.github.io/Logging_1782/tillsyn/A 47888-2021 tillsynsbegäran.docx", "A 47888-2021")</f>
        <v/>
      </c>
      <c r="Y4">
        <f>HYPERLINK("https://klasma.github.io/Logging_1782/tillsynsmail/A 47888-2021 tillsynsbegäran mail.docx", "A 47888-2021")</f>
        <v/>
      </c>
    </row>
    <row r="5" ht="15" customHeight="1">
      <c r="A5" t="inlineStr">
        <is>
          <t>A 37729-2025</t>
        </is>
      </c>
      <c r="B5" s="1" t="n">
        <v>45880</v>
      </c>
      <c r="C5" s="1" t="n">
        <v>45990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1.3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Garnlav
Ullticka
Vedtrappmossa
Bollvitmossa
Bronshjon
Skuggblåslav</t>
        </is>
      </c>
      <c r="S5">
        <f>HYPERLINK("https://klasma.github.io/Logging_1782/artfynd/A 37729-2025 artfynd.xlsx", "A 37729-2025")</f>
        <v/>
      </c>
      <c r="T5">
        <f>HYPERLINK("https://klasma.github.io/Logging_1782/kartor/A 37729-2025 karta.png", "A 37729-2025")</f>
        <v/>
      </c>
      <c r="V5">
        <f>HYPERLINK("https://klasma.github.io/Logging_1782/klagomål/A 37729-2025 FSC-klagomål.docx", "A 37729-2025")</f>
        <v/>
      </c>
      <c r="W5">
        <f>HYPERLINK("https://klasma.github.io/Logging_1782/klagomålsmail/A 37729-2025 FSC-klagomål mail.docx", "A 37729-2025")</f>
        <v/>
      </c>
      <c r="X5">
        <f>HYPERLINK("https://klasma.github.io/Logging_1782/tillsyn/A 37729-2025 tillsynsbegäran.docx", "A 37729-2025")</f>
        <v/>
      </c>
      <c r="Y5">
        <f>HYPERLINK("https://klasma.github.io/Logging_1782/tillsynsmail/A 37729-2025 tillsynsbegäran mail.docx", "A 37729-2025")</f>
        <v/>
      </c>
    </row>
    <row r="6" ht="15" customHeight="1">
      <c r="A6" t="inlineStr">
        <is>
          <t>A 57471-2025</t>
        </is>
      </c>
      <c r="B6" s="1" t="n">
        <v>45980</v>
      </c>
      <c r="C6" s="1" t="n">
        <v>45990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14.4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Garnlav
Bollvitmossa
Kattfotslav
Vågbandad barkbock
Fläcknycklar</t>
        </is>
      </c>
      <c r="S6">
        <f>HYPERLINK("https://klasma.github.io/Logging_1782/artfynd/A 57471-2025 artfynd.xlsx", "A 57471-2025")</f>
        <v/>
      </c>
      <c r="T6">
        <f>HYPERLINK("https://klasma.github.io/Logging_1782/kartor/A 57471-2025 karta.png", "A 57471-2025")</f>
        <v/>
      </c>
      <c r="V6">
        <f>HYPERLINK("https://klasma.github.io/Logging_1782/klagomål/A 57471-2025 FSC-klagomål.docx", "A 57471-2025")</f>
        <v/>
      </c>
      <c r="W6">
        <f>HYPERLINK("https://klasma.github.io/Logging_1782/klagomålsmail/A 57471-2025 FSC-klagomål mail.docx", "A 57471-2025")</f>
        <v/>
      </c>
      <c r="X6">
        <f>HYPERLINK("https://klasma.github.io/Logging_1782/tillsyn/A 57471-2025 tillsynsbegäran.docx", "A 57471-2025")</f>
        <v/>
      </c>
      <c r="Y6">
        <f>HYPERLINK("https://klasma.github.io/Logging_1782/tillsynsmail/A 57471-2025 tillsynsbegäran mail.docx", "A 57471-2025")</f>
        <v/>
      </c>
    </row>
    <row r="7" ht="15" customHeight="1">
      <c r="A7" t="inlineStr">
        <is>
          <t>A 65201-2023</t>
        </is>
      </c>
      <c r="B7" s="1" t="n">
        <v>45289.42722222222</v>
      </c>
      <c r="C7" s="1" t="n">
        <v>45990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7.5</v>
      </c>
      <c r="H7" t="n">
        <v>2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Brunpudrad nållav
Vedtrappmossa
Blåsippa</t>
        </is>
      </c>
      <c r="S7">
        <f>HYPERLINK("https://klasma.github.io/Logging_1782/artfynd/A 65201-2023 artfynd.xlsx", "A 65201-2023")</f>
        <v/>
      </c>
      <c r="T7">
        <f>HYPERLINK("https://klasma.github.io/Logging_1782/kartor/A 65201-2023 karta.png", "A 65201-2023")</f>
        <v/>
      </c>
      <c r="U7">
        <f>HYPERLINK("https://klasma.github.io/Logging_1782/knärot/A 65201-2023 karta knärot.png", "A 65201-2023")</f>
        <v/>
      </c>
      <c r="V7">
        <f>HYPERLINK("https://klasma.github.io/Logging_1782/klagomål/A 65201-2023 FSC-klagomål.docx", "A 65201-2023")</f>
        <v/>
      </c>
      <c r="W7">
        <f>HYPERLINK("https://klasma.github.io/Logging_1782/klagomålsmail/A 65201-2023 FSC-klagomål mail.docx", "A 65201-2023")</f>
        <v/>
      </c>
      <c r="X7">
        <f>HYPERLINK("https://klasma.github.io/Logging_1782/tillsyn/A 65201-2023 tillsynsbegäran.docx", "A 65201-2023")</f>
        <v/>
      </c>
      <c r="Y7">
        <f>HYPERLINK("https://klasma.github.io/Logging_1782/tillsynsmail/A 65201-2023 tillsynsbegäran mail.docx", "A 65201-2023")</f>
        <v/>
      </c>
    </row>
    <row r="8" ht="15" customHeight="1">
      <c r="A8" t="inlineStr">
        <is>
          <t>A 60512-2024</t>
        </is>
      </c>
      <c r="B8" s="1" t="n">
        <v>45643</v>
      </c>
      <c r="C8" s="1" t="n">
        <v>45990</v>
      </c>
      <c r="D8" t="inlineStr">
        <is>
          <t>VÄRMLANDS LÄN</t>
        </is>
      </c>
      <c r="E8" t="inlineStr">
        <is>
          <t>FILIPSTAD</t>
        </is>
      </c>
      <c r="G8" t="n">
        <v>5.6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Brunpudrad nållav
Jättesvampmal
Vedticka</t>
        </is>
      </c>
      <c r="S8">
        <f>HYPERLINK("https://klasma.github.io/Logging_1782/artfynd/A 60512-2024 artfynd.xlsx", "A 60512-2024")</f>
        <v/>
      </c>
      <c r="T8">
        <f>HYPERLINK("https://klasma.github.io/Logging_1782/kartor/A 60512-2024 karta.png", "A 60512-2024")</f>
        <v/>
      </c>
      <c r="V8">
        <f>HYPERLINK("https://klasma.github.io/Logging_1782/klagomål/A 60512-2024 FSC-klagomål.docx", "A 60512-2024")</f>
        <v/>
      </c>
      <c r="W8">
        <f>HYPERLINK("https://klasma.github.io/Logging_1782/klagomålsmail/A 60512-2024 FSC-klagomål mail.docx", "A 60512-2024")</f>
        <v/>
      </c>
      <c r="X8">
        <f>HYPERLINK("https://klasma.github.io/Logging_1782/tillsyn/A 60512-2024 tillsynsbegäran.docx", "A 60512-2024")</f>
        <v/>
      </c>
      <c r="Y8">
        <f>HYPERLINK("https://klasma.github.io/Logging_1782/tillsynsmail/A 60512-2024 tillsynsbegäran mail.docx", "A 60512-2024")</f>
        <v/>
      </c>
    </row>
    <row r="9" ht="15" customHeight="1">
      <c r="A9" t="inlineStr">
        <is>
          <t>A 45714-2025</t>
        </is>
      </c>
      <c r="B9" s="1" t="n">
        <v>45923</v>
      </c>
      <c r="C9" s="1" t="n">
        <v>45990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2.5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Brunklöver
Bårdlav
Skuggblåslav</t>
        </is>
      </c>
      <c r="S9">
        <f>HYPERLINK("https://klasma.github.io/Logging_1782/artfynd/A 45714-2025 artfynd.xlsx", "A 45714-2025")</f>
        <v/>
      </c>
      <c r="T9">
        <f>HYPERLINK("https://klasma.github.io/Logging_1782/kartor/A 45714-2025 karta.png", "A 45714-2025")</f>
        <v/>
      </c>
      <c r="V9">
        <f>HYPERLINK("https://klasma.github.io/Logging_1782/klagomål/A 45714-2025 FSC-klagomål.docx", "A 45714-2025")</f>
        <v/>
      </c>
      <c r="W9">
        <f>HYPERLINK("https://klasma.github.io/Logging_1782/klagomålsmail/A 45714-2025 FSC-klagomål mail.docx", "A 45714-2025")</f>
        <v/>
      </c>
      <c r="X9">
        <f>HYPERLINK("https://klasma.github.io/Logging_1782/tillsyn/A 45714-2025 tillsynsbegäran.docx", "A 45714-2025")</f>
        <v/>
      </c>
      <c r="Y9">
        <f>HYPERLINK("https://klasma.github.io/Logging_1782/tillsynsmail/A 45714-2025 tillsynsbegäran mail.docx", "A 45714-2025")</f>
        <v/>
      </c>
    </row>
    <row r="10" ht="15" customHeight="1">
      <c r="A10" t="inlineStr">
        <is>
          <t>A 38134-2024</t>
        </is>
      </c>
      <c r="B10" s="1" t="n">
        <v>45545</v>
      </c>
      <c r="C10" s="1" t="n">
        <v>45990</v>
      </c>
      <c r="D10" t="inlineStr">
        <is>
          <t>VÄRMLANDS LÄN</t>
        </is>
      </c>
      <c r="E10" t="inlineStr">
        <is>
          <t>FILIPSTAD</t>
        </is>
      </c>
      <c r="F10" t="inlineStr">
        <is>
          <t>Bergvik skog väst AB</t>
        </is>
      </c>
      <c r="G10" t="n">
        <v>2.4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Garnlav
Dropptaggsvamp
Skuggblåslav</t>
        </is>
      </c>
      <c r="S10">
        <f>HYPERLINK("https://klasma.github.io/Logging_1782/artfynd/A 38134-2024 artfynd.xlsx", "A 38134-2024")</f>
        <v/>
      </c>
      <c r="T10">
        <f>HYPERLINK("https://klasma.github.io/Logging_1782/kartor/A 38134-2024 karta.png", "A 38134-2024")</f>
        <v/>
      </c>
      <c r="V10">
        <f>HYPERLINK("https://klasma.github.io/Logging_1782/klagomål/A 38134-2024 FSC-klagomål.docx", "A 38134-2024")</f>
        <v/>
      </c>
      <c r="W10">
        <f>HYPERLINK("https://klasma.github.io/Logging_1782/klagomålsmail/A 38134-2024 FSC-klagomål mail.docx", "A 38134-2024")</f>
        <v/>
      </c>
      <c r="X10">
        <f>HYPERLINK("https://klasma.github.io/Logging_1782/tillsyn/A 38134-2024 tillsynsbegäran.docx", "A 38134-2024")</f>
        <v/>
      </c>
      <c r="Y10">
        <f>HYPERLINK("https://klasma.github.io/Logging_1782/tillsynsmail/A 38134-2024 tillsynsbegäran mail.docx", "A 38134-2024")</f>
        <v/>
      </c>
    </row>
    <row r="11" ht="15" customHeight="1">
      <c r="A11" t="inlineStr">
        <is>
          <t>A 19719-2025</t>
        </is>
      </c>
      <c r="B11" s="1" t="n">
        <v>45771</v>
      </c>
      <c r="C11" s="1" t="n">
        <v>45990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9.9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Dropptaggsvamp</t>
        </is>
      </c>
      <c r="S11">
        <f>HYPERLINK("https://klasma.github.io/Logging_1782/artfynd/A 19719-2025 artfynd.xlsx", "A 19719-2025")</f>
        <v/>
      </c>
      <c r="T11">
        <f>HYPERLINK("https://klasma.github.io/Logging_1782/kartor/A 19719-2025 karta.png", "A 19719-2025")</f>
        <v/>
      </c>
      <c r="V11">
        <f>HYPERLINK("https://klasma.github.io/Logging_1782/klagomål/A 19719-2025 FSC-klagomål.docx", "A 19719-2025")</f>
        <v/>
      </c>
      <c r="W11">
        <f>HYPERLINK("https://klasma.github.io/Logging_1782/klagomålsmail/A 19719-2025 FSC-klagomål mail.docx", "A 19719-2025")</f>
        <v/>
      </c>
      <c r="X11">
        <f>HYPERLINK("https://klasma.github.io/Logging_1782/tillsyn/A 19719-2025 tillsynsbegäran.docx", "A 19719-2025")</f>
        <v/>
      </c>
      <c r="Y11">
        <f>HYPERLINK("https://klasma.github.io/Logging_1782/tillsynsmail/A 19719-2025 tillsynsbegäran mail.docx", "A 19719-2025")</f>
        <v/>
      </c>
    </row>
    <row r="12" ht="15" customHeight="1">
      <c r="A12" t="inlineStr">
        <is>
          <t>A 45523-2022</t>
        </is>
      </c>
      <c r="B12" s="1" t="n">
        <v>44845</v>
      </c>
      <c r="C12" s="1" t="n">
        <v>45990</v>
      </c>
      <c r="D12" t="inlineStr">
        <is>
          <t>VÄRMLANDS LÄN</t>
        </is>
      </c>
      <c r="E12" t="inlineStr">
        <is>
          <t>FILIPSTAD</t>
        </is>
      </c>
      <c r="G12" t="n">
        <v>7.7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Bronshjon
Korallblylav</t>
        </is>
      </c>
      <c r="S12">
        <f>HYPERLINK("https://klasma.github.io/Logging_1782/artfynd/A 45523-2022 artfynd.xlsx", "A 45523-2022")</f>
        <v/>
      </c>
      <c r="T12">
        <f>HYPERLINK("https://klasma.github.io/Logging_1782/kartor/A 45523-2022 karta.png", "A 45523-2022")</f>
        <v/>
      </c>
      <c r="V12">
        <f>HYPERLINK("https://klasma.github.io/Logging_1782/klagomål/A 45523-2022 FSC-klagomål.docx", "A 45523-2022")</f>
        <v/>
      </c>
      <c r="W12">
        <f>HYPERLINK("https://klasma.github.io/Logging_1782/klagomålsmail/A 45523-2022 FSC-klagomål mail.docx", "A 45523-2022")</f>
        <v/>
      </c>
      <c r="X12">
        <f>HYPERLINK("https://klasma.github.io/Logging_1782/tillsyn/A 45523-2022 tillsynsbegäran.docx", "A 45523-2022")</f>
        <v/>
      </c>
      <c r="Y12">
        <f>HYPERLINK("https://klasma.github.io/Logging_1782/tillsynsmail/A 45523-2022 tillsynsbegäran mail.docx", "A 45523-2022")</f>
        <v/>
      </c>
    </row>
    <row r="13" ht="15" customHeight="1">
      <c r="A13" t="inlineStr">
        <is>
          <t>A 45602-2025</t>
        </is>
      </c>
      <c r="B13" s="1" t="n">
        <v>45922.68905092592</v>
      </c>
      <c r="C13" s="1" t="n">
        <v>45990</v>
      </c>
      <c r="D13" t="inlineStr">
        <is>
          <t>VÄRMLANDS LÄN</t>
        </is>
      </c>
      <c r="E13" t="inlineStr">
        <is>
          <t>FILIPSTAD</t>
        </is>
      </c>
      <c r="G13" t="n">
        <v>6.2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Blåsfliksmossa
Tibast</t>
        </is>
      </c>
      <c r="S13">
        <f>HYPERLINK("https://klasma.github.io/Logging_1782/artfynd/A 45602-2025 artfynd.xlsx", "A 45602-2025")</f>
        <v/>
      </c>
      <c r="T13">
        <f>HYPERLINK("https://klasma.github.io/Logging_1782/kartor/A 45602-2025 karta.png", "A 45602-2025")</f>
        <v/>
      </c>
      <c r="V13">
        <f>HYPERLINK("https://klasma.github.io/Logging_1782/klagomål/A 45602-2025 FSC-klagomål.docx", "A 45602-2025")</f>
        <v/>
      </c>
      <c r="W13">
        <f>HYPERLINK("https://klasma.github.io/Logging_1782/klagomålsmail/A 45602-2025 FSC-klagomål mail.docx", "A 45602-2025")</f>
        <v/>
      </c>
      <c r="X13">
        <f>HYPERLINK("https://klasma.github.io/Logging_1782/tillsyn/A 45602-2025 tillsynsbegäran.docx", "A 45602-2025")</f>
        <v/>
      </c>
      <c r="Y13">
        <f>HYPERLINK("https://klasma.github.io/Logging_1782/tillsynsmail/A 45602-2025 tillsynsbegäran mail.docx", "A 45602-2025")</f>
        <v/>
      </c>
    </row>
    <row r="14" ht="15" customHeight="1">
      <c r="A14" t="inlineStr">
        <is>
          <t>A 38132-2024</t>
        </is>
      </c>
      <c r="B14" s="1" t="n">
        <v>45545</v>
      </c>
      <c r="C14" s="1" t="n">
        <v>45990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2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Bronshjon
Fläcknycklar</t>
        </is>
      </c>
      <c r="S14">
        <f>HYPERLINK("https://klasma.github.io/Logging_1782/artfynd/A 38132-2024 artfynd.xlsx", "A 38132-2024")</f>
        <v/>
      </c>
      <c r="T14">
        <f>HYPERLINK("https://klasma.github.io/Logging_1782/kartor/A 38132-2024 karta.png", "A 38132-2024")</f>
        <v/>
      </c>
      <c r="V14">
        <f>HYPERLINK("https://klasma.github.io/Logging_1782/klagomål/A 38132-2024 FSC-klagomål.docx", "A 38132-2024")</f>
        <v/>
      </c>
      <c r="W14">
        <f>HYPERLINK("https://klasma.github.io/Logging_1782/klagomålsmail/A 38132-2024 FSC-klagomål mail.docx", "A 38132-2024")</f>
        <v/>
      </c>
      <c r="X14">
        <f>HYPERLINK("https://klasma.github.io/Logging_1782/tillsyn/A 38132-2024 tillsynsbegäran.docx", "A 38132-2024")</f>
        <v/>
      </c>
      <c r="Y14">
        <f>HYPERLINK("https://klasma.github.io/Logging_1782/tillsynsmail/A 38132-2024 tillsynsbegäran mail.docx", "A 38132-2024")</f>
        <v/>
      </c>
    </row>
    <row r="15" ht="15" customHeight="1">
      <c r="A15" t="inlineStr">
        <is>
          <t>A 16139-2025</t>
        </is>
      </c>
      <c r="B15" s="1" t="n">
        <v>45750</v>
      </c>
      <c r="C15" s="1" t="n">
        <v>45990</v>
      </c>
      <c r="D15" t="inlineStr">
        <is>
          <t>VÄRMLANDS LÄN</t>
        </is>
      </c>
      <c r="E15" t="inlineStr">
        <is>
          <t>FILIPSTAD</t>
        </is>
      </c>
      <c r="G15" t="n">
        <v>18.2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Bronshjon</t>
        </is>
      </c>
      <c r="S15">
        <f>HYPERLINK("https://klasma.github.io/Logging_1782/artfynd/A 16139-2025 artfynd.xlsx", "A 16139-2025")</f>
        <v/>
      </c>
      <c r="T15">
        <f>HYPERLINK("https://klasma.github.io/Logging_1782/kartor/A 16139-2025 karta.png", "A 16139-2025")</f>
        <v/>
      </c>
      <c r="V15">
        <f>HYPERLINK("https://klasma.github.io/Logging_1782/klagomål/A 16139-2025 FSC-klagomål.docx", "A 16139-2025")</f>
        <v/>
      </c>
      <c r="W15">
        <f>HYPERLINK("https://klasma.github.io/Logging_1782/klagomålsmail/A 16139-2025 FSC-klagomål mail.docx", "A 16139-2025")</f>
        <v/>
      </c>
      <c r="X15">
        <f>HYPERLINK("https://klasma.github.io/Logging_1782/tillsyn/A 16139-2025 tillsynsbegäran.docx", "A 16139-2025")</f>
        <v/>
      </c>
      <c r="Y15">
        <f>HYPERLINK("https://klasma.github.io/Logging_1782/tillsynsmail/A 16139-2025 tillsynsbegäran mail.docx", "A 16139-2025")</f>
        <v/>
      </c>
    </row>
    <row r="16" ht="15" customHeight="1">
      <c r="A16" t="inlineStr">
        <is>
          <t>A 38138-2024</t>
        </is>
      </c>
      <c r="B16" s="1" t="n">
        <v>45545</v>
      </c>
      <c r="C16" s="1" t="n">
        <v>45990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1.6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Fläcknycklar</t>
        </is>
      </c>
      <c r="S16">
        <f>HYPERLINK("https://klasma.github.io/Logging_1782/artfynd/A 38138-2024 artfynd.xlsx", "A 38138-2024")</f>
        <v/>
      </c>
      <c r="T16">
        <f>HYPERLINK("https://klasma.github.io/Logging_1782/kartor/A 38138-2024 karta.png", "A 38138-2024")</f>
        <v/>
      </c>
      <c r="V16">
        <f>HYPERLINK("https://klasma.github.io/Logging_1782/klagomål/A 38138-2024 FSC-klagomål.docx", "A 38138-2024")</f>
        <v/>
      </c>
      <c r="W16">
        <f>HYPERLINK("https://klasma.github.io/Logging_1782/klagomålsmail/A 38138-2024 FSC-klagomål mail.docx", "A 38138-2024")</f>
        <v/>
      </c>
      <c r="X16">
        <f>HYPERLINK("https://klasma.github.io/Logging_1782/tillsyn/A 38138-2024 tillsynsbegäran.docx", "A 38138-2024")</f>
        <v/>
      </c>
      <c r="Y16">
        <f>HYPERLINK("https://klasma.github.io/Logging_1782/tillsynsmail/A 38138-2024 tillsynsbegäran mail.docx", "A 38138-2024")</f>
        <v/>
      </c>
    </row>
    <row r="17" ht="15" customHeight="1">
      <c r="A17" t="inlineStr">
        <is>
          <t>A 63625-2023</t>
        </is>
      </c>
      <c r="B17" s="1" t="n">
        <v>45275</v>
      </c>
      <c r="C17" s="1" t="n">
        <v>45990</v>
      </c>
      <c r="D17" t="inlineStr">
        <is>
          <t>VÄRMLANDS LÄN</t>
        </is>
      </c>
      <c r="E17" t="inlineStr">
        <is>
          <t>FILIPSTAD</t>
        </is>
      </c>
      <c r="G17" t="n">
        <v>1.9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Smalfotad taggsvamp
Vaddporing</t>
        </is>
      </c>
      <c r="S17">
        <f>HYPERLINK("https://klasma.github.io/Logging_1782/artfynd/A 63625-2023 artfynd.xlsx", "A 63625-2023")</f>
        <v/>
      </c>
      <c r="T17">
        <f>HYPERLINK("https://klasma.github.io/Logging_1782/kartor/A 63625-2023 karta.png", "A 63625-2023")</f>
        <v/>
      </c>
      <c r="V17">
        <f>HYPERLINK("https://klasma.github.io/Logging_1782/klagomål/A 63625-2023 FSC-klagomål.docx", "A 63625-2023")</f>
        <v/>
      </c>
      <c r="W17">
        <f>HYPERLINK("https://klasma.github.io/Logging_1782/klagomålsmail/A 63625-2023 FSC-klagomål mail.docx", "A 63625-2023")</f>
        <v/>
      </c>
      <c r="X17">
        <f>HYPERLINK("https://klasma.github.io/Logging_1782/tillsyn/A 63625-2023 tillsynsbegäran.docx", "A 63625-2023")</f>
        <v/>
      </c>
      <c r="Y17">
        <f>HYPERLINK("https://klasma.github.io/Logging_1782/tillsynsmail/A 63625-2023 tillsynsbegäran mail.docx", "A 63625-2023")</f>
        <v/>
      </c>
    </row>
    <row r="18" ht="15" customHeight="1">
      <c r="A18" t="inlineStr">
        <is>
          <t>A 17274-2024</t>
        </is>
      </c>
      <c r="B18" s="1" t="n">
        <v>45414</v>
      </c>
      <c r="C18" s="1" t="n">
        <v>45990</v>
      </c>
      <c r="D18" t="inlineStr">
        <is>
          <t>VÄRMLANDS LÄN</t>
        </is>
      </c>
      <c r="E18" t="inlineStr">
        <is>
          <t>FILIPSTAD</t>
        </is>
      </c>
      <c r="F18" t="inlineStr">
        <is>
          <t>Kommuner</t>
        </is>
      </c>
      <c r="G18" t="n">
        <v>5.8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Talltita
Dropptaggsvamp</t>
        </is>
      </c>
      <c r="S18">
        <f>HYPERLINK("https://klasma.github.io/Logging_1782/artfynd/A 17274-2024 artfynd.xlsx", "A 17274-2024")</f>
        <v/>
      </c>
      <c r="T18">
        <f>HYPERLINK("https://klasma.github.io/Logging_1782/kartor/A 17274-2024 karta.png", "A 17274-2024")</f>
        <v/>
      </c>
      <c r="V18">
        <f>HYPERLINK("https://klasma.github.io/Logging_1782/klagomål/A 17274-2024 FSC-klagomål.docx", "A 17274-2024")</f>
        <v/>
      </c>
      <c r="W18">
        <f>HYPERLINK("https://klasma.github.io/Logging_1782/klagomålsmail/A 17274-2024 FSC-klagomål mail.docx", "A 17274-2024")</f>
        <v/>
      </c>
      <c r="X18">
        <f>HYPERLINK("https://klasma.github.io/Logging_1782/tillsyn/A 17274-2024 tillsynsbegäran.docx", "A 17274-2024")</f>
        <v/>
      </c>
      <c r="Y18">
        <f>HYPERLINK("https://klasma.github.io/Logging_1782/tillsynsmail/A 17274-2024 tillsynsbegäran mail.docx", "A 17274-2024")</f>
        <v/>
      </c>
      <c r="Z18">
        <f>HYPERLINK("https://klasma.github.io/Logging_1782/fåglar/A 17274-2024 prioriterade fågelarter.docx", "A 17274-2024")</f>
        <v/>
      </c>
    </row>
    <row r="19" ht="15" customHeight="1">
      <c r="A19" t="inlineStr">
        <is>
          <t>A 19945-2023</t>
        </is>
      </c>
      <c r="B19" s="1" t="n">
        <v>45054</v>
      </c>
      <c r="C19" s="1" t="n">
        <v>45990</v>
      </c>
      <c r="D19" t="inlineStr">
        <is>
          <t>VÄRMLANDS LÄN</t>
        </is>
      </c>
      <c r="E19" t="inlineStr">
        <is>
          <t>FILIPSTAD</t>
        </is>
      </c>
      <c r="G19" t="n">
        <v>3.3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Guckusko
Kransrams</t>
        </is>
      </c>
      <c r="S19">
        <f>HYPERLINK("https://klasma.github.io/Logging_1782/artfynd/A 19945-2023 artfynd.xlsx", "A 19945-2023")</f>
        <v/>
      </c>
      <c r="T19">
        <f>HYPERLINK("https://klasma.github.io/Logging_1782/kartor/A 19945-2023 karta.png", "A 19945-2023")</f>
        <v/>
      </c>
      <c r="V19">
        <f>HYPERLINK("https://klasma.github.io/Logging_1782/klagomål/A 19945-2023 FSC-klagomål.docx", "A 19945-2023")</f>
        <v/>
      </c>
      <c r="W19">
        <f>HYPERLINK("https://klasma.github.io/Logging_1782/klagomålsmail/A 19945-2023 FSC-klagomål mail.docx", "A 19945-2023")</f>
        <v/>
      </c>
      <c r="X19">
        <f>HYPERLINK("https://klasma.github.io/Logging_1782/tillsyn/A 19945-2023 tillsynsbegäran.docx", "A 19945-2023")</f>
        <v/>
      </c>
      <c r="Y19">
        <f>HYPERLINK("https://klasma.github.io/Logging_1782/tillsynsmail/A 19945-2023 tillsynsbegäran mail.docx", "A 19945-2023")</f>
        <v/>
      </c>
    </row>
    <row r="20" ht="15" customHeight="1">
      <c r="A20" t="inlineStr">
        <is>
          <t>A 62572-2021</t>
        </is>
      </c>
      <c r="B20" s="1" t="n">
        <v>44503</v>
      </c>
      <c r="C20" s="1" t="n">
        <v>45990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46.9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HYPERLINK("https://klasma.github.io/Logging_1782/artfynd/A 62572-2021 artfynd.xlsx", "A 62572-2021")</f>
        <v/>
      </c>
      <c r="T20">
        <f>HYPERLINK("https://klasma.github.io/Logging_1782/kartor/A 62572-2021 karta.png", "A 62572-2021")</f>
        <v/>
      </c>
      <c r="V20">
        <f>HYPERLINK("https://klasma.github.io/Logging_1782/klagomål/A 62572-2021 FSC-klagomål.docx", "A 62572-2021")</f>
        <v/>
      </c>
      <c r="W20">
        <f>HYPERLINK("https://klasma.github.io/Logging_1782/klagomålsmail/A 62572-2021 FSC-klagomål mail.docx", "A 62572-2021")</f>
        <v/>
      </c>
      <c r="X20">
        <f>HYPERLINK("https://klasma.github.io/Logging_1782/tillsyn/A 62572-2021 tillsynsbegäran.docx", "A 62572-2021")</f>
        <v/>
      </c>
      <c r="Y20">
        <f>HYPERLINK("https://klasma.github.io/Logging_1782/tillsynsmail/A 62572-2021 tillsynsbegäran mail.docx", "A 62572-2021")</f>
        <v/>
      </c>
    </row>
    <row r="21" ht="15" customHeight="1">
      <c r="A21" t="inlineStr">
        <is>
          <t>A 20754-2022</t>
        </is>
      </c>
      <c r="B21" s="1" t="n">
        <v>44701</v>
      </c>
      <c r="C21" s="1" t="n">
        <v>45990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13.6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HYPERLINK("https://klasma.github.io/Logging_1782/artfynd/A 20754-2022 artfynd.xlsx", "A 20754-2022")</f>
        <v/>
      </c>
      <c r="T21">
        <f>HYPERLINK("https://klasma.github.io/Logging_1782/kartor/A 20754-2022 karta.png", "A 20754-2022")</f>
        <v/>
      </c>
      <c r="V21">
        <f>HYPERLINK("https://klasma.github.io/Logging_1782/klagomål/A 20754-2022 FSC-klagomål.docx", "A 20754-2022")</f>
        <v/>
      </c>
      <c r="W21">
        <f>HYPERLINK("https://klasma.github.io/Logging_1782/klagomålsmail/A 20754-2022 FSC-klagomål mail.docx", "A 20754-2022")</f>
        <v/>
      </c>
      <c r="X21">
        <f>HYPERLINK("https://klasma.github.io/Logging_1782/tillsyn/A 20754-2022 tillsynsbegäran.docx", "A 20754-2022")</f>
        <v/>
      </c>
      <c r="Y21">
        <f>HYPERLINK("https://klasma.github.io/Logging_1782/tillsynsmail/A 20754-2022 tillsynsbegäran mail.docx", "A 20754-2022")</f>
        <v/>
      </c>
    </row>
    <row r="22" ht="15" customHeight="1">
      <c r="A22" t="inlineStr">
        <is>
          <t>A 25916-2025</t>
        </is>
      </c>
      <c r="B22" s="1" t="n">
        <v>45804.566875</v>
      </c>
      <c r="C22" s="1" t="n">
        <v>45990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HYPERLINK("https://klasma.github.io/Logging_1782/artfynd/A 25916-2025 artfynd.xlsx", "A 25916-2025")</f>
        <v/>
      </c>
      <c r="T22">
        <f>HYPERLINK("https://klasma.github.io/Logging_1782/kartor/A 25916-2025 karta.png", "A 25916-2025")</f>
        <v/>
      </c>
      <c r="V22">
        <f>HYPERLINK("https://klasma.github.io/Logging_1782/klagomål/A 25916-2025 FSC-klagomål.docx", "A 25916-2025")</f>
        <v/>
      </c>
      <c r="W22">
        <f>HYPERLINK("https://klasma.github.io/Logging_1782/klagomålsmail/A 25916-2025 FSC-klagomål mail.docx", "A 25916-2025")</f>
        <v/>
      </c>
      <c r="X22">
        <f>HYPERLINK("https://klasma.github.io/Logging_1782/tillsyn/A 25916-2025 tillsynsbegäran.docx", "A 25916-2025")</f>
        <v/>
      </c>
      <c r="Y22">
        <f>HYPERLINK("https://klasma.github.io/Logging_1782/tillsynsmail/A 25916-2025 tillsynsbegäran mail.docx", "A 25916-2025")</f>
        <v/>
      </c>
    </row>
    <row r="23" ht="15" customHeight="1">
      <c r="A23" t="inlineStr">
        <is>
          <t>A 27421-2025</t>
        </is>
      </c>
      <c r="B23" s="1" t="n">
        <v>45812</v>
      </c>
      <c r="C23" s="1" t="n">
        <v>45990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Skinnlav</t>
        </is>
      </c>
      <c r="S23">
        <f>HYPERLINK("https://klasma.github.io/Logging_1782/artfynd/A 27421-2025 artfynd.xlsx", "A 27421-2025")</f>
        <v/>
      </c>
      <c r="T23">
        <f>HYPERLINK("https://klasma.github.io/Logging_1782/kartor/A 27421-2025 karta.png", "A 27421-2025")</f>
        <v/>
      </c>
      <c r="V23">
        <f>HYPERLINK("https://klasma.github.io/Logging_1782/klagomål/A 27421-2025 FSC-klagomål.docx", "A 27421-2025")</f>
        <v/>
      </c>
      <c r="W23">
        <f>HYPERLINK("https://klasma.github.io/Logging_1782/klagomålsmail/A 27421-2025 FSC-klagomål mail.docx", "A 27421-2025")</f>
        <v/>
      </c>
      <c r="X23">
        <f>HYPERLINK("https://klasma.github.io/Logging_1782/tillsyn/A 27421-2025 tillsynsbegäran.docx", "A 27421-2025")</f>
        <v/>
      </c>
      <c r="Y23">
        <f>HYPERLINK("https://klasma.github.io/Logging_1782/tillsynsmail/A 27421-2025 tillsynsbegäran mail.docx", "A 27421-2025")</f>
        <v/>
      </c>
    </row>
    <row r="24" ht="15" customHeight="1">
      <c r="A24" t="inlineStr">
        <is>
          <t>A 30652-2025</t>
        </is>
      </c>
      <c r="B24" s="1" t="n">
        <v>45831.50282407407</v>
      </c>
      <c r="C24" s="1" t="n">
        <v>45990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4.3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HYPERLINK("https://klasma.github.io/Logging_1782/artfynd/A 30652-2025 artfynd.xlsx", "A 30652-2025")</f>
        <v/>
      </c>
      <c r="T24">
        <f>HYPERLINK("https://klasma.github.io/Logging_1782/kartor/A 30652-2025 karta.png", "A 30652-2025")</f>
        <v/>
      </c>
      <c r="V24">
        <f>HYPERLINK("https://klasma.github.io/Logging_1782/klagomål/A 30652-2025 FSC-klagomål.docx", "A 30652-2025")</f>
        <v/>
      </c>
      <c r="W24">
        <f>HYPERLINK("https://klasma.github.io/Logging_1782/klagomålsmail/A 30652-2025 FSC-klagomål mail.docx", "A 30652-2025")</f>
        <v/>
      </c>
      <c r="X24">
        <f>HYPERLINK("https://klasma.github.io/Logging_1782/tillsyn/A 30652-2025 tillsynsbegäran.docx", "A 30652-2025")</f>
        <v/>
      </c>
      <c r="Y24">
        <f>HYPERLINK("https://klasma.github.io/Logging_1782/tillsynsmail/A 30652-2025 tillsynsbegäran mail.docx", "A 30652-2025")</f>
        <v/>
      </c>
      <c r="Z24">
        <f>HYPERLINK("https://klasma.github.io/Logging_1782/fåglar/A 30652-2025 prioriterade fågelarter.docx", "A 30652-2025")</f>
        <v/>
      </c>
    </row>
    <row r="25" ht="15" customHeight="1">
      <c r="A25" t="inlineStr">
        <is>
          <t>A 874-2025</t>
        </is>
      </c>
      <c r="B25" s="1" t="n">
        <v>45665</v>
      </c>
      <c r="C25" s="1" t="n">
        <v>45990</v>
      </c>
      <c r="D25" t="inlineStr">
        <is>
          <t>VÄRMLANDS LÄN</t>
        </is>
      </c>
      <c r="E25" t="inlineStr">
        <is>
          <t>FILIPSTAD</t>
        </is>
      </c>
      <c r="F25" t="inlineStr">
        <is>
          <t>Kyrkan</t>
        </is>
      </c>
      <c r="G25" t="n">
        <v>4.8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Kamjordstjärna</t>
        </is>
      </c>
      <c r="S25">
        <f>HYPERLINK("https://klasma.github.io/Logging_1782/artfynd/A 874-2025 artfynd.xlsx", "A 874-2025")</f>
        <v/>
      </c>
      <c r="T25">
        <f>HYPERLINK("https://klasma.github.io/Logging_1782/kartor/A 874-2025 karta.png", "A 874-2025")</f>
        <v/>
      </c>
      <c r="V25">
        <f>HYPERLINK("https://klasma.github.io/Logging_1782/klagomål/A 874-2025 FSC-klagomål.docx", "A 874-2025")</f>
        <v/>
      </c>
      <c r="W25">
        <f>HYPERLINK("https://klasma.github.io/Logging_1782/klagomålsmail/A 874-2025 FSC-klagomål mail.docx", "A 874-2025")</f>
        <v/>
      </c>
      <c r="X25">
        <f>HYPERLINK("https://klasma.github.io/Logging_1782/tillsyn/A 874-2025 tillsynsbegäran.docx", "A 874-2025")</f>
        <v/>
      </c>
      <c r="Y25">
        <f>HYPERLINK("https://klasma.github.io/Logging_1782/tillsynsmail/A 874-2025 tillsynsbegäran mail.docx", "A 874-2025")</f>
        <v/>
      </c>
    </row>
    <row r="26" ht="15" customHeight="1">
      <c r="A26" t="inlineStr">
        <is>
          <t>A 45781-2025</t>
        </is>
      </c>
      <c r="B26" s="1" t="n">
        <v>45923.55023148148</v>
      </c>
      <c r="C26" s="1" t="n">
        <v>45990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2.6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Brunklöver</t>
        </is>
      </c>
      <c r="S26">
        <f>HYPERLINK("https://klasma.github.io/Logging_1782/artfynd/A 45781-2025 artfynd.xlsx", "A 45781-2025")</f>
        <v/>
      </c>
      <c r="T26">
        <f>HYPERLINK("https://klasma.github.io/Logging_1782/kartor/A 45781-2025 karta.png", "A 45781-2025")</f>
        <v/>
      </c>
      <c r="V26">
        <f>HYPERLINK("https://klasma.github.io/Logging_1782/klagomål/A 45781-2025 FSC-klagomål.docx", "A 45781-2025")</f>
        <v/>
      </c>
      <c r="W26">
        <f>HYPERLINK("https://klasma.github.io/Logging_1782/klagomålsmail/A 45781-2025 FSC-klagomål mail.docx", "A 45781-2025")</f>
        <v/>
      </c>
      <c r="X26">
        <f>HYPERLINK("https://klasma.github.io/Logging_1782/tillsyn/A 45781-2025 tillsynsbegäran.docx", "A 45781-2025")</f>
        <v/>
      </c>
      <c r="Y26">
        <f>HYPERLINK("https://klasma.github.io/Logging_1782/tillsynsmail/A 45781-2025 tillsynsbegäran mail.docx", "A 45781-2025")</f>
        <v/>
      </c>
    </row>
    <row r="27" ht="15" customHeight="1">
      <c r="A27" t="inlineStr">
        <is>
          <t>A 37210-2025</t>
        </is>
      </c>
      <c r="B27" s="1" t="n">
        <v>45875</v>
      </c>
      <c r="C27" s="1" t="n">
        <v>45990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9.9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HYPERLINK("https://klasma.github.io/Logging_1782/artfynd/A 37210-2025 artfynd.xlsx", "A 37210-2025")</f>
        <v/>
      </c>
      <c r="T27">
        <f>HYPERLINK("https://klasma.github.io/Logging_1782/kartor/A 37210-2025 karta.png", "A 37210-2025")</f>
        <v/>
      </c>
      <c r="V27">
        <f>HYPERLINK("https://klasma.github.io/Logging_1782/klagomål/A 37210-2025 FSC-klagomål.docx", "A 37210-2025")</f>
        <v/>
      </c>
      <c r="W27">
        <f>HYPERLINK("https://klasma.github.io/Logging_1782/klagomålsmail/A 37210-2025 FSC-klagomål mail.docx", "A 37210-2025")</f>
        <v/>
      </c>
      <c r="X27">
        <f>HYPERLINK("https://klasma.github.io/Logging_1782/tillsyn/A 37210-2025 tillsynsbegäran.docx", "A 37210-2025")</f>
        <v/>
      </c>
      <c r="Y27">
        <f>HYPERLINK("https://klasma.github.io/Logging_1782/tillsynsmail/A 37210-2025 tillsynsbegäran mail.docx", "A 37210-2025")</f>
        <v/>
      </c>
    </row>
    <row r="28" ht="15" customHeight="1">
      <c r="A28" t="inlineStr">
        <is>
          <t>A 43333-2023</t>
        </is>
      </c>
      <c r="B28" s="1" t="n">
        <v>45183</v>
      </c>
      <c r="C28" s="1" t="n">
        <v>45990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19.4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 sköldmossa</t>
        </is>
      </c>
      <c r="S28">
        <f>HYPERLINK("https://klasma.github.io/Logging_1782/artfynd/A 43333-2023 artfynd.xlsx", "A 43333-2023")</f>
        <v/>
      </c>
      <c r="T28">
        <f>HYPERLINK("https://klasma.github.io/Logging_1782/kartor/A 43333-2023 karta.png", "A 43333-2023")</f>
        <v/>
      </c>
      <c r="V28">
        <f>HYPERLINK("https://klasma.github.io/Logging_1782/klagomål/A 43333-2023 FSC-klagomål.docx", "A 43333-2023")</f>
        <v/>
      </c>
      <c r="W28">
        <f>HYPERLINK("https://klasma.github.io/Logging_1782/klagomålsmail/A 43333-2023 FSC-klagomål mail.docx", "A 43333-2023")</f>
        <v/>
      </c>
      <c r="X28">
        <f>HYPERLINK("https://klasma.github.io/Logging_1782/tillsyn/A 43333-2023 tillsynsbegäran.docx", "A 43333-2023")</f>
        <v/>
      </c>
      <c r="Y28">
        <f>HYPERLINK("https://klasma.github.io/Logging_1782/tillsynsmail/A 43333-2023 tillsynsbegäran mail.docx", "A 43333-2023")</f>
        <v/>
      </c>
    </row>
    <row r="29" ht="15" customHeight="1">
      <c r="A29" t="inlineStr">
        <is>
          <t>A 58734-2025</t>
        </is>
      </c>
      <c r="B29" s="1" t="n">
        <v>45986.62693287037</v>
      </c>
      <c r="C29" s="1" t="n">
        <v>45990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18.2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HYPERLINK("https://klasma.github.io/Logging_1782/artfynd/A 58734-2025 artfynd.xlsx", "A 58734-2025")</f>
        <v/>
      </c>
      <c r="T29">
        <f>HYPERLINK("https://klasma.github.io/Logging_1782/kartor/A 58734-2025 karta.png", "A 58734-2025")</f>
        <v/>
      </c>
      <c r="V29">
        <f>HYPERLINK("https://klasma.github.io/Logging_1782/klagomål/A 58734-2025 FSC-klagomål.docx", "A 58734-2025")</f>
        <v/>
      </c>
      <c r="W29">
        <f>HYPERLINK("https://klasma.github.io/Logging_1782/klagomålsmail/A 58734-2025 FSC-klagomål mail.docx", "A 58734-2025")</f>
        <v/>
      </c>
      <c r="X29">
        <f>HYPERLINK("https://klasma.github.io/Logging_1782/tillsyn/A 58734-2025 tillsynsbegäran.docx", "A 58734-2025")</f>
        <v/>
      </c>
      <c r="Y29">
        <f>HYPERLINK("https://klasma.github.io/Logging_1782/tillsynsmail/A 58734-2025 tillsynsbegäran mail.docx", "A 58734-2025")</f>
        <v/>
      </c>
      <c r="Z29">
        <f>HYPERLINK("https://klasma.github.io/Logging_1782/fåglar/A 58734-2025 prioriterade fågelarter.docx", "A 58734-2025")</f>
        <v/>
      </c>
    </row>
    <row r="30" ht="15" customHeight="1">
      <c r="A30" t="inlineStr">
        <is>
          <t>A 50823-2025</t>
        </is>
      </c>
      <c r="B30" s="1" t="n">
        <v>45946.53731481481</v>
      </c>
      <c r="C30" s="1" t="n">
        <v>45990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3.2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Purpurknipprot</t>
        </is>
      </c>
      <c r="S30">
        <f>HYPERLINK("https://klasma.github.io/Logging_1782/artfynd/A 50823-2025 artfynd.xlsx", "A 50823-2025")</f>
        <v/>
      </c>
      <c r="T30">
        <f>HYPERLINK("https://klasma.github.io/Logging_1782/kartor/A 50823-2025 karta.png", "A 50823-2025")</f>
        <v/>
      </c>
      <c r="V30">
        <f>HYPERLINK("https://klasma.github.io/Logging_1782/klagomål/A 50823-2025 FSC-klagomål.docx", "A 50823-2025")</f>
        <v/>
      </c>
      <c r="W30">
        <f>HYPERLINK("https://klasma.github.io/Logging_1782/klagomålsmail/A 50823-2025 FSC-klagomål mail.docx", "A 50823-2025")</f>
        <v/>
      </c>
      <c r="X30">
        <f>HYPERLINK("https://klasma.github.io/Logging_1782/tillsyn/A 50823-2025 tillsynsbegäran.docx", "A 50823-2025")</f>
        <v/>
      </c>
      <c r="Y30">
        <f>HYPERLINK("https://klasma.github.io/Logging_1782/tillsynsmail/A 50823-2025 tillsynsbegäran mail.docx", "A 50823-2025")</f>
        <v/>
      </c>
    </row>
    <row r="31" ht="15" customHeight="1">
      <c r="A31" t="inlineStr">
        <is>
          <t>A 51103-2025</t>
        </is>
      </c>
      <c r="B31" s="1" t="n">
        <v>45947.49185185185</v>
      </c>
      <c r="C31" s="1" t="n">
        <v>45990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8.300000000000001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Smålom</t>
        </is>
      </c>
      <c r="S31">
        <f>HYPERLINK("https://klasma.github.io/Logging_1782/artfynd/A 51103-2025 artfynd.xlsx", "A 51103-2025")</f>
        <v/>
      </c>
      <c r="T31">
        <f>HYPERLINK("https://klasma.github.io/Logging_1782/kartor/A 51103-2025 karta.png", "A 51103-2025")</f>
        <v/>
      </c>
      <c r="V31">
        <f>HYPERLINK("https://klasma.github.io/Logging_1782/klagomål/A 51103-2025 FSC-klagomål.docx", "A 51103-2025")</f>
        <v/>
      </c>
      <c r="W31">
        <f>HYPERLINK("https://klasma.github.io/Logging_1782/klagomålsmail/A 51103-2025 FSC-klagomål mail.docx", "A 51103-2025")</f>
        <v/>
      </c>
      <c r="X31">
        <f>HYPERLINK("https://klasma.github.io/Logging_1782/tillsyn/A 51103-2025 tillsynsbegäran.docx", "A 51103-2025")</f>
        <v/>
      </c>
      <c r="Y31">
        <f>HYPERLINK("https://klasma.github.io/Logging_1782/tillsynsmail/A 51103-2025 tillsynsbegäran mail.docx", "A 51103-2025")</f>
        <v/>
      </c>
      <c r="Z31">
        <f>HYPERLINK("https://klasma.github.io/Logging_1782/fåglar/A 51103-2025 prioriterade fågelarter.docx", "A 51103-2025")</f>
        <v/>
      </c>
    </row>
    <row r="32" ht="15" customHeight="1">
      <c r="A32" t="inlineStr">
        <is>
          <t>A 51522-2022</t>
        </is>
      </c>
      <c r="B32" s="1" t="n">
        <v>44869</v>
      </c>
      <c r="C32" s="1" t="n">
        <v>45990</v>
      </c>
      <c r="D32" t="inlineStr">
        <is>
          <t>VÄRMLANDS LÄN</t>
        </is>
      </c>
      <c r="E32" t="inlineStr">
        <is>
          <t>FILIPSTAD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HYPERLINK("https://klasma.github.io/Logging_1782/artfynd/A 51522-2022 artfynd.xlsx", "A 51522-2022")</f>
        <v/>
      </c>
      <c r="T32">
        <f>HYPERLINK("https://klasma.github.io/Logging_1782/kartor/A 51522-2022 karta.png", "A 51522-2022")</f>
        <v/>
      </c>
      <c r="V32">
        <f>HYPERLINK("https://klasma.github.io/Logging_1782/klagomål/A 51522-2022 FSC-klagomål.docx", "A 51522-2022")</f>
        <v/>
      </c>
      <c r="W32">
        <f>HYPERLINK("https://klasma.github.io/Logging_1782/klagomålsmail/A 51522-2022 FSC-klagomål mail.docx", "A 51522-2022")</f>
        <v/>
      </c>
      <c r="X32">
        <f>HYPERLINK("https://klasma.github.io/Logging_1782/tillsyn/A 51522-2022 tillsynsbegäran.docx", "A 51522-2022")</f>
        <v/>
      </c>
      <c r="Y32">
        <f>HYPERLINK("https://klasma.github.io/Logging_1782/tillsynsmail/A 51522-2022 tillsynsbegäran mail.docx", "A 51522-2022")</f>
        <v/>
      </c>
    </row>
    <row r="33" ht="15" customHeight="1">
      <c r="A33" t="inlineStr">
        <is>
          <t>A 8482-2022</t>
        </is>
      </c>
      <c r="B33" s="1" t="n">
        <v>44613</v>
      </c>
      <c r="C33" s="1" t="n">
        <v>45990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5.2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44683-2022</t>
        </is>
      </c>
      <c r="B34" s="1" t="n">
        <v>44840</v>
      </c>
      <c r="C34" s="1" t="n">
        <v>45990</v>
      </c>
      <c r="D34" t="inlineStr">
        <is>
          <t>VÄRMLANDS LÄN</t>
        </is>
      </c>
      <c r="E34" t="inlineStr">
        <is>
          <t>FILIPSTAD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2672-2021</t>
        </is>
      </c>
      <c r="B35" s="1" t="n">
        <v>44214</v>
      </c>
      <c r="C35" s="1" t="n">
        <v>45990</v>
      </c>
      <c r="D35" t="inlineStr">
        <is>
          <t>VÄRMLANDS LÄN</t>
        </is>
      </c>
      <c r="E35" t="inlineStr">
        <is>
          <t>FILIPSTAD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28351-2021</t>
        </is>
      </c>
      <c r="B36" s="1" t="n">
        <v>44356.3978587963</v>
      </c>
      <c r="C36" s="1" t="n">
        <v>45990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13.4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66363-2020</t>
        </is>
      </c>
      <c r="B37" s="1" t="n">
        <v>44176</v>
      </c>
      <c r="C37" s="1" t="n">
        <v>45990</v>
      </c>
      <c r="D37" t="inlineStr">
        <is>
          <t>VÄRMLANDS LÄN</t>
        </is>
      </c>
      <c r="E37" t="inlineStr">
        <is>
          <t>FILIPSTAD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1391-2021</t>
        </is>
      </c>
      <c r="B38" s="1" t="n">
        <v>44208</v>
      </c>
      <c r="C38" s="1" t="n">
        <v>45990</v>
      </c>
      <c r="D38" t="inlineStr">
        <is>
          <t>VÄRMLANDS LÄN</t>
        </is>
      </c>
      <c r="E38" t="inlineStr">
        <is>
          <t>FILIPSTAD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20954-2021</t>
        </is>
      </c>
      <c r="B39" s="1" t="n">
        <v>44319.5371875</v>
      </c>
      <c r="C39" s="1" t="n">
        <v>45990</v>
      </c>
      <c r="D39" t="inlineStr">
        <is>
          <t>VÄRMLANDS LÄN</t>
        </is>
      </c>
      <c r="E39" t="inlineStr">
        <is>
          <t>FILIPSTAD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26377-2021</t>
        </is>
      </c>
      <c r="B40" s="1" t="n">
        <v>44347</v>
      </c>
      <c r="C40" s="1" t="n">
        <v>45990</v>
      </c>
      <c r="D40" t="inlineStr">
        <is>
          <t>VÄRMLANDS LÄN</t>
        </is>
      </c>
      <c r="E40" t="inlineStr">
        <is>
          <t>FILIPSTAD</t>
        </is>
      </c>
      <c r="F40" t="inlineStr">
        <is>
          <t>Bergvik skog väst AB</t>
        </is>
      </c>
      <c r="G40" t="n">
        <v>25.9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15932-2022</t>
        </is>
      </c>
      <c r="B41" s="1" t="n">
        <v>44664</v>
      </c>
      <c r="C41" s="1" t="n">
        <v>45990</v>
      </c>
      <c r="D41" t="inlineStr">
        <is>
          <t>VÄRMLANDS LÄN</t>
        </is>
      </c>
      <c r="E41" t="inlineStr">
        <is>
          <t>FILIPSTAD</t>
        </is>
      </c>
      <c r="F41" t="inlineStr">
        <is>
          <t>Bergvik skog väst AB</t>
        </is>
      </c>
      <c r="G41" t="n">
        <v>11.5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63144-2021</t>
        </is>
      </c>
      <c r="B42" s="1" t="n">
        <v>44505</v>
      </c>
      <c r="C42" s="1" t="n">
        <v>45990</v>
      </c>
      <c r="D42" t="inlineStr">
        <is>
          <t>VÄRMLANDS LÄN</t>
        </is>
      </c>
      <c r="E42" t="inlineStr">
        <is>
          <t>FILIPSTAD</t>
        </is>
      </c>
      <c r="G42" t="n">
        <v>24.3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22930-2021</t>
        </is>
      </c>
      <c r="B43" s="1" t="n">
        <v>44327</v>
      </c>
      <c r="C43" s="1" t="n">
        <v>45990</v>
      </c>
      <c r="D43" t="inlineStr">
        <is>
          <t>VÄRMLANDS LÄN</t>
        </is>
      </c>
      <c r="E43" t="inlineStr">
        <is>
          <t>FILIPSTAD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52992-2021</t>
        </is>
      </c>
      <c r="B44" s="1" t="n">
        <v>44467.63736111111</v>
      </c>
      <c r="C44" s="1" t="n">
        <v>45990</v>
      </c>
      <c r="D44" t="inlineStr">
        <is>
          <t>VÄRMLANDS LÄN</t>
        </is>
      </c>
      <c r="E44" t="inlineStr">
        <is>
          <t>FILIPSTAD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44401-2021</t>
        </is>
      </c>
      <c r="B45" s="1" t="n">
        <v>44435.48424768518</v>
      </c>
      <c r="C45" s="1" t="n">
        <v>45990</v>
      </c>
      <c r="D45" t="inlineStr">
        <is>
          <t>VÄRMLANDS LÄN</t>
        </is>
      </c>
      <c r="E45" t="inlineStr">
        <is>
          <t>FILIPSTAD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5141-2021</t>
        </is>
      </c>
      <c r="B46" s="1" t="n">
        <v>44228</v>
      </c>
      <c r="C46" s="1" t="n">
        <v>45990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5729-2021</t>
        </is>
      </c>
      <c r="B47" s="1" t="n">
        <v>44229</v>
      </c>
      <c r="C47" s="1" t="n">
        <v>45990</v>
      </c>
      <c r="D47" t="inlineStr">
        <is>
          <t>VÄRMLANDS LÄN</t>
        </is>
      </c>
      <c r="E47" t="inlineStr">
        <is>
          <t>FILIPSTAD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50914-2021</t>
        </is>
      </c>
      <c r="B48" s="1" t="n">
        <v>44460.60693287037</v>
      </c>
      <c r="C48" s="1" t="n">
        <v>45990</v>
      </c>
      <c r="D48" t="inlineStr">
        <is>
          <t>VÄRMLANDS LÄN</t>
        </is>
      </c>
      <c r="E48" t="inlineStr">
        <is>
          <t>FILIPSTAD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7415-2022</t>
        </is>
      </c>
      <c r="B49" s="1" t="n">
        <v>44606.69184027778</v>
      </c>
      <c r="C49" s="1" t="n">
        <v>45990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28198-2022</t>
        </is>
      </c>
      <c r="B50" s="1" t="n">
        <v>44746</v>
      </c>
      <c r="C50" s="1" t="n">
        <v>45990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60374-2021</t>
        </is>
      </c>
      <c r="B51" s="1" t="n">
        <v>44496</v>
      </c>
      <c r="C51" s="1" t="n">
        <v>45990</v>
      </c>
      <c r="D51" t="inlineStr">
        <is>
          <t>VÄRMLANDS LÄN</t>
        </is>
      </c>
      <c r="E51" t="inlineStr">
        <is>
          <t>FILIPSTAD</t>
        </is>
      </c>
      <c r="G51" t="n">
        <v>6.2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67852-2020</t>
        </is>
      </c>
      <c r="B52" s="1" t="n">
        <v>44182</v>
      </c>
      <c r="C52" s="1" t="n">
        <v>45990</v>
      </c>
      <c r="D52" t="inlineStr">
        <is>
          <t>VÄRMLANDS LÄN</t>
        </is>
      </c>
      <c r="E52" t="inlineStr">
        <is>
          <t>FILIPSTAD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17809-2021</t>
        </is>
      </c>
      <c r="B53" s="1" t="n">
        <v>44300</v>
      </c>
      <c r="C53" s="1" t="n">
        <v>45990</v>
      </c>
      <c r="D53" t="inlineStr">
        <is>
          <t>VÄRMLANDS LÄN</t>
        </is>
      </c>
      <c r="E53" t="inlineStr">
        <is>
          <t>FILIPSTAD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18235-2021</t>
        </is>
      </c>
      <c r="B54" s="1" t="n">
        <v>44303.90922453703</v>
      </c>
      <c r="C54" s="1" t="n">
        <v>45990</v>
      </c>
      <c r="D54" t="inlineStr">
        <is>
          <t>VÄRMLANDS LÄN</t>
        </is>
      </c>
      <c r="E54" t="inlineStr">
        <is>
          <t>FILIPSTAD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5342-2021</t>
        </is>
      </c>
      <c r="B55" s="1" t="n">
        <v>44229</v>
      </c>
      <c r="C55" s="1" t="n">
        <v>45990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49736-2021</t>
        </is>
      </c>
      <c r="B56" s="1" t="n">
        <v>44453</v>
      </c>
      <c r="C56" s="1" t="n">
        <v>45990</v>
      </c>
      <c r="D56" t="inlineStr">
        <is>
          <t>VÄRMLANDS LÄN</t>
        </is>
      </c>
      <c r="E56" t="inlineStr">
        <is>
          <t>FILIPSTAD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52384-2021</t>
        </is>
      </c>
      <c r="B57" s="1" t="n">
        <v>44465.83997685185</v>
      </c>
      <c r="C57" s="1" t="n">
        <v>45990</v>
      </c>
      <c r="D57" t="inlineStr">
        <is>
          <t>VÄRMLANDS LÄN</t>
        </is>
      </c>
      <c r="E57" t="inlineStr">
        <is>
          <t>FILIPSTAD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37783-2021</t>
        </is>
      </c>
      <c r="B58" s="1" t="n">
        <v>44401.44586805555</v>
      </c>
      <c r="C58" s="1" t="n">
        <v>45990</v>
      </c>
      <c r="D58" t="inlineStr">
        <is>
          <t>VÄRMLANDS LÄN</t>
        </is>
      </c>
      <c r="E58" t="inlineStr">
        <is>
          <t>FILIPSTAD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37784-2021</t>
        </is>
      </c>
      <c r="B59" s="1" t="n">
        <v>44401</v>
      </c>
      <c r="C59" s="1" t="n">
        <v>45990</v>
      </c>
      <c r="D59" t="inlineStr">
        <is>
          <t>VÄRMLANDS LÄN</t>
        </is>
      </c>
      <c r="E59" t="inlineStr">
        <is>
          <t>FILIPSTAD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23236-2021</t>
        </is>
      </c>
      <c r="B60" s="1" t="n">
        <v>44333</v>
      </c>
      <c r="C60" s="1" t="n">
        <v>45990</v>
      </c>
      <c r="D60" t="inlineStr">
        <is>
          <t>VÄRMLANDS LÄN</t>
        </is>
      </c>
      <c r="E60" t="inlineStr">
        <is>
          <t>FILIPSTAD</t>
        </is>
      </c>
      <c r="F60" t="inlineStr">
        <is>
          <t>Kyrkan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49999-2021</t>
        </is>
      </c>
      <c r="B61" s="1" t="n">
        <v>44454</v>
      </c>
      <c r="C61" s="1" t="n">
        <v>45990</v>
      </c>
      <c r="D61" t="inlineStr">
        <is>
          <t>VÄRMLANDS LÄN</t>
        </is>
      </c>
      <c r="E61" t="inlineStr">
        <is>
          <t>FILIPSTAD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24442-2022</t>
        </is>
      </c>
      <c r="B62" s="1" t="n">
        <v>44726</v>
      </c>
      <c r="C62" s="1" t="n">
        <v>45990</v>
      </c>
      <c r="D62" t="inlineStr">
        <is>
          <t>VÄRMLANDS LÄN</t>
        </is>
      </c>
      <c r="E62" t="inlineStr">
        <is>
          <t>FILIPSTAD</t>
        </is>
      </c>
      <c r="F62" t="inlineStr">
        <is>
          <t>Bergvik skog väst AB</t>
        </is>
      </c>
      <c r="G62" t="n">
        <v>30.7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63714-2021</t>
        </is>
      </c>
      <c r="B63" s="1" t="n">
        <v>44505</v>
      </c>
      <c r="C63" s="1" t="n">
        <v>45990</v>
      </c>
      <c r="D63" t="inlineStr">
        <is>
          <t>VÄRMLANDS LÄN</t>
        </is>
      </c>
      <c r="E63" t="inlineStr">
        <is>
          <t>FILIPSTAD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60377-2021</t>
        </is>
      </c>
      <c r="B64" s="1" t="n">
        <v>44496.35686342593</v>
      </c>
      <c r="C64" s="1" t="n">
        <v>45990</v>
      </c>
      <c r="D64" t="inlineStr">
        <is>
          <t>VÄRMLANDS LÄN</t>
        </is>
      </c>
      <c r="E64" t="inlineStr">
        <is>
          <t>FILIPSTAD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68515-2020</t>
        </is>
      </c>
      <c r="B65" s="1" t="n">
        <v>44186</v>
      </c>
      <c r="C65" s="1" t="n">
        <v>45990</v>
      </c>
      <c r="D65" t="inlineStr">
        <is>
          <t>VÄRMLANDS LÄN</t>
        </is>
      </c>
      <c r="E65" t="inlineStr">
        <is>
          <t>FILIPSTAD</t>
        </is>
      </c>
      <c r="G65" t="n">
        <v>14.7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4617-2021</t>
        </is>
      </c>
      <c r="B66" s="1" t="n">
        <v>44224</v>
      </c>
      <c r="C66" s="1" t="n">
        <v>45990</v>
      </c>
      <c r="D66" t="inlineStr">
        <is>
          <t>VÄRMLANDS LÄN</t>
        </is>
      </c>
      <c r="E66" t="inlineStr">
        <is>
          <t>FILIPSTAD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68517-2020</t>
        </is>
      </c>
      <c r="B67" s="1" t="n">
        <v>44186</v>
      </c>
      <c r="C67" s="1" t="n">
        <v>45990</v>
      </c>
      <c r="D67" t="inlineStr">
        <is>
          <t>VÄRMLANDS LÄN</t>
        </is>
      </c>
      <c r="E67" t="inlineStr">
        <is>
          <t>FILIPSTAD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63140-2021</t>
        </is>
      </c>
      <c r="B68" s="1" t="n">
        <v>44505</v>
      </c>
      <c r="C68" s="1" t="n">
        <v>45990</v>
      </c>
      <c r="D68" t="inlineStr">
        <is>
          <t>VÄRMLANDS LÄN</t>
        </is>
      </c>
      <c r="E68" t="inlineStr">
        <is>
          <t>FILIPSTAD</t>
        </is>
      </c>
      <c r="G68" t="n">
        <v>11.5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14077-2022</t>
        </is>
      </c>
      <c r="B69" s="1" t="n">
        <v>44651</v>
      </c>
      <c r="C69" s="1" t="n">
        <v>45990</v>
      </c>
      <c r="D69" t="inlineStr">
        <is>
          <t>VÄRMLANDS LÄN</t>
        </is>
      </c>
      <c r="E69" t="inlineStr">
        <is>
          <t>FILIPSTAD</t>
        </is>
      </c>
      <c r="F69" t="inlineStr">
        <is>
          <t>Bergvik skog väst AB</t>
        </is>
      </c>
      <c r="G69" t="n">
        <v>18.7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50063-2021</t>
        </is>
      </c>
      <c r="B70" s="1" t="n">
        <v>44456.55350694444</v>
      </c>
      <c r="C70" s="1" t="n">
        <v>45990</v>
      </c>
      <c r="D70" t="inlineStr">
        <is>
          <t>VÄRMLANDS LÄN</t>
        </is>
      </c>
      <c r="E70" t="inlineStr">
        <is>
          <t>FILIPSTAD</t>
        </is>
      </c>
      <c r="F70" t="inlineStr">
        <is>
          <t>Bergvik skog väst AB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23063-2022</t>
        </is>
      </c>
      <c r="B71" s="1" t="n">
        <v>44719</v>
      </c>
      <c r="C71" s="1" t="n">
        <v>45990</v>
      </c>
      <c r="D71" t="inlineStr">
        <is>
          <t>VÄRMLANDS LÄN</t>
        </is>
      </c>
      <c r="E71" t="inlineStr">
        <is>
          <t>FILIPSTAD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7292-2022</t>
        </is>
      </c>
      <c r="B72" s="1" t="n">
        <v>44606</v>
      </c>
      <c r="C72" s="1" t="n">
        <v>45990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22356-2022</t>
        </is>
      </c>
      <c r="B73" s="1" t="n">
        <v>44713</v>
      </c>
      <c r="C73" s="1" t="n">
        <v>45990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57090-2021</t>
        </is>
      </c>
      <c r="B74" s="1" t="n">
        <v>44482</v>
      </c>
      <c r="C74" s="1" t="n">
        <v>45990</v>
      </c>
      <c r="D74" t="inlineStr">
        <is>
          <t>VÄRMLANDS LÄN</t>
        </is>
      </c>
      <c r="E74" t="inlineStr">
        <is>
          <t>FILIPSTAD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32680-2022</t>
        </is>
      </c>
      <c r="B75" s="1" t="n">
        <v>44783</v>
      </c>
      <c r="C75" s="1" t="n">
        <v>45990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30.5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64025-2020</t>
        </is>
      </c>
      <c r="B76" s="1" t="n">
        <v>44167</v>
      </c>
      <c r="C76" s="1" t="n">
        <v>45990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47693-2022</t>
        </is>
      </c>
      <c r="B77" s="1" t="n">
        <v>44854</v>
      </c>
      <c r="C77" s="1" t="n">
        <v>45990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5.9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35712-2022</t>
        </is>
      </c>
      <c r="B78" s="1" t="n">
        <v>44799.66078703704</v>
      </c>
      <c r="C78" s="1" t="n">
        <v>45990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19626-2022</t>
        </is>
      </c>
      <c r="B79" s="1" t="n">
        <v>44694</v>
      </c>
      <c r="C79" s="1" t="n">
        <v>45990</v>
      </c>
      <c r="D79" t="inlineStr">
        <is>
          <t>VÄRMLANDS LÄN</t>
        </is>
      </c>
      <c r="E79" t="inlineStr">
        <is>
          <t>FILIPSTAD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64754-2020</t>
        </is>
      </c>
      <c r="B80" s="1" t="n">
        <v>44169</v>
      </c>
      <c r="C80" s="1" t="n">
        <v>45990</v>
      </c>
      <c r="D80" t="inlineStr">
        <is>
          <t>VÄRMLANDS LÄN</t>
        </is>
      </c>
      <c r="E80" t="inlineStr">
        <is>
          <t>FILIPSTAD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59954-2021</t>
        </is>
      </c>
      <c r="B81" s="1" t="n">
        <v>44494.86805555555</v>
      </c>
      <c r="C81" s="1" t="n">
        <v>45990</v>
      </c>
      <c r="D81" t="inlineStr">
        <is>
          <t>VÄRMLANDS LÄN</t>
        </is>
      </c>
      <c r="E81" t="inlineStr">
        <is>
          <t>FILIPSTAD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68620-2020</t>
        </is>
      </c>
      <c r="B82" s="1" t="n">
        <v>44186</v>
      </c>
      <c r="C82" s="1" t="n">
        <v>45990</v>
      </c>
      <c r="D82" t="inlineStr">
        <is>
          <t>VÄRMLANDS LÄN</t>
        </is>
      </c>
      <c r="E82" t="inlineStr">
        <is>
          <t>FILIPSTAD</t>
        </is>
      </c>
      <c r="G82" t="n">
        <v>29.6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14074-2022</t>
        </is>
      </c>
      <c r="B83" s="1" t="n">
        <v>44651</v>
      </c>
      <c r="C83" s="1" t="n">
        <v>45990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66376-2021</t>
        </is>
      </c>
      <c r="B84" s="1" t="n">
        <v>44518.60405092593</v>
      </c>
      <c r="C84" s="1" t="n">
        <v>45990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9.800000000000001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64526-2021</t>
        </is>
      </c>
      <c r="B85" s="1" t="n">
        <v>44511.62271990741</v>
      </c>
      <c r="C85" s="1" t="n">
        <v>45990</v>
      </c>
      <c r="D85" t="inlineStr">
        <is>
          <t>VÄRMLANDS LÄN</t>
        </is>
      </c>
      <c r="E85" t="inlineStr">
        <is>
          <t>FILIPSTAD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31189-2021</t>
        </is>
      </c>
      <c r="B86" s="1" t="n">
        <v>44368.60549768519</v>
      </c>
      <c r="C86" s="1" t="n">
        <v>45990</v>
      </c>
      <c r="D86" t="inlineStr">
        <is>
          <t>VÄRMLANDS LÄN</t>
        </is>
      </c>
      <c r="E86" t="inlineStr">
        <is>
          <t>FILIPSTAD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50009-2021</t>
        </is>
      </c>
      <c r="B87" s="1" t="n">
        <v>44454</v>
      </c>
      <c r="C87" s="1" t="n">
        <v>45990</v>
      </c>
      <c r="D87" t="inlineStr">
        <is>
          <t>VÄRMLANDS LÄN</t>
        </is>
      </c>
      <c r="E87" t="inlineStr">
        <is>
          <t>FILIPSTAD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4619-2021</t>
        </is>
      </c>
      <c r="B88" s="1" t="n">
        <v>44224</v>
      </c>
      <c r="C88" s="1" t="n">
        <v>45990</v>
      </c>
      <c r="D88" t="inlineStr">
        <is>
          <t>VÄRMLANDS LÄN</t>
        </is>
      </c>
      <c r="E88" t="inlineStr">
        <is>
          <t>FILIPSTAD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43634-2021</t>
        </is>
      </c>
      <c r="B89" s="1" t="n">
        <v>44433</v>
      </c>
      <c r="C89" s="1" t="n">
        <v>45990</v>
      </c>
      <c r="D89" t="inlineStr">
        <is>
          <t>VÄRMLANDS LÄN</t>
        </is>
      </c>
      <c r="E89" t="inlineStr">
        <is>
          <t>FILIPSTAD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14582-2022</t>
        </is>
      </c>
      <c r="B90" s="1" t="n">
        <v>44655</v>
      </c>
      <c r="C90" s="1" t="n">
        <v>45990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5928-2022</t>
        </is>
      </c>
      <c r="B91" s="1" t="n">
        <v>44598</v>
      </c>
      <c r="C91" s="1" t="n">
        <v>45990</v>
      </c>
      <c r="D91" t="inlineStr">
        <is>
          <t>VÄRMLANDS LÄN</t>
        </is>
      </c>
      <c r="E91" t="inlineStr">
        <is>
          <t>FILIPSTAD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57087-2021</t>
        </is>
      </c>
      <c r="B92" s="1" t="n">
        <v>44482</v>
      </c>
      <c r="C92" s="1" t="n">
        <v>45990</v>
      </c>
      <c r="D92" t="inlineStr">
        <is>
          <t>VÄRMLANDS LÄN</t>
        </is>
      </c>
      <c r="E92" t="inlineStr">
        <is>
          <t>FILIPSTAD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10501-2021</t>
        </is>
      </c>
      <c r="B93" s="1" t="n">
        <v>44258</v>
      </c>
      <c r="C93" s="1" t="n">
        <v>45990</v>
      </c>
      <c r="D93" t="inlineStr">
        <is>
          <t>VÄRMLANDS LÄN</t>
        </is>
      </c>
      <c r="E93" t="inlineStr">
        <is>
          <t>FILIPSTAD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30524-2021</t>
        </is>
      </c>
      <c r="B94" s="1" t="n">
        <v>44364</v>
      </c>
      <c r="C94" s="1" t="n">
        <v>45990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17813-2021</t>
        </is>
      </c>
      <c r="B95" s="1" t="n">
        <v>44300</v>
      </c>
      <c r="C95" s="1" t="n">
        <v>45990</v>
      </c>
      <c r="D95" t="inlineStr">
        <is>
          <t>VÄRMLANDS LÄN</t>
        </is>
      </c>
      <c r="E95" t="inlineStr">
        <is>
          <t>FILIPSTAD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9270-2023</t>
        </is>
      </c>
      <c r="B96" s="1" t="n">
        <v>44980</v>
      </c>
      <c r="C96" s="1" t="n">
        <v>45990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24139-2024</t>
        </is>
      </c>
      <c r="B97" s="1" t="n">
        <v>45456</v>
      </c>
      <c r="C97" s="1" t="n">
        <v>45990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2437-2025</t>
        </is>
      </c>
      <c r="B98" s="1" t="n">
        <v>45674</v>
      </c>
      <c r="C98" s="1" t="n">
        <v>45990</v>
      </c>
      <c r="D98" t="inlineStr">
        <is>
          <t>VÄRMLANDS LÄN</t>
        </is>
      </c>
      <c r="E98" t="inlineStr">
        <is>
          <t>FILIPSTAD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56451-2024</t>
        </is>
      </c>
      <c r="B99" s="1" t="n">
        <v>45625.43577546296</v>
      </c>
      <c r="C99" s="1" t="n">
        <v>45990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6.3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54398-2024</t>
        </is>
      </c>
      <c r="B100" s="1" t="n">
        <v>45617</v>
      </c>
      <c r="C100" s="1" t="n">
        <v>45990</v>
      </c>
      <c r="D100" t="inlineStr">
        <is>
          <t>VÄRMLANDS LÄN</t>
        </is>
      </c>
      <c r="E100" t="inlineStr">
        <is>
          <t>FILIPSTAD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36809-2022</t>
        </is>
      </c>
      <c r="B101" s="1" t="n">
        <v>44805.52994212963</v>
      </c>
      <c r="C101" s="1" t="n">
        <v>45990</v>
      </c>
      <c r="D101" t="inlineStr">
        <is>
          <t>VÄRMLANDS LÄN</t>
        </is>
      </c>
      <c r="E101" t="inlineStr">
        <is>
          <t>FILIPSTAD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34116-2024</t>
        </is>
      </c>
      <c r="B102" s="1" t="n">
        <v>45524</v>
      </c>
      <c r="C102" s="1" t="n">
        <v>45990</v>
      </c>
      <c r="D102" t="inlineStr">
        <is>
          <t>VÄRMLANDS LÄN</t>
        </is>
      </c>
      <c r="E102" t="inlineStr">
        <is>
          <t>FILIPSTAD</t>
        </is>
      </c>
      <c r="F102" t="inlineStr">
        <is>
          <t>Bergvik skog väst AB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12247-2022</t>
        </is>
      </c>
      <c r="B103" s="1" t="n">
        <v>44637.42344907407</v>
      </c>
      <c r="C103" s="1" t="n">
        <v>45990</v>
      </c>
      <c r="D103" t="inlineStr">
        <is>
          <t>VÄRMLANDS LÄN</t>
        </is>
      </c>
      <c r="E103" t="inlineStr">
        <is>
          <t>FILIPSTAD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25737-2023</t>
        </is>
      </c>
      <c r="B104" s="1" t="n">
        <v>45090</v>
      </c>
      <c r="C104" s="1" t="n">
        <v>45990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50904-2023</t>
        </is>
      </c>
      <c r="B105" s="1" t="n">
        <v>45218.4169212963</v>
      </c>
      <c r="C105" s="1" t="n">
        <v>45990</v>
      </c>
      <c r="D105" t="inlineStr">
        <is>
          <t>VÄRMLANDS LÄN</t>
        </is>
      </c>
      <c r="E105" t="inlineStr">
        <is>
          <t>FILIPSTAD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5803-2023</t>
        </is>
      </c>
      <c r="B106" s="1" t="n">
        <v>44963</v>
      </c>
      <c r="C106" s="1" t="n">
        <v>45990</v>
      </c>
      <c r="D106" t="inlineStr">
        <is>
          <t>VÄRMLANDS LÄN</t>
        </is>
      </c>
      <c r="E106" t="inlineStr">
        <is>
          <t>FILIPSTAD</t>
        </is>
      </c>
      <c r="F106" t="inlineStr">
        <is>
          <t>Bergvik skog väst AB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17788-2024</t>
        </is>
      </c>
      <c r="B107" s="1" t="n">
        <v>45418</v>
      </c>
      <c r="C107" s="1" t="n">
        <v>45990</v>
      </c>
      <c r="D107" t="inlineStr">
        <is>
          <t>VÄRMLANDS LÄN</t>
        </is>
      </c>
      <c r="E107" t="inlineStr">
        <is>
          <t>FILIPSTAD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9062-2025</t>
        </is>
      </c>
      <c r="B108" s="1" t="n">
        <v>45713.64682870371</v>
      </c>
      <c r="C108" s="1" t="n">
        <v>45990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6.8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37577-2023</t>
        </is>
      </c>
      <c r="B109" s="1" t="n">
        <v>45159.38371527778</v>
      </c>
      <c r="C109" s="1" t="n">
        <v>45990</v>
      </c>
      <c r="D109" t="inlineStr">
        <is>
          <t>VÄRMLANDS LÄN</t>
        </is>
      </c>
      <c r="E109" t="inlineStr">
        <is>
          <t>FILIPSTAD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45511-2024</t>
        </is>
      </c>
      <c r="B110" s="1" t="n">
        <v>45578</v>
      </c>
      <c r="C110" s="1" t="n">
        <v>45990</v>
      </c>
      <c r="D110" t="inlineStr">
        <is>
          <t>VÄRMLANDS LÄN</t>
        </is>
      </c>
      <c r="E110" t="inlineStr">
        <is>
          <t>FILIPSTAD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57531-2024</t>
        </is>
      </c>
      <c r="B111" s="1" t="n">
        <v>45630</v>
      </c>
      <c r="C111" s="1" t="n">
        <v>45990</v>
      </c>
      <c r="D111" t="inlineStr">
        <is>
          <t>VÄRMLANDS LÄN</t>
        </is>
      </c>
      <c r="E111" t="inlineStr">
        <is>
          <t>FILIPSTAD</t>
        </is>
      </c>
      <c r="F111" t="inlineStr">
        <is>
          <t>Bergvik skog väst AB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4560-2025</t>
        </is>
      </c>
      <c r="B112" s="1" t="n">
        <v>45687</v>
      </c>
      <c r="C112" s="1" t="n">
        <v>45990</v>
      </c>
      <c r="D112" t="inlineStr">
        <is>
          <t>VÄRMLANDS LÄN</t>
        </is>
      </c>
      <c r="E112" t="inlineStr">
        <is>
          <t>FILIPSTAD</t>
        </is>
      </c>
      <c r="G112" t="n">
        <v>13.6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33844-2024</t>
        </is>
      </c>
      <c r="B113" s="1" t="n">
        <v>45520</v>
      </c>
      <c r="C113" s="1" t="n">
        <v>45990</v>
      </c>
      <c r="D113" t="inlineStr">
        <is>
          <t>VÄRMLANDS LÄN</t>
        </is>
      </c>
      <c r="E113" t="inlineStr">
        <is>
          <t>FILIPSTAD</t>
        </is>
      </c>
      <c r="F113" t="inlineStr">
        <is>
          <t>Bergvik skog väst AB</t>
        </is>
      </c>
      <c r="G113" t="n">
        <v>8.199999999999999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27789-2022</t>
        </is>
      </c>
      <c r="B114" s="1" t="n">
        <v>44743.56622685185</v>
      </c>
      <c r="C114" s="1" t="n">
        <v>45990</v>
      </c>
      <c r="D114" t="inlineStr">
        <is>
          <t>VÄRMLANDS LÄN</t>
        </is>
      </c>
      <c r="E114" t="inlineStr">
        <is>
          <t>FILIPSTAD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39566-2023</t>
        </is>
      </c>
      <c r="B115" s="1" t="n">
        <v>45167.40119212963</v>
      </c>
      <c r="C115" s="1" t="n">
        <v>45990</v>
      </c>
      <c r="D115" t="inlineStr">
        <is>
          <t>VÄRMLANDS LÄN</t>
        </is>
      </c>
      <c r="E115" t="inlineStr">
        <is>
          <t>FILIPSTAD</t>
        </is>
      </c>
      <c r="F115" t="inlineStr">
        <is>
          <t>Bergvik skog väst AB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37165-2024</t>
        </is>
      </c>
      <c r="B116" s="1" t="n">
        <v>45539.62459490741</v>
      </c>
      <c r="C116" s="1" t="n">
        <v>45990</v>
      </c>
      <c r="D116" t="inlineStr">
        <is>
          <t>VÄRMLANDS LÄN</t>
        </is>
      </c>
      <c r="E116" t="inlineStr">
        <is>
          <t>FILIPSTAD</t>
        </is>
      </c>
      <c r="F116" t="inlineStr">
        <is>
          <t>Bergvik skog väst AB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14582-2025</t>
        </is>
      </c>
      <c r="B117" s="1" t="n">
        <v>45742</v>
      </c>
      <c r="C117" s="1" t="n">
        <v>45990</v>
      </c>
      <c r="D117" t="inlineStr">
        <is>
          <t>VÄRMLANDS LÄN</t>
        </is>
      </c>
      <c r="E117" t="inlineStr">
        <is>
          <t>FILIPSTAD</t>
        </is>
      </c>
      <c r="F117" t="inlineStr">
        <is>
          <t>Bergvik skog väst AB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19705-2025</t>
        </is>
      </c>
      <c r="B118" s="1" t="n">
        <v>45771</v>
      </c>
      <c r="C118" s="1" t="n">
        <v>45990</v>
      </c>
      <c r="D118" t="inlineStr">
        <is>
          <t>VÄRMLANDS LÄN</t>
        </is>
      </c>
      <c r="E118" t="inlineStr">
        <is>
          <t>FILIPSTAD</t>
        </is>
      </c>
      <c r="F118" t="inlineStr">
        <is>
          <t>Bergvik skog väst AB</t>
        </is>
      </c>
      <c r="G118" t="n">
        <v>6.9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14268-2024</t>
        </is>
      </c>
      <c r="B119" s="1" t="n">
        <v>45393.57497685185</v>
      </c>
      <c r="C119" s="1" t="n">
        <v>45990</v>
      </c>
      <c r="D119" t="inlineStr">
        <is>
          <t>VÄRMLANDS LÄN</t>
        </is>
      </c>
      <c r="E119" t="inlineStr">
        <is>
          <t>FILIPSTAD</t>
        </is>
      </c>
      <c r="F119" t="inlineStr">
        <is>
          <t>Bergvik skog väst AB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27107-2024</t>
        </is>
      </c>
      <c r="B120" s="1" t="n">
        <v>45471</v>
      </c>
      <c r="C120" s="1" t="n">
        <v>45990</v>
      </c>
      <c r="D120" t="inlineStr">
        <is>
          <t>VÄRMLANDS LÄN</t>
        </is>
      </c>
      <c r="E120" t="inlineStr">
        <is>
          <t>FILIPSTAD</t>
        </is>
      </c>
      <c r="F120" t="inlineStr">
        <is>
          <t>Bergvik skog väst AB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57456-2022</t>
        </is>
      </c>
      <c r="B121" s="1" t="n">
        <v>44896.56736111111</v>
      </c>
      <c r="C121" s="1" t="n">
        <v>45990</v>
      </c>
      <c r="D121" t="inlineStr">
        <is>
          <t>VÄRMLANDS LÄN</t>
        </is>
      </c>
      <c r="E121" t="inlineStr">
        <is>
          <t>FILIPSTAD</t>
        </is>
      </c>
      <c r="F121" t="inlineStr">
        <is>
          <t>Bergvik skog väst AB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59336-2023</t>
        </is>
      </c>
      <c r="B122" s="1" t="n">
        <v>45253.64381944444</v>
      </c>
      <c r="C122" s="1" t="n">
        <v>45990</v>
      </c>
      <c r="D122" t="inlineStr">
        <is>
          <t>VÄRMLANDS LÄN</t>
        </is>
      </c>
      <c r="E122" t="inlineStr">
        <is>
          <t>FILIPSTAD</t>
        </is>
      </c>
      <c r="F122" t="inlineStr">
        <is>
          <t>Bergvik skog väst AB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15945-2025</t>
        </is>
      </c>
      <c r="B123" s="1" t="n">
        <v>45749</v>
      </c>
      <c r="C123" s="1" t="n">
        <v>45990</v>
      </c>
      <c r="D123" t="inlineStr">
        <is>
          <t>VÄRMLANDS LÄN</t>
        </is>
      </c>
      <c r="E123" t="inlineStr">
        <is>
          <t>FILIPSTAD</t>
        </is>
      </c>
      <c r="F123" t="inlineStr">
        <is>
          <t>Bergvik skog väst AB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53034-2022</t>
        </is>
      </c>
      <c r="B124" s="1" t="n">
        <v>44876.30590277778</v>
      </c>
      <c r="C124" s="1" t="n">
        <v>45990</v>
      </c>
      <c r="D124" t="inlineStr">
        <is>
          <t>VÄRMLANDS LÄN</t>
        </is>
      </c>
      <c r="E124" t="inlineStr">
        <is>
          <t>FILIPSTAD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55978-2022</t>
        </is>
      </c>
      <c r="B125" s="1" t="n">
        <v>44889</v>
      </c>
      <c r="C125" s="1" t="n">
        <v>45990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24143-2025</t>
        </is>
      </c>
      <c r="B126" s="1" t="n">
        <v>45796.64369212963</v>
      </c>
      <c r="C126" s="1" t="n">
        <v>45990</v>
      </c>
      <c r="D126" t="inlineStr">
        <is>
          <t>VÄRMLANDS LÄN</t>
        </is>
      </c>
      <c r="E126" t="inlineStr">
        <is>
          <t>FILIPSTAD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378-2025</t>
        </is>
      </c>
      <c r="B127" s="1" t="n">
        <v>45662</v>
      </c>
      <c r="C127" s="1" t="n">
        <v>45990</v>
      </c>
      <c r="D127" t="inlineStr">
        <is>
          <t>VÄRMLANDS LÄN</t>
        </is>
      </c>
      <c r="E127" t="inlineStr">
        <is>
          <t>FILIPSTAD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20844-2024</t>
        </is>
      </c>
      <c r="B128" s="1" t="n">
        <v>45439</v>
      </c>
      <c r="C128" s="1" t="n">
        <v>45990</v>
      </c>
      <c r="D128" t="inlineStr">
        <is>
          <t>VÄRMLANDS LÄN</t>
        </is>
      </c>
      <c r="E128" t="inlineStr">
        <is>
          <t>FILIPSTAD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3979-2024</t>
        </is>
      </c>
      <c r="B129" s="1" t="n">
        <v>45322</v>
      </c>
      <c r="C129" s="1" t="n">
        <v>45990</v>
      </c>
      <c r="D129" t="inlineStr">
        <is>
          <t>VÄRMLANDS LÄN</t>
        </is>
      </c>
      <c r="E129" t="inlineStr">
        <is>
          <t>FILIPSTAD</t>
        </is>
      </c>
      <c r="G129" t="n">
        <v>8.199999999999999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51985-2023</t>
        </is>
      </c>
      <c r="B130" s="1" t="n">
        <v>45223.57947916666</v>
      </c>
      <c r="C130" s="1" t="n">
        <v>45990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6.7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18138-2022</t>
        </is>
      </c>
      <c r="B131" s="1" t="n">
        <v>44684.58184027778</v>
      </c>
      <c r="C131" s="1" t="n">
        <v>45990</v>
      </c>
      <c r="D131" t="inlineStr">
        <is>
          <t>VÄRMLANDS LÄN</t>
        </is>
      </c>
      <c r="E131" t="inlineStr">
        <is>
          <t>FILIPSTAD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38626-2025</t>
        </is>
      </c>
      <c r="B132" s="1" t="n">
        <v>45884.55540509259</v>
      </c>
      <c r="C132" s="1" t="n">
        <v>45990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16103-2025</t>
        </is>
      </c>
      <c r="B133" s="1" t="n">
        <v>45750</v>
      </c>
      <c r="C133" s="1" t="n">
        <v>45990</v>
      </c>
      <c r="D133" t="inlineStr">
        <is>
          <t>VÄRMLANDS LÄN</t>
        </is>
      </c>
      <c r="E133" t="inlineStr">
        <is>
          <t>FILIPSTAD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15406-2025</t>
        </is>
      </c>
      <c r="B134" s="1" t="n">
        <v>45747.44877314815</v>
      </c>
      <c r="C134" s="1" t="n">
        <v>45990</v>
      </c>
      <c r="D134" t="inlineStr">
        <is>
          <t>VÄRMLANDS LÄN</t>
        </is>
      </c>
      <c r="E134" t="inlineStr">
        <is>
          <t>FILIPSTAD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24724-2025</t>
        </is>
      </c>
      <c r="B135" s="1" t="n">
        <v>45799.32064814815</v>
      </c>
      <c r="C135" s="1" t="n">
        <v>45990</v>
      </c>
      <c r="D135" t="inlineStr">
        <is>
          <t>VÄRMLANDS LÄN</t>
        </is>
      </c>
      <c r="E135" t="inlineStr">
        <is>
          <t>FILIPSTAD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35799-2022</t>
        </is>
      </c>
      <c r="B136" s="1" t="n">
        <v>44801.94767361111</v>
      </c>
      <c r="C136" s="1" t="n">
        <v>45990</v>
      </c>
      <c r="D136" t="inlineStr">
        <is>
          <t>VÄRMLANDS LÄN</t>
        </is>
      </c>
      <c r="E136" t="inlineStr">
        <is>
          <t>FILIPSTAD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5846-2023</t>
        </is>
      </c>
      <c r="B137" s="1" t="n">
        <v>44963</v>
      </c>
      <c r="C137" s="1" t="n">
        <v>45990</v>
      </c>
      <c r="D137" t="inlineStr">
        <is>
          <t>VÄRMLANDS LÄN</t>
        </is>
      </c>
      <c r="E137" t="inlineStr">
        <is>
          <t>FILIPSTAD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59869-2024</t>
        </is>
      </c>
      <c r="B138" s="1" t="n">
        <v>45640.3178125</v>
      </c>
      <c r="C138" s="1" t="n">
        <v>45990</v>
      </c>
      <c r="D138" t="inlineStr">
        <is>
          <t>VÄRMLANDS LÄN</t>
        </is>
      </c>
      <c r="E138" t="inlineStr">
        <is>
          <t>FILIPSTAD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47261-2024</t>
        </is>
      </c>
      <c r="B139" s="1" t="n">
        <v>45586.77313657408</v>
      </c>
      <c r="C139" s="1" t="n">
        <v>45990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43059-2024</t>
        </is>
      </c>
      <c r="B140" s="1" t="n">
        <v>45567.46071759259</v>
      </c>
      <c r="C140" s="1" t="n">
        <v>45990</v>
      </c>
      <c r="D140" t="inlineStr">
        <is>
          <t>VÄRMLANDS LÄN</t>
        </is>
      </c>
      <c r="E140" t="inlineStr">
        <is>
          <t>FILIPSTAD</t>
        </is>
      </c>
      <c r="F140" t="inlineStr">
        <is>
          <t>Kyrkan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38955-2025</t>
        </is>
      </c>
      <c r="B141" s="1" t="n">
        <v>45887.67186342592</v>
      </c>
      <c r="C141" s="1" t="n">
        <v>45990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46546-2021</t>
        </is>
      </c>
      <c r="B142" s="1" t="n">
        <v>44445</v>
      </c>
      <c r="C142" s="1" t="n">
        <v>45990</v>
      </c>
      <c r="D142" t="inlineStr">
        <is>
          <t>VÄRMLANDS LÄN</t>
        </is>
      </c>
      <c r="E142" t="inlineStr">
        <is>
          <t>FILIPSTAD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51945-2023</t>
        </is>
      </c>
      <c r="B143" s="1" t="n">
        <v>45223</v>
      </c>
      <c r="C143" s="1" t="n">
        <v>45990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54127-2023</t>
        </is>
      </c>
      <c r="B144" s="1" t="n">
        <v>45232</v>
      </c>
      <c r="C144" s="1" t="n">
        <v>45990</v>
      </c>
      <c r="D144" t="inlineStr">
        <is>
          <t>VÄRMLANDS LÄN</t>
        </is>
      </c>
      <c r="E144" t="inlineStr">
        <is>
          <t>FILIPSTAD</t>
        </is>
      </c>
      <c r="G144" t="n">
        <v>15.5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50776-2024</t>
        </is>
      </c>
      <c r="B145" s="1" t="n">
        <v>45602.45215277778</v>
      </c>
      <c r="C145" s="1" t="n">
        <v>45990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15.5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25483-2025</t>
        </is>
      </c>
      <c r="B146" s="1" t="n">
        <v>45802</v>
      </c>
      <c r="C146" s="1" t="n">
        <v>45990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26116-2025</t>
        </is>
      </c>
      <c r="B147" s="1" t="n">
        <v>45805.37556712963</v>
      </c>
      <c r="C147" s="1" t="n">
        <v>45990</v>
      </c>
      <c r="D147" t="inlineStr">
        <is>
          <t>VÄRMLANDS LÄN</t>
        </is>
      </c>
      <c r="E147" t="inlineStr">
        <is>
          <t>FILIPSTAD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26123-2025</t>
        </is>
      </c>
      <c r="B148" s="1" t="n">
        <v>45805.38965277778</v>
      </c>
      <c r="C148" s="1" t="n">
        <v>45990</v>
      </c>
      <c r="D148" t="inlineStr">
        <is>
          <t>VÄRMLANDS LÄN</t>
        </is>
      </c>
      <c r="E148" t="inlineStr">
        <is>
          <t>FILIPSTAD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23382-2024</t>
        </is>
      </c>
      <c r="B149" s="1" t="n">
        <v>45453.55965277777</v>
      </c>
      <c r="C149" s="1" t="n">
        <v>45990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47436-2024</t>
        </is>
      </c>
      <c r="B150" s="1" t="n">
        <v>45587</v>
      </c>
      <c r="C150" s="1" t="n">
        <v>45990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37945-2024</t>
        </is>
      </c>
      <c r="B151" s="1" t="n">
        <v>45544.50271990741</v>
      </c>
      <c r="C151" s="1" t="n">
        <v>45990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9839-2025</t>
        </is>
      </c>
      <c r="B152" s="1" t="n">
        <v>45716.60288194445</v>
      </c>
      <c r="C152" s="1" t="n">
        <v>45990</v>
      </c>
      <c r="D152" t="inlineStr">
        <is>
          <t>VÄRMLANDS LÄN</t>
        </is>
      </c>
      <c r="E152" t="inlineStr">
        <is>
          <t>FILIPSTAD</t>
        </is>
      </c>
      <c r="F152" t="inlineStr">
        <is>
          <t>Kommuner</t>
        </is>
      </c>
      <c r="G152" t="n">
        <v>29.5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39896-2025</t>
        </is>
      </c>
      <c r="B153" s="1" t="n">
        <v>45891.63328703704</v>
      </c>
      <c r="C153" s="1" t="n">
        <v>45990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39719-2025</t>
        </is>
      </c>
      <c r="B154" s="1" t="n">
        <v>45891</v>
      </c>
      <c r="C154" s="1" t="n">
        <v>45990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39823-2025</t>
        </is>
      </c>
      <c r="B155" s="1" t="n">
        <v>45891</v>
      </c>
      <c r="C155" s="1" t="n">
        <v>45990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36680-2023</t>
        </is>
      </c>
      <c r="B156" s="1" t="n">
        <v>45153</v>
      </c>
      <c r="C156" s="1" t="n">
        <v>45990</v>
      </c>
      <c r="D156" t="inlineStr">
        <is>
          <t>VÄRMLANDS LÄN</t>
        </is>
      </c>
      <c r="E156" t="inlineStr">
        <is>
          <t>FILIPSTAD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39903-2025</t>
        </is>
      </c>
      <c r="B157" s="1" t="n">
        <v>45891.63664351852</v>
      </c>
      <c r="C157" s="1" t="n">
        <v>45990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8.199999999999999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48524-2023</t>
        </is>
      </c>
      <c r="B158" s="1" t="n">
        <v>45208</v>
      </c>
      <c r="C158" s="1" t="n">
        <v>45990</v>
      </c>
      <c r="D158" t="inlineStr">
        <is>
          <t>VÄRMLANDS LÄN</t>
        </is>
      </c>
      <c r="E158" t="inlineStr">
        <is>
          <t>FILIPSTAD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40398-2025</t>
        </is>
      </c>
      <c r="B159" s="1" t="n">
        <v>45895</v>
      </c>
      <c r="C159" s="1" t="n">
        <v>45990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26812-2025</t>
        </is>
      </c>
      <c r="B160" s="1" t="n">
        <v>45810.6196875</v>
      </c>
      <c r="C160" s="1" t="n">
        <v>45990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27126-2025</t>
        </is>
      </c>
      <c r="B161" s="1" t="n">
        <v>45811</v>
      </c>
      <c r="C161" s="1" t="n">
        <v>45990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17807-2021</t>
        </is>
      </c>
      <c r="B162" s="1" t="n">
        <v>44300</v>
      </c>
      <c r="C162" s="1" t="n">
        <v>45990</v>
      </c>
      <c r="D162" t="inlineStr">
        <is>
          <t>VÄRMLANDS LÄN</t>
        </is>
      </c>
      <c r="E162" t="inlineStr">
        <is>
          <t>FILIPSTAD</t>
        </is>
      </c>
      <c r="G162" t="n">
        <v>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26843-2024</t>
        </is>
      </c>
      <c r="B163" s="1" t="n">
        <v>45470.57790509259</v>
      </c>
      <c r="C163" s="1" t="n">
        <v>45990</v>
      </c>
      <c r="D163" t="inlineStr">
        <is>
          <t>VÄRMLANDS LÄN</t>
        </is>
      </c>
      <c r="E163" t="inlineStr">
        <is>
          <t>FILIPSTAD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40275-2025</t>
        </is>
      </c>
      <c r="B164" s="1" t="n">
        <v>45895.35975694445</v>
      </c>
      <c r="C164" s="1" t="n">
        <v>45990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40917-2025</t>
        </is>
      </c>
      <c r="B165" s="1" t="n">
        <v>45897.61912037037</v>
      </c>
      <c r="C165" s="1" t="n">
        <v>45990</v>
      </c>
      <c r="D165" t="inlineStr">
        <is>
          <t>VÄRMLANDS LÄN</t>
        </is>
      </c>
      <c r="E165" t="inlineStr">
        <is>
          <t>FILIPSTAD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40764-2025</t>
        </is>
      </c>
      <c r="B166" s="1" t="n">
        <v>45897</v>
      </c>
      <c r="C166" s="1" t="n">
        <v>45990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41983-2023</t>
        </is>
      </c>
      <c r="B167" s="1" t="n">
        <v>45177.40582175926</v>
      </c>
      <c r="C167" s="1" t="n">
        <v>45990</v>
      </c>
      <c r="D167" t="inlineStr">
        <is>
          <t>VÄRMLANDS LÄN</t>
        </is>
      </c>
      <c r="E167" t="inlineStr">
        <is>
          <t>FILIPSTAD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27242-2025</t>
        </is>
      </c>
      <c r="B168" s="1" t="n">
        <v>45812.46127314815</v>
      </c>
      <c r="C168" s="1" t="n">
        <v>45990</v>
      </c>
      <c r="D168" t="inlineStr">
        <is>
          <t>VÄRMLANDS LÄN</t>
        </is>
      </c>
      <c r="E168" t="inlineStr">
        <is>
          <t>FILIPSTAD</t>
        </is>
      </c>
      <c r="F168" t="inlineStr">
        <is>
          <t>Bergvik skog väst AB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27218-2025</t>
        </is>
      </c>
      <c r="B169" s="1" t="n">
        <v>45812.42153935185</v>
      </c>
      <c r="C169" s="1" t="n">
        <v>45990</v>
      </c>
      <c r="D169" t="inlineStr">
        <is>
          <t>VÄRMLANDS LÄN</t>
        </is>
      </c>
      <c r="E169" t="inlineStr">
        <is>
          <t>FILIPSTAD</t>
        </is>
      </c>
      <c r="F169" t="inlineStr">
        <is>
          <t>Bergvik skog väst AB</t>
        </is>
      </c>
      <c r="G169" t="n">
        <v>10.6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40667-2025</t>
        </is>
      </c>
      <c r="B170" s="1" t="n">
        <v>45896.65934027778</v>
      </c>
      <c r="C170" s="1" t="n">
        <v>45990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1042-2023</t>
        </is>
      </c>
      <c r="B171" s="1" t="n">
        <v>44935.47858796296</v>
      </c>
      <c r="C171" s="1" t="n">
        <v>45990</v>
      </c>
      <c r="D171" t="inlineStr">
        <is>
          <t>VÄRMLANDS LÄN</t>
        </is>
      </c>
      <c r="E171" t="inlineStr">
        <is>
          <t>FILIPSTAD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27419-2025</t>
        </is>
      </c>
      <c r="B172" s="1" t="n">
        <v>45812</v>
      </c>
      <c r="C172" s="1" t="n">
        <v>45990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6.3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40527-2025</t>
        </is>
      </c>
      <c r="B173" s="1" t="n">
        <v>45896</v>
      </c>
      <c r="C173" s="1" t="n">
        <v>45990</v>
      </c>
      <c r="D173" t="inlineStr">
        <is>
          <t>VÄRMLANDS LÄN</t>
        </is>
      </c>
      <c r="E173" t="inlineStr">
        <is>
          <t>FILIPSTAD</t>
        </is>
      </c>
      <c r="F173" t="inlineStr">
        <is>
          <t>Bergvik skog väst AB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26599-2024</t>
        </is>
      </c>
      <c r="B174" s="1" t="n">
        <v>45469</v>
      </c>
      <c r="C174" s="1" t="n">
        <v>45990</v>
      </c>
      <c r="D174" t="inlineStr">
        <is>
          <t>VÄRMLANDS LÄN</t>
        </is>
      </c>
      <c r="E174" t="inlineStr">
        <is>
          <t>FILIPSTAD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4462-2025</t>
        </is>
      </c>
      <c r="B175" s="1" t="n">
        <v>45686.60108796296</v>
      </c>
      <c r="C175" s="1" t="n">
        <v>45990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40596-2025</t>
        </is>
      </c>
      <c r="B176" s="1" t="n">
        <v>45896</v>
      </c>
      <c r="C176" s="1" t="n">
        <v>45990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27422-2025</t>
        </is>
      </c>
      <c r="B177" s="1" t="n">
        <v>45812</v>
      </c>
      <c r="C177" s="1" t="n">
        <v>45990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27420-2025</t>
        </is>
      </c>
      <c r="B178" s="1" t="n">
        <v>45812</v>
      </c>
      <c r="C178" s="1" t="n">
        <v>45990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40892-2025</t>
        </is>
      </c>
      <c r="B179" s="1" t="n">
        <v>45897.60939814815</v>
      </c>
      <c r="C179" s="1" t="n">
        <v>45990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13.1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40546-2025</t>
        </is>
      </c>
      <c r="B180" s="1" t="n">
        <v>45896.43155092592</v>
      </c>
      <c r="C180" s="1" t="n">
        <v>45990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40646-2025</t>
        </is>
      </c>
      <c r="B181" s="1" t="n">
        <v>45896</v>
      </c>
      <c r="C181" s="1" t="n">
        <v>45990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27946-2025</t>
        </is>
      </c>
      <c r="B182" s="1" t="n">
        <v>45817</v>
      </c>
      <c r="C182" s="1" t="n">
        <v>45990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28689-2025</t>
        </is>
      </c>
      <c r="B183" s="1" t="n">
        <v>45819</v>
      </c>
      <c r="C183" s="1" t="n">
        <v>45990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41521-2025</t>
        </is>
      </c>
      <c r="B184" s="1" t="n">
        <v>45901.55134259259</v>
      </c>
      <c r="C184" s="1" t="n">
        <v>45990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41419-2025</t>
        </is>
      </c>
      <c r="B185" s="1" t="n">
        <v>45901.37824074074</v>
      </c>
      <c r="C185" s="1" t="n">
        <v>45990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41587-2025</t>
        </is>
      </c>
      <c r="B186" s="1" t="n">
        <v>45901.62855324074</v>
      </c>
      <c r="C186" s="1" t="n">
        <v>45990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28.3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41417-2025</t>
        </is>
      </c>
      <c r="B187" s="1" t="n">
        <v>45901.37231481481</v>
      </c>
      <c r="C187" s="1" t="n">
        <v>45990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28687-2025</t>
        </is>
      </c>
      <c r="B188" s="1" t="n">
        <v>45819</v>
      </c>
      <c r="C188" s="1" t="n">
        <v>45990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28149-2025</t>
        </is>
      </c>
      <c r="B189" s="1" t="n">
        <v>45818</v>
      </c>
      <c r="C189" s="1" t="n">
        <v>45990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14696-2025</t>
        </is>
      </c>
      <c r="B190" s="1" t="n">
        <v>45742.59262731481</v>
      </c>
      <c r="C190" s="1" t="n">
        <v>45990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50856-2022</t>
        </is>
      </c>
      <c r="B191" s="1" t="n">
        <v>44867</v>
      </c>
      <c r="C191" s="1" t="n">
        <v>45990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29460-2025</t>
        </is>
      </c>
      <c r="B192" s="1" t="n">
        <v>45824.69491898148</v>
      </c>
      <c r="C192" s="1" t="n">
        <v>45990</v>
      </c>
      <c r="D192" t="inlineStr">
        <is>
          <t>VÄRMLANDS LÄN</t>
        </is>
      </c>
      <c r="E192" t="inlineStr">
        <is>
          <t>FILIPSTAD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29568-2025</t>
        </is>
      </c>
      <c r="B193" s="1" t="n">
        <v>45825.36674768518</v>
      </c>
      <c r="C193" s="1" t="n">
        <v>45990</v>
      </c>
      <c r="D193" t="inlineStr">
        <is>
          <t>VÄRMLANDS LÄN</t>
        </is>
      </c>
      <c r="E193" t="inlineStr">
        <is>
          <t>FILIPSTAD</t>
        </is>
      </c>
      <c r="F193" t="inlineStr">
        <is>
          <t>Kyrkan</t>
        </is>
      </c>
      <c r="G193" t="n">
        <v>9.199999999999999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44178-2021</t>
        </is>
      </c>
      <c r="B194" s="1" t="n">
        <v>44434.67637731481</v>
      </c>
      <c r="C194" s="1" t="n">
        <v>45990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41718-2025</t>
        </is>
      </c>
      <c r="B195" s="1" t="n">
        <v>45902</v>
      </c>
      <c r="C195" s="1" t="n">
        <v>45990</v>
      </c>
      <c r="D195" t="inlineStr">
        <is>
          <t>VÄRMLANDS LÄN</t>
        </is>
      </c>
      <c r="E195" t="inlineStr">
        <is>
          <t>FILIPSTAD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29681-2025</t>
        </is>
      </c>
      <c r="B196" s="1" t="n">
        <v>45825.51052083333</v>
      </c>
      <c r="C196" s="1" t="n">
        <v>45990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7.6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29660-2025</t>
        </is>
      </c>
      <c r="B197" s="1" t="n">
        <v>45825.48892361111</v>
      </c>
      <c r="C197" s="1" t="n">
        <v>45990</v>
      </c>
      <c r="D197" t="inlineStr">
        <is>
          <t>VÄRMLANDS LÄN</t>
        </is>
      </c>
      <c r="E197" t="inlineStr">
        <is>
          <t>FILIPSTAD</t>
        </is>
      </c>
      <c r="G197" t="n">
        <v>23.3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29666-2025</t>
        </is>
      </c>
      <c r="B198" s="1" t="n">
        <v>45825.49204861111</v>
      </c>
      <c r="C198" s="1" t="n">
        <v>45990</v>
      </c>
      <c r="D198" t="inlineStr">
        <is>
          <t>VÄRMLANDS LÄN</t>
        </is>
      </c>
      <c r="E198" t="inlineStr">
        <is>
          <t>FILIPSTAD</t>
        </is>
      </c>
      <c r="G198" t="n">
        <v>12.4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29944-2025</t>
        </is>
      </c>
      <c r="B199" s="1" t="n">
        <v>45826.4578587963</v>
      </c>
      <c r="C199" s="1" t="n">
        <v>45990</v>
      </c>
      <c r="D199" t="inlineStr">
        <is>
          <t>VÄRMLANDS LÄN</t>
        </is>
      </c>
      <c r="E199" t="inlineStr">
        <is>
          <t>FILIPSTAD</t>
        </is>
      </c>
      <c r="F199" t="inlineStr">
        <is>
          <t>Bergvik skog väst AB</t>
        </is>
      </c>
      <c r="G199" t="n">
        <v>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29993-2025</t>
        </is>
      </c>
      <c r="B200" s="1" t="n">
        <v>45826.50634259259</v>
      </c>
      <c r="C200" s="1" t="n">
        <v>45990</v>
      </c>
      <c r="D200" t="inlineStr">
        <is>
          <t>VÄRMLANDS LÄN</t>
        </is>
      </c>
      <c r="E200" t="inlineStr">
        <is>
          <t>FILIPSTAD</t>
        </is>
      </c>
      <c r="F200" t="inlineStr">
        <is>
          <t>Bergvik skog väst AB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21608-2023</t>
        </is>
      </c>
      <c r="B201" s="1" t="n">
        <v>45063.62739583333</v>
      </c>
      <c r="C201" s="1" t="n">
        <v>45990</v>
      </c>
      <c r="D201" t="inlineStr">
        <is>
          <t>VÄRMLANDS LÄN</t>
        </is>
      </c>
      <c r="E201" t="inlineStr">
        <is>
          <t>FILIPSTAD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71971-2021</t>
        </is>
      </c>
      <c r="B202" s="1" t="n">
        <v>44544.35211805555</v>
      </c>
      <c r="C202" s="1" t="n">
        <v>45990</v>
      </c>
      <c r="D202" t="inlineStr">
        <is>
          <t>VÄRMLANDS LÄN</t>
        </is>
      </c>
      <c r="E202" t="inlineStr">
        <is>
          <t>FILIPSTAD</t>
        </is>
      </c>
      <c r="F202" t="inlineStr">
        <is>
          <t>Bergvik skog väst AB</t>
        </is>
      </c>
      <c r="G202" t="n">
        <v>6.1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30049-2025</t>
        </is>
      </c>
      <c r="B203" s="1" t="n">
        <v>45826.59048611111</v>
      </c>
      <c r="C203" s="1" t="n">
        <v>45990</v>
      </c>
      <c r="D203" t="inlineStr">
        <is>
          <t>VÄRMLANDS LÄN</t>
        </is>
      </c>
      <c r="E203" t="inlineStr">
        <is>
          <t>FILIPSTAD</t>
        </is>
      </c>
      <c r="F203" t="inlineStr">
        <is>
          <t>Bergvik skog väst AB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57212-2023</t>
        </is>
      </c>
      <c r="B204" s="1" t="n">
        <v>45245.48929398148</v>
      </c>
      <c r="C204" s="1" t="n">
        <v>45990</v>
      </c>
      <c r="D204" t="inlineStr">
        <is>
          <t>VÄRMLANDS LÄN</t>
        </is>
      </c>
      <c r="E204" t="inlineStr">
        <is>
          <t>FILIPSTAD</t>
        </is>
      </c>
      <c r="F204" t="inlineStr">
        <is>
          <t>Bergvik skog väst AB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29885-2025</t>
        </is>
      </c>
      <c r="B205" s="1" t="n">
        <v>45826</v>
      </c>
      <c r="C205" s="1" t="n">
        <v>45990</v>
      </c>
      <c r="D205" t="inlineStr">
        <is>
          <t>VÄRMLANDS LÄN</t>
        </is>
      </c>
      <c r="E205" t="inlineStr">
        <is>
          <t>FILIPSTAD</t>
        </is>
      </c>
      <c r="F205" t="inlineStr">
        <is>
          <t>Bergvik skog väst AB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43064-2025</t>
        </is>
      </c>
      <c r="B206" s="1" t="n">
        <v>45909.58709490741</v>
      </c>
      <c r="C206" s="1" t="n">
        <v>45990</v>
      </c>
      <c r="D206" t="inlineStr">
        <is>
          <t>VÄRMLANDS LÄN</t>
        </is>
      </c>
      <c r="E206" t="inlineStr">
        <is>
          <t>FILIPSTAD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29964-2025</t>
        </is>
      </c>
      <c r="B207" s="1" t="n">
        <v>45826.48462962963</v>
      </c>
      <c r="C207" s="1" t="n">
        <v>45990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23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30169-2025</t>
        </is>
      </c>
      <c r="B208" s="1" t="n">
        <v>45827.33614583333</v>
      </c>
      <c r="C208" s="1" t="n">
        <v>45990</v>
      </c>
      <c r="D208" t="inlineStr">
        <is>
          <t>VÄRMLANDS LÄN</t>
        </is>
      </c>
      <c r="E208" t="inlineStr">
        <is>
          <t>FILIPSTAD</t>
        </is>
      </c>
      <c r="F208" t="inlineStr">
        <is>
          <t>Kyrkan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51572-2025</t>
        </is>
      </c>
      <c r="B209" s="1" t="n">
        <v>45951.33466435185</v>
      </c>
      <c r="C209" s="1" t="n">
        <v>45990</v>
      </c>
      <c r="D209" t="inlineStr">
        <is>
          <t>VÄRMLANDS LÄN</t>
        </is>
      </c>
      <c r="E209" t="inlineStr">
        <is>
          <t>FILIPSTAD</t>
        </is>
      </c>
      <c r="F209" t="inlineStr">
        <is>
          <t>Bergvik skog väst AB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51639-2025</t>
        </is>
      </c>
      <c r="B210" s="1" t="n">
        <v>45951.44256944444</v>
      </c>
      <c r="C210" s="1" t="n">
        <v>45990</v>
      </c>
      <c r="D210" t="inlineStr">
        <is>
          <t>VÄRMLANDS LÄN</t>
        </is>
      </c>
      <c r="E210" t="inlineStr">
        <is>
          <t>FILIPSTAD</t>
        </is>
      </c>
      <c r="F210" t="inlineStr">
        <is>
          <t>Bergvik skog väst AB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43059-2025</t>
        </is>
      </c>
      <c r="B211" s="1" t="n">
        <v>45909.57890046296</v>
      </c>
      <c r="C211" s="1" t="n">
        <v>45990</v>
      </c>
      <c r="D211" t="inlineStr">
        <is>
          <t>VÄRMLANDS LÄN</t>
        </is>
      </c>
      <c r="E211" t="inlineStr">
        <is>
          <t>FILIPSTAD</t>
        </is>
      </c>
      <c r="F211" t="inlineStr">
        <is>
          <t>Bergvik skog väst AB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30729-2025</t>
        </is>
      </c>
      <c r="B212" s="1" t="n">
        <v>45831.57122685185</v>
      </c>
      <c r="C212" s="1" t="n">
        <v>45990</v>
      </c>
      <c r="D212" t="inlineStr">
        <is>
          <t>VÄRMLANDS LÄN</t>
        </is>
      </c>
      <c r="E212" t="inlineStr">
        <is>
          <t>FILIPSTAD</t>
        </is>
      </c>
      <c r="F212" t="inlineStr">
        <is>
          <t>Bergvik skog väst AB</t>
        </is>
      </c>
      <c r="G212" t="n">
        <v>11.5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16063-2025</t>
        </is>
      </c>
      <c r="B213" s="1" t="n">
        <v>45749</v>
      </c>
      <c r="C213" s="1" t="n">
        <v>45990</v>
      </c>
      <c r="D213" t="inlineStr">
        <is>
          <t>VÄRMLANDS LÄN</t>
        </is>
      </c>
      <c r="E213" t="inlineStr">
        <is>
          <t>FILIPSTAD</t>
        </is>
      </c>
      <c r="F213" t="inlineStr">
        <is>
          <t>Bergvik skog väst AB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51790-2025</t>
        </is>
      </c>
      <c r="B214" s="1" t="n">
        <v>45951</v>
      </c>
      <c r="C214" s="1" t="n">
        <v>45990</v>
      </c>
      <c r="D214" t="inlineStr">
        <is>
          <t>VÄRMLANDS LÄN</t>
        </is>
      </c>
      <c r="E214" t="inlineStr">
        <is>
          <t>FILIPSTAD</t>
        </is>
      </c>
      <c r="F214" t="inlineStr">
        <is>
          <t>Bergvik skog väst AB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31051-2025</t>
        </is>
      </c>
      <c r="B215" s="1" t="n">
        <v>45832</v>
      </c>
      <c r="C215" s="1" t="n">
        <v>45990</v>
      </c>
      <c r="D215" t="inlineStr">
        <is>
          <t>VÄRMLANDS LÄN</t>
        </is>
      </c>
      <c r="E215" t="inlineStr">
        <is>
          <t>FILIPSTAD</t>
        </is>
      </c>
      <c r="F215" t="inlineStr">
        <is>
          <t>Bergvik skog väst AB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14608-2023</t>
        </is>
      </c>
      <c r="B216" s="1" t="n">
        <v>45013.61585648148</v>
      </c>
      <c r="C216" s="1" t="n">
        <v>45990</v>
      </c>
      <c r="D216" t="inlineStr">
        <is>
          <t>VÄRMLANDS LÄN</t>
        </is>
      </c>
      <c r="E216" t="inlineStr">
        <is>
          <t>FILIPSTAD</t>
        </is>
      </c>
      <c r="F216" t="inlineStr">
        <is>
          <t>Bergvik skog väst AB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31398-2025</t>
        </is>
      </c>
      <c r="B217" s="1" t="n">
        <v>45833.46820601852</v>
      </c>
      <c r="C217" s="1" t="n">
        <v>45990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31172-2025</t>
        </is>
      </c>
      <c r="B218" s="1" t="n">
        <v>45832</v>
      </c>
      <c r="C218" s="1" t="n">
        <v>45990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51355-2025</t>
        </is>
      </c>
      <c r="B219" s="1" t="n">
        <v>45950.44045138889</v>
      </c>
      <c r="C219" s="1" t="n">
        <v>45990</v>
      </c>
      <c r="D219" t="inlineStr">
        <is>
          <t>VÄRMLANDS LÄN</t>
        </is>
      </c>
      <c r="E219" t="inlineStr">
        <is>
          <t>FILIPSTAD</t>
        </is>
      </c>
      <c r="F219" t="inlineStr">
        <is>
          <t>Bergvik skog väst AB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31861-2025</t>
        </is>
      </c>
      <c r="B220" s="1" t="n">
        <v>45834.63178240741</v>
      </c>
      <c r="C220" s="1" t="n">
        <v>45990</v>
      </c>
      <c r="D220" t="inlineStr">
        <is>
          <t>VÄRMLANDS LÄN</t>
        </is>
      </c>
      <c r="E220" t="inlineStr">
        <is>
          <t>FILIPSTAD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32090-2025</t>
        </is>
      </c>
      <c r="B221" s="1" t="n">
        <v>45835</v>
      </c>
      <c r="C221" s="1" t="n">
        <v>45990</v>
      </c>
      <c r="D221" t="inlineStr">
        <is>
          <t>VÄRMLANDS LÄN</t>
        </is>
      </c>
      <c r="E221" t="inlineStr">
        <is>
          <t>FILIPSTAD</t>
        </is>
      </c>
      <c r="F221" t="inlineStr">
        <is>
          <t>Bergvik skog väst AB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32059-2025</t>
        </is>
      </c>
      <c r="B222" s="1" t="n">
        <v>45835.44541666667</v>
      </c>
      <c r="C222" s="1" t="n">
        <v>45990</v>
      </c>
      <c r="D222" t="inlineStr">
        <is>
          <t>VÄRMLANDS LÄN</t>
        </is>
      </c>
      <c r="E222" t="inlineStr">
        <is>
          <t>FILIPSTAD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52329-2025</t>
        </is>
      </c>
      <c r="B223" s="1" t="n">
        <v>45953.67331018519</v>
      </c>
      <c r="C223" s="1" t="n">
        <v>45990</v>
      </c>
      <c r="D223" t="inlineStr">
        <is>
          <t>VÄRMLANDS LÄN</t>
        </is>
      </c>
      <c r="E223" t="inlineStr">
        <is>
          <t>FILIPSTAD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32032-2025</t>
        </is>
      </c>
      <c r="B224" s="1" t="n">
        <v>45835.4183912037</v>
      </c>
      <c r="C224" s="1" t="n">
        <v>45990</v>
      </c>
      <c r="D224" t="inlineStr">
        <is>
          <t>VÄRMLANDS LÄN</t>
        </is>
      </c>
      <c r="E224" t="inlineStr">
        <is>
          <t>FILIPSTAD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43505-2025</t>
        </is>
      </c>
      <c r="B225" s="1" t="n">
        <v>45911.55355324074</v>
      </c>
      <c r="C225" s="1" t="n">
        <v>45990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31676-2025</t>
        </is>
      </c>
      <c r="B226" s="1" t="n">
        <v>45834</v>
      </c>
      <c r="C226" s="1" t="n">
        <v>45990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52181-2025</t>
        </is>
      </c>
      <c r="B227" s="1" t="n">
        <v>45953.3792824074</v>
      </c>
      <c r="C227" s="1" t="n">
        <v>45990</v>
      </c>
      <c r="D227" t="inlineStr">
        <is>
          <t>VÄRMLANDS LÄN</t>
        </is>
      </c>
      <c r="E227" t="inlineStr">
        <is>
          <t>FILIPSTAD</t>
        </is>
      </c>
      <c r="F227" t="inlineStr">
        <is>
          <t>Bergvik skog väst AB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51959-2025</t>
        </is>
      </c>
      <c r="B228" s="1" t="n">
        <v>45952.54662037037</v>
      </c>
      <c r="C228" s="1" t="n">
        <v>45990</v>
      </c>
      <c r="D228" t="inlineStr">
        <is>
          <t>VÄRMLANDS LÄN</t>
        </is>
      </c>
      <c r="E228" t="inlineStr">
        <is>
          <t>FILIPSTAD</t>
        </is>
      </c>
      <c r="F228" t="inlineStr">
        <is>
          <t>Bergvik skog väst AB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52179-2025</t>
        </is>
      </c>
      <c r="B229" s="1" t="n">
        <v>45953.3784375</v>
      </c>
      <c r="C229" s="1" t="n">
        <v>45990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32183-2025</t>
        </is>
      </c>
      <c r="B230" s="1" t="n">
        <v>45835.56497685185</v>
      </c>
      <c r="C230" s="1" t="n">
        <v>45990</v>
      </c>
      <c r="D230" t="inlineStr">
        <is>
          <t>VÄRMLANDS LÄN</t>
        </is>
      </c>
      <c r="E230" t="inlineStr">
        <is>
          <t>FILIPSTAD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31883-2025</t>
        </is>
      </c>
      <c r="B231" s="1" t="n">
        <v>45834.65680555555</v>
      </c>
      <c r="C231" s="1" t="n">
        <v>45990</v>
      </c>
      <c r="D231" t="inlineStr">
        <is>
          <t>VÄRMLANDS LÄN</t>
        </is>
      </c>
      <c r="E231" t="inlineStr">
        <is>
          <t>FILIPSTAD</t>
        </is>
      </c>
      <c r="G231" t="n">
        <v>18.7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60524-2024</t>
        </is>
      </c>
      <c r="B232" s="1" t="n">
        <v>45643.6925</v>
      </c>
      <c r="C232" s="1" t="n">
        <v>45990</v>
      </c>
      <c r="D232" t="inlineStr">
        <is>
          <t>VÄRMLANDS LÄN</t>
        </is>
      </c>
      <c r="E232" t="inlineStr">
        <is>
          <t>FILIPSTAD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32086-2025</t>
        </is>
      </c>
      <c r="B233" s="1" t="n">
        <v>45835</v>
      </c>
      <c r="C233" s="1" t="n">
        <v>45990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7.7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29426-2023</t>
        </is>
      </c>
      <c r="B234" s="1" t="n">
        <v>45106</v>
      </c>
      <c r="C234" s="1" t="n">
        <v>45990</v>
      </c>
      <c r="D234" t="inlineStr">
        <is>
          <t>VÄRMLANDS LÄN</t>
        </is>
      </c>
      <c r="E234" t="inlineStr">
        <is>
          <t>FILIPSTAD</t>
        </is>
      </c>
      <c r="F234" t="inlineStr">
        <is>
          <t>Kyrkan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43571-2025</t>
        </is>
      </c>
      <c r="B235" s="1" t="n">
        <v>45911</v>
      </c>
      <c r="C235" s="1" t="n">
        <v>45990</v>
      </c>
      <c r="D235" t="inlineStr">
        <is>
          <t>VÄRMLANDS LÄN</t>
        </is>
      </c>
      <c r="E235" t="inlineStr">
        <is>
          <t>FILIPSTAD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18210-2024</t>
        </is>
      </c>
      <c r="B236" s="1" t="n">
        <v>45420.74119212963</v>
      </c>
      <c r="C236" s="1" t="n">
        <v>45990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30165-2025</t>
        </is>
      </c>
      <c r="B237" s="1" t="n">
        <v>45827.32953703704</v>
      </c>
      <c r="C237" s="1" t="n">
        <v>45990</v>
      </c>
      <c r="D237" t="inlineStr">
        <is>
          <t>VÄRMLANDS LÄN</t>
        </is>
      </c>
      <c r="E237" t="inlineStr">
        <is>
          <t>FILIPSTAD</t>
        </is>
      </c>
      <c r="F237" t="inlineStr">
        <is>
          <t>Kyrkan</t>
        </is>
      </c>
      <c r="G237" t="n">
        <v>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20200-2024</t>
        </is>
      </c>
      <c r="B238" s="1" t="n">
        <v>45434</v>
      </c>
      <c r="C238" s="1" t="n">
        <v>45990</v>
      </c>
      <c r="D238" t="inlineStr">
        <is>
          <t>VÄRMLANDS LÄN</t>
        </is>
      </c>
      <c r="E238" t="inlineStr">
        <is>
          <t>FILIPSTAD</t>
        </is>
      </c>
      <c r="F238" t="inlineStr">
        <is>
          <t>Bergvik skog väst AB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53619-2023</t>
        </is>
      </c>
      <c r="B239" s="1" t="n">
        <v>45230.57813657408</v>
      </c>
      <c r="C239" s="1" t="n">
        <v>45990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61643-2024</t>
        </is>
      </c>
      <c r="B240" s="1" t="n">
        <v>45646</v>
      </c>
      <c r="C240" s="1" t="n">
        <v>45990</v>
      </c>
      <c r="D240" t="inlineStr">
        <is>
          <t>VÄRMLANDS LÄN</t>
        </is>
      </c>
      <c r="E240" t="inlineStr">
        <is>
          <t>FILIPSTAD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44004-2025</t>
        </is>
      </c>
      <c r="B241" s="1" t="n">
        <v>45915.45674768519</v>
      </c>
      <c r="C241" s="1" t="n">
        <v>45990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17.2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4743-2025</t>
        </is>
      </c>
      <c r="B242" s="1" t="n">
        <v>45688</v>
      </c>
      <c r="C242" s="1" t="n">
        <v>45990</v>
      </c>
      <c r="D242" t="inlineStr">
        <is>
          <t>VÄRMLANDS LÄN</t>
        </is>
      </c>
      <c r="E242" t="inlineStr">
        <is>
          <t>FILIPSTAD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33407-2025</t>
        </is>
      </c>
      <c r="B243" s="1" t="n">
        <v>45841</v>
      </c>
      <c r="C243" s="1" t="n">
        <v>45990</v>
      </c>
      <c r="D243" t="inlineStr">
        <is>
          <t>VÄRMLANDS LÄN</t>
        </is>
      </c>
      <c r="E243" t="inlineStr">
        <is>
          <t>FILIPSTAD</t>
        </is>
      </c>
      <c r="F243" t="inlineStr">
        <is>
          <t>Bergvik skog väst AB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44131-2025</t>
        </is>
      </c>
      <c r="B244" s="1" t="n">
        <v>45915.58487268518</v>
      </c>
      <c r="C244" s="1" t="n">
        <v>45990</v>
      </c>
      <c r="D244" t="inlineStr">
        <is>
          <t>VÄRMLANDS LÄN</t>
        </is>
      </c>
      <c r="E244" t="inlineStr">
        <is>
          <t>FILIPSTAD</t>
        </is>
      </c>
      <c r="F244" t="inlineStr">
        <is>
          <t>Bergvik skog väst AB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33379-2025</t>
        </is>
      </c>
      <c r="B245" s="1" t="n">
        <v>45841.40168981482</v>
      </c>
      <c r="C245" s="1" t="n">
        <v>45990</v>
      </c>
      <c r="D245" t="inlineStr">
        <is>
          <t>VÄRMLANDS LÄN</t>
        </is>
      </c>
      <c r="E245" t="inlineStr">
        <is>
          <t>FILIPSTAD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33449-2025</t>
        </is>
      </c>
      <c r="B246" s="1" t="n">
        <v>45841.46604166667</v>
      </c>
      <c r="C246" s="1" t="n">
        <v>45990</v>
      </c>
      <c r="D246" t="inlineStr">
        <is>
          <t>VÄRMLANDS LÄN</t>
        </is>
      </c>
      <c r="E246" t="inlineStr">
        <is>
          <t>FILIPSTAD</t>
        </is>
      </c>
      <c r="F246" t="inlineStr">
        <is>
          <t>Bergvik skog väst AB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43731-2025</t>
        </is>
      </c>
      <c r="B247" s="1" t="n">
        <v>45912.43563657408</v>
      </c>
      <c r="C247" s="1" t="n">
        <v>45990</v>
      </c>
      <c r="D247" t="inlineStr">
        <is>
          <t>VÄRMLANDS LÄN</t>
        </is>
      </c>
      <c r="E247" t="inlineStr">
        <is>
          <t>FILIPSTAD</t>
        </is>
      </c>
      <c r="F247" t="inlineStr">
        <is>
          <t>Bergvik skog väst AB</t>
        </is>
      </c>
      <c r="G247" t="n">
        <v>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10338-2025</t>
        </is>
      </c>
      <c r="B248" s="1" t="n">
        <v>45720</v>
      </c>
      <c r="C248" s="1" t="n">
        <v>45990</v>
      </c>
      <c r="D248" t="inlineStr">
        <is>
          <t>VÄRMLANDS LÄN</t>
        </is>
      </c>
      <c r="E248" t="inlineStr">
        <is>
          <t>FILIPSTAD</t>
        </is>
      </c>
      <c r="F248" t="inlineStr">
        <is>
          <t>Bergvik skog väst AB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52518-2025</t>
        </is>
      </c>
      <c r="B249" s="1" t="n">
        <v>45954.51530092592</v>
      </c>
      <c r="C249" s="1" t="n">
        <v>45990</v>
      </c>
      <c r="D249" t="inlineStr">
        <is>
          <t>VÄRMLANDS LÄN</t>
        </is>
      </c>
      <c r="E249" t="inlineStr">
        <is>
          <t>FILIPSTAD</t>
        </is>
      </c>
      <c r="F249" t="inlineStr">
        <is>
          <t>Bergvik skog väst AB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33827-2025</t>
        </is>
      </c>
      <c r="B250" s="1" t="n">
        <v>45842.4705787037</v>
      </c>
      <c r="C250" s="1" t="n">
        <v>45990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33368-2022</t>
        </is>
      </c>
      <c r="B251" s="1" t="n">
        <v>44788</v>
      </c>
      <c r="C251" s="1" t="n">
        <v>45990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18999-2024</t>
        </is>
      </c>
      <c r="B252" s="1" t="n">
        <v>45427.63145833334</v>
      </c>
      <c r="C252" s="1" t="n">
        <v>45990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59436-2024</t>
        </is>
      </c>
      <c r="B253" s="1" t="n">
        <v>45638</v>
      </c>
      <c r="C253" s="1" t="n">
        <v>45990</v>
      </c>
      <c r="D253" t="inlineStr">
        <is>
          <t>VÄRMLANDS LÄN</t>
        </is>
      </c>
      <c r="E253" t="inlineStr">
        <is>
          <t>FILIPSTAD</t>
        </is>
      </c>
      <c r="F253" t="inlineStr">
        <is>
          <t>Kyrkan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53325-2025</t>
        </is>
      </c>
      <c r="B254" s="1" t="n">
        <v>45959.36414351852</v>
      </c>
      <c r="C254" s="1" t="n">
        <v>45990</v>
      </c>
      <c r="D254" t="inlineStr">
        <is>
          <t>VÄRMLANDS LÄN</t>
        </is>
      </c>
      <c r="E254" t="inlineStr">
        <is>
          <t>FILIPSTAD</t>
        </is>
      </c>
      <c r="F254" t="inlineStr">
        <is>
          <t>Kyrkan</t>
        </is>
      </c>
      <c r="G254" t="n">
        <v>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29825-2023</t>
        </is>
      </c>
      <c r="B255" s="1" t="n">
        <v>45107</v>
      </c>
      <c r="C255" s="1" t="n">
        <v>45990</v>
      </c>
      <c r="D255" t="inlineStr">
        <is>
          <t>VÄRMLANDS LÄN</t>
        </is>
      </c>
      <c r="E255" t="inlineStr">
        <is>
          <t>FILIPSTAD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34224-2024</t>
        </is>
      </c>
      <c r="B256" s="1" t="n">
        <v>45524.54856481482</v>
      </c>
      <c r="C256" s="1" t="n">
        <v>45990</v>
      </c>
      <c r="D256" t="inlineStr">
        <is>
          <t>VÄRMLANDS LÄN</t>
        </is>
      </c>
      <c r="E256" t="inlineStr">
        <is>
          <t>FILIPSTAD</t>
        </is>
      </c>
      <c r="F256" t="inlineStr">
        <is>
          <t>Bergvik skog väst AB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53403-2025</t>
        </is>
      </c>
      <c r="B257" s="1" t="n">
        <v>45959.56959490741</v>
      </c>
      <c r="C257" s="1" t="n">
        <v>45990</v>
      </c>
      <c r="D257" t="inlineStr">
        <is>
          <t>VÄRMLANDS LÄN</t>
        </is>
      </c>
      <c r="E257" t="inlineStr">
        <is>
          <t>FILIPSTAD</t>
        </is>
      </c>
      <c r="F257" t="inlineStr">
        <is>
          <t>Bergvik skog väst AB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34689-2025</t>
        </is>
      </c>
      <c r="B258" s="1" t="n">
        <v>45848.44229166667</v>
      </c>
      <c r="C258" s="1" t="n">
        <v>45990</v>
      </c>
      <c r="D258" t="inlineStr">
        <is>
          <t>VÄRMLANDS LÄN</t>
        </is>
      </c>
      <c r="E258" t="inlineStr">
        <is>
          <t>FILIPSTAD</t>
        </is>
      </c>
      <c r="G258" t="n">
        <v>7.7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53207-2025</t>
        </is>
      </c>
      <c r="B259" s="1" t="n">
        <v>45958.5880787037</v>
      </c>
      <c r="C259" s="1" t="n">
        <v>45990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9.9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53395-2025</t>
        </is>
      </c>
      <c r="B260" s="1" t="n">
        <v>45959.55449074074</v>
      </c>
      <c r="C260" s="1" t="n">
        <v>45990</v>
      </c>
      <c r="D260" t="inlineStr">
        <is>
          <t>VÄRMLANDS LÄN</t>
        </is>
      </c>
      <c r="E260" t="inlineStr">
        <is>
          <t>FILIPSTAD</t>
        </is>
      </c>
      <c r="F260" t="inlineStr">
        <is>
          <t>Kyrkan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5353-2025</t>
        </is>
      </c>
      <c r="B261" s="1" t="n">
        <v>45692.56569444444</v>
      </c>
      <c r="C261" s="1" t="n">
        <v>45990</v>
      </c>
      <c r="D261" t="inlineStr">
        <is>
          <t>VÄRMLANDS LÄN</t>
        </is>
      </c>
      <c r="E261" t="inlineStr">
        <is>
          <t>FILIPSTAD</t>
        </is>
      </c>
      <c r="G261" t="n">
        <v>8.4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30077-2025</t>
        </is>
      </c>
      <c r="B262" s="1" t="n">
        <v>45826</v>
      </c>
      <c r="C262" s="1" t="n">
        <v>45990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53575-2025</t>
        </is>
      </c>
      <c r="B263" s="1" t="n">
        <v>45960.42135416667</v>
      </c>
      <c r="C263" s="1" t="n">
        <v>45990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53655-2025</t>
        </is>
      </c>
      <c r="B264" s="1" t="n">
        <v>45960.53378472223</v>
      </c>
      <c r="C264" s="1" t="n">
        <v>45990</v>
      </c>
      <c r="D264" t="inlineStr">
        <is>
          <t>VÄRMLANDS LÄN</t>
        </is>
      </c>
      <c r="E264" t="inlineStr">
        <is>
          <t>FILIPSTAD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31306-2023</t>
        </is>
      </c>
      <c r="B265" s="1" t="n">
        <v>45114</v>
      </c>
      <c r="C265" s="1" t="n">
        <v>45990</v>
      </c>
      <c r="D265" t="inlineStr">
        <is>
          <t>VÄRMLANDS LÄN</t>
        </is>
      </c>
      <c r="E265" t="inlineStr">
        <is>
          <t>FILIPSTAD</t>
        </is>
      </c>
      <c r="F265" t="inlineStr">
        <is>
          <t>Bergvik skog väst AB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35244-2025</t>
        </is>
      </c>
      <c r="B266" s="1" t="n">
        <v>45853</v>
      </c>
      <c r="C266" s="1" t="n">
        <v>45990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4420-2021</t>
        </is>
      </c>
      <c r="B267" s="1" t="n">
        <v>44224</v>
      </c>
      <c r="C267" s="1" t="n">
        <v>45990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23.1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44881-2025</t>
        </is>
      </c>
      <c r="B268" s="1" t="n">
        <v>45918</v>
      </c>
      <c r="C268" s="1" t="n">
        <v>45990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43.2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53947-2025</t>
        </is>
      </c>
      <c r="B269" s="1" t="n">
        <v>45961.50017361111</v>
      </c>
      <c r="C269" s="1" t="n">
        <v>45990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8.1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8692-2025</t>
        </is>
      </c>
      <c r="B270" s="1" t="n">
        <v>45712.47305555556</v>
      </c>
      <c r="C270" s="1" t="n">
        <v>45990</v>
      </c>
      <c r="D270" t="inlineStr">
        <is>
          <t>VÄRMLANDS LÄN</t>
        </is>
      </c>
      <c r="E270" t="inlineStr">
        <is>
          <t>FILIPSTAD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44963-2025</t>
        </is>
      </c>
      <c r="B271" s="1" t="n">
        <v>45918</v>
      </c>
      <c r="C271" s="1" t="n">
        <v>45990</v>
      </c>
      <c r="D271" t="inlineStr">
        <is>
          <t>VÄRMLANDS LÄN</t>
        </is>
      </c>
      <c r="E271" t="inlineStr">
        <is>
          <t>FILIPSTAD</t>
        </is>
      </c>
      <c r="F271" t="inlineStr">
        <is>
          <t>Bergvik skog väst AB</t>
        </is>
      </c>
      <c r="G271" t="n">
        <v>12.3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45152-2025</t>
        </is>
      </c>
      <c r="B272" s="1" t="n">
        <v>45919.4736574074</v>
      </c>
      <c r="C272" s="1" t="n">
        <v>45990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53649-2025</t>
        </is>
      </c>
      <c r="B273" s="1" t="n">
        <v>45960.52164351852</v>
      </c>
      <c r="C273" s="1" t="n">
        <v>45990</v>
      </c>
      <c r="D273" t="inlineStr">
        <is>
          <t>VÄRMLANDS LÄN</t>
        </is>
      </c>
      <c r="E273" t="inlineStr">
        <is>
          <t>FILIPSTAD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6674-2025</t>
        </is>
      </c>
      <c r="B274" s="1" t="n">
        <v>45700</v>
      </c>
      <c r="C274" s="1" t="n">
        <v>45990</v>
      </c>
      <c r="D274" t="inlineStr">
        <is>
          <t>VÄRMLANDS LÄN</t>
        </is>
      </c>
      <c r="E274" t="inlineStr">
        <is>
          <t>FILIPSTAD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16652-2025</t>
        </is>
      </c>
      <c r="B275" s="1" t="n">
        <v>45754</v>
      </c>
      <c r="C275" s="1" t="n">
        <v>45990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13.9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44927-2025</t>
        </is>
      </c>
      <c r="B276" s="1" t="n">
        <v>45918</v>
      </c>
      <c r="C276" s="1" t="n">
        <v>45990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7.6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14502-2025</t>
        </is>
      </c>
      <c r="B277" s="1" t="n">
        <v>45741.62037037037</v>
      </c>
      <c r="C277" s="1" t="n">
        <v>45990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10757-2025</t>
        </is>
      </c>
      <c r="B278" s="1" t="n">
        <v>45722</v>
      </c>
      <c r="C278" s="1" t="n">
        <v>45990</v>
      </c>
      <c r="D278" t="inlineStr">
        <is>
          <t>VÄRMLANDS LÄN</t>
        </is>
      </c>
      <c r="E278" t="inlineStr">
        <is>
          <t>FILIPSTAD</t>
        </is>
      </c>
      <c r="G278" t="n">
        <v>10.6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  <c r="U278">
        <f>HYPERLINK("https://klasma.github.io/Logging_1782/knärot/A 10757-2025 karta knärot.png", "A 10757-2025")</f>
        <v/>
      </c>
      <c r="V278">
        <f>HYPERLINK("https://klasma.github.io/Logging_1782/klagomål/A 10757-2025 FSC-klagomål.docx", "A 10757-2025")</f>
        <v/>
      </c>
      <c r="W278">
        <f>HYPERLINK("https://klasma.github.io/Logging_1782/klagomålsmail/A 10757-2025 FSC-klagomål mail.docx", "A 10757-2025")</f>
        <v/>
      </c>
      <c r="X278">
        <f>HYPERLINK("https://klasma.github.io/Logging_1782/tillsyn/A 10757-2025 tillsynsbegäran.docx", "A 10757-2025")</f>
        <v/>
      </c>
      <c r="Y278">
        <f>HYPERLINK("https://klasma.github.io/Logging_1782/tillsynsmail/A 10757-2025 tillsynsbegäran mail.docx", "A 10757-2025")</f>
        <v/>
      </c>
    </row>
    <row r="279" ht="15" customHeight="1">
      <c r="A279" t="inlineStr">
        <is>
          <t>A 57244-2023</t>
        </is>
      </c>
      <c r="B279" s="1" t="n">
        <v>45245</v>
      </c>
      <c r="C279" s="1" t="n">
        <v>45990</v>
      </c>
      <c r="D279" t="inlineStr">
        <is>
          <t>VÄRMLANDS LÄN</t>
        </is>
      </c>
      <c r="E279" t="inlineStr">
        <is>
          <t>FILIPSTAD</t>
        </is>
      </c>
      <c r="F279" t="inlineStr">
        <is>
          <t>Bergvik skog väst AB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20811-2025</t>
        </is>
      </c>
      <c r="B280" s="1" t="n">
        <v>45776</v>
      </c>
      <c r="C280" s="1" t="n">
        <v>45990</v>
      </c>
      <c r="D280" t="inlineStr">
        <is>
          <t>VÄRMLANDS LÄN</t>
        </is>
      </c>
      <c r="E280" t="inlineStr">
        <is>
          <t>FILIPSTAD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36196-2025</t>
        </is>
      </c>
      <c r="B281" s="1" t="n">
        <v>45867</v>
      </c>
      <c r="C281" s="1" t="n">
        <v>45990</v>
      </c>
      <c r="D281" t="inlineStr">
        <is>
          <t>VÄRMLANDS LÄN</t>
        </is>
      </c>
      <c r="E281" t="inlineStr">
        <is>
          <t>FILIPSTAD</t>
        </is>
      </c>
      <c r="F281" t="inlineStr">
        <is>
          <t>Bergvik skog väst AB</t>
        </is>
      </c>
      <c r="G281" t="n">
        <v>9.1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36272-2025</t>
        </is>
      </c>
      <c r="B282" s="1" t="n">
        <v>45867</v>
      </c>
      <c r="C282" s="1" t="n">
        <v>45990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5.7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45587-2025</t>
        </is>
      </c>
      <c r="B283" s="1" t="n">
        <v>45922.67131944445</v>
      </c>
      <c r="C283" s="1" t="n">
        <v>45990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43535-2025</t>
        </is>
      </c>
      <c r="B284" s="1" t="n">
        <v>45911</v>
      </c>
      <c r="C284" s="1" t="n">
        <v>45990</v>
      </c>
      <c r="D284" t="inlineStr">
        <is>
          <t>VÄRMLANDS LÄN</t>
        </is>
      </c>
      <c r="E284" t="inlineStr">
        <is>
          <t>FILIPSTAD</t>
        </is>
      </c>
      <c r="F284" t="inlineStr">
        <is>
          <t>Bergvik skog väst AB</t>
        </is>
      </c>
      <c r="G284" t="n">
        <v>16.4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36582-2025</t>
        </is>
      </c>
      <c r="B285" s="1" t="n">
        <v>45870.42993055555</v>
      </c>
      <c r="C285" s="1" t="n">
        <v>45990</v>
      </c>
      <c r="D285" t="inlineStr">
        <is>
          <t>VÄRMLANDS LÄN</t>
        </is>
      </c>
      <c r="E285" t="inlineStr">
        <is>
          <t>FILIPSTAD</t>
        </is>
      </c>
      <c r="F285" t="inlineStr">
        <is>
          <t>Bergvik skog väst AB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38140-2024</t>
        </is>
      </c>
      <c r="B286" s="1" t="n">
        <v>45545</v>
      </c>
      <c r="C286" s="1" t="n">
        <v>45990</v>
      </c>
      <c r="D286" t="inlineStr">
        <is>
          <t>VÄRMLANDS LÄN</t>
        </is>
      </c>
      <c r="E286" t="inlineStr">
        <is>
          <t>FILIPSTAD</t>
        </is>
      </c>
      <c r="F286" t="inlineStr">
        <is>
          <t>Bergvik skog väst AB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54328-2025</t>
        </is>
      </c>
      <c r="B287" s="1" t="n">
        <v>45965.34521990741</v>
      </c>
      <c r="C287" s="1" t="n">
        <v>45990</v>
      </c>
      <c r="D287" t="inlineStr">
        <is>
          <t>VÄRMLANDS LÄN</t>
        </is>
      </c>
      <c r="E287" t="inlineStr">
        <is>
          <t>FILIPSTAD</t>
        </is>
      </c>
      <c r="F287" t="inlineStr">
        <is>
          <t>Bergvik skog väst AB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43233-2023</t>
        </is>
      </c>
      <c r="B288" s="1" t="n">
        <v>45180</v>
      </c>
      <c r="C288" s="1" t="n">
        <v>45990</v>
      </c>
      <c r="D288" t="inlineStr">
        <is>
          <t>VÄRMLANDS LÄN</t>
        </is>
      </c>
      <c r="E288" t="inlineStr">
        <is>
          <t>FILIPSTAD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22830-2023</t>
        </is>
      </c>
      <c r="B289" s="1" t="n">
        <v>45072</v>
      </c>
      <c r="C289" s="1" t="n">
        <v>45990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22866-2023</t>
        </is>
      </c>
      <c r="B290" s="1" t="n">
        <v>45072</v>
      </c>
      <c r="C290" s="1" t="n">
        <v>45990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54651-2025</t>
        </is>
      </c>
      <c r="B291" s="1" t="n">
        <v>45966.3782175926</v>
      </c>
      <c r="C291" s="1" t="n">
        <v>45990</v>
      </c>
      <c r="D291" t="inlineStr">
        <is>
          <t>VÄRMLANDS LÄN</t>
        </is>
      </c>
      <c r="E291" t="inlineStr">
        <is>
          <t>FILIPSTAD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46442-2025</t>
        </is>
      </c>
      <c r="B292" s="1" t="n">
        <v>45925.64365740741</v>
      </c>
      <c r="C292" s="1" t="n">
        <v>45990</v>
      </c>
      <c r="D292" t="inlineStr">
        <is>
          <t>VÄRMLANDS LÄN</t>
        </is>
      </c>
      <c r="E292" t="inlineStr">
        <is>
          <t>FILIPSTAD</t>
        </is>
      </c>
      <c r="F292" t="inlineStr">
        <is>
          <t>Bergvik skog väst AB</t>
        </is>
      </c>
      <c r="G292" t="n">
        <v>7.5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54497-2025</t>
        </is>
      </c>
      <c r="B293" s="1" t="n">
        <v>45965</v>
      </c>
      <c r="C293" s="1" t="n">
        <v>45990</v>
      </c>
      <c r="D293" t="inlineStr">
        <is>
          <t>VÄRMLANDS LÄN</t>
        </is>
      </c>
      <c r="E293" t="inlineStr">
        <is>
          <t>FILIPSTAD</t>
        </is>
      </c>
      <c r="F293" t="inlineStr">
        <is>
          <t>Bergvik skog väst AB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51162-2024</t>
        </is>
      </c>
      <c r="B294" s="1" t="n">
        <v>45603.5819675926</v>
      </c>
      <c r="C294" s="1" t="n">
        <v>45990</v>
      </c>
      <c r="D294" t="inlineStr">
        <is>
          <t>VÄRMLANDS LÄN</t>
        </is>
      </c>
      <c r="E294" t="inlineStr">
        <is>
          <t>FILIPSTAD</t>
        </is>
      </c>
      <c r="F294" t="inlineStr">
        <is>
          <t>Bergvik skog väst AB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62787-2023</t>
        </is>
      </c>
      <c r="B295" s="1" t="n">
        <v>45271.70149305555</v>
      </c>
      <c r="C295" s="1" t="n">
        <v>45990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46310-2025</t>
        </is>
      </c>
      <c r="B296" s="1" t="n">
        <v>45925</v>
      </c>
      <c r="C296" s="1" t="n">
        <v>45990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32.2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40244-2023</t>
        </is>
      </c>
      <c r="B297" s="1" t="n">
        <v>45169.48890046297</v>
      </c>
      <c r="C297" s="1" t="n">
        <v>45990</v>
      </c>
      <c r="D297" t="inlineStr">
        <is>
          <t>VÄRMLANDS LÄN</t>
        </is>
      </c>
      <c r="E297" t="inlineStr">
        <is>
          <t>FILIPSTAD</t>
        </is>
      </c>
      <c r="F297" t="inlineStr">
        <is>
          <t>Bergvik skog väst AB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36949-2025</t>
        </is>
      </c>
      <c r="B298" s="1" t="n">
        <v>45874.60010416667</v>
      </c>
      <c r="C298" s="1" t="n">
        <v>45990</v>
      </c>
      <c r="D298" t="inlineStr">
        <is>
          <t>VÄRMLANDS LÄN</t>
        </is>
      </c>
      <c r="E298" t="inlineStr">
        <is>
          <t>FILIPSTAD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46282-2025</t>
        </is>
      </c>
      <c r="B299" s="1" t="n">
        <v>45925.37945601852</v>
      </c>
      <c r="C299" s="1" t="n">
        <v>45990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37414-2025</t>
        </is>
      </c>
      <c r="B300" s="1" t="n">
        <v>45877</v>
      </c>
      <c r="C300" s="1" t="n">
        <v>45990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46204-2025</t>
        </is>
      </c>
      <c r="B301" s="1" t="n">
        <v>45924.70509259259</v>
      </c>
      <c r="C301" s="1" t="n">
        <v>45990</v>
      </c>
      <c r="D301" t="inlineStr">
        <is>
          <t>VÄRMLANDS LÄN</t>
        </is>
      </c>
      <c r="E301" t="inlineStr">
        <is>
          <t>FILIPSTAD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45098-2024</t>
        </is>
      </c>
      <c r="B302" s="1" t="n">
        <v>45575.58648148148</v>
      </c>
      <c r="C302" s="1" t="n">
        <v>45990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55173-2025</t>
        </is>
      </c>
      <c r="B303" s="1" t="n">
        <v>45968.50046296296</v>
      </c>
      <c r="C303" s="1" t="n">
        <v>45990</v>
      </c>
      <c r="D303" t="inlineStr">
        <is>
          <t>VÄRMLANDS LÄN</t>
        </is>
      </c>
      <c r="E303" t="inlineStr">
        <is>
          <t>FILIPSTAD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46924-2025</t>
        </is>
      </c>
      <c r="B304" s="1" t="n">
        <v>45929</v>
      </c>
      <c r="C304" s="1" t="n">
        <v>45990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6.9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55514-2025</t>
        </is>
      </c>
      <c r="B305" s="1" t="n">
        <v>45971.60143518518</v>
      </c>
      <c r="C305" s="1" t="n">
        <v>45990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13.3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46906-2025</t>
        </is>
      </c>
      <c r="B306" s="1" t="n">
        <v>45929</v>
      </c>
      <c r="C306" s="1" t="n">
        <v>45990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37733-2025</t>
        </is>
      </c>
      <c r="B307" s="1" t="n">
        <v>45880.63378472222</v>
      </c>
      <c r="C307" s="1" t="n">
        <v>45990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422-2025</t>
        </is>
      </c>
      <c r="B308" s="1" t="n">
        <v>45664</v>
      </c>
      <c r="C308" s="1" t="n">
        <v>45990</v>
      </c>
      <c r="D308" t="inlineStr">
        <is>
          <t>VÄRMLANDS LÄN</t>
        </is>
      </c>
      <c r="E308" t="inlineStr">
        <is>
          <t>FILIPSTAD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38075-2025</t>
        </is>
      </c>
      <c r="B309" s="1" t="n">
        <v>45882</v>
      </c>
      <c r="C309" s="1" t="n">
        <v>45990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38076-2025</t>
        </is>
      </c>
      <c r="B310" s="1" t="n">
        <v>45882</v>
      </c>
      <c r="C310" s="1" t="n">
        <v>45990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38175-2025</t>
        </is>
      </c>
      <c r="B311" s="1" t="n">
        <v>45882</v>
      </c>
      <c r="C311" s="1" t="n">
        <v>45990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38257-2025</t>
        </is>
      </c>
      <c r="B312" s="1" t="n">
        <v>45883</v>
      </c>
      <c r="C312" s="1" t="n">
        <v>45990</v>
      </c>
      <c r="D312" t="inlineStr">
        <is>
          <t>VÄRMLANDS LÄN</t>
        </is>
      </c>
      <c r="E312" t="inlineStr">
        <is>
          <t>FILIPSTAD</t>
        </is>
      </c>
      <c r="G312" t="n">
        <v>6.9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55579-2025</t>
        </is>
      </c>
      <c r="B313" s="1" t="n">
        <v>45971.6706712963</v>
      </c>
      <c r="C313" s="1" t="n">
        <v>45990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8.699999999999999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55175-2025</t>
        </is>
      </c>
      <c r="B314" s="1" t="n">
        <v>45968.50886574074</v>
      </c>
      <c r="C314" s="1" t="n">
        <v>45990</v>
      </c>
      <c r="D314" t="inlineStr">
        <is>
          <t>VÄRMLANDS LÄN</t>
        </is>
      </c>
      <c r="E314" t="inlineStr">
        <is>
          <t>FILIPSTAD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49794-2024</t>
        </is>
      </c>
      <c r="B315" s="1" t="n">
        <v>45597</v>
      </c>
      <c r="C315" s="1" t="n">
        <v>45990</v>
      </c>
      <c r="D315" t="inlineStr">
        <is>
          <t>VÄRMLANDS LÄN</t>
        </is>
      </c>
      <c r="E315" t="inlineStr">
        <is>
          <t>FILIPSTAD</t>
        </is>
      </c>
      <c r="F315" t="inlineStr">
        <is>
          <t>Bergvik skog väst AB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46756-2025</t>
        </is>
      </c>
      <c r="B316" s="1" t="n">
        <v>45926.61857638889</v>
      </c>
      <c r="C316" s="1" t="n">
        <v>45990</v>
      </c>
      <c r="D316" t="inlineStr">
        <is>
          <t>VÄRMLANDS LÄN</t>
        </is>
      </c>
      <c r="E316" t="inlineStr">
        <is>
          <t>FILIPSTAD</t>
        </is>
      </c>
      <c r="F316" t="inlineStr">
        <is>
          <t>Bergvik skog väst AB</t>
        </is>
      </c>
      <c r="G316" t="n">
        <v>14.5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19351-2025</t>
        </is>
      </c>
      <c r="B317" s="1" t="n">
        <v>45769</v>
      </c>
      <c r="C317" s="1" t="n">
        <v>45990</v>
      </c>
      <c r="D317" t="inlineStr">
        <is>
          <t>VÄRMLANDS LÄN</t>
        </is>
      </c>
      <c r="E317" t="inlineStr">
        <is>
          <t>FILIPSTAD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55226-2025</t>
        </is>
      </c>
      <c r="B318" s="1" t="n">
        <v>45968.59608796296</v>
      </c>
      <c r="C318" s="1" t="n">
        <v>45990</v>
      </c>
      <c r="D318" t="inlineStr">
        <is>
          <t>VÄRMLANDS LÄN</t>
        </is>
      </c>
      <c r="E318" t="inlineStr">
        <is>
          <t>FILIPSTAD</t>
        </is>
      </c>
      <c r="F318" t="inlineStr">
        <is>
          <t>Bergvik skog väst AB</t>
        </is>
      </c>
      <c r="G318" t="n">
        <v>7.8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47566-2025</t>
        </is>
      </c>
      <c r="B319" s="1" t="n">
        <v>45931.39087962963</v>
      </c>
      <c r="C319" s="1" t="n">
        <v>45990</v>
      </c>
      <c r="D319" t="inlineStr">
        <is>
          <t>VÄRMLANDS LÄN</t>
        </is>
      </c>
      <c r="E319" t="inlineStr">
        <is>
          <t>FILIPSTAD</t>
        </is>
      </c>
      <c r="F319" t="inlineStr">
        <is>
          <t>Bergvik skog väst AB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47633-2025</t>
        </is>
      </c>
      <c r="B320" s="1" t="n">
        <v>45931</v>
      </c>
      <c r="C320" s="1" t="n">
        <v>45990</v>
      </c>
      <c r="D320" t="inlineStr">
        <is>
          <t>VÄRMLANDS LÄN</t>
        </is>
      </c>
      <c r="E320" t="inlineStr">
        <is>
          <t>FILIPSTAD</t>
        </is>
      </c>
      <c r="F320" t="inlineStr">
        <is>
          <t>Bergvik skog väst AB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47646-2025</t>
        </is>
      </c>
      <c r="B321" s="1" t="n">
        <v>45931</v>
      </c>
      <c r="C321" s="1" t="n">
        <v>45990</v>
      </c>
      <c r="D321" t="inlineStr">
        <is>
          <t>VÄRMLANDS LÄN</t>
        </is>
      </c>
      <c r="E321" t="inlineStr">
        <is>
          <t>FILIPSTAD</t>
        </is>
      </c>
      <c r="F321" t="inlineStr">
        <is>
          <t>Bergvik skog väst AB</t>
        </is>
      </c>
      <c r="G321" t="n">
        <v>6.8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57588-2023</t>
        </is>
      </c>
      <c r="B322" s="1" t="n">
        <v>45246.54696759259</v>
      </c>
      <c r="C322" s="1" t="n">
        <v>45990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56032-2025</t>
        </is>
      </c>
      <c r="B323" s="1" t="n">
        <v>45973.60501157407</v>
      </c>
      <c r="C323" s="1" t="n">
        <v>45990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5.8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56045-2025</t>
        </is>
      </c>
      <c r="B324" s="1" t="n">
        <v>45973.61988425926</v>
      </c>
      <c r="C324" s="1" t="n">
        <v>45990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1750-2025</t>
        </is>
      </c>
      <c r="B325" s="1" t="n">
        <v>45671.40900462963</v>
      </c>
      <c r="C325" s="1" t="n">
        <v>45990</v>
      </c>
      <c r="D325" t="inlineStr">
        <is>
          <t>VÄRMLANDS LÄN</t>
        </is>
      </c>
      <c r="E325" t="inlineStr">
        <is>
          <t>FILIPSTAD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47683-2025</t>
        </is>
      </c>
      <c r="B326" s="1" t="n">
        <v>45931</v>
      </c>
      <c r="C326" s="1" t="n">
        <v>45990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55998-2025</t>
        </is>
      </c>
      <c r="B327" s="1" t="n">
        <v>45973.57196759259</v>
      </c>
      <c r="C327" s="1" t="n">
        <v>45990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38917-2025</t>
        </is>
      </c>
      <c r="B328" s="1" t="n">
        <v>45887.62321759259</v>
      </c>
      <c r="C328" s="1" t="n">
        <v>45990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491-2024</t>
        </is>
      </c>
      <c r="B329" s="1" t="n">
        <v>45299.33832175926</v>
      </c>
      <c r="C329" s="1" t="n">
        <v>45990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16371-2024</t>
        </is>
      </c>
      <c r="B330" s="1" t="n">
        <v>45407.59866898148</v>
      </c>
      <c r="C330" s="1" t="n">
        <v>45990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19907-2025</t>
        </is>
      </c>
      <c r="B331" s="1" t="n">
        <v>45771</v>
      </c>
      <c r="C331" s="1" t="n">
        <v>45990</v>
      </c>
      <c r="D331" t="inlineStr">
        <is>
          <t>VÄRMLANDS LÄN</t>
        </is>
      </c>
      <c r="E331" t="inlineStr">
        <is>
          <t>FILIPSTAD</t>
        </is>
      </c>
      <c r="F331" t="inlineStr">
        <is>
          <t>Bergvik skog väst AB</t>
        </is>
      </c>
      <c r="G331" t="n">
        <v>21.4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56028-2025</t>
        </is>
      </c>
      <c r="B332" s="1" t="n">
        <v>45973.60055555555</v>
      </c>
      <c r="C332" s="1" t="n">
        <v>45990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6770-2021</t>
        </is>
      </c>
      <c r="B333" s="1" t="n">
        <v>44236</v>
      </c>
      <c r="C333" s="1" t="n">
        <v>45990</v>
      </c>
      <c r="D333" t="inlineStr">
        <is>
          <t>VÄRMLANDS LÄN</t>
        </is>
      </c>
      <c r="E333" t="inlineStr">
        <is>
          <t>FILIPSTAD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56037-2025</t>
        </is>
      </c>
      <c r="B334" s="1" t="n">
        <v>45973.60925925926</v>
      </c>
      <c r="C334" s="1" t="n">
        <v>45990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56062-2025</t>
        </is>
      </c>
      <c r="B335" s="1" t="n">
        <v>45973.64105324074</v>
      </c>
      <c r="C335" s="1" t="n">
        <v>45990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9.199999999999999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869-2025</t>
        </is>
      </c>
      <c r="B336" s="1" t="n">
        <v>45665</v>
      </c>
      <c r="C336" s="1" t="n">
        <v>45990</v>
      </c>
      <c r="D336" t="inlineStr">
        <is>
          <t>VÄRMLANDS LÄN</t>
        </is>
      </c>
      <c r="E336" t="inlineStr">
        <is>
          <t>FILIPSTAD</t>
        </is>
      </c>
      <c r="G336" t="n">
        <v>11.7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33966-2023</t>
        </is>
      </c>
      <c r="B337" s="1" t="n">
        <v>45124</v>
      </c>
      <c r="C337" s="1" t="n">
        <v>45990</v>
      </c>
      <c r="D337" t="inlineStr">
        <is>
          <t>VÄRMLANDS LÄN</t>
        </is>
      </c>
      <c r="E337" t="inlineStr">
        <is>
          <t>FILIPSTAD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33967-2023</t>
        </is>
      </c>
      <c r="B338" s="1" t="n">
        <v>45124</v>
      </c>
      <c r="C338" s="1" t="n">
        <v>45990</v>
      </c>
      <c r="D338" t="inlineStr">
        <is>
          <t>VÄRMLANDS LÄN</t>
        </is>
      </c>
      <c r="E338" t="inlineStr">
        <is>
          <t>FILIPSTAD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1371-2025</t>
        </is>
      </c>
      <c r="B339" s="1" t="n">
        <v>45667.6453587963</v>
      </c>
      <c r="C339" s="1" t="n">
        <v>45990</v>
      </c>
      <c r="D339" t="inlineStr">
        <is>
          <t>VÄRMLANDS LÄN</t>
        </is>
      </c>
      <c r="E339" t="inlineStr">
        <is>
          <t>FILIPSTAD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56158-2025</t>
        </is>
      </c>
      <c r="B340" s="1" t="n">
        <v>45974.37140046297</v>
      </c>
      <c r="C340" s="1" t="n">
        <v>45990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56167-2025</t>
        </is>
      </c>
      <c r="B341" s="1" t="n">
        <v>45974.38503472223</v>
      </c>
      <c r="C341" s="1" t="n">
        <v>45990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48217-2025</t>
        </is>
      </c>
      <c r="B342" s="1" t="n">
        <v>45933</v>
      </c>
      <c r="C342" s="1" t="n">
        <v>45990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47970-2025</t>
        </is>
      </c>
      <c r="B343" s="1" t="n">
        <v>45932.60266203704</v>
      </c>
      <c r="C343" s="1" t="n">
        <v>45990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47911-2025</t>
        </is>
      </c>
      <c r="B344" s="1" t="n">
        <v>45932.51171296297</v>
      </c>
      <c r="C344" s="1" t="n">
        <v>45990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46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56184-2025</t>
        </is>
      </c>
      <c r="B345" s="1" t="n">
        <v>45974.41440972222</v>
      </c>
      <c r="C345" s="1" t="n">
        <v>45990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56086-2025</t>
        </is>
      </c>
      <c r="B346" s="1" t="n">
        <v>45973</v>
      </c>
      <c r="C346" s="1" t="n">
        <v>45990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56008-2025</t>
        </is>
      </c>
      <c r="B347" s="1" t="n">
        <v>45973</v>
      </c>
      <c r="C347" s="1" t="n">
        <v>45990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8.199999999999999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56201-2025</t>
        </is>
      </c>
      <c r="B348" s="1" t="n">
        <v>45974.46380787037</v>
      </c>
      <c r="C348" s="1" t="n">
        <v>45990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56180-2025</t>
        </is>
      </c>
      <c r="B349" s="1" t="n">
        <v>45974</v>
      </c>
      <c r="C349" s="1" t="n">
        <v>45990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8.300000000000001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48103-2025</t>
        </is>
      </c>
      <c r="B350" s="1" t="n">
        <v>45933</v>
      </c>
      <c r="C350" s="1" t="n">
        <v>45990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48203-2025</t>
        </is>
      </c>
      <c r="B351" s="1" t="n">
        <v>45933</v>
      </c>
      <c r="C351" s="1" t="n">
        <v>45990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56182-2025</t>
        </is>
      </c>
      <c r="B352" s="1" t="n">
        <v>45974.41037037037</v>
      </c>
      <c r="C352" s="1" t="n">
        <v>45990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47867-2025</t>
        </is>
      </c>
      <c r="B353" s="1" t="n">
        <v>45932.43795138889</v>
      </c>
      <c r="C353" s="1" t="n">
        <v>45990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37.1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55668-2025</t>
        </is>
      </c>
      <c r="B354" s="1" t="n">
        <v>45972</v>
      </c>
      <c r="C354" s="1" t="n">
        <v>45990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55670-2025</t>
        </is>
      </c>
      <c r="B355" s="1" t="n">
        <v>45972</v>
      </c>
      <c r="C355" s="1" t="n">
        <v>45990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47879-2025</t>
        </is>
      </c>
      <c r="B356" s="1" t="n">
        <v>45932.4591087963</v>
      </c>
      <c r="C356" s="1" t="n">
        <v>45990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8.300000000000001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51574-2024</t>
        </is>
      </c>
      <c r="B357" s="1" t="n">
        <v>45604</v>
      </c>
      <c r="C357" s="1" t="n">
        <v>45990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17.8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56083-2025</t>
        </is>
      </c>
      <c r="B358" s="1" t="n">
        <v>45973</v>
      </c>
      <c r="C358" s="1" t="n">
        <v>45990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62540-2023</t>
        </is>
      </c>
      <c r="B359" s="1" t="n">
        <v>45267</v>
      </c>
      <c r="C359" s="1" t="n">
        <v>45990</v>
      </c>
      <c r="D359" t="inlineStr">
        <is>
          <t>VÄRMLANDS LÄN</t>
        </is>
      </c>
      <c r="E359" t="inlineStr">
        <is>
          <t>FILIPSTAD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63482-2021</t>
        </is>
      </c>
      <c r="B360" s="1" t="n">
        <v>44508</v>
      </c>
      <c r="C360" s="1" t="n">
        <v>45990</v>
      </c>
      <c r="D360" t="inlineStr">
        <is>
          <t>VÄRMLANDS LÄN</t>
        </is>
      </c>
      <c r="E360" t="inlineStr">
        <is>
          <t>FILIPSTAD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48657-2025</t>
        </is>
      </c>
      <c r="B361" s="1" t="n">
        <v>45936.56618055556</v>
      </c>
      <c r="C361" s="1" t="n">
        <v>45990</v>
      </c>
      <c r="D361" t="inlineStr">
        <is>
          <t>VÄRMLANDS LÄN</t>
        </is>
      </c>
      <c r="E361" t="inlineStr">
        <is>
          <t>FILIPSTAD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15228-2025</t>
        </is>
      </c>
      <c r="B362" s="1" t="n">
        <v>45744.59353009259</v>
      </c>
      <c r="C362" s="1" t="n">
        <v>45990</v>
      </c>
      <c r="D362" t="inlineStr">
        <is>
          <t>VÄRMLANDS LÄN</t>
        </is>
      </c>
      <c r="E362" t="inlineStr">
        <is>
          <t>FILIPSTAD</t>
        </is>
      </c>
      <c r="F362" t="inlineStr">
        <is>
          <t>Kommuner</t>
        </is>
      </c>
      <c r="G362" t="n">
        <v>17.7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12737-2024</t>
        </is>
      </c>
      <c r="B363" s="1" t="n">
        <v>45384</v>
      </c>
      <c r="C363" s="1" t="n">
        <v>45990</v>
      </c>
      <c r="D363" t="inlineStr">
        <is>
          <t>VÄRMLANDS LÄN</t>
        </is>
      </c>
      <c r="E363" t="inlineStr">
        <is>
          <t>FILIPSTAD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59296-2023</t>
        </is>
      </c>
      <c r="B364" s="1" t="n">
        <v>45253</v>
      </c>
      <c r="C364" s="1" t="n">
        <v>45990</v>
      </c>
      <c r="D364" t="inlineStr">
        <is>
          <t>VÄRMLANDS LÄN</t>
        </is>
      </c>
      <c r="E364" t="inlineStr">
        <is>
          <t>FILIPSTAD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48576-2025</t>
        </is>
      </c>
      <c r="B365" s="1" t="n">
        <v>45936.45268518518</v>
      </c>
      <c r="C365" s="1" t="n">
        <v>45990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7.8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48649-2025</t>
        </is>
      </c>
      <c r="B366" s="1" t="n">
        <v>45936.54788194445</v>
      </c>
      <c r="C366" s="1" t="n">
        <v>45990</v>
      </c>
      <c r="D366" t="inlineStr">
        <is>
          <t>VÄRMLANDS LÄN</t>
        </is>
      </c>
      <c r="E366" t="inlineStr">
        <is>
          <t>FILIPSTAD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56840-2024</t>
        </is>
      </c>
      <c r="B367" s="1" t="n">
        <v>45628</v>
      </c>
      <c r="C367" s="1" t="n">
        <v>45990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16584-2024</t>
        </is>
      </c>
      <c r="B368" s="1" t="n">
        <v>45408.4859375</v>
      </c>
      <c r="C368" s="1" t="n">
        <v>45990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6.6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48655-2025</t>
        </is>
      </c>
      <c r="B369" s="1" t="n">
        <v>45936.56003472222</v>
      </c>
      <c r="C369" s="1" t="n">
        <v>45990</v>
      </c>
      <c r="D369" t="inlineStr">
        <is>
          <t>VÄRMLANDS LÄN</t>
        </is>
      </c>
      <c r="E369" t="inlineStr">
        <is>
          <t>FILIPSTAD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56925-2025</t>
        </is>
      </c>
      <c r="B370" s="1" t="n">
        <v>45978.60393518519</v>
      </c>
      <c r="C370" s="1" t="n">
        <v>45990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18.8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25338-2023</t>
        </is>
      </c>
      <c r="B371" s="1" t="n">
        <v>45087.49439814815</v>
      </c>
      <c r="C371" s="1" t="n">
        <v>45990</v>
      </c>
      <c r="D371" t="inlineStr">
        <is>
          <t>VÄRMLANDS LÄN</t>
        </is>
      </c>
      <c r="E371" t="inlineStr">
        <is>
          <t>FILIPSTAD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25375-2023</t>
        </is>
      </c>
      <c r="B372" s="1" t="n">
        <v>45088.94734953704</v>
      </c>
      <c r="C372" s="1" t="n">
        <v>45990</v>
      </c>
      <c r="D372" t="inlineStr">
        <is>
          <t>VÄRMLANDS LÄN</t>
        </is>
      </c>
      <c r="E372" t="inlineStr">
        <is>
          <t>FILIPSTAD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4620-2024</t>
        </is>
      </c>
      <c r="B373" s="1" t="n">
        <v>45328</v>
      </c>
      <c r="C373" s="1" t="n">
        <v>45990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4738-2021</t>
        </is>
      </c>
      <c r="B374" s="1" t="n">
        <v>44225</v>
      </c>
      <c r="C374" s="1" t="n">
        <v>45990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14.7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57872-2025</t>
        </is>
      </c>
      <c r="B375" s="1" t="n">
        <v>45981.65354166667</v>
      </c>
      <c r="C375" s="1" t="n">
        <v>45990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57854-2025</t>
        </is>
      </c>
      <c r="B376" s="1" t="n">
        <v>45981.63868055555</v>
      </c>
      <c r="C376" s="1" t="n">
        <v>45990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49602-2025</t>
        </is>
      </c>
      <c r="B377" s="1" t="n">
        <v>45939</v>
      </c>
      <c r="C377" s="1" t="n">
        <v>45990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10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16100-2025</t>
        </is>
      </c>
      <c r="B378" s="1" t="n">
        <v>45750.0056712963</v>
      </c>
      <c r="C378" s="1" t="n">
        <v>45990</v>
      </c>
      <c r="D378" t="inlineStr">
        <is>
          <t>VÄRMLANDS LÄN</t>
        </is>
      </c>
      <c r="E378" t="inlineStr">
        <is>
          <t>FILIPSTAD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39633-2023</t>
        </is>
      </c>
      <c r="B379" s="1" t="n">
        <v>45167.52358796296</v>
      </c>
      <c r="C379" s="1" t="n">
        <v>45990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61741-2022</t>
        </is>
      </c>
      <c r="B380" s="1" t="n">
        <v>44911</v>
      </c>
      <c r="C380" s="1" t="n">
        <v>45990</v>
      </c>
      <c r="D380" t="inlineStr">
        <is>
          <t>VÄRMLANDS LÄN</t>
        </is>
      </c>
      <c r="E380" t="inlineStr">
        <is>
          <t>FILIPSTAD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49935-2025</t>
        </is>
      </c>
      <c r="B381" s="1" t="n">
        <v>45940.6605324074</v>
      </c>
      <c r="C381" s="1" t="n">
        <v>45990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58389-2025</t>
        </is>
      </c>
      <c r="B382" s="1" t="n">
        <v>45985.54855324074</v>
      </c>
      <c r="C382" s="1" t="n">
        <v>45990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18534-2025</t>
        </is>
      </c>
      <c r="B383" s="1" t="n">
        <v>45763</v>
      </c>
      <c r="C383" s="1" t="n">
        <v>45990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59196-2022</t>
        </is>
      </c>
      <c r="B384" s="1" t="n">
        <v>44904.49831018518</v>
      </c>
      <c r="C384" s="1" t="n">
        <v>45990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58211-2025</t>
        </is>
      </c>
      <c r="B385" s="1" t="n">
        <v>45985.33813657407</v>
      </c>
      <c r="C385" s="1" t="n">
        <v>45990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58253-2025</t>
        </is>
      </c>
      <c r="B386" s="1" t="n">
        <v>45985.39790509259</v>
      </c>
      <c r="C386" s="1" t="n">
        <v>45990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57965-2025</t>
        </is>
      </c>
      <c r="B387" s="1" t="n">
        <v>45982.38162037037</v>
      </c>
      <c r="C387" s="1" t="n">
        <v>45990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50199-2025</t>
        </is>
      </c>
      <c r="B388" s="1" t="n">
        <v>45943.64987268519</v>
      </c>
      <c r="C388" s="1" t="n">
        <v>45990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35106-2024</t>
        </is>
      </c>
      <c r="B389" s="1" t="n">
        <v>45529</v>
      </c>
      <c r="C389" s="1" t="n">
        <v>45990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60296-2023</t>
        </is>
      </c>
      <c r="B390" s="1" t="n">
        <v>45257</v>
      </c>
      <c r="C390" s="1" t="n">
        <v>45990</v>
      </c>
      <c r="D390" t="inlineStr">
        <is>
          <t>VÄRMLANDS LÄN</t>
        </is>
      </c>
      <c r="E390" t="inlineStr">
        <is>
          <t>FILIPSTAD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28161-2023</t>
        </is>
      </c>
      <c r="B391" s="1" t="n">
        <v>45093</v>
      </c>
      <c r="C391" s="1" t="n">
        <v>45990</v>
      </c>
      <c r="D391" t="inlineStr">
        <is>
          <t>VÄRMLANDS LÄN</t>
        </is>
      </c>
      <c r="E391" t="inlineStr">
        <is>
          <t>FILIPSTAD</t>
        </is>
      </c>
      <c r="F391" t="inlineStr">
        <is>
          <t>Kommuner</t>
        </is>
      </c>
      <c r="G391" t="n">
        <v>15.4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20663-2024</t>
        </is>
      </c>
      <c r="B392" s="1" t="n">
        <v>45436</v>
      </c>
      <c r="C392" s="1" t="n">
        <v>45990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17795-2024</t>
        </is>
      </c>
      <c r="B393" s="1" t="n">
        <v>45418</v>
      </c>
      <c r="C393" s="1" t="n">
        <v>45990</v>
      </c>
      <c r="D393" t="inlineStr">
        <is>
          <t>VÄRMLANDS LÄN</t>
        </is>
      </c>
      <c r="E393" t="inlineStr">
        <is>
          <t>FILIPSTAD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58019-2025</t>
        </is>
      </c>
      <c r="B394" s="1" t="n">
        <v>45982.4777662037</v>
      </c>
      <c r="C394" s="1" t="n">
        <v>45990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28.4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50195-2025</t>
        </is>
      </c>
      <c r="B395" s="1" t="n">
        <v>45943.64201388889</v>
      </c>
      <c r="C395" s="1" t="n">
        <v>45990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49910-2025</t>
        </is>
      </c>
      <c r="B396" s="1" t="n">
        <v>45940.60739583334</v>
      </c>
      <c r="C396" s="1" t="n">
        <v>45990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50032-2025</t>
        </is>
      </c>
      <c r="B397" s="1" t="n">
        <v>45943</v>
      </c>
      <c r="C397" s="1" t="n">
        <v>45990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57926-2025</t>
        </is>
      </c>
      <c r="B398" s="1" t="n">
        <v>45981.88030092593</v>
      </c>
      <c r="C398" s="1" t="n">
        <v>45990</v>
      </c>
      <c r="D398" t="inlineStr">
        <is>
          <t>VÄRMLANDS LÄN</t>
        </is>
      </c>
      <c r="E398" t="inlineStr">
        <is>
          <t>FILIPSTAD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50142-2025</t>
        </is>
      </c>
      <c r="B399" s="1" t="n">
        <v>45943.5703125</v>
      </c>
      <c r="C399" s="1" t="n">
        <v>45990</v>
      </c>
      <c r="D399" t="inlineStr">
        <is>
          <t>VÄRMLANDS LÄN</t>
        </is>
      </c>
      <c r="E399" t="inlineStr">
        <is>
          <t>FILIPSTAD</t>
        </is>
      </c>
      <c r="F399" t="inlineStr">
        <is>
          <t>Bergvik skog väst AB</t>
        </is>
      </c>
      <c r="G399" t="n">
        <v>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50167-2025</t>
        </is>
      </c>
      <c r="B400" s="1" t="n">
        <v>45943</v>
      </c>
      <c r="C400" s="1" t="n">
        <v>45990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49878-2025</t>
        </is>
      </c>
      <c r="B401" s="1" t="n">
        <v>45940.56537037037</v>
      </c>
      <c r="C401" s="1" t="n">
        <v>45990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49899-2025</t>
        </is>
      </c>
      <c r="B402" s="1" t="n">
        <v>45940.58966435185</v>
      </c>
      <c r="C402" s="1" t="n">
        <v>45990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58256-2025</t>
        </is>
      </c>
      <c r="B403" s="1" t="n">
        <v>45985.40229166667</v>
      </c>
      <c r="C403" s="1" t="n">
        <v>45990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10.5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49761-2024</t>
        </is>
      </c>
      <c r="B404" s="1" t="n">
        <v>45597</v>
      </c>
      <c r="C404" s="1" t="n">
        <v>45990</v>
      </c>
      <c r="D404" t="inlineStr">
        <is>
          <t>VÄRMLANDS LÄN</t>
        </is>
      </c>
      <c r="E404" t="inlineStr">
        <is>
          <t>FILIPSTAD</t>
        </is>
      </c>
      <c r="F404" t="inlineStr">
        <is>
          <t>Bergvik skog väst AB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50666-2025</t>
        </is>
      </c>
      <c r="B405" s="1" t="n">
        <v>45945.69899305556</v>
      </c>
      <c r="C405" s="1" t="n">
        <v>45990</v>
      </c>
      <c r="D405" t="inlineStr">
        <is>
          <t>VÄRMLANDS LÄN</t>
        </is>
      </c>
      <c r="E405" t="inlineStr">
        <is>
          <t>FILIPSTAD</t>
        </is>
      </c>
      <c r="F405" t="inlineStr">
        <is>
          <t>Kommuner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44384-2021</t>
        </is>
      </c>
      <c r="B406" s="1" t="n">
        <v>44435.47295138889</v>
      </c>
      <c r="C406" s="1" t="n">
        <v>45990</v>
      </c>
      <c r="D406" t="inlineStr">
        <is>
          <t>VÄRMLANDS LÄN</t>
        </is>
      </c>
      <c r="E406" t="inlineStr">
        <is>
          <t>FILIPSTAD</t>
        </is>
      </c>
      <c r="G406" t="n">
        <v>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50535-2025</t>
        </is>
      </c>
      <c r="B407" s="1" t="n">
        <v>45945.48466435185</v>
      </c>
      <c r="C407" s="1" t="n">
        <v>45990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56651-2024</t>
        </is>
      </c>
      <c r="B408" s="1" t="n">
        <v>45625</v>
      </c>
      <c r="C408" s="1" t="n">
        <v>45990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56653-2024</t>
        </is>
      </c>
      <c r="B409" s="1" t="n">
        <v>45625.78412037037</v>
      </c>
      <c r="C409" s="1" t="n">
        <v>45990</v>
      </c>
      <c r="D409" t="inlineStr">
        <is>
          <t>VÄRMLANDS LÄN</t>
        </is>
      </c>
      <c r="E409" t="inlineStr">
        <is>
          <t>FILIPSTAD</t>
        </is>
      </c>
      <c r="F409" t="inlineStr">
        <is>
          <t>Bergvik skog väst AB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32784-2024</t>
        </is>
      </c>
      <c r="B410" s="1" t="n">
        <v>45516</v>
      </c>
      <c r="C410" s="1" t="n">
        <v>45990</v>
      </c>
      <c r="D410" t="inlineStr">
        <is>
          <t>VÄRMLANDS LÄN</t>
        </is>
      </c>
      <c r="E410" t="inlineStr">
        <is>
          <t>FILIPSTAD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53348-2023</t>
        </is>
      </c>
      <c r="B411" s="1" t="n">
        <v>45229.65445601852</v>
      </c>
      <c r="C411" s="1" t="n">
        <v>45990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14275-2024</t>
        </is>
      </c>
      <c r="B412" s="1" t="n">
        <v>45393.588125</v>
      </c>
      <c r="C412" s="1" t="n">
        <v>45990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45379-2024</t>
        </is>
      </c>
      <c r="B413" s="1" t="n">
        <v>45576.52289351852</v>
      </c>
      <c r="C413" s="1" t="n">
        <v>45990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14459-2023</t>
        </is>
      </c>
      <c r="B414" s="1" t="n">
        <v>45012</v>
      </c>
      <c r="C414" s="1" t="n">
        <v>45990</v>
      </c>
      <c r="D414" t="inlineStr">
        <is>
          <t>VÄRMLANDS LÄN</t>
        </is>
      </c>
      <c r="E414" t="inlineStr">
        <is>
          <t>FILIPSTAD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54080-2025</t>
        </is>
      </c>
      <c r="B415" s="1" t="n">
        <v>45964</v>
      </c>
      <c r="C415" s="1" t="n">
        <v>45990</v>
      </c>
      <c r="D415" t="inlineStr">
        <is>
          <t>VÄRMLANDS LÄN</t>
        </is>
      </c>
      <c r="E415" t="inlineStr">
        <is>
          <t>FILIPSTAD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59290-2025</t>
        </is>
      </c>
      <c r="B416" s="1" t="n">
        <v>45988.74881944444</v>
      </c>
      <c r="C416" s="1" t="n">
        <v>45990</v>
      </c>
      <c r="D416" t="inlineStr">
        <is>
          <t>VÄRMLANDS LÄN</t>
        </is>
      </c>
      <c r="E416" t="inlineStr">
        <is>
          <t>FILIPSTAD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19159-2024</t>
        </is>
      </c>
      <c r="B417" s="1" t="n">
        <v>45428.45182870371</v>
      </c>
      <c r="C417" s="1" t="n">
        <v>45990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8.4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59414-2025</t>
        </is>
      </c>
      <c r="B418" s="1" t="n">
        <v>45989.49996527778</v>
      </c>
      <c r="C418" s="1" t="n">
        <v>45990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56115-2025</t>
        </is>
      </c>
      <c r="B419" s="1" t="n">
        <v>45973</v>
      </c>
      <c r="C419" s="1" t="n">
        <v>45990</v>
      </c>
      <c r="D419" t="inlineStr">
        <is>
          <t>VÄRMLANDS LÄN</t>
        </is>
      </c>
      <c r="E419" t="inlineStr">
        <is>
          <t>FILIPSTAD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59406-2025</t>
        </is>
      </c>
      <c r="B420" s="1" t="n">
        <v>45989.4919212963</v>
      </c>
      <c r="C420" s="1" t="n">
        <v>45990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8.9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51039-2025</t>
        </is>
      </c>
      <c r="B421" s="1" t="n">
        <v>45947</v>
      </c>
      <c r="C421" s="1" t="n">
        <v>45990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59423-2025</t>
        </is>
      </c>
      <c r="B422" s="1" t="n">
        <v>45989.5347800926</v>
      </c>
      <c r="C422" s="1" t="n">
        <v>45990</v>
      </c>
      <c r="D422" t="inlineStr">
        <is>
          <t>VÄRMLANDS LÄN</t>
        </is>
      </c>
      <c r="E422" t="inlineStr">
        <is>
          <t>FILIPSTAD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36251-2022</t>
        </is>
      </c>
      <c r="B423" s="1" t="n">
        <v>44803</v>
      </c>
      <c r="C423" s="1" t="n">
        <v>45990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10136-2024</t>
        </is>
      </c>
      <c r="B424" s="1" t="n">
        <v>45364</v>
      </c>
      <c r="C424" s="1" t="n">
        <v>45990</v>
      </c>
      <c r="D424" t="inlineStr">
        <is>
          <t>VÄRMLANDS LÄN</t>
        </is>
      </c>
      <c r="E424" t="inlineStr">
        <is>
          <t>FILIPSTAD</t>
        </is>
      </c>
      <c r="G424" t="n">
        <v>6.4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59410-2025</t>
        </is>
      </c>
      <c r="B425" s="1" t="n">
        <v>45989.49606481481</v>
      </c>
      <c r="C425" s="1" t="n">
        <v>45990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15-2025</t>
        </is>
      </c>
      <c r="B426" s="1" t="n">
        <v>45658.74451388889</v>
      </c>
      <c r="C426" s="1" t="n">
        <v>45990</v>
      </c>
      <c r="D426" t="inlineStr">
        <is>
          <t>VÄRMLANDS LÄN</t>
        </is>
      </c>
      <c r="E426" t="inlineStr">
        <is>
          <t>FILIPSTAD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50996-2025</t>
        </is>
      </c>
      <c r="B427" s="1" t="n">
        <v>45947</v>
      </c>
      <c r="C427" s="1" t="n">
        <v>45990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51031-2025</t>
        </is>
      </c>
      <c r="B428" s="1" t="n">
        <v>45947</v>
      </c>
      <c r="C428" s="1" t="n">
        <v>45990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58611-2025</t>
        </is>
      </c>
      <c r="B429" s="1" t="n">
        <v>45986</v>
      </c>
      <c r="C429" s="1" t="n">
        <v>45990</v>
      </c>
      <c r="D429" t="inlineStr">
        <is>
          <t>VÄRMLANDS LÄN</t>
        </is>
      </c>
      <c r="E429" t="inlineStr">
        <is>
          <t>FILIPSTAD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61642-2024</t>
        </is>
      </c>
      <c r="B430" s="1" t="n">
        <v>45646</v>
      </c>
      <c r="C430" s="1" t="n">
        <v>45990</v>
      </c>
      <c r="D430" t="inlineStr">
        <is>
          <t>VÄRMLANDS LÄN</t>
        </is>
      </c>
      <c r="E430" t="inlineStr">
        <is>
          <t>FILIPSTAD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51069-2025</t>
        </is>
      </c>
      <c r="B431" s="1" t="n">
        <v>45947.45486111111</v>
      </c>
      <c r="C431" s="1" t="n">
        <v>45990</v>
      </c>
      <c r="D431" t="inlineStr">
        <is>
          <t>VÄRMLANDS LÄN</t>
        </is>
      </c>
      <c r="E431" t="inlineStr">
        <is>
          <t>FILIPSTAD</t>
        </is>
      </c>
      <c r="G431" t="n">
        <v>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15471-2024</t>
        </is>
      </c>
      <c r="B432" s="1" t="n">
        <v>45401.48166666667</v>
      </c>
      <c r="C432" s="1" t="n">
        <v>45990</v>
      </c>
      <c r="D432" t="inlineStr">
        <is>
          <t>VÄRMLANDS LÄN</t>
        </is>
      </c>
      <c r="E432" t="inlineStr">
        <is>
          <t>FILIPSTAD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54735-2024</t>
        </is>
      </c>
      <c r="B433" s="1" t="n">
        <v>45618.44033564815</v>
      </c>
      <c r="C433" s="1" t="n">
        <v>45990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12837-2024</t>
        </is>
      </c>
      <c r="B434" s="1" t="n">
        <v>45384</v>
      </c>
      <c r="C434" s="1" t="n">
        <v>45990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54828-2023</t>
        </is>
      </c>
      <c r="B435" s="1" t="n">
        <v>45229</v>
      </c>
      <c r="C435" s="1" t="n">
        <v>45990</v>
      </c>
      <c r="D435" t="inlineStr">
        <is>
          <t>VÄRMLANDS LÄN</t>
        </is>
      </c>
      <c r="E435" t="inlineStr">
        <is>
          <t>FILIPSTAD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29474-2024</t>
        </is>
      </c>
      <c r="B436" s="1" t="n">
        <v>45484</v>
      </c>
      <c r="C436" s="1" t="n">
        <v>45990</v>
      </c>
      <c r="D436" t="inlineStr">
        <is>
          <t>VÄRMLANDS LÄN</t>
        </is>
      </c>
      <c r="E436" t="inlineStr">
        <is>
          <t>FILIPSTAD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4418-2024</t>
        </is>
      </c>
      <c r="B437" s="1" t="n">
        <v>45327.44349537037</v>
      </c>
      <c r="C437" s="1" t="n">
        <v>45990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9.300000000000001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14328-2025</t>
        </is>
      </c>
      <c r="B438" s="1" t="n">
        <v>45740.83446759259</v>
      </c>
      <c r="C438" s="1" t="n">
        <v>45990</v>
      </c>
      <c r="D438" t="inlineStr">
        <is>
          <t>VÄRMLANDS LÄN</t>
        </is>
      </c>
      <c r="E438" t="inlineStr">
        <is>
          <t>FILIPSTAD</t>
        </is>
      </c>
      <c r="G438" t="n">
        <v>4.3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12594-2025</t>
        </is>
      </c>
      <c r="B439" s="1" t="n">
        <v>45732.87565972222</v>
      </c>
      <c r="C439" s="1" t="n">
        <v>45990</v>
      </c>
      <c r="D439" t="inlineStr">
        <is>
          <t>VÄRMLANDS LÄN</t>
        </is>
      </c>
      <c r="E439" t="inlineStr">
        <is>
          <t>FILIPSTAD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53210-2023</t>
        </is>
      </c>
      <c r="B440" s="1" t="n">
        <v>45222</v>
      </c>
      <c r="C440" s="1" t="n">
        <v>45990</v>
      </c>
      <c r="D440" t="inlineStr">
        <is>
          <t>VÄRMLANDS LÄN</t>
        </is>
      </c>
      <c r="E440" t="inlineStr">
        <is>
          <t>FILIPSTAD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23620-2023</t>
        </is>
      </c>
      <c r="B441" s="1" t="n">
        <v>45077.48210648148</v>
      </c>
      <c r="C441" s="1" t="n">
        <v>45990</v>
      </c>
      <c r="D441" t="inlineStr">
        <is>
          <t>VÄRMLANDS LÄN</t>
        </is>
      </c>
      <c r="E441" t="inlineStr">
        <is>
          <t>FILIPSTAD</t>
        </is>
      </c>
      <c r="G441" t="n">
        <v>7.5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50786-2024</t>
        </is>
      </c>
      <c r="B442" s="1" t="n">
        <v>45602</v>
      </c>
      <c r="C442" s="1" t="n">
        <v>45990</v>
      </c>
      <c r="D442" t="inlineStr">
        <is>
          <t>VÄRMLANDS LÄN</t>
        </is>
      </c>
      <c r="E442" t="inlineStr">
        <is>
          <t>FILIPSTAD</t>
        </is>
      </c>
      <c r="F442" t="inlineStr">
        <is>
          <t>Bergvik skog väst AB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47890-2024</t>
        </is>
      </c>
      <c r="B443" s="1" t="n">
        <v>45588</v>
      </c>
      <c r="C443" s="1" t="n">
        <v>45990</v>
      </c>
      <c r="D443" t="inlineStr">
        <is>
          <t>VÄRMLANDS LÄN</t>
        </is>
      </c>
      <c r="E443" t="inlineStr">
        <is>
          <t>FILIPSTAD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56918-2024</t>
        </is>
      </c>
      <c r="B444" s="1" t="n">
        <v>45628</v>
      </c>
      <c r="C444" s="1" t="n">
        <v>45990</v>
      </c>
      <c r="D444" t="inlineStr">
        <is>
          <t>VÄRMLANDS LÄN</t>
        </is>
      </c>
      <c r="E444" t="inlineStr">
        <is>
          <t>FILIPSTAD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13918-2024</t>
        </is>
      </c>
      <c r="B445" s="1" t="n">
        <v>45391.88422453704</v>
      </c>
      <c r="C445" s="1" t="n">
        <v>45990</v>
      </c>
      <c r="D445" t="inlineStr">
        <is>
          <t>VÄRMLANDS LÄN</t>
        </is>
      </c>
      <c r="E445" t="inlineStr">
        <is>
          <t>FILIPSTAD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70405-2021</t>
        </is>
      </c>
      <c r="B446" s="1" t="n">
        <v>44536.57564814815</v>
      </c>
      <c r="C446" s="1" t="n">
        <v>45990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2443-2022</t>
        </is>
      </c>
      <c r="B447" s="1" t="n">
        <v>44579.56311342592</v>
      </c>
      <c r="C447" s="1" t="n">
        <v>45990</v>
      </c>
      <c r="D447" t="inlineStr">
        <is>
          <t>VÄRMLANDS LÄN</t>
        </is>
      </c>
      <c r="E447" t="inlineStr">
        <is>
          <t>FILIPSTAD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61628-2022</t>
        </is>
      </c>
      <c r="B448" s="1" t="n">
        <v>44911</v>
      </c>
      <c r="C448" s="1" t="n">
        <v>45990</v>
      </c>
      <c r="D448" t="inlineStr">
        <is>
          <t>VÄRMLANDS LÄN</t>
        </is>
      </c>
      <c r="E448" t="inlineStr">
        <is>
          <t>FILIPSTAD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52994-2023</t>
        </is>
      </c>
      <c r="B449" s="1" t="n">
        <v>45226</v>
      </c>
      <c r="C449" s="1" t="n">
        <v>45990</v>
      </c>
      <c r="D449" t="inlineStr">
        <is>
          <t>VÄRMLANDS LÄN</t>
        </is>
      </c>
      <c r="E449" t="inlineStr">
        <is>
          <t>FILIPSTAD</t>
        </is>
      </c>
      <c r="F449" t="inlineStr">
        <is>
          <t>Bergvik skog väst AB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35737-2021</t>
        </is>
      </c>
      <c r="B450" s="1" t="n">
        <v>44386</v>
      </c>
      <c r="C450" s="1" t="n">
        <v>45990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45139-2021</t>
        </is>
      </c>
      <c r="B451" s="1" t="n">
        <v>44439</v>
      </c>
      <c r="C451" s="1" t="n">
        <v>45990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44509-2023</t>
        </is>
      </c>
      <c r="B452" s="1" t="n">
        <v>45189.46456018519</v>
      </c>
      <c r="C452" s="1" t="n">
        <v>45990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17686-2023</t>
        </is>
      </c>
      <c r="B453" s="1" t="n">
        <v>45037.32414351852</v>
      </c>
      <c r="C453" s="1" t="n">
        <v>45990</v>
      </c>
      <c r="D453" t="inlineStr">
        <is>
          <t>VÄRMLANDS LÄN</t>
        </is>
      </c>
      <c r="E453" t="inlineStr">
        <is>
          <t>FILIPSTAD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33671-2022</t>
        </is>
      </c>
      <c r="B454" s="1" t="n">
        <v>44789</v>
      </c>
      <c r="C454" s="1" t="n">
        <v>45990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10.6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36827-2022</t>
        </is>
      </c>
      <c r="B455" s="1" t="n">
        <v>44805.56246527778</v>
      </c>
      <c r="C455" s="1" t="n">
        <v>45990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47455-2023</t>
        </is>
      </c>
      <c r="B456" s="1" t="n">
        <v>45202.79825231482</v>
      </c>
      <c r="C456" s="1" t="n">
        <v>45990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34512-2023</t>
        </is>
      </c>
      <c r="B457" s="1" t="n">
        <v>45133</v>
      </c>
      <c r="C457" s="1" t="n">
        <v>45990</v>
      </c>
      <c r="D457" t="inlineStr">
        <is>
          <t>VÄRMLANDS LÄN</t>
        </is>
      </c>
      <c r="E457" t="inlineStr">
        <is>
          <t>FILIPSTAD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24054-2024</t>
        </is>
      </c>
      <c r="B458" s="1" t="n">
        <v>45456.50659722222</v>
      </c>
      <c r="C458" s="1" t="n">
        <v>45990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54008-2021</t>
        </is>
      </c>
      <c r="B459" s="1" t="n">
        <v>44470</v>
      </c>
      <c r="C459" s="1" t="n">
        <v>45990</v>
      </c>
      <c r="D459" t="inlineStr">
        <is>
          <t>VÄRMLANDS LÄN</t>
        </is>
      </c>
      <c r="E459" t="inlineStr">
        <is>
          <t>FILIPSTAD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20040-2025</t>
        </is>
      </c>
      <c r="B460" s="1" t="n">
        <v>45772</v>
      </c>
      <c r="C460" s="1" t="n">
        <v>45990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7.6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20554-2025</t>
        </is>
      </c>
      <c r="B461" s="1" t="n">
        <v>45775</v>
      </c>
      <c r="C461" s="1" t="n">
        <v>45990</v>
      </c>
      <c r="D461" t="inlineStr">
        <is>
          <t>VÄRMLANDS LÄN</t>
        </is>
      </c>
      <c r="E461" t="inlineStr">
        <is>
          <t>FILIPSTAD</t>
        </is>
      </c>
      <c r="F461" t="inlineStr">
        <is>
          <t>Bergvik skog väst AB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46257-2022</t>
        </is>
      </c>
      <c r="B462" s="1" t="n">
        <v>44847</v>
      </c>
      <c r="C462" s="1" t="n">
        <v>45990</v>
      </c>
      <c r="D462" t="inlineStr">
        <is>
          <t>VÄRMLANDS LÄN</t>
        </is>
      </c>
      <c r="E462" t="inlineStr">
        <is>
          <t>FILIPSTAD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51922-2024</t>
        </is>
      </c>
      <c r="B463" s="1" t="n">
        <v>45607</v>
      </c>
      <c r="C463" s="1" t="n">
        <v>45990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54836-2023</t>
        </is>
      </c>
      <c r="B464" s="1" t="n">
        <v>45229</v>
      </c>
      <c r="C464" s="1" t="n">
        <v>45990</v>
      </c>
      <c r="D464" t="inlineStr">
        <is>
          <t>VÄRMLANDS LÄN</t>
        </is>
      </c>
      <c r="E464" t="inlineStr">
        <is>
          <t>FILIPSTAD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23617-2023</t>
        </is>
      </c>
      <c r="B465" s="1" t="n">
        <v>45077.47910879629</v>
      </c>
      <c r="C465" s="1" t="n">
        <v>45990</v>
      </c>
      <c r="D465" t="inlineStr">
        <is>
          <t>VÄRMLANDS LÄN</t>
        </is>
      </c>
      <c r="E465" t="inlineStr">
        <is>
          <t>FILIPSTAD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23618-2023</t>
        </is>
      </c>
      <c r="B466" s="1" t="n">
        <v>45077.4805787037</v>
      </c>
      <c r="C466" s="1" t="n">
        <v>45990</v>
      </c>
      <c r="D466" t="inlineStr">
        <is>
          <t>VÄRMLANDS LÄN</t>
        </is>
      </c>
      <c r="E466" t="inlineStr">
        <is>
          <t>FILIPSTAD</t>
        </is>
      </c>
      <c r="G466" t="n">
        <v>15.8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6573-2023</t>
        </is>
      </c>
      <c r="B467" s="1" t="n">
        <v>44960</v>
      </c>
      <c r="C467" s="1" t="n">
        <v>45990</v>
      </c>
      <c r="D467" t="inlineStr">
        <is>
          <t>VÄRMLANDS LÄN</t>
        </is>
      </c>
      <c r="E467" t="inlineStr">
        <is>
          <t>FILIPSTAD</t>
        </is>
      </c>
      <c r="F467" t="inlineStr">
        <is>
          <t>Kommuner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29473-2024</t>
        </is>
      </c>
      <c r="B468" s="1" t="n">
        <v>45484</v>
      </c>
      <c r="C468" s="1" t="n">
        <v>45990</v>
      </c>
      <c r="D468" t="inlineStr">
        <is>
          <t>VÄRMLANDS LÄN</t>
        </is>
      </c>
      <c r="E468" t="inlineStr">
        <is>
          <t>FILIPSTAD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36732-2024</t>
        </is>
      </c>
      <c r="B469" s="1" t="n">
        <v>45537</v>
      </c>
      <c r="C469" s="1" t="n">
        <v>45990</v>
      </c>
      <c r="D469" t="inlineStr">
        <is>
          <t>VÄRMLANDS LÄN</t>
        </is>
      </c>
      <c r="E469" t="inlineStr">
        <is>
          <t>FILIPSTAD</t>
        </is>
      </c>
      <c r="F469" t="inlineStr">
        <is>
          <t>Bergvik skog väst AB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4191-2022</t>
        </is>
      </c>
      <c r="B470" s="1" t="n">
        <v>44588</v>
      </c>
      <c r="C470" s="1" t="n">
        <v>45990</v>
      </c>
      <c r="D470" t="inlineStr">
        <is>
          <t>VÄRMLANDS LÄN</t>
        </is>
      </c>
      <c r="E470" t="inlineStr">
        <is>
          <t>FILIPSTAD</t>
        </is>
      </c>
      <c r="F470" t="inlineStr">
        <is>
          <t>Kommuner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21593-2023</t>
        </is>
      </c>
      <c r="B471" s="1" t="n">
        <v>45063.60222222222</v>
      </c>
      <c r="C471" s="1" t="n">
        <v>45990</v>
      </c>
      <c r="D471" t="inlineStr">
        <is>
          <t>VÄRMLANDS LÄN</t>
        </is>
      </c>
      <c r="E471" t="inlineStr">
        <is>
          <t>FILIPSTAD</t>
        </is>
      </c>
      <c r="G471" t="n">
        <v>5.5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46241-2024</t>
        </is>
      </c>
      <c r="B472" s="1" t="n">
        <v>45581</v>
      </c>
      <c r="C472" s="1" t="n">
        <v>45990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5.2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19096-2025</t>
        </is>
      </c>
      <c r="B473" s="1" t="n">
        <v>45767</v>
      </c>
      <c r="C473" s="1" t="n">
        <v>45990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9370-2023</t>
        </is>
      </c>
      <c r="B474" s="1" t="n">
        <v>44981</v>
      </c>
      <c r="C474" s="1" t="n">
        <v>45990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8.1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47536-2023</t>
        </is>
      </c>
      <c r="B475" s="1" t="n">
        <v>45203.36576388889</v>
      </c>
      <c r="C475" s="1" t="n">
        <v>45990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25468-2024</t>
        </is>
      </c>
      <c r="B476" s="1" t="n">
        <v>45463</v>
      </c>
      <c r="C476" s="1" t="n">
        <v>45990</v>
      </c>
      <c r="D476" t="inlineStr">
        <is>
          <t>VÄRMLANDS LÄN</t>
        </is>
      </c>
      <c r="E476" t="inlineStr">
        <is>
          <t>FILIPSTAD</t>
        </is>
      </c>
      <c r="G476" t="n">
        <v>13.2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2440-2022</t>
        </is>
      </c>
      <c r="B477" s="1" t="n">
        <v>44579.55377314815</v>
      </c>
      <c r="C477" s="1" t="n">
        <v>45990</v>
      </c>
      <c r="D477" t="inlineStr">
        <is>
          <t>VÄRMLANDS LÄN</t>
        </is>
      </c>
      <c r="E477" t="inlineStr">
        <is>
          <t>FILIPSTAD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3844-2023</t>
        </is>
      </c>
      <c r="B478" s="1" t="n">
        <v>44951.66170138889</v>
      </c>
      <c r="C478" s="1" t="n">
        <v>45990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6.6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36377-2023</t>
        </is>
      </c>
      <c r="B479" s="1" t="n">
        <v>45152.51186342593</v>
      </c>
      <c r="C479" s="1" t="n">
        <v>45990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17763-2025</t>
        </is>
      </c>
      <c r="B480" s="1" t="n">
        <v>45758</v>
      </c>
      <c r="C480" s="1" t="n">
        <v>45990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13.1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45372-2022</t>
        </is>
      </c>
      <c r="B481" s="1" t="n">
        <v>44844.64200231482</v>
      </c>
      <c r="C481" s="1" t="n">
        <v>45990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9.300000000000001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45516-2024</t>
        </is>
      </c>
      <c r="B482" s="1" t="n">
        <v>45578</v>
      </c>
      <c r="C482" s="1" t="n">
        <v>45990</v>
      </c>
      <c r="D482" t="inlineStr">
        <is>
          <t>VÄRMLANDS LÄN</t>
        </is>
      </c>
      <c r="E482" t="inlineStr">
        <is>
          <t>FILIPSTAD</t>
        </is>
      </c>
      <c r="G482" t="n">
        <v>27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32262-2023</t>
        </is>
      </c>
      <c r="B483" s="1" t="n">
        <v>45120.30858796297</v>
      </c>
      <c r="C483" s="1" t="n">
        <v>45990</v>
      </c>
      <c r="D483" t="inlineStr">
        <is>
          <t>VÄRMLANDS LÄN</t>
        </is>
      </c>
      <c r="E483" t="inlineStr">
        <is>
          <t>FILIPSTAD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55598-2024</t>
        </is>
      </c>
      <c r="B484" s="1" t="n">
        <v>45622</v>
      </c>
      <c r="C484" s="1" t="n">
        <v>45990</v>
      </c>
      <c r="D484" t="inlineStr">
        <is>
          <t>VÄRMLANDS LÄN</t>
        </is>
      </c>
      <c r="E484" t="inlineStr">
        <is>
          <t>FILIPSTAD</t>
        </is>
      </c>
      <c r="F484" t="inlineStr">
        <is>
          <t>Bergvik skog väst AB</t>
        </is>
      </c>
      <c r="G484" t="n">
        <v>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56151-2023</t>
        </is>
      </c>
      <c r="B485" s="1" t="n">
        <v>45240.6055787037</v>
      </c>
      <c r="C485" s="1" t="n">
        <v>45990</v>
      </c>
      <c r="D485" t="inlineStr">
        <is>
          <t>VÄRMLANDS LÄN</t>
        </is>
      </c>
      <c r="E485" t="inlineStr">
        <is>
          <t>FILIPSTAD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47344-2023</t>
        </is>
      </c>
      <c r="B486" s="1" t="n">
        <v>45202.56717592593</v>
      </c>
      <c r="C486" s="1" t="n">
        <v>45990</v>
      </c>
      <c r="D486" t="inlineStr">
        <is>
          <t>VÄRMLANDS LÄN</t>
        </is>
      </c>
      <c r="E486" t="inlineStr">
        <is>
          <t>FILIPSTAD</t>
        </is>
      </c>
      <c r="F486" t="inlineStr">
        <is>
          <t>Bergvik skog väst AB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53744-2023</t>
        </is>
      </c>
      <c r="B487" s="1" t="n">
        <v>45230</v>
      </c>
      <c r="C487" s="1" t="n">
        <v>45990</v>
      </c>
      <c r="D487" t="inlineStr">
        <is>
          <t>VÄRMLANDS LÄN</t>
        </is>
      </c>
      <c r="E487" t="inlineStr">
        <is>
          <t>FILIPSTAD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38866-2024</t>
        </is>
      </c>
      <c r="B488" s="1" t="n">
        <v>45547</v>
      </c>
      <c r="C488" s="1" t="n">
        <v>45990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17794-2024</t>
        </is>
      </c>
      <c r="B489" s="1" t="n">
        <v>45418</v>
      </c>
      <c r="C489" s="1" t="n">
        <v>45990</v>
      </c>
      <c r="D489" t="inlineStr">
        <is>
          <t>VÄRMLANDS LÄN</t>
        </is>
      </c>
      <c r="E489" t="inlineStr">
        <is>
          <t>FILIPSTAD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10138-2024</t>
        </is>
      </c>
      <c r="B490" s="1" t="n">
        <v>45364</v>
      </c>
      <c r="C490" s="1" t="n">
        <v>45990</v>
      </c>
      <c r="D490" t="inlineStr">
        <is>
          <t>VÄRMLANDS LÄN</t>
        </is>
      </c>
      <c r="E490" t="inlineStr">
        <is>
          <t>FILIPSTAD</t>
        </is>
      </c>
      <c r="F490" t="inlineStr">
        <is>
          <t>Kommuner</t>
        </is>
      </c>
      <c r="G490" t="n">
        <v>6.8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11680-2023</t>
        </is>
      </c>
      <c r="B491" s="1" t="n">
        <v>44994</v>
      </c>
      <c r="C491" s="1" t="n">
        <v>45990</v>
      </c>
      <c r="D491" t="inlineStr">
        <is>
          <t>VÄRMLANDS LÄN</t>
        </is>
      </c>
      <c r="E491" t="inlineStr">
        <is>
          <t>FILIPSTAD</t>
        </is>
      </c>
      <c r="F491" t="inlineStr">
        <is>
          <t>Bergvik skog väst AB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25254-2024</t>
        </is>
      </c>
      <c r="B492" s="1" t="n">
        <v>45462.61162037037</v>
      </c>
      <c r="C492" s="1" t="n">
        <v>45990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18540-2025</t>
        </is>
      </c>
      <c r="B493" s="1" t="n">
        <v>45763</v>
      </c>
      <c r="C493" s="1" t="n">
        <v>45990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54145-2024</t>
        </is>
      </c>
      <c r="B494" s="1" t="n">
        <v>45616</v>
      </c>
      <c r="C494" s="1" t="n">
        <v>45990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55397-2022</t>
        </is>
      </c>
      <c r="B495" s="1" t="n">
        <v>44887.57297453703</v>
      </c>
      <c r="C495" s="1" t="n">
        <v>45990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41075-2023</t>
        </is>
      </c>
      <c r="B496" s="1" t="n">
        <v>45173</v>
      </c>
      <c r="C496" s="1" t="n">
        <v>45990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14840-2023</t>
        </is>
      </c>
      <c r="B497" s="1" t="n">
        <v>45014.74503472223</v>
      </c>
      <c r="C497" s="1" t="n">
        <v>45990</v>
      </c>
      <c r="D497" t="inlineStr">
        <is>
          <t>VÄRMLANDS LÄN</t>
        </is>
      </c>
      <c r="E497" t="inlineStr">
        <is>
          <t>FILIPSTAD</t>
        </is>
      </c>
      <c r="F497" t="inlineStr">
        <is>
          <t>Kyrkan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56650-2024</t>
        </is>
      </c>
      <c r="B498" s="1" t="n">
        <v>45625.76855324074</v>
      </c>
      <c r="C498" s="1" t="n">
        <v>45990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6.8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56652-2024</t>
        </is>
      </c>
      <c r="B499" s="1" t="n">
        <v>45625.78240740741</v>
      </c>
      <c r="C499" s="1" t="n">
        <v>45990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56654-2024</t>
        </is>
      </c>
      <c r="B500" s="1" t="n">
        <v>45625</v>
      </c>
      <c r="C500" s="1" t="n">
        <v>45990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4819-2023</t>
        </is>
      </c>
      <c r="B501" s="1" t="n">
        <v>44957</v>
      </c>
      <c r="C501" s="1" t="n">
        <v>45990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11.3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27400-2024</t>
        </is>
      </c>
      <c r="B502" s="1" t="n">
        <v>45474.34940972222</v>
      </c>
      <c r="C502" s="1" t="n">
        <v>45990</v>
      </c>
      <c r="D502" t="inlineStr">
        <is>
          <t>VÄRMLANDS LÄN</t>
        </is>
      </c>
      <c r="E502" t="inlineStr">
        <is>
          <t>FILIPSTAD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15771-2025</t>
        </is>
      </c>
      <c r="B503" s="1" t="n">
        <v>45748.58888888889</v>
      </c>
      <c r="C503" s="1" t="n">
        <v>45990</v>
      </c>
      <c r="D503" t="inlineStr">
        <is>
          <t>VÄRMLANDS LÄN</t>
        </is>
      </c>
      <c r="E503" t="inlineStr">
        <is>
          <t>FILIPSTAD</t>
        </is>
      </c>
      <c r="G503" t="n">
        <v>13.4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32185-2024</t>
        </is>
      </c>
      <c r="B504" s="1" t="n">
        <v>45511.64414351852</v>
      </c>
      <c r="C504" s="1" t="n">
        <v>45990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34145-2024</t>
        </is>
      </c>
      <c r="B505" s="1" t="n">
        <v>45524</v>
      </c>
      <c r="C505" s="1" t="n">
        <v>45990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5754-2022</t>
        </is>
      </c>
      <c r="B506" s="1" t="n">
        <v>44596</v>
      </c>
      <c r="C506" s="1" t="n">
        <v>45990</v>
      </c>
      <c r="D506" t="inlineStr">
        <is>
          <t>VÄRMLANDS LÄN</t>
        </is>
      </c>
      <c r="E506" t="inlineStr">
        <is>
          <t>FILIPSTAD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43635-2023</t>
        </is>
      </c>
      <c r="B507" s="1" t="n">
        <v>45186.41872685185</v>
      </c>
      <c r="C507" s="1" t="n">
        <v>45990</v>
      </c>
      <c r="D507" t="inlineStr">
        <is>
          <t>VÄRMLANDS LÄN</t>
        </is>
      </c>
      <c r="E507" t="inlineStr">
        <is>
          <t>FILIPSTAD</t>
        </is>
      </c>
      <c r="G507" t="n">
        <v>15.3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43633-2024</t>
        </is>
      </c>
      <c r="B508" s="1" t="n">
        <v>45569</v>
      </c>
      <c r="C508" s="1" t="n">
        <v>45990</v>
      </c>
      <c r="D508" t="inlineStr">
        <is>
          <t>VÄRMLANDS LÄN</t>
        </is>
      </c>
      <c r="E508" t="inlineStr">
        <is>
          <t>FILIPSTAD</t>
        </is>
      </c>
      <c r="F508" t="inlineStr">
        <is>
          <t>Bergvik skog väst AB</t>
        </is>
      </c>
      <c r="G508" t="n">
        <v>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31358-2023</t>
        </is>
      </c>
      <c r="B509" s="1" t="n">
        <v>45114</v>
      </c>
      <c r="C509" s="1" t="n">
        <v>45990</v>
      </c>
      <c r="D509" t="inlineStr">
        <is>
          <t>VÄRMLANDS LÄN</t>
        </is>
      </c>
      <c r="E509" t="inlineStr">
        <is>
          <t>FILIPSTAD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57026-2023</t>
        </is>
      </c>
      <c r="B510" s="1" t="n">
        <v>45244.82778935185</v>
      </c>
      <c r="C510" s="1" t="n">
        <v>45990</v>
      </c>
      <c r="D510" t="inlineStr">
        <is>
          <t>VÄRMLANDS LÄN</t>
        </is>
      </c>
      <c r="E510" t="inlineStr">
        <is>
          <t>FILIPSTAD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20528-2025</t>
        </is>
      </c>
      <c r="B511" s="1" t="n">
        <v>45775</v>
      </c>
      <c r="C511" s="1" t="n">
        <v>45990</v>
      </c>
      <c r="D511" t="inlineStr">
        <is>
          <t>VÄRMLANDS LÄN</t>
        </is>
      </c>
      <c r="E511" t="inlineStr">
        <is>
          <t>FILIPSTAD</t>
        </is>
      </c>
      <c r="F511" t="inlineStr">
        <is>
          <t>Bergvik skog väst AB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46680-2024</t>
        </is>
      </c>
      <c r="B512" s="1" t="n">
        <v>45583</v>
      </c>
      <c r="C512" s="1" t="n">
        <v>45990</v>
      </c>
      <c r="D512" t="inlineStr">
        <is>
          <t>VÄRMLANDS LÄN</t>
        </is>
      </c>
      <c r="E512" t="inlineStr">
        <is>
          <t>FILIPSTAD</t>
        </is>
      </c>
      <c r="F512" t="inlineStr">
        <is>
          <t>Bergvik skog väst AB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19030-2022</t>
        </is>
      </c>
      <c r="B513" s="1" t="n">
        <v>44691.36131944445</v>
      </c>
      <c r="C513" s="1" t="n">
        <v>45990</v>
      </c>
      <c r="D513" t="inlineStr">
        <is>
          <t>VÄRMLANDS LÄN</t>
        </is>
      </c>
      <c r="E513" t="inlineStr">
        <is>
          <t>FILIPSTAD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27080-2023</t>
        </is>
      </c>
      <c r="B514" s="1" t="n">
        <v>45096.36200231482</v>
      </c>
      <c r="C514" s="1" t="n">
        <v>45990</v>
      </c>
      <c r="D514" t="inlineStr">
        <is>
          <t>VÄRMLANDS LÄN</t>
        </is>
      </c>
      <c r="E514" t="inlineStr">
        <is>
          <t>FILIPSTAD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48908-2023</t>
        </is>
      </c>
      <c r="B515" s="1" t="n">
        <v>45195</v>
      </c>
      <c r="C515" s="1" t="n">
        <v>45990</v>
      </c>
      <c r="D515" t="inlineStr">
        <is>
          <t>VÄRMLANDS LÄN</t>
        </is>
      </c>
      <c r="E515" t="inlineStr">
        <is>
          <t>FILIPSTAD</t>
        </is>
      </c>
      <c r="F515" t="inlineStr">
        <is>
          <t>Bergvik skog väst AB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62013-2024</t>
        </is>
      </c>
      <c r="B516" s="1" t="n">
        <v>45655</v>
      </c>
      <c r="C516" s="1" t="n">
        <v>45990</v>
      </c>
      <c r="D516" t="inlineStr">
        <is>
          <t>VÄRMLANDS LÄN</t>
        </is>
      </c>
      <c r="E516" t="inlineStr">
        <is>
          <t>FILIPSTAD</t>
        </is>
      </c>
      <c r="G516" t="n">
        <v>26.5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62014-2024</t>
        </is>
      </c>
      <c r="B517" s="1" t="n">
        <v>45655.80100694444</v>
      </c>
      <c r="C517" s="1" t="n">
        <v>45990</v>
      </c>
      <c r="D517" t="inlineStr">
        <is>
          <t>VÄRMLANDS LÄN</t>
        </is>
      </c>
      <c r="E517" t="inlineStr">
        <is>
          <t>FILIPSTAD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1170-2023</t>
        </is>
      </c>
      <c r="B518" s="1" t="n">
        <v>44935</v>
      </c>
      <c r="C518" s="1" t="n">
        <v>45990</v>
      </c>
      <c r="D518" t="inlineStr">
        <is>
          <t>VÄRMLANDS LÄN</t>
        </is>
      </c>
      <c r="E518" t="inlineStr">
        <is>
          <t>FILIPSTAD</t>
        </is>
      </c>
      <c r="F518" t="inlineStr">
        <is>
          <t>Bergvik skog väst AB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5992-2023</t>
        </is>
      </c>
      <c r="B519" s="1" t="n">
        <v>44959</v>
      </c>
      <c r="C519" s="1" t="n">
        <v>45990</v>
      </c>
      <c r="D519" t="inlineStr">
        <is>
          <t>VÄRMLANDS LÄN</t>
        </is>
      </c>
      <c r="E519" t="inlineStr">
        <is>
          <t>FILIPSTAD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53562-2023</t>
        </is>
      </c>
      <c r="B520" s="1" t="n">
        <v>45230</v>
      </c>
      <c r="C520" s="1" t="n">
        <v>45990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9.9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63411-2023</t>
        </is>
      </c>
      <c r="B521" s="1" t="n">
        <v>45274.52950231481</v>
      </c>
      <c r="C521" s="1" t="n">
        <v>45990</v>
      </c>
      <c r="D521" t="inlineStr">
        <is>
          <t>VÄRMLANDS LÄN</t>
        </is>
      </c>
      <c r="E521" t="inlineStr">
        <is>
          <t>FILIPSTAD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43484-2023</t>
        </is>
      </c>
      <c r="B522" s="1" t="n">
        <v>45184</v>
      </c>
      <c r="C522" s="1" t="n">
        <v>45990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11068-2025</t>
        </is>
      </c>
      <c r="B523" s="1" t="n">
        <v>45723</v>
      </c>
      <c r="C523" s="1" t="n">
        <v>45990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33973-2023</t>
        </is>
      </c>
      <c r="B524" s="1" t="n">
        <v>45124</v>
      </c>
      <c r="C524" s="1" t="n">
        <v>45990</v>
      </c>
      <c r="D524" t="inlineStr">
        <is>
          <t>VÄRMLANDS LÄN</t>
        </is>
      </c>
      <c r="E524" t="inlineStr">
        <is>
          <t>FILIPSTAD</t>
        </is>
      </c>
      <c r="G524" t="n">
        <v>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34262-2024</t>
        </is>
      </c>
      <c r="B525" s="1" t="n">
        <v>45524.60002314814</v>
      </c>
      <c r="C525" s="1" t="n">
        <v>45990</v>
      </c>
      <c r="D525" t="inlineStr">
        <is>
          <t>VÄRMLANDS LÄN</t>
        </is>
      </c>
      <c r="E525" t="inlineStr">
        <is>
          <t>FILIPSTAD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45592-2024</t>
        </is>
      </c>
      <c r="B526" s="1" t="n">
        <v>45579</v>
      </c>
      <c r="C526" s="1" t="n">
        <v>45990</v>
      </c>
      <c r="D526" t="inlineStr">
        <is>
          <t>VÄRMLANDS LÄN</t>
        </is>
      </c>
      <c r="E526" t="inlineStr">
        <is>
          <t>FILIPSTAD</t>
        </is>
      </c>
      <c r="F526" t="inlineStr">
        <is>
          <t>Kyrkan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43264-2024</t>
        </is>
      </c>
      <c r="B527" s="1" t="n">
        <v>45568.36819444445</v>
      </c>
      <c r="C527" s="1" t="n">
        <v>45990</v>
      </c>
      <c r="D527" t="inlineStr">
        <is>
          <t>VÄRMLANDS LÄN</t>
        </is>
      </c>
      <c r="E527" t="inlineStr">
        <is>
          <t>FILIPSTAD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6860-2024</t>
        </is>
      </c>
      <c r="B528" s="1" t="n">
        <v>45342</v>
      </c>
      <c r="C528" s="1" t="n">
        <v>45990</v>
      </c>
      <c r="D528" t="inlineStr">
        <is>
          <t>VÄRMLANDS LÄN</t>
        </is>
      </c>
      <c r="E528" t="inlineStr">
        <is>
          <t>FILIPSTAD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19445-2025</t>
        </is>
      </c>
      <c r="B529" s="1" t="n">
        <v>45770.32002314815</v>
      </c>
      <c r="C529" s="1" t="n">
        <v>45990</v>
      </c>
      <c r="D529" t="inlineStr">
        <is>
          <t>VÄRMLANDS LÄN</t>
        </is>
      </c>
      <c r="E529" t="inlineStr">
        <is>
          <t>FILIPSTAD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11514-2025</t>
        </is>
      </c>
      <c r="B530" s="1" t="n">
        <v>45726.87460648148</v>
      </c>
      <c r="C530" s="1" t="n">
        <v>45990</v>
      </c>
      <c r="D530" t="inlineStr">
        <is>
          <t>VÄRMLANDS LÄN</t>
        </is>
      </c>
      <c r="E530" t="inlineStr">
        <is>
          <t>FILIPSTAD</t>
        </is>
      </c>
      <c r="G530" t="n">
        <v>8.199999999999999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43045-2024</t>
        </is>
      </c>
      <c r="B531" s="1" t="n">
        <v>45567</v>
      </c>
      <c r="C531" s="1" t="n">
        <v>45990</v>
      </c>
      <c r="D531" t="inlineStr">
        <is>
          <t>VÄRMLANDS LÄN</t>
        </is>
      </c>
      <c r="E531" t="inlineStr">
        <is>
          <t>FILIPSTAD</t>
        </is>
      </c>
      <c r="F531" t="inlineStr">
        <is>
          <t>Kyrkan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6683-2025</t>
        </is>
      </c>
      <c r="B532" s="1" t="n">
        <v>45700</v>
      </c>
      <c r="C532" s="1" t="n">
        <v>45990</v>
      </c>
      <c r="D532" t="inlineStr">
        <is>
          <t>VÄRMLANDS LÄN</t>
        </is>
      </c>
      <c r="E532" t="inlineStr">
        <is>
          <t>FILIPSTAD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25376-2023</t>
        </is>
      </c>
      <c r="B533" s="1" t="n">
        <v>45088.95497685186</v>
      </c>
      <c r="C533" s="1" t="n">
        <v>45990</v>
      </c>
      <c r="D533" t="inlineStr">
        <is>
          <t>VÄRMLANDS LÄN</t>
        </is>
      </c>
      <c r="E533" t="inlineStr">
        <is>
          <t>FILIPSTAD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20606-2025</t>
        </is>
      </c>
      <c r="B534" s="1" t="n">
        <v>45775</v>
      </c>
      <c r="C534" s="1" t="n">
        <v>45990</v>
      </c>
      <c r="D534" t="inlineStr">
        <is>
          <t>VÄRMLANDS LÄN</t>
        </is>
      </c>
      <c r="E534" t="inlineStr">
        <is>
          <t>FILIPSTAD</t>
        </is>
      </c>
      <c r="F534" t="inlineStr">
        <is>
          <t>Bergvik skog väst AB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60521-2024</t>
        </is>
      </c>
      <c r="B535" s="1" t="n">
        <v>45643</v>
      </c>
      <c r="C535" s="1" t="n">
        <v>45990</v>
      </c>
      <c r="D535" t="inlineStr">
        <is>
          <t>VÄRMLANDS LÄN</t>
        </is>
      </c>
      <c r="E535" t="inlineStr">
        <is>
          <t>FILIPSTAD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69015-2021</t>
        </is>
      </c>
      <c r="B536" s="1" t="n">
        <v>44530.60211805555</v>
      </c>
      <c r="C536" s="1" t="n">
        <v>45990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12.7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20966-2024</t>
        </is>
      </c>
      <c r="B537" s="1" t="n">
        <v>45439</v>
      </c>
      <c r="C537" s="1" t="n">
        <v>45990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60731-2024</t>
        </is>
      </c>
      <c r="B538" s="1" t="n">
        <v>45644.54251157407</v>
      </c>
      <c r="C538" s="1" t="n">
        <v>45990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6520-2023</t>
        </is>
      </c>
      <c r="B539" s="1" t="n">
        <v>44960</v>
      </c>
      <c r="C539" s="1" t="n">
        <v>45990</v>
      </c>
      <c r="D539" t="inlineStr">
        <is>
          <t>VÄRMLANDS LÄN</t>
        </is>
      </c>
      <c r="E539" t="inlineStr">
        <is>
          <t>FILIPSTAD</t>
        </is>
      </c>
      <c r="F539" t="inlineStr">
        <is>
          <t>Kommuner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6745-2025</t>
        </is>
      </c>
      <c r="B540" s="1" t="n">
        <v>45700.60505787037</v>
      </c>
      <c r="C540" s="1" t="n">
        <v>45990</v>
      </c>
      <c r="D540" t="inlineStr">
        <is>
          <t>VÄRMLANDS LÄN</t>
        </is>
      </c>
      <c r="E540" t="inlineStr">
        <is>
          <t>FILIPSTAD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20661-2024</t>
        </is>
      </c>
      <c r="B541" s="1" t="n">
        <v>45436</v>
      </c>
      <c r="C541" s="1" t="n">
        <v>45990</v>
      </c>
      <c r="D541" t="inlineStr">
        <is>
          <t>VÄRMLANDS LÄN</t>
        </is>
      </c>
      <c r="E541" t="inlineStr">
        <is>
          <t>FILIPSTAD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25521-2024</t>
        </is>
      </c>
      <c r="B542" s="1" t="n">
        <v>45463</v>
      </c>
      <c r="C542" s="1" t="n">
        <v>45990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53690-2022</t>
        </is>
      </c>
      <c r="B543" s="1" t="n">
        <v>44880</v>
      </c>
      <c r="C543" s="1" t="n">
        <v>45990</v>
      </c>
      <c r="D543" t="inlineStr">
        <is>
          <t>VÄRMLANDS LÄN</t>
        </is>
      </c>
      <c r="E543" t="inlineStr">
        <is>
          <t>FILIPSTAD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6728-2025</t>
        </is>
      </c>
      <c r="B544" s="1" t="n">
        <v>45700</v>
      </c>
      <c r="C544" s="1" t="n">
        <v>45990</v>
      </c>
      <c r="D544" t="inlineStr">
        <is>
          <t>VÄRMLANDS LÄN</t>
        </is>
      </c>
      <c r="E544" t="inlineStr">
        <is>
          <t>FILIPSTAD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48040-2023</t>
        </is>
      </c>
      <c r="B545" s="1" t="n">
        <v>45204</v>
      </c>
      <c r="C545" s="1" t="n">
        <v>45990</v>
      </c>
      <c r="D545" t="inlineStr">
        <is>
          <t>VÄRMLANDS LÄN</t>
        </is>
      </c>
      <c r="E545" t="inlineStr">
        <is>
          <t>FILIPSTAD</t>
        </is>
      </c>
      <c r="G545" t="n">
        <v>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52981-2021</t>
        </is>
      </c>
      <c r="B546" s="1" t="n">
        <v>44467.63005787037</v>
      </c>
      <c r="C546" s="1" t="n">
        <v>45990</v>
      </c>
      <c r="D546" t="inlineStr">
        <is>
          <t>VÄRMLANDS LÄN</t>
        </is>
      </c>
      <c r="E546" t="inlineStr">
        <is>
          <t>FILIPSTAD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10306-2025</t>
        </is>
      </c>
      <c r="B547" s="1" t="n">
        <v>45720.44628472222</v>
      </c>
      <c r="C547" s="1" t="n">
        <v>45990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48527-2024</t>
        </is>
      </c>
      <c r="B548" s="1" t="n">
        <v>45593.341875</v>
      </c>
      <c r="C548" s="1" t="n">
        <v>45990</v>
      </c>
      <c r="D548" t="inlineStr">
        <is>
          <t>VÄRMLANDS LÄN</t>
        </is>
      </c>
      <c r="E548" t="inlineStr">
        <is>
          <t>FILIPSTAD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23046-2023</t>
        </is>
      </c>
      <c r="B549" s="1" t="n">
        <v>45075</v>
      </c>
      <c r="C549" s="1" t="n">
        <v>45990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  <c r="U549">
        <f>HYPERLINK("https://klasma.github.io/Logging_1782/knärot/A 23046-2023 karta knärot.png", "A 23046-2023")</f>
        <v/>
      </c>
      <c r="V549">
        <f>HYPERLINK("https://klasma.github.io/Logging_1782/klagomål/A 23046-2023 FSC-klagomål.docx", "A 23046-2023")</f>
        <v/>
      </c>
      <c r="W549">
        <f>HYPERLINK("https://klasma.github.io/Logging_1782/klagomålsmail/A 23046-2023 FSC-klagomål mail.docx", "A 23046-2023")</f>
        <v/>
      </c>
      <c r="X549">
        <f>HYPERLINK("https://klasma.github.io/Logging_1782/tillsyn/A 23046-2023 tillsynsbegäran.docx", "A 23046-2023")</f>
        <v/>
      </c>
      <c r="Y549">
        <f>HYPERLINK("https://klasma.github.io/Logging_1782/tillsynsmail/A 23046-2023 tillsynsbegäran mail.docx", "A 23046-2023")</f>
        <v/>
      </c>
    </row>
    <row r="550" ht="15" customHeight="1">
      <c r="A550" t="inlineStr">
        <is>
          <t>A 51266-2021</t>
        </is>
      </c>
      <c r="B550" s="1" t="n">
        <v>44461.56226851852</v>
      </c>
      <c r="C550" s="1" t="n">
        <v>45990</v>
      </c>
      <c r="D550" t="inlineStr">
        <is>
          <t>VÄRMLANDS LÄN</t>
        </is>
      </c>
      <c r="E550" t="inlineStr">
        <is>
          <t>FILIPSTAD</t>
        </is>
      </c>
      <c r="G550" t="n">
        <v>4.7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51618-2022</t>
        </is>
      </c>
      <c r="B551" s="1" t="n">
        <v>44872.32150462963</v>
      </c>
      <c r="C551" s="1" t="n">
        <v>45990</v>
      </c>
      <c r="D551" t="inlineStr">
        <is>
          <t>VÄRMLANDS LÄN</t>
        </is>
      </c>
      <c r="E551" t="inlineStr">
        <is>
          <t>FILIPSTAD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32786-2024</t>
        </is>
      </c>
      <c r="B552" s="1" t="n">
        <v>45516</v>
      </c>
      <c r="C552" s="1" t="n">
        <v>45990</v>
      </c>
      <c r="D552" t="inlineStr">
        <is>
          <t>VÄRMLANDS LÄN</t>
        </is>
      </c>
      <c r="E552" t="inlineStr">
        <is>
          <t>FILIPSTAD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11137-2025</t>
        </is>
      </c>
      <c r="B553" s="1" t="n">
        <v>45723.6612037037</v>
      </c>
      <c r="C553" s="1" t="n">
        <v>45990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6661-2025</t>
        </is>
      </c>
      <c r="B554" s="1" t="n">
        <v>45700.44770833333</v>
      </c>
      <c r="C554" s="1" t="n">
        <v>45990</v>
      </c>
      <c r="D554" t="inlineStr">
        <is>
          <t>VÄRMLANDS LÄN</t>
        </is>
      </c>
      <c r="E554" t="inlineStr">
        <is>
          <t>FILIPSTAD</t>
        </is>
      </c>
      <c r="G554" t="n">
        <v>10.6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6539-2021</t>
        </is>
      </c>
      <c r="B555" s="1" t="n">
        <v>44235</v>
      </c>
      <c r="C555" s="1" t="n">
        <v>45990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37611-2022</t>
        </is>
      </c>
      <c r="B556" s="1" t="n">
        <v>44809</v>
      </c>
      <c r="C556" s="1" t="n">
        <v>45990</v>
      </c>
      <c r="D556" t="inlineStr">
        <is>
          <t>VÄRMLANDS LÄN</t>
        </is>
      </c>
      <c r="E556" t="inlineStr">
        <is>
          <t>FILIPSTAD</t>
        </is>
      </c>
      <c r="G556" t="n">
        <v>5.4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51980-2024</t>
        </is>
      </c>
      <c r="B557" s="1" t="n">
        <v>45607</v>
      </c>
      <c r="C557" s="1" t="n">
        <v>45990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16591-2022</t>
        </is>
      </c>
      <c r="B558" s="1" t="n">
        <v>44672</v>
      </c>
      <c r="C558" s="1" t="n">
        <v>45990</v>
      </c>
      <c r="D558" t="inlineStr">
        <is>
          <t>VÄRMLANDS LÄN</t>
        </is>
      </c>
      <c r="E558" t="inlineStr">
        <is>
          <t>FILIPSTAD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12160-2023</t>
        </is>
      </c>
      <c r="B559" s="1" t="n">
        <v>44998</v>
      </c>
      <c r="C559" s="1" t="n">
        <v>45990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11.2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46978-2023</t>
        </is>
      </c>
      <c r="B560" s="1" t="n">
        <v>45195</v>
      </c>
      <c r="C560" s="1" t="n">
        <v>45990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11.2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19034-2024</t>
        </is>
      </c>
      <c r="B561" s="1" t="n">
        <v>45427</v>
      </c>
      <c r="C561" s="1" t="n">
        <v>45990</v>
      </c>
      <c r="D561" t="inlineStr">
        <is>
          <t>VÄRMLANDS LÄN</t>
        </is>
      </c>
      <c r="E561" t="inlineStr">
        <is>
          <t>FILIPSTAD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19035-2024</t>
        </is>
      </c>
      <c r="B562" s="1" t="n">
        <v>45427</v>
      </c>
      <c r="C562" s="1" t="n">
        <v>45990</v>
      </c>
      <c r="D562" t="inlineStr">
        <is>
          <t>VÄRMLANDS LÄN</t>
        </is>
      </c>
      <c r="E562" t="inlineStr">
        <is>
          <t>FILIPSTAD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14432-2025</t>
        </is>
      </c>
      <c r="B563" s="1" t="n">
        <v>45741.50583333334</v>
      </c>
      <c r="C563" s="1" t="n">
        <v>45990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10.4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36042-2021</t>
        </is>
      </c>
      <c r="B564" s="1" t="n">
        <v>44386</v>
      </c>
      <c r="C564" s="1" t="n">
        <v>45990</v>
      </c>
      <c r="D564" t="inlineStr">
        <is>
          <t>VÄRMLANDS LÄN</t>
        </is>
      </c>
      <c r="E564" t="inlineStr">
        <is>
          <t>FILIPSTAD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27139-2024</t>
        </is>
      </c>
      <c r="B565" s="1" t="n">
        <v>45471.54475694444</v>
      </c>
      <c r="C565" s="1" t="n">
        <v>45990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17244-2024</t>
        </is>
      </c>
      <c r="B566" s="1" t="n">
        <v>45414.38712962963</v>
      </c>
      <c r="C566" s="1" t="n">
        <v>45990</v>
      </c>
      <c r="D566" t="inlineStr">
        <is>
          <t>VÄRMLANDS LÄN</t>
        </is>
      </c>
      <c r="E566" t="inlineStr">
        <is>
          <t>FILIPSTAD</t>
        </is>
      </c>
      <c r="G566" t="n">
        <v>5.2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47002-2024</t>
        </is>
      </c>
      <c r="B567" s="1" t="n">
        <v>45586.37773148148</v>
      </c>
      <c r="C567" s="1" t="n">
        <v>45990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30646-2024</t>
        </is>
      </c>
      <c r="B568" s="1" t="n">
        <v>45495.58861111111</v>
      </c>
      <c r="C568" s="1" t="n">
        <v>45990</v>
      </c>
      <c r="D568" t="inlineStr">
        <is>
          <t>VÄRMLANDS LÄN</t>
        </is>
      </c>
      <c r="E568" t="inlineStr">
        <is>
          <t>FILIPSTAD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1346-2025</t>
        </is>
      </c>
      <c r="B569" s="1" t="n">
        <v>45667</v>
      </c>
      <c r="C569" s="1" t="n">
        <v>45990</v>
      </c>
      <c r="D569" t="inlineStr">
        <is>
          <t>VÄRMLANDS LÄN</t>
        </is>
      </c>
      <c r="E569" t="inlineStr">
        <is>
          <t>FILIPSTAD</t>
        </is>
      </c>
      <c r="F569" t="inlineStr">
        <is>
          <t>Kommuner</t>
        </is>
      </c>
      <c r="G569" t="n">
        <v>6.9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20875-2024</t>
        </is>
      </c>
      <c r="B570" s="1" t="n">
        <v>45439</v>
      </c>
      <c r="C570" s="1" t="n">
        <v>45990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6.8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65167-2021</t>
        </is>
      </c>
      <c r="B571" s="1" t="n">
        <v>44515</v>
      </c>
      <c r="C571" s="1" t="n">
        <v>45990</v>
      </c>
      <c r="D571" t="inlineStr">
        <is>
          <t>VÄRMLANDS LÄN</t>
        </is>
      </c>
      <c r="E571" t="inlineStr">
        <is>
          <t>FILIPSTAD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22558-2025</t>
        </is>
      </c>
      <c r="B572" s="1" t="n">
        <v>45789.31070601852</v>
      </c>
      <c r="C572" s="1" t="n">
        <v>45990</v>
      </c>
      <c r="D572" t="inlineStr">
        <is>
          <t>VÄRMLANDS LÄN</t>
        </is>
      </c>
      <c r="E572" t="inlineStr">
        <is>
          <t>FILIPSTAD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22547-2025</t>
        </is>
      </c>
      <c r="B573" s="1" t="n">
        <v>45788.46444444444</v>
      </c>
      <c r="C573" s="1" t="n">
        <v>45990</v>
      </c>
      <c r="D573" t="inlineStr">
        <is>
          <t>VÄRMLANDS LÄN</t>
        </is>
      </c>
      <c r="E573" t="inlineStr">
        <is>
          <t>FILIPSTAD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28357-2024</t>
        </is>
      </c>
      <c r="B574" s="1" t="n">
        <v>45477.57092592592</v>
      </c>
      <c r="C574" s="1" t="n">
        <v>45990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5.9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35304-2024</t>
        </is>
      </c>
      <c r="B575" s="1" t="n">
        <v>45530.67231481482</v>
      </c>
      <c r="C575" s="1" t="n">
        <v>45990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6.6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22925-2025</t>
        </is>
      </c>
      <c r="B576" s="1" t="n">
        <v>45790.44490740741</v>
      </c>
      <c r="C576" s="1" t="n">
        <v>45990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23266-2025</t>
        </is>
      </c>
      <c r="B577" s="1" t="n">
        <v>45791.55612268519</v>
      </c>
      <c r="C577" s="1" t="n">
        <v>45990</v>
      </c>
      <c r="D577" t="inlineStr">
        <is>
          <t>VÄRMLANDS LÄN</t>
        </is>
      </c>
      <c r="E577" t="inlineStr">
        <is>
          <t>FILIPSTAD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48702-2024</t>
        </is>
      </c>
      <c r="B578" s="1" t="n">
        <v>45593.52293981481</v>
      </c>
      <c r="C578" s="1" t="n">
        <v>45990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23286-2025</t>
        </is>
      </c>
      <c r="B579" s="1" t="n">
        <v>45791</v>
      </c>
      <c r="C579" s="1" t="n">
        <v>45990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23174-2025</t>
        </is>
      </c>
      <c r="B580" s="1" t="n">
        <v>45791</v>
      </c>
      <c r="C580" s="1" t="n">
        <v>45990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22880-2025</t>
        </is>
      </c>
      <c r="B581" s="1" t="n">
        <v>45790.38118055555</v>
      </c>
      <c r="C581" s="1" t="n">
        <v>45990</v>
      </c>
      <c r="D581" t="inlineStr">
        <is>
          <t>VÄRMLANDS LÄN</t>
        </is>
      </c>
      <c r="E581" t="inlineStr">
        <is>
          <t>FILIPSTAD</t>
        </is>
      </c>
      <c r="F581" t="inlineStr">
        <is>
          <t>Kyrkan</t>
        </is>
      </c>
      <c r="G581" t="n">
        <v>5.4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22843-2025</t>
        </is>
      </c>
      <c r="B582" s="1" t="n">
        <v>45790.31645833333</v>
      </c>
      <c r="C582" s="1" t="n">
        <v>45990</v>
      </c>
      <c r="D582" t="inlineStr">
        <is>
          <t>VÄRMLANDS LÄN</t>
        </is>
      </c>
      <c r="E582" t="inlineStr">
        <is>
          <t>FILIPSTAD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1350-2025</t>
        </is>
      </c>
      <c r="B583" s="1" t="n">
        <v>45667</v>
      </c>
      <c r="C583" s="1" t="n">
        <v>45990</v>
      </c>
      <c r="D583" t="inlineStr">
        <is>
          <t>VÄRMLANDS LÄN</t>
        </is>
      </c>
      <c r="E583" t="inlineStr">
        <is>
          <t>FILIPSTAD</t>
        </is>
      </c>
      <c r="F583" t="inlineStr">
        <is>
          <t>Kommuner</t>
        </is>
      </c>
      <c r="G583" t="n">
        <v>5.9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23769-2025</t>
        </is>
      </c>
      <c r="B584" s="1" t="n">
        <v>45793</v>
      </c>
      <c r="C584" s="1" t="n">
        <v>45990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7.1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23775-2025</t>
        </is>
      </c>
      <c r="B585" s="1" t="n">
        <v>45793</v>
      </c>
      <c r="C585" s="1" t="n">
        <v>45990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23399-2025</t>
        </is>
      </c>
      <c r="B586" s="1" t="n">
        <v>45792.31489583333</v>
      </c>
      <c r="C586" s="1" t="n">
        <v>45990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23475-2025</t>
        </is>
      </c>
      <c r="B587" s="1" t="n">
        <v>45792</v>
      </c>
      <c r="C587" s="1" t="n">
        <v>45990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8712-2024</t>
        </is>
      </c>
      <c r="B588" s="1" t="n">
        <v>45355</v>
      </c>
      <c r="C588" s="1" t="n">
        <v>45990</v>
      </c>
      <c r="D588" t="inlineStr">
        <is>
          <t>VÄRMLANDS LÄN</t>
        </is>
      </c>
      <c r="E588" t="inlineStr">
        <is>
          <t>FILIPSTAD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11453-2025</t>
        </is>
      </c>
      <c r="B589" s="1" t="n">
        <v>45726.64355324074</v>
      </c>
      <c r="C589" s="1" t="n">
        <v>45990</v>
      </c>
      <c r="D589" t="inlineStr">
        <is>
          <t>VÄRMLANDS LÄN</t>
        </is>
      </c>
      <c r="E589" t="inlineStr">
        <is>
          <t>FILIPSTAD</t>
        </is>
      </c>
      <c r="G589" t="n">
        <v>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24386-2025</t>
        </is>
      </c>
      <c r="B590" s="1" t="n">
        <v>45797.63240740741</v>
      </c>
      <c r="C590" s="1" t="n">
        <v>45990</v>
      </c>
      <c r="D590" t="inlineStr">
        <is>
          <t>VÄRMLANDS LÄN</t>
        </is>
      </c>
      <c r="E590" t="inlineStr">
        <is>
          <t>FILIPSTAD</t>
        </is>
      </c>
      <c r="F590" t="inlineStr">
        <is>
          <t>Bergvik skog väst AB</t>
        </is>
      </c>
      <c r="G590" t="n">
        <v>5.9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72118-2021</t>
        </is>
      </c>
      <c r="B591" s="1" t="n">
        <v>44543</v>
      </c>
      <c r="C591" s="1" t="n">
        <v>45990</v>
      </c>
      <c r="D591" t="inlineStr">
        <is>
          <t>VÄRMLANDS LÄN</t>
        </is>
      </c>
      <c r="E591" t="inlineStr">
        <is>
          <t>FILIPSTAD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15396-2025</t>
        </is>
      </c>
      <c r="B592" s="1" t="n">
        <v>45747.44082175926</v>
      </c>
      <c r="C592" s="1" t="n">
        <v>45990</v>
      </c>
      <c r="D592" t="inlineStr">
        <is>
          <t>VÄRMLANDS LÄN</t>
        </is>
      </c>
      <c r="E592" t="inlineStr">
        <is>
          <t>FILIPSTAD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>
      <c r="A593" t="inlineStr">
        <is>
          <t>A 65174-2021</t>
        </is>
      </c>
      <c r="B593" s="1" t="n">
        <v>44515</v>
      </c>
      <c r="C593" s="1" t="n">
        <v>45990</v>
      </c>
      <c r="D593" t="inlineStr">
        <is>
          <t>VÄRMLANDS LÄN</t>
        </is>
      </c>
      <c r="E593" t="inlineStr">
        <is>
          <t>FILIPSTAD</t>
        </is>
      </c>
      <c r="G593" t="n">
        <v>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2025-11-29T10:26:01Z</dcterms:created>
  <dcterms:modified xmlns:dcterms="http://purl.org/dc/terms/" xmlns:xsi="http://www.w3.org/2001/XMLSchema-instance" xsi:type="dcterms:W3CDTF">2025-11-29T10:26:01Z</dcterms:modified>
</cp:coreProperties>
</file>