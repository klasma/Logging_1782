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46269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46269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46269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46269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46269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46269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46269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46269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46269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46269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46269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46269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34684-2026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46269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7.2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Bårdlav
Stuplav
Fläcknycklar</t>
        </is>
      </c>
      <c r="W15">
        <f>HYPERLINK("https://klasma.github.io/Logging_1782/artfynd/A 34684-2026 artfynd.xlsx", "A 34684-2026")</f>
        <v/>
      </c>
      <c r="X15">
        <f>HYPERLINK("https://klasma.github.io/Logging_1782/kartor/A 34684-2026 karta.png", "A 34684-2026")</f>
        <v/>
      </c>
      <c r="Y15">
        <f>HYPERLINK("https://klasma.github.io/Logging_1782/kartor_geotiff/A 34684-2026 georefererad karta.tif", "A 34684-2026")</f>
        <v/>
      </c>
      <c r="AA15">
        <f>HYPERLINK("https://klasma.github.io/Logging_1782/klagomål/A 34684-2026 FSC-klagomål.docx", "A 34684-2026")</f>
        <v/>
      </c>
      <c r="AB15">
        <f>HYPERLINK("https://klasma.github.io/Logging_1782/klagomålsmail/A 34684-2026 FSC-klagomål mail.docx", "A 34684-2026")</f>
        <v/>
      </c>
      <c r="AC15">
        <f>HYPERLINK("https://klasma.github.io/Logging_1782/tillsyn/A 34684-2026 tillsynsbegäran.docx", "A 34684-2026")</f>
        <v/>
      </c>
      <c r="AD15">
        <f>HYPERLINK("https://klasma.github.io/Logging_1782/tillsynsmail/A 34684-2026 tillsynsbegäran mail.docx", "A 34684-2026")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46269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46269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19945-2023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45054</v>
      </c>
      <c r="E18" s="1" t="n">
        <v>46269</v>
      </c>
      <c r="F18" t="inlineStr">
        <is>
          <t>VÄRMLANDS LÄN</t>
        </is>
      </c>
      <c r="G18" t="inlineStr">
        <is>
          <t>FILIPSTAD</t>
        </is>
      </c>
      <c r="I18" t="n">
        <v>3.3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Guckusko
Kransrams</t>
        </is>
      </c>
      <c r="W18">
        <f>HYPERLINK("https://klasma.github.io/Logging_1782/artfynd/A 19945-2023 artfynd.xlsx", "A 19945-2023")</f>
        <v/>
      </c>
      <c r="X18">
        <f>HYPERLINK("https://klasma.github.io/Logging_1782/kartor/A 19945-2023 karta.png", "A 19945-2023")</f>
        <v/>
      </c>
      <c r="Y18">
        <f>HYPERLINK("https://klasma.github.io/Logging_1782/kartor_geotiff/A 19945-2023 georefererad karta.tif", "A 19945-2023")</f>
        <v/>
      </c>
      <c r="AA18">
        <f>HYPERLINK("https://klasma.github.io/Logging_1782/klagomål/A 19945-2023 FSC-klagomål.docx", "A 19945-2023")</f>
        <v/>
      </c>
      <c r="AB18">
        <f>HYPERLINK("https://klasma.github.io/Logging_1782/klagomålsmail/A 19945-2023 FSC-klagomål mail.docx", "A 19945-2023")</f>
        <v/>
      </c>
      <c r="AC18">
        <f>HYPERLINK("https://klasma.github.io/Logging_1782/tillsyn/A 19945-2023 tillsynsbegäran.docx", "A 19945-2023")</f>
        <v/>
      </c>
      <c r="AD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45414</v>
      </c>
      <c r="E19" s="1" t="n">
        <v>46269</v>
      </c>
      <c r="F19" t="inlineStr">
        <is>
          <t>VÄRMLANDS LÄN</t>
        </is>
      </c>
      <c r="G19" t="inlineStr">
        <is>
          <t>FILIPSTAD</t>
        </is>
      </c>
      <c r="H19" t="inlineStr">
        <is>
          <t>Kommuner</t>
        </is>
      </c>
      <c r="I19" t="n">
        <v>5.8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Dropptaggsvamp
Talltita</t>
        </is>
      </c>
      <c r="W19">
        <f>HYPERLINK("https://klasma.github.io/Logging_1782/artfynd/A 17274-2024 artfynd.xlsx", "A 17274-2024")</f>
        <v/>
      </c>
      <c r="X19">
        <f>HYPERLINK("https://klasma.github.io/Logging_1782/kartor/A 17274-2024 karta.png", "A 17274-2024")</f>
        <v/>
      </c>
      <c r="Y19">
        <f>HYPERLINK("https://klasma.github.io/Logging_1782/kartor_geotiff/A 17274-2024 georefererad karta.tif", "A 17274-2024")</f>
        <v/>
      </c>
      <c r="AA19">
        <f>HYPERLINK("https://klasma.github.io/Logging_1782/klagomål/A 17274-2024 FSC-klagomål.docx", "A 17274-2024")</f>
        <v/>
      </c>
      <c r="AB19">
        <f>HYPERLINK("https://klasma.github.io/Logging_1782/klagomålsmail/A 17274-2024 FSC-klagomål mail.docx", "A 17274-2024")</f>
        <v/>
      </c>
      <c r="AC19">
        <f>HYPERLINK("https://klasma.github.io/Logging_1782/tillsyn/A 17274-2024 tillsynsbegäran.docx", "A 17274-2024")</f>
        <v/>
      </c>
      <c r="AD19">
        <f>HYPERLINK("https://klasma.github.io/Logging_1782/tillsynsmail/A 17274-2024 tillsynsbegäran mail.docx", "A 17274-2024")</f>
        <v/>
      </c>
      <c r="AE19">
        <f>HYPERLINK("https://klasma.github.io/Logging_1782/fåglar/A 17274-2024 prioriterade fågelarter.docx", "A 17274-2024")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46269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46269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Läderlappslav
Tjäder</t>
        </is>
      </c>
      <c r="W21">
        <f>HYPERLINK("https://klasma.github.io/Logging_1782/artfynd/A 51922-2024 artfynd.xlsx", "A 51922-2024")</f>
        <v/>
      </c>
      <c r="X21">
        <f>HYPERLINK("https://klasma.github.io/Logging_1782/kartor/A 51922-2024 karta.png", "A 51922-2024")</f>
        <v/>
      </c>
      <c r="Y21">
        <f>HYPERLINK("https://klasma.github.io/Logging_1782/kartor_geotiff/A 51922-2024 georefererad karta.tif", "A 51922-2024")</f>
        <v/>
      </c>
      <c r="AA21">
        <f>HYPERLINK("https://klasma.github.io/Logging_1782/klagomål/A 51922-2024 FSC-klagomål.docx", "A 51922-2024")</f>
        <v/>
      </c>
      <c r="AB21">
        <f>HYPERLINK("https://klasma.github.io/Logging_1782/klagomålsmail/A 51922-2024 FSC-klagomål mail.docx", "A 51922-2024")</f>
        <v/>
      </c>
      <c r="AC21">
        <f>HYPERLINK("https://klasma.github.io/Logging_1782/tillsyn/A 51922-2024 tillsynsbegäran.docx", "A 51922-2024")</f>
        <v/>
      </c>
      <c r="AD21">
        <f>HYPERLINK("https://klasma.github.io/Logging_1782/tillsynsmail/A 51922-2024 tillsynsbegäran mail.docx", "A 51922-2024")</f>
        <v/>
      </c>
      <c r="AE21">
        <f>HYPERLINK("https://klasma.github.io/Logging_1782/fåglar/A 51922-2024 prioriterade fågelarter.docx", "A 51922-2024")</f>
        <v/>
      </c>
    </row>
    <row r="22" ht="15" customHeight="1">
      <c r="A22" t="inlineStr">
        <is>
          <t>A 32438-2026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46269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Dubbelnycklar
Ängsnycklar</t>
        </is>
      </c>
      <c r="W22">
        <f>HYPERLINK("https://klasma.github.io/Logging_1782/artfynd/A 32438-2026 artfynd.xlsx", "A 32438-2026")</f>
        <v/>
      </c>
      <c r="X22">
        <f>HYPERLINK("https://klasma.github.io/Logging_1782/kartor/A 32438-2026 karta.png", "A 32438-2026")</f>
        <v/>
      </c>
      <c r="Y22">
        <f>HYPERLINK("https://klasma.github.io/Logging_1782/kartor_geotiff/A 32438-2026 georefererad karta.tif", "A 32438-2026")</f>
        <v/>
      </c>
      <c r="AA22">
        <f>HYPERLINK("https://klasma.github.io/Logging_1782/klagomål/A 32438-2026 FSC-klagomål.docx", "A 32438-2026")</f>
        <v/>
      </c>
      <c r="AB22">
        <f>HYPERLINK("https://klasma.github.io/Logging_1782/klagomålsmail/A 32438-2026 FSC-klagomål mail.docx", "A 32438-2026")</f>
        <v/>
      </c>
      <c r="AC22">
        <f>HYPERLINK("https://klasma.github.io/Logging_1782/tillsyn/A 32438-2026 tillsynsbegäran.docx", "A 32438-2026")</f>
        <v/>
      </c>
      <c r="AD22">
        <f>HYPERLINK("https://klasma.github.io/Logging_1782/tillsynsmail/A 32438-2026 tillsynsbegäran mail.docx", "A 32438-2026")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46269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33583-2026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46248</v>
      </c>
      <c r="E24" s="1" t="n">
        <v>46269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16.4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Bårdlav
Stuplav</t>
        </is>
      </c>
      <c r="W24">
        <f>HYPERLINK("https://klasma.github.io/Logging_1782/artfynd/A 33583-2026 artfynd.xlsx", "A 33583-2026")</f>
        <v/>
      </c>
      <c r="X24">
        <f>HYPERLINK("https://klasma.github.io/Logging_1782/kartor/A 33583-2026 karta.png", "A 33583-2026")</f>
        <v/>
      </c>
      <c r="Y24">
        <f>HYPERLINK("https://klasma.github.io/Logging_1782/kartor_geotiff/A 33583-2026 georefererad karta.tif", "A 33583-2026")</f>
        <v/>
      </c>
      <c r="AA24">
        <f>HYPERLINK("https://klasma.github.io/Logging_1782/klagomål/A 33583-2026 FSC-klagomål.docx", "A 33583-2026")</f>
        <v/>
      </c>
      <c r="AB24">
        <f>HYPERLINK("https://klasma.github.io/Logging_1782/klagomålsmail/A 33583-2026 FSC-klagomål mail.docx", "A 33583-2026")</f>
        <v/>
      </c>
      <c r="AC24">
        <f>HYPERLINK("https://klasma.github.io/Logging_1782/tillsyn/A 33583-2026 tillsynsbegäran.docx", "A 33583-2026")</f>
        <v/>
      </c>
      <c r="AD24">
        <f>HYPERLINK("https://klasma.github.io/Logging_1782/tillsynsmail/A 33583-2026 tillsynsbegäran mail.docx", "A 33583-2026")</f>
        <v/>
      </c>
    </row>
    <row r="25" ht="15" customHeight="1">
      <c r="A25" t="inlineStr">
        <is>
          <t>A 16139-2025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45750</v>
      </c>
      <c r="E25" s="1" t="n">
        <v>46269</v>
      </c>
      <c r="F25" t="inlineStr">
        <is>
          <t>VÄRMLANDS LÄN</t>
        </is>
      </c>
      <c r="G25" t="inlineStr">
        <is>
          <t>FILIPSTAD</t>
        </is>
      </c>
      <c r="I25" t="n">
        <v>18.2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Bronshjon</t>
        </is>
      </c>
      <c r="W25">
        <f>HYPERLINK("https://klasma.github.io/Logging_1782/artfynd/A 16139-2025 artfynd.xlsx", "A 16139-2025")</f>
        <v/>
      </c>
      <c r="X25">
        <f>HYPERLINK("https://klasma.github.io/Logging_1782/kartor/A 16139-2025 karta.png", "A 16139-2025")</f>
        <v/>
      </c>
      <c r="Y25">
        <f>HYPERLINK("https://klasma.github.io/Logging_1782/kartor_geotiff/A 16139-2025 georefererad karta.tif", "A 16139-2025")</f>
        <v/>
      </c>
      <c r="AA25">
        <f>HYPERLINK("https://klasma.github.io/Logging_1782/klagomål/A 16139-2025 FSC-klagomål.docx", "A 16139-2025")</f>
        <v/>
      </c>
      <c r="AB25">
        <f>HYPERLINK("https://klasma.github.io/Logging_1782/klagomålsmail/A 16139-2025 FSC-klagomål mail.docx", "A 16139-2025")</f>
        <v/>
      </c>
      <c r="AC25">
        <f>HYPERLINK("https://klasma.github.io/Logging_1782/tillsyn/A 16139-2025 tillsynsbegäran.docx", "A 16139-2025")</f>
        <v/>
      </c>
      <c r="AD25">
        <f>HYPERLINK("https://klasma.github.io/Logging_1782/tillsynsmail/A 16139-2025 tillsynsbegäran mail.docx", "A 16139-2025")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46269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46269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46269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46269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10138-2024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46269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6.8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Purpurknipprot</t>
        </is>
      </c>
      <c r="W30">
        <f>HYPERLINK("https://klasma.github.io/Logging_1782/artfynd/A 10138-2024 artfynd.xlsx", "A 10138-2024")</f>
        <v/>
      </c>
      <c r="X30">
        <f>HYPERLINK("https://klasma.github.io/Logging_1782/kartor/A 10138-2024 karta.png", "A 10138-2024")</f>
        <v/>
      </c>
      <c r="Y30">
        <f>HYPERLINK("https://klasma.github.io/Logging_1782/kartor_geotiff/A 10138-2024 georefererad karta.tif", "A 10138-2024")</f>
        <v/>
      </c>
      <c r="AA30">
        <f>HYPERLINK("https://klasma.github.io/Logging_1782/klagomål/A 10138-2024 FSC-klagomål.docx", "A 10138-2024")</f>
        <v/>
      </c>
      <c r="AB30">
        <f>HYPERLINK("https://klasma.github.io/Logging_1782/klagomålsmail/A 10138-2024 FSC-klagomål mail.docx", "A 10138-2024")</f>
        <v/>
      </c>
      <c r="AC30">
        <f>HYPERLINK("https://klasma.github.io/Logging_1782/tillsyn/A 10138-2024 tillsynsbegäran.docx", "A 10138-2024")</f>
        <v/>
      </c>
      <c r="AD30">
        <f>HYPERLINK("https://klasma.github.io/Logging_1782/tillsynsmail/A 10138-2024 tillsynsbegäran mail.docx", "A 10138-2024")</f>
        <v/>
      </c>
    </row>
    <row r="31" ht="15" customHeight="1">
      <c r="A31" t="inlineStr">
        <is>
          <t>A 11453-2025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46269</v>
      </c>
      <c r="F31" t="inlineStr">
        <is>
          <t>VÄRMLANDS LÄN</t>
        </is>
      </c>
      <c r="G31" t="inlineStr">
        <is>
          <t>FILIPSTAD</t>
        </is>
      </c>
      <c r="I31" t="n">
        <v>7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Purpurknipprot</t>
        </is>
      </c>
      <c r="W31">
        <f>HYPERLINK("https://klasma.github.io/Logging_1782/artfynd/A 11453-2025 artfynd.xlsx", "A 11453-2025")</f>
        <v/>
      </c>
      <c r="X31">
        <f>HYPERLINK("https://klasma.github.io/Logging_1782/kartor/A 11453-2025 karta.png", "A 11453-2025")</f>
        <v/>
      </c>
      <c r="Y31">
        <f>HYPERLINK("https://klasma.github.io/Logging_1782/kartor_geotiff/A 11453-2025 georefererad karta.tif", "A 11453-2025")</f>
        <v/>
      </c>
      <c r="AA31">
        <f>HYPERLINK("https://klasma.github.io/Logging_1782/klagomål/A 11453-2025 FSC-klagomål.docx", "A 11453-2025")</f>
        <v/>
      </c>
      <c r="AB31">
        <f>HYPERLINK("https://klasma.github.io/Logging_1782/klagomålsmail/A 11453-2025 FSC-klagomål mail.docx", "A 11453-2025")</f>
        <v/>
      </c>
      <c r="AC31">
        <f>HYPERLINK("https://klasma.github.io/Logging_1782/tillsyn/A 11453-2025 tillsynsbegäran.docx", "A 11453-2025")</f>
        <v/>
      </c>
      <c r="AD31">
        <f>HYPERLINK("https://klasma.github.io/Logging_1782/tillsynsmail/A 11453-2025 tillsynsbegäran mail.docx", "A 11453-2025")</f>
        <v/>
      </c>
    </row>
    <row r="32" ht="15" customHeight="1">
      <c r="A32" t="inlineStr">
        <is>
          <t>A 25916-2025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46269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26.4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HYPERLINK("https://klasma.github.io/Logging_1782/artfynd/A 25916-2025 artfynd.xlsx", "A 25916-2025")</f>
        <v/>
      </c>
      <c r="X32">
        <f>HYPERLINK("https://klasma.github.io/Logging_1782/kartor/A 25916-2025 karta.png", "A 25916-2025")</f>
        <v/>
      </c>
      <c r="Y32">
        <f>HYPERLINK("https://klasma.github.io/Logging_1782/kartor_geotiff/A 25916-2025 georefererad karta.tif", "A 25916-2025")</f>
        <v/>
      </c>
      <c r="AA32">
        <f>HYPERLINK("https://klasma.github.io/Logging_1782/klagomål/A 25916-2025 FSC-klagomål.docx", "A 25916-2025")</f>
        <v/>
      </c>
      <c r="AB32">
        <f>HYPERLINK("https://klasma.github.io/Logging_1782/klagomålsmail/A 25916-2025 FSC-klagomål mail.docx", "A 25916-2025")</f>
        <v/>
      </c>
      <c r="AC32">
        <f>HYPERLINK("https://klasma.github.io/Logging_1782/tillsyn/A 25916-2025 tillsynsbegäran.docx", "A 25916-2025")</f>
        <v/>
      </c>
      <c r="AD32">
        <f>HYPERLINK("https://klasma.github.io/Logging_1782/tillsynsmail/A 25916-2025 tillsynsbegäran mail.docx", "A 25916-2025")</f>
        <v/>
      </c>
    </row>
    <row r="33" ht="15" customHeight="1">
      <c r="A33" t="inlineStr">
        <is>
          <t>A 38140-2024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46269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HYPERLINK("https://klasma.github.io/Logging_1782/artfynd/A 38140-2024 artfynd.xlsx", "A 38140-2024")</f>
        <v/>
      </c>
      <c r="X33">
        <f>HYPERLINK("https://klasma.github.io/Logging_1782/kartor/A 38140-2024 karta.png", "A 38140-2024")</f>
        <v/>
      </c>
      <c r="Y33">
        <f>HYPERLINK("https://klasma.github.io/Logging_1782/kartor_geotiff/A 38140-2024 georefererad karta.tif", "A 38140-2024")</f>
        <v/>
      </c>
      <c r="AA33">
        <f>HYPERLINK("https://klasma.github.io/Logging_1782/klagomål/A 38140-2024 FSC-klagomål.docx", "A 38140-2024")</f>
        <v/>
      </c>
      <c r="AB33">
        <f>HYPERLINK("https://klasma.github.io/Logging_1782/klagomålsmail/A 38140-2024 FSC-klagomål mail.docx", "A 38140-2024")</f>
        <v/>
      </c>
      <c r="AC33">
        <f>HYPERLINK("https://klasma.github.io/Logging_1782/tillsyn/A 38140-2024 tillsynsbegäran.docx", "A 38140-2024")</f>
        <v/>
      </c>
      <c r="AD33">
        <f>HYPERLINK("https://klasma.github.io/Logging_1782/tillsynsmail/A 38140-2024 tillsynsbegäran mail.docx", "A 38140-2024")</f>
        <v/>
      </c>
    </row>
    <row r="34" ht="15" customHeight="1">
      <c r="A34" t="inlineStr">
        <is>
          <t>A 30652-2025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45831</v>
      </c>
      <c r="E34" s="1" t="n">
        <v>46269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HYPERLINK("https://klasma.github.io/Logging_1782/artfynd/A 30652-2025 artfynd.xlsx", "A 30652-2025")</f>
        <v/>
      </c>
      <c r="X34">
        <f>HYPERLINK("https://klasma.github.io/Logging_1782/kartor/A 30652-2025 karta.png", "A 30652-2025")</f>
        <v/>
      </c>
      <c r="Y34">
        <f>HYPERLINK("https://klasma.github.io/Logging_1782/kartor_geotiff/A 30652-2025 georefererad karta.tif", "A 30652-2025")</f>
        <v/>
      </c>
      <c r="AA34">
        <f>HYPERLINK("https://klasma.github.io/Logging_1782/klagomål/A 30652-2025 FSC-klagomål.docx", "A 30652-2025")</f>
        <v/>
      </c>
      <c r="AB34">
        <f>HYPERLINK("https://klasma.github.io/Logging_1782/klagomålsmail/A 30652-2025 FSC-klagomål mail.docx", "A 30652-2025")</f>
        <v/>
      </c>
      <c r="AC34">
        <f>HYPERLINK("https://klasma.github.io/Logging_1782/tillsyn/A 30652-2025 tillsynsbegäran.docx", "A 30652-2025")</f>
        <v/>
      </c>
      <c r="AD34">
        <f>HYPERLINK("https://klasma.github.io/Logging_1782/tillsynsmail/A 30652-2025 tillsynsbegäran mail.docx", "A 30652-2025")</f>
        <v/>
      </c>
      <c r="AE34">
        <f>HYPERLINK("https://klasma.github.io/Logging_1782/fåglar/A 30652-2025 prioriterade fågelarter.docx", "A 30652-2025")</f>
        <v/>
      </c>
    </row>
    <row r="35" ht="15" customHeight="1">
      <c r="A35" t="inlineStr">
        <is>
          <t>A 23046-2023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46269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HYPERLINK("https://klasma.github.io/Logging_1782/artfynd/A 23046-2023 artfynd.xlsx", "A 23046-2023")</f>
        <v/>
      </c>
      <c r="X35">
        <f>HYPERLINK("https://klasma.github.io/Logging_1782/kartor/A 23046-2023 karta.png", "A 23046-2023")</f>
        <v/>
      </c>
      <c r="Y35">
        <f>HYPERLINK("https://klasma.github.io/Logging_1782/kartor_geotiff/A 23046-2023 georefererad karta.tif", "A 23046-2023")</f>
        <v/>
      </c>
      <c r="Z35">
        <f>HYPERLINK("https://klasma.github.io/Logging_1782/knärot/A 23046-2023 karta knärot.png", "A 23046-2023")</f>
        <v/>
      </c>
      <c r="AA35">
        <f>HYPERLINK("https://klasma.github.io/Logging_1782/klagomål/A 23046-2023 FSC-klagomål.docx", "A 23046-2023")</f>
        <v/>
      </c>
      <c r="AB35">
        <f>HYPERLINK("https://klasma.github.io/Logging_1782/klagomålsmail/A 23046-2023 FSC-klagomål mail.docx", "A 23046-2023")</f>
        <v/>
      </c>
      <c r="AC35">
        <f>HYPERLINK("https://klasma.github.io/Logging_1782/tillsyn/A 23046-2023 tillsynsbegäran.docx", "A 23046-2023")</f>
        <v/>
      </c>
      <c r="AD35">
        <f>HYPERLINK("https://klasma.github.io/Logging_1782/tillsynsmail/A 23046-2023 tillsynsbegäran mail.docx", "A 23046-2023")</f>
        <v/>
      </c>
    </row>
    <row r="36" ht="15" customHeight="1">
      <c r="A36" t="inlineStr">
        <is>
          <t>A 874-2025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46269</v>
      </c>
      <c r="F36" t="inlineStr">
        <is>
          <t>VÄRMLANDS LÄN</t>
        </is>
      </c>
      <c r="G36" t="inlineStr">
        <is>
          <t>FILIPSTAD</t>
        </is>
      </c>
      <c r="H36" t="inlineStr">
        <is>
          <t>Kyrkan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Kamjordstjärna</t>
        </is>
      </c>
      <c r="W36">
        <f>HYPERLINK("https://klasma.github.io/Logging_1782/artfynd/A 874-2025 artfynd.xlsx", "A 874-2025")</f>
        <v/>
      </c>
      <c r="X36">
        <f>HYPERLINK("https://klasma.github.io/Logging_1782/kartor/A 874-2025 karta.png", "A 874-2025")</f>
        <v/>
      </c>
      <c r="Y36">
        <f>HYPERLINK("https://klasma.github.io/Logging_1782/kartor_geotiff/A 874-2025 georefererad karta.tif", "A 874-2025")</f>
        <v/>
      </c>
      <c r="AA36">
        <f>HYPERLINK("https://klasma.github.io/Logging_1782/klagomål/A 874-2025 FSC-klagomål.docx", "A 874-2025")</f>
        <v/>
      </c>
      <c r="AB36">
        <f>HYPERLINK("https://klasma.github.io/Logging_1782/klagomålsmail/A 874-2025 FSC-klagomål mail.docx", "A 874-2025")</f>
        <v/>
      </c>
      <c r="AC36">
        <f>HYPERLINK("https://klasma.github.io/Logging_1782/tillsyn/A 874-2025 tillsynsbegäran.docx", "A 874-2025")</f>
        <v/>
      </c>
      <c r="AD36">
        <f>HYPERLINK("https://klasma.github.io/Logging_1782/tillsynsmail/A 874-2025 tillsynsbegäran mail.docx", "A 874-2025")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46269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58734-2025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46269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18.2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Tretåig hackspett</t>
        </is>
      </c>
      <c r="W38">
        <f>HYPERLINK("https://klasma.github.io/Logging_1782/artfynd/A 58734-2025 artfynd.xlsx", "A 58734-2025")</f>
        <v/>
      </c>
      <c r="X38">
        <f>HYPERLINK("https://klasma.github.io/Logging_1782/kartor/A 58734-2025 karta.png", "A 58734-2025")</f>
        <v/>
      </c>
      <c r="Y38">
        <f>HYPERLINK("https://klasma.github.io/Logging_1782/kartor_geotiff/A 58734-2025 georefererad karta.tif", "A 58734-2025")</f>
        <v/>
      </c>
      <c r="AA38">
        <f>HYPERLINK("https://klasma.github.io/Logging_1782/klagomål/A 58734-2025 FSC-klagomål.docx", "A 58734-2025")</f>
        <v/>
      </c>
      <c r="AB38">
        <f>HYPERLINK("https://klasma.github.io/Logging_1782/klagomålsmail/A 58734-2025 FSC-klagomål mail.docx", "A 58734-2025")</f>
        <v/>
      </c>
      <c r="AC38">
        <f>HYPERLINK("https://klasma.github.io/Logging_1782/tillsyn/A 58734-2025 tillsynsbegäran.docx", "A 58734-2025")</f>
        <v/>
      </c>
      <c r="AD38">
        <f>HYPERLINK("https://klasma.github.io/Logging_1782/tillsynsmail/A 58734-2025 tillsynsbegäran mail.docx", "A 58734-2025")</f>
        <v/>
      </c>
      <c r="AE38">
        <f>HYPERLINK("https://klasma.github.io/Logging_1782/fåglar/A 58734-2025 prioriterade fågelarter.docx", "A 58734-2025")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46269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46269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46269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28915-2026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46269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Stjärnstarr</t>
        </is>
      </c>
      <c r="W42">
        <f>HYPERLINK("https://klasma.github.io/Logging_1782/artfynd/A 28915-2026 artfynd.xlsx", "A 28915-2026")</f>
        <v/>
      </c>
      <c r="X42">
        <f>HYPERLINK("https://klasma.github.io/Logging_1782/kartor/A 28915-2026 karta.png", "A 28915-2026")</f>
        <v/>
      </c>
      <c r="Y42">
        <f>HYPERLINK("https://klasma.github.io/Logging_1782/kartor_geotiff/A 28915-2026 georefererad karta.tif", "A 28915-2026")</f>
        <v/>
      </c>
      <c r="AA42">
        <f>HYPERLINK("https://klasma.github.io/Logging_1782/klagomål/A 28915-2026 FSC-klagomål.docx", "A 28915-2026")</f>
        <v/>
      </c>
      <c r="AB42">
        <f>HYPERLINK("https://klasma.github.io/Logging_1782/klagomålsmail/A 28915-2026 FSC-klagomål mail.docx", "A 28915-2026")</f>
        <v/>
      </c>
      <c r="AC42">
        <f>HYPERLINK("https://klasma.github.io/Logging_1782/tillsyn/A 28915-2026 tillsynsbegäran.docx", "A 28915-2026")</f>
        <v/>
      </c>
      <c r="AD42">
        <f>HYPERLINK("https://klasma.github.io/Logging_1782/tillsynsmail/A 28915-2026 tillsynsbegäran mail.docx", "A 28915-2026")</f>
        <v/>
      </c>
    </row>
    <row r="43" ht="15" customHeight="1">
      <c r="A43" t="inlineStr">
        <is>
          <t>A 30988-2026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46213</v>
      </c>
      <c r="E43" s="1" t="n">
        <v>46269</v>
      </c>
      <c r="F43" t="inlineStr">
        <is>
          <t>VÄRMLANDS LÄN</t>
        </is>
      </c>
      <c r="G43" t="inlineStr">
        <is>
          <t>FILIPSTAD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Skuggblåslav</t>
        </is>
      </c>
      <c r="W43">
        <f>HYPERLINK("https://klasma.github.io/Logging_1782/artfynd/A 30988-2026 artfynd.xlsx", "A 30988-2026")</f>
        <v/>
      </c>
      <c r="X43">
        <f>HYPERLINK("https://klasma.github.io/Logging_1782/kartor/A 30988-2026 karta.png", "A 30988-2026")</f>
        <v/>
      </c>
      <c r="Y43">
        <f>HYPERLINK("https://klasma.github.io/Logging_1782/kartor_geotiff/A 30988-2026 georefererad karta.tif", "A 30988-2026")</f>
        <v/>
      </c>
      <c r="AA43">
        <f>HYPERLINK("https://klasma.github.io/Logging_1782/klagomål/A 30988-2026 FSC-klagomål.docx", "A 30988-2026")</f>
        <v/>
      </c>
      <c r="AB43">
        <f>HYPERLINK("https://klasma.github.io/Logging_1782/klagomålsmail/A 30988-2026 FSC-klagomål mail.docx", "A 30988-2026")</f>
        <v/>
      </c>
      <c r="AC43">
        <f>HYPERLINK("https://klasma.github.io/Logging_1782/tillsyn/A 30988-2026 tillsynsbegäran.docx", "A 30988-2026")</f>
        <v/>
      </c>
      <c r="AD43">
        <f>HYPERLINK("https://klasma.github.io/Logging_1782/tillsynsmail/A 30988-2026 tillsynsbegäran mail.docx", "A 30988-2026")</f>
        <v/>
      </c>
    </row>
    <row r="44" ht="15" customHeight="1">
      <c r="A44" t="inlineStr">
        <is>
          <t>A 31257-2026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46269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10.2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Gräsull</t>
        </is>
      </c>
      <c r="W44">
        <f>HYPERLINK("https://klasma.github.io/Logging_1782/artfynd/A 31257-2026 artfynd.xlsx", "A 31257-2026")</f>
        <v/>
      </c>
      <c r="X44">
        <f>HYPERLINK("https://klasma.github.io/Logging_1782/kartor/A 31257-2026 karta.png", "A 31257-2026")</f>
        <v/>
      </c>
      <c r="Y44">
        <f>HYPERLINK("https://klasma.github.io/Logging_1782/kartor_geotiff/A 31257-2026 georefererad karta.tif", "A 31257-2026")</f>
        <v/>
      </c>
      <c r="AA44">
        <f>HYPERLINK("https://klasma.github.io/Logging_1782/klagomål/A 31257-2026 FSC-klagomål.docx", "A 31257-2026")</f>
        <v/>
      </c>
      <c r="AB44">
        <f>HYPERLINK("https://klasma.github.io/Logging_1782/klagomålsmail/A 31257-2026 FSC-klagomål mail.docx", "A 31257-2026")</f>
        <v/>
      </c>
      <c r="AC44">
        <f>HYPERLINK("https://klasma.github.io/Logging_1782/tillsyn/A 31257-2026 tillsynsbegäran.docx", "A 31257-2026")</f>
        <v/>
      </c>
      <c r="AD44">
        <f>HYPERLINK("https://klasma.github.io/Logging_1782/tillsynsmail/A 31257-2026 tillsynsbegäran mail.docx", "A 31257-2026")</f>
        <v/>
      </c>
    </row>
    <row r="45" ht="15" customHeight="1">
      <c r="A45" t="inlineStr">
        <is>
          <t>A 17529-2026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46269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Ädellav</t>
        </is>
      </c>
      <c r="W45">
        <f>HYPERLINK("https://klasma.github.io/Logging_1782/artfynd/A 17529-2026 artfynd.xlsx", "A 17529-2026")</f>
        <v/>
      </c>
      <c r="X45">
        <f>HYPERLINK("https://klasma.github.io/Logging_1782/kartor/A 17529-2026 karta.png", "A 17529-2026")</f>
        <v/>
      </c>
      <c r="Y45">
        <f>HYPERLINK("https://klasma.github.io/Logging_1782/kartor_geotiff/A 17529-2026 georefererad karta.tif", "A 17529-2026")</f>
        <v/>
      </c>
      <c r="AA45">
        <f>HYPERLINK("https://klasma.github.io/Logging_1782/klagomål/A 17529-2026 FSC-klagomål.docx", "A 17529-2026")</f>
        <v/>
      </c>
      <c r="AB45">
        <f>HYPERLINK("https://klasma.github.io/Logging_1782/klagomålsmail/A 17529-2026 FSC-klagomål mail.docx", "A 17529-2026")</f>
        <v/>
      </c>
      <c r="AC45">
        <f>HYPERLINK("https://klasma.github.io/Logging_1782/tillsyn/A 17529-2026 tillsynsbegäran.docx", "A 17529-2026")</f>
        <v/>
      </c>
      <c r="AD45">
        <f>HYPERLINK("https://klasma.github.io/Logging_1782/tillsynsmail/A 17529-2026 tillsynsbegäran mail.docx", "A 17529-2026")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46269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46269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46269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46269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46269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46269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46269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46269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46269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44854</v>
      </c>
      <c r="E55" s="1" t="n">
        <v>46269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35712-2022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46269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46269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66376-2021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46269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9.800000000000001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46269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30.7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63714-2021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44505</v>
      </c>
      <c r="E60" s="1" t="n">
        <v>46269</v>
      </c>
      <c r="F60" t="inlineStr">
        <is>
          <t>VÄRMLANDS LÄN</t>
        </is>
      </c>
      <c r="G60" t="inlineStr">
        <is>
          <t>FILIPSTAD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44454</v>
      </c>
      <c r="E61" s="1" t="n">
        <v>46269</v>
      </c>
      <c r="F61" t="inlineStr">
        <is>
          <t>VÄRMLANDS LÄN</t>
        </is>
      </c>
      <c r="G61" t="inlineStr">
        <is>
          <t>FILIPSTAD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19626-2022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44694</v>
      </c>
      <c r="E62" s="1" t="n">
        <v>46269</v>
      </c>
      <c r="F62" t="inlineStr">
        <is>
          <t>VÄRMLANDS LÄN</t>
        </is>
      </c>
      <c r="G62" t="inlineStr">
        <is>
          <t>FILIPSTAD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44651</v>
      </c>
      <c r="E63" s="1" t="n">
        <v>46269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18.7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46269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59954-2021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46269</v>
      </c>
      <c r="F65" t="inlineStr">
        <is>
          <t>VÄRMLANDS LÄN</t>
        </is>
      </c>
      <c r="G65" t="inlineStr">
        <is>
          <t>FILIPSTAD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46269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46269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46269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46269</v>
      </c>
      <c r="F69" t="inlineStr">
        <is>
          <t>VÄRMLANDS LÄN</t>
        </is>
      </c>
      <c r="G69" t="inlineStr">
        <is>
          <t>FILIPSTAD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46269</v>
      </c>
      <c r="F70" t="inlineStr">
        <is>
          <t>VÄRMLANDS LÄN</t>
        </is>
      </c>
      <c r="G70" t="inlineStr">
        <is>
          <t>FILIPSTAD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32680-2022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44783</v>
      </c>
      <c r="E71" s="1" t="n">
        <v>46269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30.5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46269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45202</v>
      </c>
      <c r="E73" s="1" t="n">
        <v>46269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47436-2024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46269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45579</v>
      </c>
      <c r="E75" s="1" t="n">
        <v>46269</v>
      </c>
      <c r="F75" t="inlineStr">
        <is>
          <t>VÄRMLANDS LÄN</t>
        </is>
      </c>
      <c r="G75" t="inlineStr">
        <is>
          <t>FILIPSTAD</t>
        </is>
      </c>
      <c r="H75" t="inlineStr">
        <is>
          <t>Kyrkan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46269</v>
      </c>
      <c r="F76" t="inlineStr">
        <is>
          <t>VÄRMLANDS LÄN</t>
        </is>
      </c>
      <c r="G76" t="inlineStr">
        <is>
          <t>FILIPSTAD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46269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54836-2023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46269</v>
      </c>
      <c r="F78" t="inlineStr">
        <is>
          <t>VÄRMLANDS LÄN</t>
        </is>
      </c>
      <c r="G78" t="inlineStr">
        <is>
          <t>FILIPSTAD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1170-2023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44935</v>
      </c>
      <c r="E79" s="1" t="n">
        <v>46269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45230</v>
      </c>
      <c r="E80" s="1" t="n">
        <v>46269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9.9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45667</v>
      </c>
      <c r="E81" s="1" t="n">
        <v>46269</v>
      </c>
      <c r="F81" t="inlineStr">
        <is>
          <t>VÄRMLANDS LÄN</t>
        </is>
      </c>
      <c r="G81" t="inlineStr">
        <is>
          <t>FILIPSTAD</t>
        </is>
      </c>
      <c r="H81" t="inlineStr">
        <is>
          <t>Kommuner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45586</v>
      </c>
      <c r="E82" s="1" t="n">
        <v>46269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57588-2023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46269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46269</v>
      </c>
      <c r="F84" t="inlineStr">
        <is>
          <t>VÄRMLANDS LÄN</t>
        </is>
      </c>
      <c r="G84" t="inlineStr">
        <is>
          <t>FILIPSTAD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65167-2021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44515</v>
      </c>
      <c r="E85" s="1" t="n">
        <v>46269</v>
      </c>
      <c r="F85" t="inlineStr">
        <is>
          <t>VÄRMLANDS LÄN</t>
        </is>
      </c>
      <c r="G85" t="inlineStr">
        <is>
          <t>FILIPSTAD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45700</v>
      </c>
      <c r="E86" s="1" t="n">
        <v>46269</v>
      </c>
      <c r="F86" t="inlineStr">
        <is>
          <t>VÄRMLANDS LÄN</t>
        </is>
      </c>
      <c r="G86" t="inlineStr">
        <is>
          <t>FILIPSTAD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46269</v>
      </c>
      <c r="F87" t="inlineStr">
        <is>
          <t>VÄRMLANDS LÄN</t>
        </is>
      </c>
      <c r="G87" t="inlineStr">
        <is>
          <t>FILIPSTAD</t>
        </is>
      </c>
      <c r="H87" t="inlineStr">
        <is>
          <t>Kyrkan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47536-2023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45203</v>
      </c>
      <c r="E88" s="1" t="n">
        <v>46269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23266-2025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46269</v>
      </c>
      <c r="F89" t="inlineStr">
        <is>
          <t>VÄRMLANDS LÄN</t>
        </is>
      </c>
      <c r="G89" t="inlineStr">
        <is>
          <t>FILIPSTAD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52981-2021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46269</v>
      </c>
      <c r="F90" t="inlineStr">
        <is>
          <t>VÄRMLANDS LÄN</t>
        </is>
      </c>
      <c r="G90" t="inlineStr">
        <is>
          <t>FILIPSTAD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46269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33368-2022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44788</v>
      </c>
      <c r="E92" s="1" t="n">
        <v>46269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46269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45593</v>
      </c>
      <c r="E94" s="1" t="n">
        <v>46269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45530</v>
      </c>
      <c r="E95" s="1" t="n">
        <v>46269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23399-2025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45792</v>
      </c>
      <c r="E96" s="1" t="n">
        <v>46269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45342</v>
      </c>
      <c r="E97" s="1" t="n">
        <v>46269</v>
      </c>
      <c r="F97" t="inlineStr">
        <is>
          <t>VÄRMLANDS LÄN</t>
        </is>
      </c>
      <c r="G97" t="inlineStr">
        <is>
          <t>FILIPSTAD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45667</v>
      </c>
      <c r="E98" s="1" t="n">
        <v>46269</v>
      </c>
      <c r="F98" t="inlineStr">
        <is>
          <t>VÄRMLANDS LÄN</t>
        </is>
      </c>
      <c r="G98" t="inlineStr">
        <is>
          <t>FILIPSTAD</t>
        </is>
      </c>
      <c r="H98" t="inlineStr">
        <is>
          <t>Kommuner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45439</v>
      </c>
      <c r="E99" s="1" t="n">
        <v>46269</v>
      </c>
      <c r="F99" t="inlineStr">
        <is>
          <t>VÄRMLANDS LÄN</t>
        </is>
      </c>
      <c r="G99" t="inlineStr">
        <is>
          <t>FILIPSTAD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46269</v>
      </c>
      <c r="F100" t="inlineStr">
        <is>
          <t>VÄRMLANDS LÄN</t>
        </is>
      </c>
      <c r="G100" t="inlineStr">
        <is>
          <t>FILIPSTAD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72118-2021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44543</v>
      </c>
      <c r="E101" s="1" t="n">
        <v>46269</v>
      </c>
      <c r="F101" t="inlineStr">
        <is>
          <t>VÄRMLANDS LÄN</t>
        </is>
      </c>
      <c r="G101" t="inlineStr">
        <is>
          <t>FILIPSTAD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46269</v>
      </c>
      <c r="F102" t="inlineStr">
        <is>
          <t>VÄRMLANDS LÄN</t>
        </is>
      </c>
      <c r="G102" t="inlineStr">
        <is>
          <t>FILIPSTAD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45747</v>
      </c>
      <c r="E103" s="1" t="n">
        <v>46269</v>
      </c>
      <c r="F103" t="inlineStr">
        <is>
          <t>VÄRMLANDS LÄN</t>
        </is>
      </c>
      <c r="G103" t="inlineStr">
        <is>
          <t>FILIPSTAD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54398-2024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45617</v>
      </c>
      <c r="E104" s="1" t="n">
        <v>46269</v>
      </c>
      <c r="F104" t="inlineStr">
        <is>
          <t>VÄRMLANDS LÄN</t>
        </is>
      </c>
      <c r="G104" t="inlineStr">
        <is>
          <t>FILIPSTAD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46269</v>
      </c>
      <c r="F105" t="inlineStr">
        <is>
          <t>VÄRMLANDS LÄN</t>
        </is>
      </c>
      <c r="G105" t="inlineStr">
        <is>
          <t>FILIPSTAD</t>
        </is>
      </c>
      <c r="H105" t="inlineStr">
        <is>
          <t>Kyrkan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46269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45391</v>
      </c>
      <c r="E107" s="1" t="n">
        <v>46269</v>
      </c>
      <c r="F107" t="inlineStr">
        <is>
          <t>VÄRMLANDS LÄN</t>
        </is>
      </c>
      <c r="G107" t="inlineStr">
        <is>
          <t>FILIPSTAD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46269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46269</v>
      </c>
      <c r="F109" t="inlineStr">
        <is>
          <t>VÄRMLANDS LÄN</t>
        </is>
      </c>
      <c r="G109" t="inlineStr">
        <is>
          <t>FILIPSTAD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46269</v>
      </c>
      <c r="F110" t="inlineStr">
        <is>
          <t>VÄRMLANDS LÄN</t>
        </is>
      </c>
      <c r="G110" t="inlineStr">
        <is>
          <t>FILIPSTAD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65174-2021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44515</v>
      </c>
      <c r="E111" s="1" t="n">
        <v>46269</v>
      </c>
      <c r="F111" t="inlineStr">
        <is>
          <t>VÄRMLANDS LÄN</t>
        </is>
      </c>
      <c r="G111" t="inlineStr">
        <is>
          <t>FILIPSTAD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45428</v>
      </c>
      <c r="E112" s="1" t="n">
        <v>46269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46269</v>
      </c>
      <c r="F113" t="inlineStr">
        <is>
          <t>VÄRMLANDS LÄN</t>
        </is>
      </c>
      <c r="G113" t="inlineStr">
        <is>
          <t>FILIPSTAD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48524-2023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45208</v>
      </c>
      <c r="E114" s="1" t="n">
        <v>46269</v>
      </c>
      <c r="F114" t="inlineStr">
        <is>
          <t>VÄRMLANDS LÄN</t>
        </is>
      </c>
      <c r="G114" t="inlineStr">
        <is>
          <t>FILIPSTAD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44801</v>
      </c>
      <c r="E115" s="1" t="n">
        <v>46269</v>
      </c>
      <c r="F115" t="inlineStr">
        <is>
          <t>VÄRMLANDS LÄN</t>
        </is>
      </c>
      <c r="G115" t="inlineStr">
        <is>
          <t>FILIPSTAD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46269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27107-2024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45471</v>
      </c>
      <c r="E117" s="1" t="n">
        <v>46269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45408</v>
      </c>
      <c r="E118" s="1" t="n">
        <v>46269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45384</v>
      </c>
      <c r="E119" s="1" t="n">
        <v>46269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53690-2022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46269</v>
      </c>
      <c r="F120" t="inlineStr">
        <is>
          <t>VÄRMLANDS LÄN</t>
        </is>
      </c>
      <c r="G120" t="inlineStr">
        <is>
          <t>FILIPSTAD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47261-2024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46269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44998</v>
      </c>
      <c r="E122" s="1" t="n">
        <v>46269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11.2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26123-2025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45805</v>
      </c>
      <c r="E123" s="1" t="n">
        <v>46269</v>
      </c>
      <c r="F123" t="inlineStr">
        <is>
          <t>VÄRMLANDS LÄN</t>
        </is>
      </c>
      <c r="G123" t="inlineStr">
        <is>
          <t>FILIPSTAD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26116-2025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45805</v>
      </c>
      <c r="E124" s="1" t="n">
        <v>46269</v>
      </c>
      <c r="F124" t="inlineStr">
        <is>
          <t>VÄRMLANDS LÄN</t>
        </is>
      </c>
      <c r="G124" t="inlineStr">
        <is>
          <t>FILIPSTAD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46269</v>
      </c>
      <c r="F125" t="inlineStr">
        <is>
          <t>VÄRMLANDS LÄN</t>
        </is>
      </c>
      <c r="G125" t="inlineStr">
        <is>
          <t>FILIPSTAD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46269</v>
      </c>
      <c r="F126" t="inlineStr">
        <is>
          <t>VÄRMLANDS LÄN</t>
        </is>
      </c>
      <c r="G126" t="inlineStr">
        <is>
          <t>FILIPSTAD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46269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46269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45257</v>
      </c>
      <c r="E129" s="1" t="n">
        <v>46269</v>
      </c>
      <c r="F129" t="inlineStr">
        <is>
          <t>VÄRMLANDS LÄN</t>
        </is>
      </c>
      <c r="G129" t="inlineStr">
        <is>
          <t>FILIPSTAD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45418</v>
      </c>
      <c r="E130" s="1" t="n">
        <v>46269</v>
      </c>
      <c r="F130" t="inlineStr">
        <is>
          <t>VÄRMLANDS LÄN</t>
        </is>
      </c>
      <c r="G130" t="inlineStr">
        <is>
          <t>FILIPSTAD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45470</v>
      </c>
      <c r="E131" s="1" t="n">
        <v>46269</v>
      </c>
      <c r="F131" t="inlineStr">
        <is>
          <t>VÄRMLANDS LÄN</t>
        </is>
      </c>
      <c r="G131" t="inlineStr">
        <is>
          <t>FILIPSTAD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45569</v>
      </c>
      <c r="E132" s="1" t="n">
        <v>46269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26599-2024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45469</v>
      </c>
      <c r="E133" s="1" t="n">
        <v>46269</v>
      </c>
      <c r="F133" t="inlineStr">
        <is>
          <t>VÄRMLANDS LÄN</t>
        </is>
      </c>
      <c r="G133" t="inlineStr">
        <is>
          <t>FILIPSTAD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46269</v>
      </c>
      <c r="F134" t="inlineStr">
        <is>
          <t>VÄRMLANDS LÄN</t>
        </is>
      </c>
      <c r="G134" t="inlineStr">
        <is>
          <t>FILIPSTAD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25468-2024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45463</v>
      </c>
      <c r="E135" s="1" t="n">
        <v>46269</v>
      </c>
      <c r="F135" t="inlineStr">
        <is>
          <t>VÄRMLANDS LÄN</t>
        </is>
      </c>
      <c r="G135" t="inlineStr">
        <is>
          <t>FILIPSTAD</t>
        </is>
      </c>
      <c r="I135" t="n">
        <v>13.2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22866-2023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45072</v>
      </c>
      <c r="E136" s="1" t="n">
        <v>46269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29473-2024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45484</v>
      </c>
      <c r="E137" s="1" t="n">
        <v>46269</v>
      </c>
      <c r="F137" t="inlineStr">
        <is>
          <t>VÄRMLANDS LÄN</t>
        </is>
      </c>
      <c r="G137" t="inlineStr">
        <is>
          <t>FILIPSTAD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45826</v>
      </c>
      <c r="E138" s="1" t="n">
        <v>46269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46269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46269</v>
      </c>
      <c r="F140" t="inlineStr">
        <is>
          <t>VÄRMLANDS LÄN</t>
        </is>
      </c>
      <c r="G140" t="inlineStr">
        <is>
          <t>FILIPSTAD</t>
        </is>
      </c>
      <c r="H140" t="inlineStr">
        <is>
          <t>Kyrkan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46269</v>
      </c>
      <c r="F141" t="inlineStr">
        <is>
          <t>VÄRMLANDS LÄN</t>
        </is>
      </c>
      <c r="G141" t="inlineStr">
        <is>
          <t>FILIPSTAD</t>
        </is>
      </c>
      <c r="I141" t="n">
        <v>23.3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29944-2025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45826</v>
      </c>
      <c r="E142" s="1" t="n">
        <v>46269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46269</v>
      </c>
      <c r="F143" t="inlineStr">
        <is>
          <t>VÄRMLANDS LÄN</t>
        </is>
      </c>
      <c r="G143" t="inlineStr">
        <is>
          <t>FILIPSTAD</t>
        </is>
      </c>
      <c r="H143" t="inlineStr">
        <is>
          <t>Kyrkan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31172-2025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45832</v>
      </c>
      <c r="E144" s="1" t="n">
        <v>46269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45120</v>
      </c>
      <c r="E145" s="1" t="n">
        <v>46269</v>
      </c>
      <c r="F145" t="inlineStr">
        <is>
          <t>VÄRMLANDS LÄN</t>
        </is>
      </c>
      <c r="G145" t="inlineStr">
        <is>
          <t>FILIPSTAD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46269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45195</v>
      </c>
      <c r="E147" s="1" t="n">
        <v>46269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11.2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46269</v>
      </c>
      <c r="F148" t="inlineStr">
        <is>
          <t>VÄRMLANDS LÄN</t>
        </is>
      </c>
      <c r="G148" t="inlineStr">
        <is>
          <t>FILIPSTAD</t>
        </is>
      </c>
      <c r="I148" t="n">
        <v>18.7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45474</v>
      </c>
      <c r="E149" s="1" t="n">
        <v>46269</v>
      </c>
      <c r="F149" t="inlineStr">
        <is>
          <t>VÄRMLANDS LÄN</t>
        </is>
      </c>
      <c r="G149" t="inlineStr">
        <is>
          <t>FILIPSTAD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32032-2025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45835</v>
      </c>
      <c r="E150" s="1" t="n">
        <v>46269</v>
      </c>
      <c r="F150" t="inlineStr">
        <is>
          <t>VÄRMLANDS LÄN</t>
        </is>
      </c>
      <c r="G150" t="inlineStr">
        <is>
          <t>FILIPSTAD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45827</v>
      </c>
      <c r="E151" s="1" t="n">
        <v>46269</v>
      </c>
      <c r="F151" t="inlineStr">
        <is>
          <t>VÄRMLANDS LÄN</t>
        </is>
      </c>
      <c r="G151" t="inlineStr">
        <is>
          <t>FILIPSTAD</t>
        </is>
      </c>
      <c r="H151" t="inlineStr">
        <is>
          <t>Kyrkan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45688</v>
      </c>
      <c r="E152" s="1" t="n">
        <v>46269</v>
      </c>
      <c r="F152" t="inlineStr">
        <is>
          <t>VÄRMLANDS LÄN</t>
        </is>
      </c>
      <c r="G152" t="inlineStr">
        <is>
          <t>FILIPSTAD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29825-2023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45107</v>
      </c>
      <c r="E153" s="1" t="n">
        <v>46269</v>
      </c>
      <c r="F153" t="inlineStr">
        <is>
          <t>VÄRMLANDS LÄN</t>
        </is>
      </c>
      <c r="G153" t="inlineStr">
        <is>
          <t>FILIPSTAD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46269</v>
      </c>
      <c r="F154" t="inlineStr">
        <is>
          <t>VÄRMLANDS LÄN</t>
        </is>
      </c>
      <c r="G154" t="inlineStr">
        <is>
          <t>FILIPSTAD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33407-2025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45841</v>
      </c>
      <c r="E155" s="1" t="n">
        <v>46269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14268-2024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45393</v>
      </c>
      <c r="E156" s="1" t="n">
        <v>46269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19705-2025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46269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46269</v>
      </c>
      <c r="F158" t="inlineStr">
        <is>
          <t>VÄRMLANDS LÄN</t>
        </is>
      </c>
      <c r="G158" t="inlineStr">
        <is>
          <t>FILIPSTAD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46269</v>
      </c>
      <c r="F159" t="inlineStr">
        <is>
          <t>VÄRMLANDS LÄN</t>
        </is>
      </c>
      <c r="G159" t="inlineStr">
        <is>
          <t>FILIPSTAD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46269</v>
      </c>
      <c r="F160" t="inlineStr">
        <is>
          <t>VÄRMLANDS LÄN</t>
        </is>
      </c>
      <c r="G160" t="inlineStr">
        <is>
          <t>FILIPSTAD</t>
        </is>
      </c>
      <c r="H160" t="inlineStr">
        <is>
          <t>Kommuner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45750</v>
      </c>
      <c r="E161" s="1" t="n">
        <v>46269</v>
      </c>
      <c r="F161" t="inlineStr">
        <is>
          <t>VÄRMLANDS LÄN</t>
        </is>
      </c>
      <c r="G161" t="inlineStr">
        <is>
          <t>FILIPSTAD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46269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45686</v>
      </c>
      <c r="E163" s="1" t="n">
        <v>46269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44684</v>
      </c>
      <c r="E164" s="1" t="n">
        <v>46269</v>
      </c>
      <c r="F164" t="inlineStr">
        <is>
          <t>VÄRMLANDS LÄN</t>
        </is>
      </c>
      <c r="G164" t="inlineStr">
        <is>
          <t>FILIPSTAD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45674</v>
      </c>
      <c r="E165" s="1" t="n">
        <v>46269</v>
      </c>
      <c r="F165" t="inlineStr">
        <is>
          <t>VÄRMLANDS LÄN</t>
        </is>
      </c>
      <c r="G165" t="inlineStr">
        <is>
          <t>FILIPSTAD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46269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14459-2023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46269</v>
      </c>
      <c r="F167" t="inlineStr">
        <is>
          <t>VÄRMLANDS LÄN</t>
        </is>
      </c>
      <c r="G167" t="inlineStr">
        <is>
          <t>FILIPSTAD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45184</v>
      </c>
      <c r="E168" s="1" t="n">
        <v>46269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46269</v>
      </c>
      <c r="F169" t="inlineStr">
        <is>
          <t>VÄRMLANDS LÄN</t>
        </is>
      </c>
      <c r="G169" t="inlineStr">
        <is>
          <t>FILIPSTAD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28161-2023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45093</v>
      </c>
      <c r="E170" s="1" t="n">
        <v>46269</v>
      </c>
      <c r="F170" t="inlineStr">
        <is>
          <t>VÄRMLANDS LÄN</t>
        </is>
      </c>
      <c r="G170" t="inlineStr">
        <is>
          <t>FILIPSTAD</t>
        </is>
      </c>
      <c r="H170" t="inlineStr">
        <is>
          <t>Kommuner</t>
        </is>
      </c>
      <c r="I170" t="n">
        <v>15.4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47455-2023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46269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46546-2021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44445</v>
      </c>
      <c r="E172" s="1" t="n">
        <v>46269</v>
      </c>
      <c r="F172" t="inlineStr">
        <is>
          <t>VÄRMLANDS LÄN</t>
        </is>
      </c>
      <c r="G172" t="inlineStr">
        <is>
          <t>FILIPSTAD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45870</v>
      </c>
      <c r="E173" s="1" t="n">
        <v>46269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45664</v>
      </c>
      <c r="E174" s="1" t="n">
        <v>46269</v>
      </c>
      <c r="F174" t="inlineStr">
        <is>
          <t>VÄRMLANDS LÄN</t>
        </is>
      </c>
      <c r="G174" t="inlineStr">
        <is>
          <t>FILIPSTAD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46269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45014</v>
      </c>
      <c r="E176" s="1" t="n">
        <v>46269</v>
      </c>
      <c r="F176" t="inlineStr">
        <is>
          <t>VÄRMLANDS LÄN</t>
        </is>
      </c>
      <c r="G176" t="inlineStr">
        <is>
          <t>FILIPSTAD</t>
        </is>
      </c>
      <c r="H176" t="inlineStr">
        <is>
          <t>Kyrkan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45418</v>
      </c>
      <c r="E177" s="1" t="n">
        <v>46269</v>
      </c>
      <c r="F177" t="inlineStr">
        <is>
          <t>VÄRMLANDS LÄN</t>
        </is>
      </c>
      <c r="G177" t="inlineStr">
        <is>
          <t>FILIPSTAD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45427</v>
      </c>
      <c r="E178" s="1" t="n">
        <v>46269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45088</v>
      </c>
      <c r="E179" s="1" t="n">
        <v>46269</v>
      </c>
      <c r="F179" t="inlineStr">
        <is>
          <t>VÄRMLANDS LÄN</t>
        </is>
      </c>
      <c r="G179" t="inlineStr">
        <is>
          <t>FILIPSTAD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45167</v>
      </c>
      <c r="E180" s="1" t="n">
        <v>46269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19351-2025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45769</v>
      </c>
      <c r="E181" s="1" t="n">
        <v>46269</v>
      </c>
      <c r="F181" t="inlineStr">
        <is>
          <t>VÄRMLANDS LÄN</t>
        </is>
      </c>
      <c r="G181" t="inlineStr">
        <is>
          <t>FILIPSTAD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44672</v>
      </c>
      <c r="E182" s="1" t="n">
        <v>46269</v>
      </c>
      <c r="F182" t="inlineStr">
        <is>
          <t>VÄRMLANDS LÄN</t>
        </is>
      </c>
      <c r="G182" t="inlineStr">
        <is>
          <t>FILIPSTAD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45578</v>
      </c>
      <c r="E183" s="1" t="n">
        <v>46269</v>
      </c>
      <c r="F183" t="inlineStr">
        <is>
          <t>VÄRMLANDS LÄN</t>
        </is>
      </c>
      <c r="G183" t="inlineStr">
        <is>
          <t>FILIPSTAD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46269</v>
      </c>
      <c r="F184" t="inlineStr">
        <is>
          <t>VÄRMLANDS LÄN</t>
        </is>
      </c>
      <c r="G184" t="inlineStr">
        <is>
          <t>FILIPSTAD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45088</v>
      </c>
      <c r="E185" s="1" t="n">
        <v>46269</v>
      </c>
      <c r="F185" t="inlineStr">
        <is>
          <t>VÄRMLANDS LÄN</t>
        </is>
      </c>
      <c r="G185" t="inlineStr">
        <is>
          <t>FILIPSTAD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45063</v>
      </c>
      <c r="E186" s="1" t="n">
        <v>46269</v>
      </c>
      <c r="F186" t="inlineStr">
        <is>
          <t>VÄRMLANDS LÄN</t>
        </is>
      </c>
      <c r="G186" t="inlineStr">
        <is>
          <t>FILIPSTAD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38175-2025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45882</v>
      </c>
      <c r="E187" s="1" t="n">
        <v>46269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69015-2021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44530</v>
      </c>
      <c r="E188" s="1" t="n">
        <v>46269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44691</v>
      </c>
      <c r="E189" s="1" t="n">
        <v>46269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37577-2023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45159</v>
      </c>
      <c r="E190" s="1" t="n">
        <v>46269</v>
      </c>
      <c r="F190" t="inlineStr">
        <is>
          <t>VÄRMLANDS LÄN</t>
        </is>
      </c>
      <c r="G190" t="inlineStr">
        <is>
          <t>FILIPSTAD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45180</v>
      </c>
      <c r="E191" s="1" t="n">
        <v>46269</v>
      </c>
      <c r="F191" t="inlineStr">
        <is>
          <t>VÄRMLANDS LÄN</t>
        </is>
      </c>
      <c r="G191" t="inlineStr">
        <is>
          <t>FILIPSTAD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45407</v>
      </c>
      <c r="E192" s="1" t="n">
        <v>46269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45222</v>
      </c>
      <c r="E193" s="1" t="n">
        <v>46269</v>
      </c>
      <c r="F193" t="inlineStr">
        <is>
          <t>VÄRMLANDS LÄN</t>
        </is>
      </c>
      <c r="G193" t="inlineStr">
        <is>
          <t>FILIPSTAD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45167</v>
      </c>
      <c r="E194" s="1" t="n">
        <v>46269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45186</v>
      </c>
      <c r="E195" s="1" t="n">
        <v>46269</v>
      </c>
      <c r="F195" t="inlineStr">
        <is>
          <t>VÄRMLANDS LÄN</t>
        </is>
      </c>
      <c r="G195" t="inlineStr">
        <is>
          <t>FILIPSTAD</t>
        </is>
      </c>
      <c r="I195" t="n">
        <v>15.3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16103-2025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45750</v>
      </c>
      <c r="E196" s="1" t="n">
        <v>46269</v>
      </c>
      <c r="F196" t="inlineStr">
        <is>
          <t>VÄRMLANDS LÄN</t>
        </is>
      </c>
      <c r="G196" t="inlineStr">
        <is>
          <t>FILIPSTAD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45328</v>
      </c>
      <c r="E197" s="1" t="n">
        <v>46269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36251-2022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44803</v>
      </c>
      <c r="E198" s="1" t="n">
        <v>46269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46269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44789</v>
      </c>
      <c r="E200" s="1" t="n">
        <v>46269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46257-2022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44847</v>
      </c>
      <c r="E201" s="1" t="n">
        <v>46269</v>
      </c>
      <c r="F201" t="inlineStr">
        <is>
          <t>VÄRMLANDS LÄN</t>
        </is>
      </c>
      <c r="G201" t="inlineStr">
        <is>
          <t>FILIPSTAD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44805</v>
      </c>
      <c r="E202" s="1" t="n">
        <v>46269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46269</v>
      </c>
      <c r="F203" t="inlineStr">
        <is>
          <t>VÄRMLANDS LÄN</t>
        </is>
      </c>
      <c r="G203" t="inlineStr">
        <is>
          <t>FILIPSTAD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29426-2023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46269</v>
      </c>
      <c r="F204" t="inlineStr">
        <is>
          <t>VÄRMLANDS LÄN</t>
        </is>
      </c>
      <c r="G204" t="inlineStr">
        <is>
          <t>FILIPSTAD</t>
        </is>
      </c>
      <c r="H204" t="inlineStr">
        <is>
          <t>Kyrkan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46133</v>
      </c>
      <c r="E205" s="1" t="n">
        <v>46269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46269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19676-2026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46134</v>
      </c>
      <c r="E207" s="1" t="n">
        <v>46269</v>
      </c>
      <c r="F207" t="inlineStr">
        <is>
          <t>VÄRMLANDS LÄN</t>
        </is>
      </c>
      <c r="G207" t="inlineStr">
        <is>
          <t>FILIPSTAD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46133</v>
      </c>
      <c r="E208" s="1" t="n">
        <v>46269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46269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46134</v>
      </c>
      <c r="E210" s="1" t="n">
        <v>46269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19669-2026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46134</v>
      </c>
      <c r="E211" s="1" t="n">
        <v>46269</v>
      </c>
      <c r="F211" t="inlineStr">
        <is>
          <t>VÄRMLANDS LÄN</t>
        </is>
      </c>
      <c r="G211" t="inlineStr">
        <is>
          <t>FILIPSTAD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45741</v>
      </c>
      <c r="E212" s="1" t="n">
        <v>46269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45133</v>
      </c>
      <c r="E213" s="1" t="n">
        <v>46269</v>
      </c>
      <c r="F213" t="inlineStr">
        <is>
          <t>VÄRMLANDS LÄN</t>
        </is>
      </c>
      <c r="G213" t="inlineStr">
        <is>
          <t>FILIPSTAD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46136</v>
      </c>
      <c r="E214" s="1" t="n">
        <v>46269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45882</v>
      </c>
      <c r="E215" s="1" t="n">
        <v>46269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46269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44960</v>
      </c>
      <c r="E217" s="1" t="n">
        <v>46269</v>
      </c>
      <c r="F217" t="inlineStr">
        <is>
          <t>VÄRMLANDS LÄN</t>
        </is>
      </c>
      <c r="G217" t="inlineStr">
        <is>
          <t>FILIPSTAD</t>
        </is>
      </c>
      <c r="H217" t="inlineStr">
        <is>
          <t>Kommuner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44957</v>
      </c>
      <c r="E218" s="1" t="n">
        <v>46269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45393</v>
      </c>
      <c r="E219" s="1" t="n">
        <v>46269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9270-2023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44980</v>
      </c>
      <c r="E220" s="1" t="n">
        <v>46269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45544</v>
      </c>
      <c r="E221" s="1" t="n">
        <v>46269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46269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46135</v>
      </c>
      <c r="E223" s="1" t="n">
        <v>46269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8.800000000000001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45420</v>
      </c>
      <c r="E224" s="1" t="n">
        <v>46269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46269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31358-2023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46269</v>
      </c>
      <c r="F226" t="inlineStr">
        <is>
          <t>VÄRMLANDS LÄN</t>
        </is>
      </c>
      <c r="G226" t="inlineStr">
        <is>
          <t>FILIPSTAD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45901</v>
      </c>
      <c r="E227" s="1" t="n">
        <v>46269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46269</v>
      </c>
      <c r="F228" t="inlineStr">
        <is>
          <t>VÄRMLANDS LÄN</t>
        </is>
      </c>
      <c r="G228" t="inlineStr">
        <is>
          <t>FILIPSTAD</t>
        </is>
      </c>
      <c r="H228" t="inlineStr">
        <is>
          <t>Kyrkan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54145-2024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45616</v>
      </c>
      <c r="E229" s="1" t="n">
        <v>46269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57456-2022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44896</v>
      </c>
      <c r="E230" s="1" t="n">
        <v>46269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22843-2025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46269</v>
      </c>
      <c r="F231" t="inlineStr">
        <is>
          <t>VÄRMLANDS LÄN</t>
        </is>
      </c>
      <c r="G231" t="inlineStr">
        <is>
          <t>FILIPSTAD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45418</v>
      </c>
      <c r="E232" s="1" t="n">
        <v>46269</v>
      </c>
      <c r="F232" t="inlineStr">
        <is>
          <t>VÄRMLANDS LÄN</t>
        </is>
      </c>
      <c r="G232" t="inlineStr">
        <is>
          <t>FILIPSTAD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45588</v>
      </c>
      <c r="E233" s="1" t="n">
        <v>46269</v>
      </c>
      <c r="F233" t="inlineStr">
        <is>
          <t>VÄRMLANDS LÄN</t>
        </is>
      </c>
      <c r="G233" t="inlineStr">
        <is>
          <t>FILIPSTAD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41718-2025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45902</v>
      </c>
      <c r="E234" s="1" t="n">
        <v>46269</v>
      </c>
      <c r="F234" t="inlineStr">
        <is>
          <t>VÄRMLANDS LÄN</t>
        </is>
      </c>
      <c r="G234" t="inlineStr">
        <is>
          <t>FILIPSTAD</t>
        </is>
      </c>
      <c r="I234" t="n">
        <v>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46269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12247-2022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44637</v>
      </c>
      <c r="E236" s="1" t="n">
        <v>46269</v>
      </c>
      <c r="F236" t="inlineStr">
        <is>
          <t>VÄRMLANDS LÄN</t>
        </is>
      </c>
      <c r="G236" t="inlineStr">
        <is>
          <t>FILIPSTAD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45439</v>
      </c>
      <c r="E237" s="1" t="n">
        <v>46269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45087</v>
      </c>
      <c r="E238" s="1" t="n">
        <v>46269</v>
      </c>
      <c r="F238" t="inlineStr">
        <is>
          <t>VÄRMLANDS LÄN</t>
        </is>
      </c>
      <c r="G238" t="inlineStr">
        <is>
          <t>FILIPSTAD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46269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45789</v>
      </c>
      <c r="E240" s="1" t="n">
        <v>46269</v>
      </c>
      <c r="F240" t="inlineStr">
        <is>
          <t>VÄRMLANDS LÄN</t>
        </is>
      </c>
      <c r="G240" t="inlineStr">
        <is>
          <t>FILIPSTAD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46269</v>
      </c>
      <c r="F241" t="inlineStr">
        <is>
          <t>VÄRMLANDS LÄN</t>
        </is>
      </c>
      <c r="G241" t="inlineStr">
        <is>
          <t>FILIPSTAD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45274</v>
      </c>
      <c r="E242" s="1" t="n">
        <v>46269</v>
      </c>
      <c r="F242" t="inlineStr">
        <is>
          <t>VÄRMLANDS LÄN</t>
        </is>
      </c>
      <c r="G242" t="inlineStr">
        <is>
          <t>FILIPSTAD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46269</v>
      </c>
      <c r="F243" t="inlineStr">
        <is>
          <t>VÄRMLANDS LÄN</t>
        </is>
      </c>
      <c r="G243" t="inlineStr">
        <is>
          <t>FILIPSTAD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45964</v>
      </c>
      <c r="E244" s="1" t="n">
        <v>46269</v>
      </c>
      <c r="F244" t="inlineStr">
        <is>
          <t>VÄRMLANDS LÄN</t>
        </is>
      </c>
      <c r="G244" t="inlineStr">
        <is>
          <t>FILIPSTAD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46269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29474-2024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45484</v>
      </c>
      <c r="E246" s="1" t="n">
        <v>46269</v>
      </c>
      <c r="F246" t="inlineStr">
        <is>
          <t>VÄRMLANDS LÄN</t>
        </is>
      </c>
      <c r="G246" t="inlineStr">
        <is>
          <t>FILIPSTAD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46269</v>
      </c>
      <c r="F247" t="inlineStr">
        <is>
          <t>VÄRMLANDS LÄN</t>
        </is>
      </c>
      <c r="G247" t="inlineStr">
        <is>
          <t>FILIPSTAD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63482-2021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44508</v>
      </c>
      <c r="E248" s="1" t="n">
        <v>46269</v>
      </c>
      <c r="F248" t="inlineStr">
        <is>
          <t>VÄRMLANDS LÄN</t>
        </is>
      </c>
      <c r="G248" t="inlineStr">
        <is>
          <t>FILIPSTAD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45880</v>
      </c>
      <c r="E249" s="1" t="n">
        <v>46269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46269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46269</v>
      </c>
      <c r="F251" t="inlineStr">
        <is>
          <t>VÄRMLANDS LÄN</t>
        </is>
      </c>
      <c r="G251" t="inlineStr">
        <is>
          <t>FILIPSTAD</t>
        </is>
      </c>
      <c r="I251" t="n">
        <v>11.7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20489-2026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46140</v>
      </c>
      <c r="E252" s="1" t="n">
        <v>46269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45891</v>
      </c>
      <c r="E253" s="1" t="n">
        <v>46269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70405-2021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46269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46269</v>
      </c>
      <c r="F255" t="inlineStr">
        <is>
          <t>VÄRMLANDS LÄN</t>
        </is>
      </c>
      <c r="G255" t="inlineStr">
        <is>
          <t>FILIPSTAD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44596</v>
      </c>
      <c r="E256" s="1" t="n">
        <v>46269</v>
      </c>
      <c r="F256" t="inlineStr">
        <is>
          <t>VÄRMLANDS LÄN</t>
        </is>
      </c>
      <c r="G256" t="inlineStr">
        <is>
          <t>FILIPSTAD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46269</v>
      </c>
      <c r="F257" t="inlineStr">
        <is>
          <t>VÄRMLANDS LÄN</t>
        </is>
      </c>
      <c r="G257" t="inlineStr">
        <is>
          <t>FILIPSTAD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46269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54735-2024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45618</v>
      </c>
      <c r="E259" s="1" t="n">
        <v>46269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40244-2023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45169</v>
      </c>
      <c r="E260" s="1" t="n">
        <v>46269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46141</v>
      </c>
      <c r="E261" s="1" t="n">
        <v>46269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46269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46906-2025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46269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20554-2025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45775</v>
      </c>
      <c r="E264" s="1" t="n">
        <v>46269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46269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46269</v>
      </c>
      <c r="F266" t="inlineStr">
        <is>
          <t>VÄRMLANDS LÄN</t>
        </is>
      </c>
      <c r="G266" t="inlineStr">
        <is>
          <t>FILIPSTAD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36272-2025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45867</v>
      </c>
      <c r="E267" s="1" t="n">
        <v>46269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45834</v>
      </c>
      <c r="E268" s="1" t="n">
        <v>46269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20874-2026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46269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46269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46269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46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46269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45456</v>
      </c>
      <c r="E273" s="1" t="n">
        <v>46269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16067-2026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46108</v>
      </c>
      <c r="E274" s="1" t="n">
        <v>46269</v>
      </c>
      <c r="F274" t="inlineStr">
        <is>
          <t>VÄRMLANDS LÄN</t>
        </is>
      </c>
      <c r="G274" t="inlineStr">
        <is>
          <t>FILIPSTAD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45658</v>
      </c>
      <c r="E275" s="1" t="n">
        <v>46269</v>
      </c>
      <c r="F275" t="inlineStr">
        <is>
          <t>VÄRMLANDS LÄN</t>
        </is>
      </c>
      <c r="G275" t="inlineStr">
        <is>
          <t>FILIPSTAD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48103-2025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45933</v>
      </c>
      <c r="E276" s="1" t="n">
        <v>46269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46269</v>
      </c>
      <c r="F277" t="inlineStr">
        <is>
          <t>VÄRMLANDS LÄN</t>
        </is>
      </c>
      <c r="G277" t="inlineStr">
        <is>
          <t>FILIPSTAD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45638</v>
      </c>
      <c r="E278" s="1" t="n">
        <v>46269</v>
      </c>
      <c r="F278" t="inlineStr">
        <is>
          <t>VÄRMLANDS LÄN</t>
        </is>
      </c>
      <c r="G278" t="inlineStr">
        <is>
          <t>FILIPSTAD</t>
        </is>
      </c>
      <c r="H278" t="inlineStr">
        <is>
          <t>Kyrkan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45177</v>
      </c>
      <c r="E279" s="1" t="n">
        <v>46269</v>
      </c>
      <c r="F279" t="inlineStr">
        <is>
          <t>VÄRMLANDS LÄN</t>
        </is>
      </c>
      <c r="G279" t="inlineStr">
        <is>
          <t>FILIPSTAD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21542-2026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46148</v>
      </c>
      <c r="E280" s="1" t="n">
        <v>46269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46269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46269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46269</v>
      </c>
      <c r="F283" t="inlineStr">
        <is>
          <t>VÄRMLANDS LÄN</t>
        </is>
      </c>
      <c r="G283" t="inlineStr">
        <is>
          <t>FILIPSTAD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46269</v>
      </c>
      <c r="F284" t="inlineStr">
        <is>
          <t>VÄRMLANDS LÄN</t>
        </is>
      </c>
      <c r="G284" t="inlineStr">
        <is>
          <t>FILIPSTAD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46153</v>
      </c>
      <c r="E285" s="1" t="n">
        <v>46269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46269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46269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46269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46269</v>
      </c>
      <c r="F289" t="inlineStr">
        <is>
          <t>VÄRMLANDS LÄN</t>
        </is>
      </c>
      <c r="G289" t="inlineStr">
        <is>
          <t>FILIPSTAD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22021-2026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46153</v>
      </c>
      <c r="E290" s="1" t="n">
        <v>46269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46153</v>
      </c>
      <c r="E291" s="1" t="n">
        <v>46269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46153</v>
      </c>
      <c r="E292" s="1" t="n">
        <v>46269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46269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22152-2026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46153</v>
      </c>
      <c r="E294" s="1" t="n">
        <v>46269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45951</v>
      </c>
      <c r="E295" s="1" t="n">
        <v>46269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44876</v>
      </c>
      <c r="E296" s="1" t="n">
        <v>46269</v>
      </c>
      <c r="F296" t="inlineStr">
        <is>
          <t>VÄRMLANDS LÄN</t>
        </is>
      </c>
      <c r="G296" t="inlineStr">
        <is>
          <t>FILIPSTAD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51790-2025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45951</v>
      </c>
      <c r="E297" s="1" t="n">
        <v>46269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52329-2025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46269</v>
      </c>
      <c r="F298" t="inlineStr">
        <is>
          <t>VÄRMLANDS LÄN</t>
        </is>
      </c>
      <c r="G298" t="inlineStr">
        <is>
          <t>FILIPSTAD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46269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46269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45229</v>
      </c>
      <c r="E301" s="1" t="n">
        <v>46269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46269</v>
      </c>
      <c r="F302" t="inlineStr">
        <is>
          <t>VÄRMLANDS LÄN</t>
        </is>
      </c>
      <c r="G302" t="inlineStr">
        <is>
          <t>FILIPSTAD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53325-2025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46269</v>
      </c>
      <c r="F303" t="inlineStr">
        <is>
          <t>VÄRMLANDS LÄN</t>
        </is>
      </c>
      <c r="G303" t="inlineStr">
        <is>
          <t>FILIPSTAD</t>
        </is>
      </c>
      <c r="H303" t="inlineStr">
        <is>
          <t>Kyrkan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51985-2023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45223</v>
      </c>
      <c r="E304" s="1" t="n">
        <v>46269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45218</v>
      </c>
      <c r="E305" s="1" t="n">
        <v>46269</v>
      </c>
      <c r="F305" t="inlineStr">
        <is>
          <t>VÄRMLANDS LÄN</t>
        </is>
      </c>
      <c r="G305" t="inlineStr">
        <is>
          <t>FILIPSTAD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46269</v>
      </c>
      <c r="F306" t="inlineStr">
        <is>
          <t>VÄRMLANDS LÄN</t>
        </is>
      </c>
      <c r="G306" t="inlineStr">
        <is>
          <t>FILIPSTAD</t>
        </is>
      </c>
      <c r="H306" t="inlineStr">
        <is>
          <t>Kyrkan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45077</v>
      </c>
      <c r="E307" s="1" t="n">
        <v>46269</v>
      </c>
      <c r="F307" t="inlineStr">
        <is>
          <t>VÄRMLANDS LÄN</t>
        </is>
      </c>
      <c r="G307" t="inlineStr">
        <is>
          <t>FILIPSTAD</t>
        </is>
      </c>
      <c r="I307" t="n">
        <v>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46269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55397-2022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44887</v>
      </c>
      <c r="E309" s="1" t="n">
        <v>46269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46269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46269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46269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46269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55173-2025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45968</v>
      </c>
      <c r="E314" s="1" t="n">
        <v>46269</v>
      </c>
      <c r="F314" t="inlineStr">
        <is>
          <t>VÄRMLANDS LÄN</t>
        </is>
      </c>
      <c r="G314" t="inlineStr">
        <is>
          <t>FILIPSTAD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55175-2025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45968</v>
      </c>
      <c r="E315" s="1" t="n">
        <v>46269</v>
      </c>
      <c r="F315" t="inlineStr">
        <is>
          <t>VÄRMLANDS LÄN</t>
        </is>
      </c>
      <c r="G315" t="inlineStr">
        <is>
          <t>FILIPSTAD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46269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46269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23500-2026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46269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46269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46269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55668-2025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45972</v>
      </c>
      <c r="E321" s="1" t="n">
        <v>46269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6520-2023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46269</v>
      </c>
      <c r="F322" t="inlineStr">
        <is>
          <t>VÄRMLANDS LÄN</t>
        </is>
      </c>
      <c r="G322" t="inlineStr">
        <is>
          <t>FILIPSTAD</t>
        </is>
      </c>
      <c r="H322" t="inlineStr">
        <is>
          <t>Kommuner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56086-2025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46269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46269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46269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46269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56158-2025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46269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56167-2025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46269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56182-2025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46269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56184-2025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46269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56062-2025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46269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9.199999999999999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46269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46269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56083-2025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46269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46269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49935-2025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45940</v>
      </c>
      <c r="E336" s="1" t="n">
        <v>46269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24027-2026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46167</v>
      </c>
      <c r="E337" s="1" t="n">
        <v>46269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55978-2022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44889</v>
      </c>
      <c r="E338" s="1" t="n">
        <v>46269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56032-2025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46269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46269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46269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46269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23952-2026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46269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46269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23931-2026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46269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46269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46269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46269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18.8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46269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46269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46269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23970-2026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46269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46169</v>
      </c>
      <c r="E353" s="1" t="n">
        <v>46269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46169</v>
      </c>
      <c r="E354" s="1" t="n">
        <v>46269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24291-2026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46169</v>
      </c>
      <c r="E355" s="1" t="n">
        <v>46269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50856-2022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44867</v>
      </c>
      <c r="E356" s="1" t="n">
        <v>46269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46269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24519-2026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46170</v>
      </c>
      <c r="E358" s="1" t="n">
        <v>46269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46269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46170</v>
      </c>
      <c r="E360" s="1" t="n">
        <v>46269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46269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46269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46269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61628-2022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44911</v>
      </c>
      <c r="E364" s="1" t="n">
        <v>46269</v>
      </c>
      <c r="F364" t="inlineStr">
        <is>
          <t>VÄRMLANDS LÄN</t>
        </is>
      </c>
      <c r="G364" t="inlineStr">
        <is>
          <t>FILIPSTAD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43264-2024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46269</v>
      </c>
      <c r="F365" t="inlineStr">
        <is>
          <t>VÄRMLANDS LÄN</t>
        </is>
      </c>
      <c r="G365" t="inlineStr">
        <is>
          <t>FILIPSTAD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46269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24745-2026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46269</v>
      </c>
      <c r="F367" t="inlineStr">
        <is>
          <t>VÄRMLANDS LÄN</t>
        </is>
      </c>
      <c r="G367" t="inlineStr">
        <is>
          <t>FILIPSTAD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57872-2025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46269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32183-2025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45835</v>
      </c>
      <c r="E369" s="1" t="n">
        <v>46269</v>
      </c>
      <c r="F369" t="inlineStr">
        <is>
          <t>VÄRMLANDS LÄN</t>
        </is>
      </c>
      <c r="G369" t="inlineStr">
        <is>
          <t>FILIPSTAD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16063-2025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45749</v>
      </c>
      <c r="E370" s="1" t="n">
        <v>46269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46269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45253</v>
      </c>
      <c r="E372" s="1" t="n">
        <v>46269</v>
      </c>
      <c r="F372" t="inlineStr">
        <is>
          <t>VÄRMLANDS LÄN</t>
        </is>
      </c>
      <c r="G372" t="inlineStr">
        <is>
          <t>FILIPSTAD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58389-2025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46269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46269</v>
      </c>
      <c r="F374" t="inlineStr">
        <is>
          <t>VÄRMLANDS LÄN</t>
        </is>
      </c>
      <c r="G374" t="inlineStr">
        <is>
          <t>FILIPSTAD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46269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46269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25203-2026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46269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8.9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46269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46269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8.5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46269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46269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46269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45989</v>
      </c>
      <c r="E383" s="1" t="n">
        <v>46269</v>
      </c>
      <c r="F383" t="inlineStr">
        <is>
          <t>VÄRMLANDS LÄN</t>
        </is>
      </c>
      <c r="G383" t="inlineStr">
        <is>
          <t>FILIPSTAD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59410-2025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46269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46269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45993</v>
      </c>
      <c r="E386" s="1" t="n">
        <v>46269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25869-2026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46269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60653-2025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45996</v>
      </c>
      <c r="E388" s="1" t="n">
        <v>46269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7.5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45995</v>
      </c>
      <c r="E389" s="1" t="n">
        <v>46269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60433-2025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45995</v>
      </c>
      <c r="E390" s="1" t="n">
        <v>46269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46269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26107-2026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46181</v>
      </c>
      <c r="E392" s="1" t="n">
        <v>46269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20.9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25769-2026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46269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61069-2025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46000</v>
      </c>
      <c r="E394" s="1" t="n">
        <v>46269</v>
      </c>
      <c r="F394" t="inlineStr">
        <is>
          <t>VÄRMLANDS LÄN</t>
        </is>
      </c>
      <c r="G394" t="inlineStr">
        <is>
          <t>FILIPSTAD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61047-2025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46269</v>
      </c>
      <c r="F395" t="inlineStr">
        <is>
          <t>VÄRMLANDS LÄN</t>
        </is>
      </c>
      <c r="G395" t="inlineStr">
        <is>
          <t>FILIPSTAD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61327-2025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46001</v>
      </c>
      <c r="E396" s="1" t="n">
        <v>46269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61362-2025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46001</v>
      </c>
      <c r="E397" s="1" t="n">
        <v>46269</v>
      </c>
      <c r="F397" t="inlineStr">
        <is>
          <t>VÄRMLANDS LÄN</t>
        </is>
      </c>
      <c r="G397" t="inlineStr">
        <is>
          <t>FILIPSTAD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61482-2025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46269</v>
      </c>
      <c r="F398" t="inlineStr">
        <is>
          <t>VÄRMLANDS LÄN</t>
        </is>
      </c>
      <c r="G398" t="inlineStr">
        <is>
          <t>FILIPSTAD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46178</v>
      </c>
      <c r="E399" s="1" t="n">
        <v>46269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46182</v>
      </c>
      <c r="E400" s="1" t="n">
        <v>46269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61717-2025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46002</v>
      </c>
      <c r="E401" s="1" t="n">
        <v>46269</v>
      </c>
      <c r="F401" t="inlineStr">
        <is>
          <t>VÄRMLANDS LÄN</t>
        </is>
      </c>
      <c r="G401" t="inlineStr">
        <is>
          <t>FILIPSTAD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61417-2025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46001</v>
      </c>
      <c r="E402" s="1" t="n">
        <v>46269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61719-2025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46002</v>
      </c>
      <c r="E403" s="1" t="n">
        <v>46269</v>
      </c>
      <c r="F403" t="inlineStr">
        <is>
          <t>VÄRMLANDS LÄN</t>
        </is>
      </c>
      <c r="G403" t="inlineStr">
        <is>
          <t>FILIPSTAD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46269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46001</v>
      </c>
      <c r="E405" s="1" t="n">
        <v>46269</v>
      </c>
      <c r="F405" t="inlineStr">
        <is>
          <t>VÄRMLANDS LÄN</t>
        </is>
      </c>
      <c r="G405" t="inlineStr">
        <is>
          <t>FILIPSTAD</t>
        </is>
      </c>
      <c r="I405" t="n">
        <v>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26229-2026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46269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46002</v>
      </c>
      <c r="E407" s="1" t="n">
        <v>46269</v>
      </c>
      <c r="F407" t="inlineStr">
        <is>
          <t>VÄRMLANDS LÄN</t>
        </is>
      </c>
      <c r="G407" t="inlineStr">
        <is>
          <t>FILIPSTAD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11680-2023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44994</v>
      </c>
      <c r="E408" s="1" t="n">
        <v>46269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46269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26501-2026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46269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61492-2025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46001</v>
      </c>
      <c r="E411" s="1" t="n">
        <v>46269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46269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61391-2025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46001</v>
      </c>
      <c r="E413" s="1" t="n">
        <v>46269</v>
      </c>
      <c r="F413" t="inlineStr">
        <is>
          <t>VÄRMLANDS LÄN</t>
        </is>
      </c>
      <c r="G413" t="inlineStr">
        <is>
          <t>FILIPSTAD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46269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46004</v>
      </c>
      <c r="E415" s="1" t="n">
        <v>46269</v>
      </c>
      <c r="F415" t="inlineStr">
        <is>
          <t>VÄRMLANDS LÄN</t>
        </is>
      </c>
      <c r="G415" t="inlineStr">
        <is>
          <t>FILIPSTAD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26343-2026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46182</v>
      </c>
      <c r="E416" s="1" t="n">
        <v>46269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62021-2025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46269</v>
      </c>
      <c r="F417" t="inlineStr">
        <is>
          <t>VÄRMLANDS LÄN</t>
        </is>
      </c>
      <c r="G417" t="inlineStr">
        <is>
          <t>FILIPSTAD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46185</v>
      </c>
      <c r="E418" s="1" t="n">
        <v>46269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62033-2025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46004</v>
      </c>
      <c r="E419" s="1" t="n">
        <v>46269</v>
      </c>
      <c r="F419" t="inlineStr">
        <is>
          <t>VÄRMLANDS LÄN</t>
        </is>
      </c>
      <c r="G419" t="inlineStr">
        <is>
          <t>FILIPSTAD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31746-2026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46227</v>
      </c>
      <c r="E420" s="1" t="n">
        <v>46269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31726-2026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46227</v>
      </c>
      <c r="E421" s="1" t="n">
        <v>46269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36680-2023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45153</v>
      </c>
      <c r="E422" s="1" t="n">
        <v>46269</v>
      </c>
      <c r="F422" t="inlineStr">
        <is>
          <t>VÄRMLANDS LÄN</t>
        </is>
      </c>
      <c r="G422" t="inlineStr">
        <is>
          <t>FILIPSTAD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61823-2025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46003</v>
      </c>
      <c r="E423" s="1" t="n">
        <v>46269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46269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46269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54127-2023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45232</v>
      </c>
      <c r="E426" s="1" t="n">
        <v>46269</v>
      </c>
      <c r="F426" t="inlineStr">
        <is>
          <t>VÄRMLANDS LÄN</t>
        </is>
      </c>
      <c r="G426" t="inlineStr">
        <is>
          <t>FILIPSTAD</t>
        </is>
      </c>
      <c r="I426" t="n">
        <v>15.5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46187</v>
      </c>
      <c r="E427" s="1" t="n">
        <v>46269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26549-2026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46183</v>
      </c>
      <c r="E428" s="1" t="n">
        <v>46269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46186</v>
      </c>
      <c r="E429" s="1" t="n">
        <v>46269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27079-2026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46186</v>
      </c>
      <c r="E430" s="1" t="n">
        <v>46269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5803-2023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44963</v>
      </c>
      <c r="E431" s="1" t="n">
        <v>46269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46269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46010</v>
      </c>
      <c r="E433" s="1" t="n">
        <v>46269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27372-2026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46269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31950-2026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46232</v>
      </c>
      <c r="E435" s="1" t="n">
        <v>46269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46231</v>
      </c>
      <c r="E436" s="1" t="n">
        <v>46269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46232</v>
      </c>
      <c r="E437" s="1" t="n">
        <v>46269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46232</v>
      </c>
      <c r="E438" s="1" t="n">
        <v>46269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45602</v>
      </c>
      <c r="E439" s="1" t="n">
        <v>46269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63678-2025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46014</v>
      </c>
      <c r="E440" s="1" t="n">
        <v>46269</v>
      </c>
      <c r="F440" t="inlineStr">
        <is>
          <t>VÄRMLANDS LÄN</t>
        </is>
      </c>
      <c r="G440" t="inlineStr">
        <is>
          <t>FILIPSTAD</t>
        </is>
      </c>
      <c r="I440" t="n">
        <v>9.9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17763-2025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45758</v>
      </c>
      <c r="E441" s="1" t="n">
        <v>46269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27774-2026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46269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46233</v>
      </c>
      <c r="E443" s="1" t="n">
        <v>46269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46269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51618-2022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44872</v>
      </c>
      <c r="E445" s="1" t="n">
        <v>46269</v>
      </c>
      <c r="F445" t="inlineStr">
        <is>
          <t>VÄRMLANDS LÄN</t>
        </is>
      </c>
      <c r="G445" t="inlineStr">
        <is>
          <t>FILIPSTAD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32035-2026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46233</v>
      </c>
      <c r="E446" s="1" t="n">
        <v>46269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46233</v>
      </c>
      <c r="E447" s="1" t="n">
        <v>46269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32141-2026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46234</v>
      </c>
      <c r="E448" s="1" t="n">
        <v>46269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27867-2026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46191</v>
      </c>
      <c r="E449" s="1" t="n">
        <v>46269</v>
      </c>
      <c r="F449" t="inlineStr">
        <is>
          <t>VÄRMLANDS LÄN</t>
        </is>
      </c>
      <c r="G449" t="inlineStr">
        <is>
          <t>FILIPSTAD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27968-2026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46269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46237</v>
      </c>
      <c r="E451" s="1" t="n">
        <v>46269</v>
      </c>
      <c r="F451" t="inlineStr">
        <is>
          <t>VÄRMLANDS LÄN</t>
        </is>
      </c>
      <c r="G451" t="inlineStr">
        <is>
          <t>FILIPSTAD</t>
        </is>
      </c>
      <c r="I451" t="n">
        <v>13.4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46269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32249-2026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46237</v>
      </c>
      <c r="E453" s="1" t="n">
        <v>46269</v>
      </c>
      <c r="F453" t="inlineStr">
        <is>
          <t>VÄRMLANDS LÄN</t>
        </is>
      </c>
      <c r="G453" t="inlineStr">
        <is>
          <t>FILIPSTAD</t>
        </is>
      </c>
      <c r="H453" t="inlineStr">
        <is>
          <t>Kommuner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51031-2025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45947</v>
      </c>
      <c r="E454" s="1" t="n">
        <v>46269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46269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46239</v>
      </c>
      <c r="E456" s="1" t="n">
        <v>46269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46240</v>
      </c>
      <c r="E457" s="1" t="n">
        <v>46269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46240</v>
      </c>
      <c r="E458" s="1" t="n">
        <v>46269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28516-2026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46197</v>
      </c>
      <c r="E459" s="1" t="n">
        <v>46269</v>
      </c>
      <c r="F459" t="inlineStr">
        <is>
          <t>VÄRMLANDS LÄN</t>
        </is>
      </c>
      <c r="G459" t="inlineStr">
        <is>
          <t>FILIPSTAD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46269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46269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32588-2026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46240</v>
      </c>
      <c r="E462" s="1" t="n">
        <v>46269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58611-2025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45986</v>
      </c>
      <c r="E463" s="1" t="n">
        <v>46269</v>
      </c>
      <c r="F463" t="inlineStr">
        <is>
          <t>VÄRMLANDS LÄN</t>
        </is>
      </c>
      <c r="G463" t="inlineStr">
        <is>
          <t>FILIPSTAD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46239</v>
      </c>
      <c r="E464" s="1" t="n">
        <v>46269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71971-2021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44544</v>
      </c>
      <c r="E465" s="1" t="n">
        <v>46269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46269</v>
      </c>
      <c r="F466" t="inlineStr">
        <is>
          <t>VÄRMLANDS LÄN</t>
        </is>
      </c>
      <c r="G466" t="inlineStr">
        <is>
          <t>FILIPSTAD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45114</v>
      </c>
      <c r="E467" s="1" t="n">
        <v>46269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3071-2026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46040</v>
      </c>
      <c r="E468" s="1" t="n">
        <v>46269</v>
      </c>
      <c r="F468" t="inlineStr">
        <is>
          <t>VÄRMLANDS LÄN</t>
        </is>
      </c>
      <c r="G468" t="inlineStr">
        <is>
          <t>FILIPSTAD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32852-2026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46269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46241</v>
      </c>
      <c r="E470" s="1" t="n">
        <v>46269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46244</v>
      </c>
      <c r="E471" s="1" t="n">
        <v>46269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46269</v>
      </c>
      <c r="F472" t="inlineStr">
        <is>
          <t>VÄRMLANDS LÄN</t>
        </is>
      </c>
      <c r="G472" t="inlineStr">
        <is>
          <t>FILIPSTAD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46269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46269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46269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9370-2023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44981</v>
      </c>
      <c r="E476" s="1" t="n">
        <v>46269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33324-2026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46246</v>
      </c>
      <c r="E477" s="1" t="n">
        <v>46269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23.8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29376-2026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46269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29127-2026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46269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46269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46056</v>
      </c>
      <c r="E481" s="1" t="n">
        <v>46269</v>
      </c>
      <c r="F481" t="inlineStr">
        <is>
          <t>VÄRMLANDS LÄN</t>
        </is>
      </c>
      <c r="G481" t="inlineStr">
        <is>
          <t>FILIPSTAD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46056</v>
      </c>
      <c r="E482" s="1" t="n">
        <v>46269</v>
      </c>
      <c r="F482" t="inlineStr">
        <is>
          <t>VÄRMLANDS LÄN</t>
        </is>
      </c>
      <c r="G482" t="inlineStr">
        <is>
          <t>FILIPSTAD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46245</v>
      </c>
      <c r="E483" s="1" t="n">
        <v>46269</v>
      </c>
      <c r="F483" t="inlineStr">
        <is>
          <t>VÄRMLANDS LÄN</t>
        </is>
      </c>
      <c r="G483" t="inlineStr">
        <is>
          <t>FILIPSTAD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28989-2026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46269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29010-2026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46199</v>
      </c>
      <c r="E485" s="1" t="n">
        <v>46269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54008-2021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44470</v>
      </c>
      <c r="E486" s="1" t="n">
        <v>46269</v>
      </c>
      <c r="F486" t="inlineStr">
        <is>
          <t>VÄRMLANDS LÄN</t>
        </is>
      </c>
      <c r="G486" t="inlineStr">
        <is>
          <t>FILIPSTAD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29821-2026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46205</v>
      </c>
      <c r="E487" s="1" t="n">
        <v>46269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46269</v>
      </c>
      <c r="F488" t="inlineStr">
        <is>
          <t>VÄRMLANDS LÄN</t>
        </is>
      </c>
      <c r="G488" t="inlineStr">
        <is>
          <t>FILIPSTAD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29417-2026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46269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50786-2024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45602</v>
      </c>
      <c r="E490" s="1" t="n">
        <v>46269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29591-2026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46269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46269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46269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8.199999999999999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46269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44963</v>
      </c>
      <c r="E495" s="1" t="n">
        <v>46269</v>
      </c>
      <c r="F495" t="inlineStr">
        <is>
          <t>VÄRMLANDS LÄN</t>
        </is>
      </c>
      <c r="G495" t="inlineStr">
        <is>
          <t>FILIPSTAD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8139-2026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46064</v>
      </c>
      <c r="E496" s="1" t="n">
        <v>46269</v>
      </c>
      <c r="F496" t="inlineStr">
        <is>
          <t>VÄRMLANDS LÄN</t>
        </is>
      </c>
      <c r="G496" t="inlineStr">
        <is>
          <t>FILIPSTAD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44805</v>
      </c>
      <c r="E497" s="1" t="n">
        <v>46269</v>
      </c>
      <c r="F497" t="inlineStr">
        <is>
          <t>VÄRMLANDS LÄN</t>
        </is>
      </c>
      <c r="G497" t="inlineStr">
        <is>
          <t>FILIPSTAD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46269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26.6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46090</v>
      </c>
      <c r="E499" s="1" t="n">
        <v>46269</v>
      </c>
      <c r="F499" t="inlineStr">
        <is>
          <t>VÄRMLANDS LÄN</t>
        </is>
      </c>
      <c r="G499" t="inlineStr">
        <is>
          <t>FILIPSTAD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33967-2023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45124</v>
      </c>
      <c r="E500" s="1" t="n">
        <v>46269</v>
      </c>
      <c r="F500" t="inlineStr">
        <is>
          <t>VÄRMLANDS LÄN</t>
        </is>
      </c>
      <c r="G500" t="inlineStr">
        <is>
          <t>FILIPSTAD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33973-2023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45124</v>
      </c>
      <c r="E501" s="1" t="n">
        <v>46269</v>
      </c>
      <c r="F501" t="inlineStr">
        <is>
          <t>VÄRMLANDS LÄN</t>
        </is>
      </c>
      <c r="G501" t="inlineStr">
        <is>
          <t>FILIPSTAD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46269</v>
      </c>
      <c r="F502" t="inlineStr">
        <is>
          <t>VÄRMLANDS LÄN</t>
        </is>
      </c>
      <c r="G502" t="inlineStr">
        <is>
          <t>FILIPSTAD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44911</v>
      </c>
      <c r="E503" s="1" t="n">
        <v>46269</v>
      </c>
      <c r="F503" t="inlineStr">
        <is>
          <t>VÄRMLANDS LÄN</t>
        </is>
      </c>
      <c r="G503" t="inlineStr">
        <is>
          <t>FILIPSTAD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33855-2026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46251</v>
      </c>
      <c r="E504" s="1" t="n">
        <v>46269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46269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34053-2026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46252</v>
      </c>
      <c r="E506" s="1" t="n">
        <v>46269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20.2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46213</v>
      </c>
      <c r="E507" s="1" t="n">
        <v>46269</v>
      </c>
      <c r="F507" t="inlineStr">
        <is>
          <t>VÄRMLANDS LÄN</t>
        </is>
      </c>
      <c r="G507" t="inlineStr">
        <is>
          <t>FILIPSTAD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33859-2026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46251</v>
      </c>
      <c r="E508" s="1" t="n">
        <v>46269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34054-2026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46252</v>
      </c>
      <c r="E509" s="1" t="n">
        <v>46269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10279-2026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46269</v>
      </c>
      <c r="F510" t="inlineStr">
        <is>
          <t>VÄRMLANDS LÄN</t>
        </is>
      </c>
      <c r="G510" t="inlineStr">
        <is>
          <t>FILIPSTAD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46251</v>
      </c>
      <c r="E511" s="1" t="n">
        <v>46269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33837-2026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46251</v>
      </c>
      <c r="E512" s="1" t="n">
        <v>46269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7.4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30074-2026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46269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25737-2023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45090</v>
      </c>
      <c r="E514" s="1" t="n">
        <v>46269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46269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12216-2026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46087</v>
      </c>
      <c r="E516" s="1" t="n">
        <v>46269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44579</v>
      </c>
      <c r="E517" s="1" t="n">
        <v>46269</v>
      </c>
      <c r="F517" t="inlineStr">
        <is>
          <t>VÄRMLANDS LÄN</t>
        </is>
      </c>
      <c r="G517" t="inlineStr">
        <is>
          <t>FILIPSTAD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46269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19.2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34539-2026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46269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46092</v>
      </c>
      <c r="E520" s="1" t="n">
        <v>46269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46269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15471-2024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45401</v>
      </c>
      <c r="E522" s="1" t="n">
        <v>46269</v>
      </c>
      <c r="F522" t="inlineStr">
        <is>
          <t>VÄRMLANDS LÄN</t>
        </is>
      </c>
      <c r="G522" t="inlineStr">
        <is>
          <t>FILIPSTAD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46092</v>
      </c>
      <c r="E523" s="1" t="n">
        <v>46269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13555-2026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46094</v>
      </c>
      <c r="E524" s="1" t="n">
        <v>46269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46269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32786-2024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45516</v>
      </c>
      <c r="E526" s="1" t="n">
        <v>46269</v>
      </c>
      <c r="F526" t="inlineStr">
        <is>
          <t>VÄRMLANDS LÄN</t>
        </is>
      </c>
      <c r="G526" t="inlineStr">
        <is>
          <t>FILIPSTAD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13387-2026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46094</v>
      </c>
      <c r="E527" s="1" t="n">
        <v>46269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13553-2026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46269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8.9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46269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13393-2026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46269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5992-2023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44959</v>
      </c>
      <c r="E531" s="1" t="n">
        <v>46269</v>
      </c>
      <c r="F531" t="inlineStr">
        <is>
          <t>VÄRMLANDS LÄN</t>
        </is>
      </c>
      <c r="G531" t="inlineStr">
        <is>
          <t>FILIPSTAD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62014-2024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45655</v>
      </c>
      <c r="E532" s="1" t="n">
        <v>46269</v>
      </c>
      <c r="F532" t="inlineStr">
        <is>
          <t>VÄRMLANDS LÄN</t>
        </is>
      </c>
      <c r="G532" t="inlineStr">
        <is>
          <t>FILIPSTAD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17686-2023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45037</v>
      </c>
      <c r="E533" s="1" t="n">
        <v>46269</v>
      </c>
      <c r="F533" t="inlineStr">
        <is>
          <t>VÄRMLANDS LÄN</t>
        </is>
      </c>
      <c r="G533" t="inlineStr">
        <is>
          <t>FILIPSTAD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13863-2026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46098</v>
      </c>
      <c r="E534" s="1" t="n">
        <v>46269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46098</v>
      </c>
      <c r="E535" s="1" t="n">
        <v>46269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4418-2024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45327</v>
      </c>
      <c r="E536" s="1" t="n">
        <v>46269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9.300000000000001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46259</v>
      </c>
      <c r="E537" s="1" t="n">
        <v>46269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14379-2026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46100</v>
      </c>
      <c r="E538" s="1" t="n">
        <v>46269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46099</v>
      </c>
      <c r="E539" s="1" t="n">
        <v>46269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15197-2026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46105</v>
      </c>
      <c r="E540" s="1" t="n">
        <v>46269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34916-2026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46259</v>
      </c>
      <c r="E541" s="1" t="n">
        <v>46269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46261</v>
      </c>
      <c r="E542" s="1" t="n">
        <v>46269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45516-2024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45578</v>
      </c>
      <c r="E543" s="1" t="n">
        <v>46269</v>
      </c>
      <c r="F543" t="inlineStr">
        <is>
          <t>VÄRMLANDS LÄN</t>
        </is>
      </c>
      <c r="G543" t="inlineStr">
        <is>
          <t>FILIPSTAD</t>
        </is>
      </c>
      <c r="I543" t="n">
        <v>27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15848-2026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46269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35423-2026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46261</v>
      </c>
      <c r="E545" s="1" t="n">
        <v>46269</v>
      </c>
      <c r="F545" t="inlineStr">
        <is>
          <t>VÄRMLANDS LÄN</t>
        </is>
      </c>
      <c r="G545" t="inlineStr">
        <is>
          <t>FILIPSTAD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46680-2024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45583</v>
      </c>
      <c r="E546" s="1" t="n">
        <v>46269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46269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15920-2026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46107</v>
      </c>
      <c r="E548" s="1" t="n">
        <v>46269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15889-2026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46269</v>
      </c>
      <c r="F549" t="inlineStr">
        <is>
          <t>VÄRMLANDS LÄN</t>
        </is>
      </c>
      <c r="G549" t="inlineStr">
        <is>
          <t>FILIPSTAD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22830-2023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45072</v>
      </c>
      <c r="E550" s="1" t="n">
        <v>46269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15644-2026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46269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46269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46106</v>
      </c>
      <c r="E553" s="1" t="n">
        <v>46269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6.7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35368-2026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46261</v>
      </c>
      <c r="E554" s="1" t="n">
        <v>46269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31283-2026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46218</v>
      </c>
      <c r="E555" s="1" t="n">
        <v>46269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46108</v>
      </c>
      <c r="E556" s="1" t="n">
        <v>46269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16040-2026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46108</v>
      </c>
      <c r="E557" s="1" t="n">
        <v>46269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16050-2026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46108</v>
      </c>
      <c r="E558" s="1" t="n">
        <v>46269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46261</v>
      </c>
      <c r="E559" s="1" t="n">
        <v>46269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8.4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35927-2026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46266</v>
      </c>
      <c r="E560" s="1" t="n">
        <v>46269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27.4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46264</v>
      </c>
      <c r="E561" s="1" t="n">
        <v>46269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35945-2026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46266</v>
      </c>
      <c r="E562" s="1" t="n">
        <v>46269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46189</v>
      </c>
      <c r="E563" s="1" t="n">
        <v>46269</v>
      </c>
      <c r="F563" t="inlineStr">
        <is>
          <t>VÄRMLANDS LÄN</t>
        </is>
      </c>
      <c r="G563" t="inlineStr">
        <is>
          <t>FILIPSTAD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16975-2026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46114</v>
      </c>
      <c r="E564" s="1" t="n">
        <v>46269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8.1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46223</v>
      </c>
      <c r="E565" s="1" t="n">
        <v>46269</v>
      </c>
      <c r="F565" t="inlineStr">
        <is>
          <t>VÄRMLANDS LÄN</t>
        </is>
      </c>
      <c r="G565" t="inlineStr">
        <is>
          <t>FILIPSTAD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46265</v>
      </c>
      <c r="E566" s="1" t="n">
        <v>46269</v>
      </c>
      <c r="F566" t="inlineStr">
        <is>
          <t>VÄRMLANDS LÄN</t>
        </is>
      </c>
      <c r="G566" t="inlineStr">
        <is>
          <t>FILIPSTAD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17292-2026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46269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46119</v>
      </c>
      <c r="E568" s="1" t="n">
        <v>46269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46269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35948-2026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46266</v>
      </c>
      <c r="E570" s="1" t="n">
        <v>46269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35641-2026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46265</v>
      </c>
      <c r="E571" s="1" t="n">
        <v>46269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46269</v>
      </c>
      <c r="F572" t="inlineStr">
        <is>
          <t>VÄRMLANDS LÄN</t>
        </is>
      </c>
      <c r="G572" t="inlineStr">
        <is>
          <t>FILIPSTAD</t>
        </is>
      </c>
      <c r="I572" t="n">
        <v>9.699999999999999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35615-2026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46264</v>
      </c>
      <c r="E573" s="1" t="n">
        <v>46269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35995-2026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46266</v>
      </c>
      <c r="E574" s="1" t="n">
        <v>46269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31537-2026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46223</v>
      </c>
      <c r="E575" s="1" t="n">
        <v>46269</v>
      </c>
      <c r="F575" t="inlineStr">
        <is>
          <t>VÄRMLANDS LÄN</t>
        </is>
      </c>
      <c r="G575" t="inlineStr">
        <is>
          <t>FILIPSTAD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36195-2026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46269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17845-2026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46122</v>
      </c>
      <c r="E577" s="1" t="n">
        <v>46269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62013-2024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45655</v>
      </c>
      <c r="E578" s="1" t="n">
        <v>46269</v>
      </c>
      <c r="F578" t="inlineStr">
        <is>
          <t>VÄRMLANDS LÄN</t>
        </is>
      </c>
      <c r="G578" t="inlineStr">
        <is>
          <t>FILIPSTAD</t>
        </is>
      </c>
      <c r="I578" t="n">
        <v>26.5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46122</v>
      </c>
      <c r="E579" s="1" t="n">
        <v>46269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18022-2026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46125</v>
      </c>
      <c r="E580" s="1" t="n">
        <v>46269</v>
      </c>
      <c r="F580" t="inlineStr">
        <is>
          <t>VÄRMLANDS LÄN</t>
        </is>
      </c>
      <c r="G580" t="inlineStr">
        <is>
          <t>FILIPSTAD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17900-2026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46122</v>
      </c>
      <c r="E581" s="1" t="n">
        <v>46269</v>
      </c>
      <c r="F581" t="inlineStr">
        <is>
          <t>VÄRMLANDS LÄN</t>
        </is>
      </c>
      <c r="G581" t="inlineStr">
        <is>
          <t>FILIPSTAD</t>
        </is>
      </c>
      <c r="H581" t="inlineStr">
        <is>
          <t>Kommuner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17914-2026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46122</v>
      </c>
      <c r="E582" s="1" t="n">
        <v>46269</v>
      </c>
      <c r="F582" t="inlineStr">
        <is>
          <t>VÄRMLANDS LÄN</t>
        </is>
      </c>
      <c r="G582" t="inlineStr">
        <is>
          <t>FILIPSTAD</t>
        </is>
      </c>
      <c r="H582" t="inlineStr">
        <is>
          <t>Kommuner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18507-2026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46127</v>
      </c>
      <c r="E583" s="1" t="n">
        <v>46269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31648-2026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46225</v>
      </c>
      <c r="E584" s="1" t="n">
        <v>46269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18533-2026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46127</v>
      </c>
      <c r="E585" s="1" t="n">
        <v>46269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6.1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44951</v>
      </c>
      <c r="E586" s="1" t="n">
        <v>46269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46127</v>
      </c>
      <c r="E587" s="1" t="n">
        <v>46269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18530-2026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46269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46127</v>
      </c>
      <c r="E589" s="1" t="n">
        <v>46269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46127</v>
      </c>
      <c r="E590" s="1" t="n">
        <v>46269</v>
      </c>
      <c r="F590" t="inlineStr">
        <is>
          <t>VÄRMLANDS LÄN</t>
        </is>
      </c>
      <c r="G590" t="inlineStr">
        <is>
          <t>FILIPSTAD</t>
        </is>
      </c>
      <c r="H590" t="inlineStr">
        <is>
          <t>Kommuner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31688-2026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46226</v>
      </c>
      <c r="E591" s="1" t="n">
        <v>46269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46226</v>
      </c>
      <c r="E592" s="1" t="n">
        <v>46269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46226</v>
      </c>
      <c r="E593" s="1" t="n">
        <v>46269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18376-2026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46126</v>
      </c>
      <c r="E594" s="1" t="n">
        <v>46269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48040-2023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45204</v>
      </c>
      <c r="E595" s="1" t="n">
        <v>46269</v>
      </c>
      <c r="F595" t="inlineStr">
        <is>
          <t>VÄRMLANDS LÄN</t>
        </is>
      </c>
      <c r="G595" t="inlineStr">
        <is>
          <t>FILIPSTAD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36234-2026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46268</v>
      </c>
      <c r="E596" s="1" t="n">
        <v>46269</v>
      </c>
      <c r="F596" t="inlineStr">
        <is>
          <t>VÄRMLANDS LÄN</t>
        </is>
      </c>
      <c r="G596" t="inlineStr">
        <is>
          <t>FILIPSTAD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36377-2023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45152</v>
      </c>
      <c r="E597" s="1" t="n">
        <v>46269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36297-2026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46269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18969-2026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46129</v>
      </c>
      <c r="E599" s="1" t="n">
        <v>46269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18892-2026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46129</v>
      </c>
      <c r="E600" s="1" t="n">
        <v>46269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48908-2023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45195</v>
      </c>
      <c r="E601" s="1" t="n">
        <v>46269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46128</v>
      </c>
      <c r="E602" s="1" t="n">
        <v>46269</v>
      </c>
      <c r="F602" t="inlineStr">
        <is>
          <t>VÄRMLANDS LÄN</t>
        </is>
      </c>
      <c r="G602" t="inlineStr">
        <is>
          <t>FILIPSTAD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1042-2023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44935</v>
      </c>
      <c r="E603" s="1" t="n">
        <v>46269</v>
      </c>
      <c r="F603" t="inlineStr">
        <is>
          <t>VÄRMLANDS LÄN</t>
        </is>
      </c>
      <c r="G603" t="inlineStr">
        <is>
          <t>FILIPSTAD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10306-2025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45720</v>
      </c>
      <c r="E604" s="1" t="n">
        <v>46269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41075-2023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45173</v>
      </c>
      <c r="E605" s="1" t="n">
        <v>46269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14582-2025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45742</v>
      </c>
      <c r="E606" s="1" t="n">
        <v>46269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56840-2024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45628</v>
      </c>
      <c r="E607" s="1" t="n">
        <v>46269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8692-2025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45712</v>
      </c>
      <c r="E608" s="1" t="n">
        <v>46269</v>
      </c>
      <c r="F608" t="inlineStr">
        <is>
          <t>VÄRMLANDS LÄN</t>
        </is>
      </c>
      <c r="G608" t="inlineStr">
        <is>
          <t>FILIPSTAD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23618-2023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45077</v>
      </c>
      <c r="E609" s="1" t="n">
        <v>46269</v>
      </c>
      <c r="F609" t="inlineStr">
        <is>
          <t>VÄRMLANDS LÄN</t>
        </is>
      </c>
      <c r="G609" t="inlineStr">
        <is>
          <t>FILIPSTAD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60524-2024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45643</v>
      </c>
      <c r="E610" s="1" t="n">
        <v>46269</v>
      </c>
      <c r="F610" t="inlineStr">
        <is>
          <t>VÄRMLANDS LÄN</t>
        </is>
      </c>
      <c r="G610" t="inlineStr">
        <is>
          <t>FILIPSTAD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45740</v>
      </c>
      <c r="E611" s="1" t="n">
        <v>46269</v>
      </c>
      <c r="F611" t="inlineStr">
        <is>
          <t>VÄRMLANDS LÄN</t>
        </is>
      </c>
      <c r="G611" t="inlineStr">
        <is>
          <t>FILIPSTAD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15228-2025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45744</v>
      </c>
      <c r="E612" s="1" t="n">
        <v>46269</v>
      </c>
      <c r="F612" t="inlineStr">
        <is>
          <t>VÄRMLANDS LÄN</t>
        </is>
      </c>
      <c r="G612" t="inlineStr">
        <is>
          <t>FILIPSTAD</t>
        </is>
      </c>
      <c r="H612" t="inlineStr">
        <is>
          <t>Kommuner</t>
        </is>
      </c>
      <c r="I612" t="n">
        <v>17.7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45436</v>
      </c>
      <c r="E613" s="1" t="n">
        <v>46269</v>
      </c>
      <c r="F613" t="inlineStr">
        <is>
          <t>VÄRMLANDS LÄN</t>
        </is>
      </c>
      <c r="G613" t="inlineStr">
        <is>
          <t>FILIPSTAD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34262-2024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45524</v>
      </c>
      <c r="E614" s="1" t="n">
        <v>46269</v>
      </c>
      <c r="F614" t="inlineStr">
        <is>
          <t>VÄRMLANDS LÄN</t>
        </is>
      </c>
      <c r="G614" t="inlineStr">
        <is>
          <t>FILIPSTAD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45299</v>
      </c>
      <c r="E615" s="1" t="n">
        <v>46269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45495</v>
      </c>
      <c r="E616" s="1" t="n">
        <v>46269</v>
      </c>
      <c r="F616" t="inlineStr">
        <is>
          <t>VÄRMLANDS LÄN</t>
        </is>
      </c>
      <c r="G616" t="inlineStr">
        <is>
          <t>FILIPSTAD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27139-2024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45471</v>
      </c>
      <c r="E617" s="1" t="n">
        <v>46269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17244-2024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45414</v>
      </c>
      <c r="E618" s="1" t="n">
        <v>46269</v>
      </c>
      <c r="F618" t="inlineStr">
        <is>
          <t>VÄRMLANDS LÄN</t>
        </is>
      </c>
      <c r="G618" t="inlineStr">
        <is>
          <t>FILIPSTAD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20875-2024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45439</v>
      </c>
      <c r="E619" s="1" t="n">
        <v>46269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6.8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5757-2021</t>
        </is>
      </c>
      <c r="B620" t="inlineStr">
        <is>
          <t>samrådsanmälan</t>
        </is>
      </c>
      <c r="C620" t="inlineStr">
        <is>
          <t>Basväg</t>
        </is>
      </c>
      <c r="D620" s="1" t="n">
        <v>44438</v>
      </c>
      <c r="E620" s="1" t="n">
        <v>46269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1191-2021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44328</v>
      </c>
      <c r="E621" s="1" t="n">
        <v>46269</v>
      </c>
      <c r="F621" t="inlineStr">
        <is>
          <t>VÄRMLANDS LÄN</t>
        </is>
      </c>
      <c r="G621" t="inlineStr">
        <is>
          <t>FILIPSTAD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4134-2023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46269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4115-2023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45246</v>
      </c>
      <c r="E623" s="1" t="n">
        <v>46269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4137-2023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46269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4132-2023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46269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8.300000000000001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4130-2023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46269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4127-2023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46269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56.4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837-2023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44991</v>
      </c>
      <c r="E628" s="1" t="n">
        <v>46269</v>
      </c>
      <c r="F628" t="inlineStr">
        <is>
          <t>VÄRMLANDS LÄN</t>
        </is>
      </c>
      <c r="G628" t="inlineStr">
        <is>
          <t>FILIPSTAD</t>
        </is>
      </c>
      <c r="I628" t="n">
        <v>19.3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4129-2023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46269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3919-2023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45233</v>
      </c>
      <c r="E630" s="1" t="n">
        <v>46269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17.4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4135-2023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46269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18.9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4126-2023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46269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294-2025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45687</v>
      </c>
      <c r="E633" s="1" t="n">
        <v>46269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186.4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4116-2023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45246</v>
      </c>
      <c r="E634" s="1" t="n">
        <v>46269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661-2025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45716</v>
      </c>
      <c r="E635" s="1" t="n">
        <v>46269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3429-2025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45995</v>
      </c>
      <c r="E636" s="1" t="n">
        <v>46269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3576-2025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46010</v>
      </c>
      <c r="E637" s="1" t="n">
        <v>46269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27.1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105-2026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46036</v>
      </c>
      <c r="E638" s="1" t="n">
        <v>46269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238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2026-09-04T02:02:08Z</dcterms:created>
  <dcterms:modified xmlns:dcterms="http://purl.org/dc/terms/" xmlns:xsi="http://www.w3.org/2001/XMLSchema-instance" xsi:type="dcterms:W3CDTF">2026-09-04T02:02:09Z</dcterms:modified>
</cp:coreProperties>
</file>