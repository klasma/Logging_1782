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46230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46230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46230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46230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46230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46230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46230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46230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46230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46230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46230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46230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46230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46230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46230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46230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874-2025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45665</v>
      </c>
      <c r="E29" s="1" t="n">
        <v>46230</v>
      </c>
      <c r="F29" t="inlineStr">
        <is>
          <t>VÄRMLANDS LÄN</t>
        </is>
      </c>
      <c r="G29" t="inlineStr">
        <is>
          <t>FILIPSTAD</t>
        </is>
      </c>
      <c r="H29" t="inlineStr">
        <is>
          <t>Kyrkan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HYPERLINK("https://klasma.github.io/Logging_1782/artfynd/A 874-2025 artfynd.xlsx", "A 874-2025")</f>
        <v/>
      </c>
      <c r="X29">
        <f>HYPERLINK("https://klasma.github.io/Logging_1782/kartor/A 874-2025 karta.png", "A 874-2025")</f>
        <v/>
      </c>
      <c r="Y29">
        <f>HYPERLINK("https://klasma.github.io/Logging_1782/kartor_geotiff/A 874-2025 georefererad karta.tif", "A 874-2025")</f>
        <v/>
      </c>
      <c r="AA29">
        <f>HYPERLINK("https://klasma.github.io/Logging_1782/klagomål/A 874-2025 FSC-klagomål.docx", "A 874-2025")</f>
        <v/>
      </c>
      <c r="AB29">
        <f>HYPERLINK("https://klasma.github.io/Logging_1782/klagomålsmail/A 874-2025 FSC-klagomål mail.docx", "A 874-2025")</f>
        <v/>
      </c>
      <c r="AC29">
        <f>HYPERLINK("https://klasma.github.io/Logging_1782/tillsyn/A 874-2025 tillsynsbegäran.docx", "A 874-2025")</f>
        <v/>
      </c>
      <c r="AD29">
        <f>HYPERLINK("https://klasma.github.io/Logging_1782/tillsynsmail/A 874-2025 tillsynsbegäran mail.docx", "A 874-2025")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45781-2025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45923</v>
      </c>
      <c r="E31" s="1" t="n">
        <v>46230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Brunklöver</t>
        </is>
      </c>
      <c r="W31">
        <f>HYPERLINK("https://klasma.github.io/Logging_1782/artfynd/A 45781-2025 artfynd.xlsx", "A 45781-2025")</f>
        <v/>
      </c>
      <c r="X31">
        <f>HYPERLINK("https://klasma.github.io/Logging_1782/kartor/A 45781-2025 karta.png", "A 45781-2025")</f>
        <v/>
      </c>
      <c r="Y31">
        <f>HYPERLINK("https://klasma.github.io/Logging_1782/kartor_geotiff/A 45781-2025 georefererad karta.tif", "A 45781-2025")</f>
        <v/>
      </c>
      <c r="AA31">
        <f>HYPERLINK("https://klasma.github.io/Logging_1782/klagomål/A 45781-2025 FSC-klagomål.docx", "A 45781-2025")</f>
        <v/>
      </c>
      <c r="AB31">
        <f>HYPERLINK("https://klasma.github.io/Logging_1782/klagomålsmail/A 45781-2025 FSC-klagomål mail.docx", "A 45781-2025")</f>
        <v/>
      </c>
      <c r="AC31">
        <f>HYPERLINK("https://klasma.github.io/Logging_1782/tillsyn/A 45781-2025 tillsynsbegäran.docx", "A 45781-2025")</f>
        <v/>
      </c>
      <c r="AD31">
        <f>HYPERLINK("https://klasma.github.io/Logging_1782/tillsynsmail/A 45781-2025 tillsynsbegäran mail.docx", "A 45781-2025")</f>
        <v/>
      </c>
    </row>
    <row r="32" ht="15" customHeight="1">
      <c r="A32" t="inlineStr">
        <is>
          <t>A 58734-2025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45986</v>
      </c>
      <c r="E32" s="1" t="n">
        <v>46230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18.2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HYPERLINK("https://klasma.github.io/Logging_1782/artfynd/A 58734-2025 artfynd.xlsx", "A 58734-2025")</f>
        <v/>
      </c>
      <c r="X32">
        <f>HYPERLINK("https://klasma.github.io/Logging_1782/kartor/A 58734-2025 karta.png", "A 58734-2025")</f>
        <v/>
      </c>
      <c r="Y32">
        <f>HYPERLINK("https://klasma.github.io/Logging_1782/kartor_geotiff/A 58734-2025 georefererad karta.tif", "A 58734-2025")</f>
        <v/>
      </c>
      <c r="AA32">
        <f>HYPERLINK("https://klasma.github.io/Logging_1782/klagomål/A 58734-2025 FSC-klagomål.docx", "A 58734-2025")</f>
        <v/>
      </c>
      <c r="AB32">
        <f>HYPERLINK("https://klasma.github.io/Logging_1782/klagomålsmail/A 58734-2025 FSC-klagomål mail.docx", "A 58734-2025")</f>
        <v/>
      </c>
      <c r="AC32">
        <f>HYPERLINK("https://klasma.github.io/Logging_1782/tillsyn/A 58734-2025 tillsynsbegäran.docx", "A 58734-2025")</f>
        <v/>
      </c>
      <c r="AD32">
        <f>HYPERLINK("https://klasma.github.io/Logging_1782/tillsynsmail/A 58734-2025 tillsynsbegäran mail.docx", "A 58734-2025")</f>
        <v/>
      </c>
      <c r="AE32">
        <f>HYPERLINK("https://klasma.github.io/Logging_1782/fåglar/A 58734-2025 prioriterade fågelarter.docx", "A 58734-2025")</f>
        <v/>
      </c>
    </row>
    <row r="33" ht="15" customHeight="1">
      <c r="A33" t="inlineStr">
        <is>
          <t>A 4560-2025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46230</v>
      </c>
      <c r="F33" t="inlineStr">
        <is>
          <t>VÄRMLANDS LÄN</t>
        </is>
      </c>
      <c r="G33" t="inlineStr">
        <is>
          <t>FILIPSTAD</t>
        </is>
      </c>
      <c r="I33" t="n">
        <v>13.6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Skrovlig taggsvamp</t>
        </is>
      </c>
      <c r="W33">
        <f>HYPERLINK("https://klasma.github.io/Logging_1782/artfynd/A 4560-2025 artfynd.xlsx", "A 4560-2025")</f>
        <v/>
      </c>
      <c r="X33">
        <f>HYPERLINK("https://klasma.github.io/Logging_1782/kartor/A 4560-2025 karta.png", "A 4560-2025")</f>
        <v/>
      </c>
      <c r="Y33">
        <f>HYPERLINK("https://klasma.github.io/Logging_1782/kartor_geotiff/A 4560-2025 georefererad karta.tif", "A 4560-2025")</f>
        <v/>
      </c>
      <c r="AA33">
        <f>HYPERLINK("https://klasma.github.io/Logging_1782/klagomål/A 4560-2025 FSC-klagomål.docx", "A 4560-2025")</f>
        <v/>
      </c>
      <c r="AB33">
        <f>HYPERLINK("https://klasma.github.io/Logging_1782/klagomålsmail/A 4560-2025 FSC-klagomål mail.docx", "A 4560-2025")</f>
        <v/>
      </c>
      <c r="AC33">
        <f>HYPERLINK("https://klasma.github.io/Logging_1782/tillsyn/A 4560-2025 tillsynsbegäran.docx", "A 4560-2025")</f>
        <v/>
      </c>
      <c r="AD33">
        <f>HYPERLINK("https://klasma.github.io/Logging_1782/tillsynsmail/A 4560-2025 tillsynsbegäran mail.docx", "A 4560-2025")</f>
        <v/>
      </c>
    </row>
    <row r="34" ht="15" customHeight="1">
      <c r="A34" t="inlineStr">
        <is>
          <t>A 28915-2026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46199</v>
      </c>
      <c r="E34" s="1" t="n">
        <v>46230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HYPERLINK("https://klasma.github.io/Logging_1782/artfynd/A 28915-2026 artfynd.xlsx", "A 28915-2026")</f>
        <v/>
      </c>
      <c r="X34">
        <f>HYPERLINK("https://klasma.github.io/Logging_1782/kartor/A 28915-2026 karta.png", "A 28915-2026")</f>
        <v/>
      </c>
      <c r="Y34">
        <f>HYPERLINK("https://klasma.github.io/Logging_1782/kartor_geotiff/A 28915-2026 georefererad karta.tif", "A 28915-2026")</f>
        <v/>
      </c>
      <c r="AA34">
        <f>HYPERLINK("https://klasma.github.io/Logging_1782/klagomål/A 28915-2026 FSC-klagomål.docx", "A 28915-2026")</f>
        <v/>
      </c>
      <c r="AB34">
        <f>HYPERLINK("https://klasma.github.io/Logging_1782/klagomålsmail/A 28915-2026 FSC-klagomål mail.docx", "A 28915-2026")</f>
        <v/>
      </c>
      <c r="AC34">
        <f>HYPERLINK("https://klasma.github.io/Logging_1782/tillsyn/A 28915-2026 tillsynsbegäran.docx", "A 28915-2026")</f>
        <v/>
      </c>
      <c r="AD34">
        <f>HYPERLINK("https://klasma.github.io/Logging_1782/tillsynsmail/A 28915-2026 tillsynsbegäran mail.docx", "A 28915-2026")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46230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31257-2026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46230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10.2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Gräsull</t>
        </is>
      </c>
      <c r="W36">
        <f>HYPERLINK("https://klasma.github.io/Logging_1782/artfynd/A 31257-2026 artfynd.xlsx", "A 31257-2026")</f>
        <v/>
      </c>
      <c r="X36">
        <f>HYPERLINK("https://klasma.github.io/Logging_1782/kartor/A 31257-2026 karta.png", "A 31257-2026")</f>
        <v/>
      </c>
      <c r="Y36">
        <f>HYPERLINK("https://klasma.github.io/Logging_1782/kartor_geotiff/A 31257-2026 georefererad karta.tif", "A 31257-2026")</f>
        <v/>
      </c>
      <c r="AA36">
        <f>HYPERLINK("https://klasma.github.io/Logging_1782/klagomål/A 31257-2026 FSC-klagomål.docx", "A 31257-2026")</f>
        <v/>
      </c>
      <c r="AB36">
        <f>HYPERLINK("https://klasma.github.io/Logging_1782/klagomålsmail/A 31257-2026 FSC-klagomål mail.docx", "A 31257-2026")</f>
        <v/>
      </c>
      <c r="AC36">
        <f>HYPERLINK("https://klasma.github.io/Logging_1782/tillsyn/A 31257-2026 tillsynsbegäran.docx", "A 31257-2026")</f>
        <v/>
      </c>
      <c r="AD36">
        <f>HYPERLINK("https://klasma.github.io/Logging_1782/tillsynsmail/A 31257-2026 tillsynsbegäran mail.docx", "A 31257-2026")</f>
        <v/>
      </c>
    </row>
    <row r="37" ht="15" customHeight="1">
      <c r="A37" t="inlineStr">
        <is>
          <t>A 34145-2024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45524</v>
      </c>
      <c r="E37" s="1" t="n">
        <v>46230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34145-2024 artfynd.xlsx", "A 34145-2024")</f>
        <v/>
      </c>
      <c r="X37">
        <f>HYPERLINK("https://klasma.github.io/Logging_1782/kartor/A 34145-2024 karta.png", "A 34145-2024")</f>
        <v/>
      </c>
      <c r="Y37">
        <f>HYPERLINK("https://klasma.github.io/Logging_1782/kartor_geotiff/A 34145-2024 georefererad karta.tif", "A 34145-2024")</f>
        <v/>
      </c>
      <c r="AA37">
        <f>HYPERLINK("https://klasma.github.io/Logging_1782/klagomål/A 34145-2024 FSC-klagomål.docx", "A 34145-2024")</f>
        <v/>
      </c>
      <c r="AB37">
        <f>HYPERLINK("https://klasma.github.io/Logging_1782/klagomålsmail/A 34145-2024 FSC-klagomål mail.docx", "A 34145-2024")</f>
        <v/>
      </c>
      <c r="AC37">
        <f>HYPERLINK("https://klasma.github.io/Logging_1782/tillsyn/A 34145-2024 tillsynsbegäran.docx", "A 34145-2024")</f>
        <v/>
      </c>
      <c r="AD37">
        <f>HYPERLINK("https://klasma.github.io/Logging_1782/tillsynsmail/A 34145-2024 tillsynsbegäran mail.docx", "A 34145-2024")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46230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46230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46230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23046-2023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45075</v>
      </c>
      <c r="E41" s="1" t="n">
        <v>46230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HYPERLINK("https://klasma.github.io/Logging_1782/artfynd/A 23046-2023 artfynd.xlsx", "A 23046-2023")</f>
        <v/>
      </c>
      <c r="X41">
        <f>HYPERLINK("https://klasma.github.io/Logging_1782/kartor/A 23046-2023 karta.png", "A 23046-2023")</f>
        <v/>
      </c>
      <c r="Y41">
        <f>HYPERLINK("https://klasma.github.io/Logging_1782/kartor_geotiff/A 23046-2023 georefererad karta.tif", "A 23046-2023")</f>
        <v/>
      </c>
      <c r="Z41">
        <f>HYPERLINK("https://klasma.github.io/Logging_1782/knärot/A 23046-2023 karta knärot.png", "A 23046-2023")</f>
        <v/>
      </c>
      <c r="AA41">
        <f>HYPERLINK("https://klasma.github.io/Logging_1782/klagomål/A 23046-2023 FSC-klagomål.docx", "A 23046-2023")</f>
        <v/>
      </c>
      <c r="AB41">
        <f>HYPERLINK("https://klasma.github.io/Logging_1782/klagomålsmail/A 23046-2023 FSC-klagomål mail.docx", "A 23046-2023")</f>
        <v/>
      </c>
      <c r="AC41">
        <f>HYPERLINK("https://klasma.github.io/Logging_1782/tillsyn/A 23046-2023 tillsynsbegäran.docx", "A 23046-2023")</f>
        <v/>
      </c>
      <c r="AD41">
        <f>HYPERLINK("https://klasma.github.io/Logging_1782/tillsynsmail/A 23046-2023 tillsynsbegäran mail.docx", "A 23046-2023")</f>
        <v/>
      </c>
    </row>
    <row r="42" ht="15" customHeight="1">
      <c r="A42" t="inlineStr">
        <is>
          <t>A 11453-2025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46230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Purpurknipprot</t>
        </is>
      </c>
      <c r="W42">
        <f>HYPERLINK("https://klasma.github.io/Logging_1782/artfynd/A 11453-2025 artfynd.xlsx", "A 11453-2025")</f>
        <v/>
      </c>
      <c r="X42">
        <f>HYPERLINK("https://klasma.github.io/Logging_1782/kartor/A 11453-2025 karta.png", "A 11453-2025")</f>
        <v/>
      </c>
      <c r="Y42">
        <f>HYPERLINK("https://klasma.github.io/Logging_1782/kartor_geotiff/A 11453-2025 georefererad karta.tif", "A 11453-2025")</f>
        <v/>
      </c>
      <c r="AA42">
        <f>HYPERLINK("https://klasma.github.io/Logging_1782/klagomål/A 11453-2025 FSC-klagomål.docx", "A 11453-2025")</f>
        <v/>
      </c>
      <c r="AB42">
        <f>HYPERLINK("https://klasma.github.io/Logging_1782/klagomålsmail/A 11453-2025 FSC-klagomål mail.docx", "A 11453-2025")</f>
        <v/>
      </c>
      <c r="AC42">
        <f>HYPERLINK("https://klasma.github.io/Logging_1782/tillsyn/A 11453-2025 tillsynsbegäran.docx", "A 11453-2025")</f>
        <v/>
      </c>
      <c r="AD42">
        <f>HYPERLINK("https://klasma.github.io/Logging_1782/tillsynsmail/A 11453-2025 tillsynsbegäran mail.docx", "A 11453-2025")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46230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46230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46230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46230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46230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46230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46230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46230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46230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46230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46230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46230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46230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46230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46230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46230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46230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46230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46230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46230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46230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46230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46230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46230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46230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46230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46230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46230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46230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44963</v>
      </c>
      <c r="E83" s="1" t="n">
        <v>46230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46230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46230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46230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46230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46230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46230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46230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46230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46230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46230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44876</v>
      </c>
      <c r="E94" s="1" t="n">
        <v>46230</v>
      </c>
      <c r="F94" t="inlineStr">
        <is>
          <t>VÄRMLANDS LÄN</t>
        </is>
      </c>
      <c r="G94" t="inlineStr">
        <is>
          <t>FILIPSTAD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44889</v>
      </c>
      <c r="E95" s="1" t="n">
        <v>46230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45750</v>
      </c>
      <c r="E96" s="1" t="n">
        <v>46230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46230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44684</v>
      </c>
      <c r="E98" s="1" t="n">
        <v>46230</v>
      </c>
      <c r="F98" t="inlineStr">
        <is>
          <t>VÄRMLANDS LÄN</t>
        </is>
      </c>
      <c r="G98" t="inlineStr">
        <is>
          <t>FILIPSTAD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44963</v>
      </c>
      <c r="E99" s="1" t="n">
        <v>46230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46230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45567</v>
      </c>
      <c r="E101" s="1" t="n">
        <v>46230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46230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46230</v>
      </c>
      <c r="F103" t="inlineStr">
        <is>
          <t>VÄRMLANDS LÄN</t>
        </is>
      </c>
      <c r="G103" t="inlineStr">
        <is>
          <t>FILIPSTAD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46230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46230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46230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46230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45153</v>
      </c>
      <c r="E108" s="1" t="n">
        <v>46230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46230</v>
      </c>
      <c r="F109" t="inlineStr">
        <is>
          <t>VÄRMLANDS LÄN</t>
        </is>
      </c>
      <c r="G109" t="inlineStr">
        <is>
          <t>FILIPSTAD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46230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46230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50856-2022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44867</v>
      </c>
      <c r="E112" s="1" t="n">
        <v>46230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46230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46230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46230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46230</v>
      </c>
      <c r="F116" t="inlineStr">
        <is>
          <t>VÄRMLANDS LÄN</t>
        </is>
      </c>
      <c r="G116" t="inlineStr">
        <is>
          <t>FILIPSTAD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46230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46230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46230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45427</v>
      </c>
      <c r="E120" s="1" t="n">
        <v>46230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46230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29825-2023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45107</v>
      </c>
      <c r="E122" s="1" t="n">
        <v>46230</v>
      </c>
      <c r="F122" t="inlineStr">
        <is>
          <t>VÄRMLANDS LÄN</t>
        </is>
      </c>
      <c r="G122" t="inlineStr">
        <is>
          <t>FILIPSTAD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46230</v>
      </c>
      <c r="F123" t="inlineStr">
        <is>
          <t>VÄRMLANDS LÄN</t>
        </is>
      </c>
      <c r="G123" t="inlineStr">
        <is>
          <t>FILIPSTAD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46135</v>
      </c>
      <c r="E124" s="1" t="n">
        <v>46230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46230</v>
      </c>
      <c r="F125" t="inlineStr">
        <is>
          <t>VÄRMLANDS LÄN</t>
        </is>
      </c>
      <c r="G125" t="inlineStr">
        <is>
          <t>FILIPSTAD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46230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46230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46230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45712</v>
      </c>
      <c r="E129" s="1" t="n">
        <v>46230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46230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46230</v>
      </c>
      <c r="F131" t="inlineStr">
        <is>
          <t>VÄRMLANDS LÄN</t>
        </is>
      </c>
      <c r="G131" t="inlineStr">
        <is>
          <t>FILIPSTAD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46230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46230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46230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46230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46230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46230</v>
      </c>
      <c r="F137" t="inlineStr">
        <is>
          <t>VÄRMLANDS LÄN</t>
        </is>
      </c>
      <c r="G137" t="inlineStr">
        <is>
          <t>FILIPSTAD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22830-2023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45072</v>
      </c>
      <c r="E138" s="1" t="n">
        <v>46230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22866-2023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45072</v>
      </c>
      <c r="E139" s="1" t="n">
        <v>46230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41718-2025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45902</v>
      </c>
      <c r="E140" s="1" t="n">
        <v>46230</v>
      </c>
      <c r="F140" t="inlineStr">
        <is>
          <t>VÄRMLANDS LÄN</t>
        </is>
      </c>
      <c r="G140" t="inlineStr">
        <is>
          <t>FILIPSTAD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46230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44433</v>
      </c>
      <c r="E142" s="1" t="n">
        <v>46230</v>
      </c>
      <c r="F142" t="inlineStr">
        <is>
          <t>VÄRMLANDS LÄN</t>
        </is>
      </c>
      <c r="G142" t="inlineStr">
        <is>
          <t>FILIPSTAD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46230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46230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46230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46230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46230</v>
      </c>
      <c r="F147" t="inlineStr">
        <is>
          <t>VÄRMLANDS LÄN</t>
        </is>
      </c>
      <c r="G147" t="inlineStr">
        <is>
          <t>FILIPSTAD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46230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46230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46230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46230</v>
      </c>
      <c r="F151" t="inlineStr">
        <is>
          <t>VÄRMLANDS LÄN</t>
        </is>
      </c>
      <c r="G151" t="inlineStr">
        <is>
          <t>FILIPSTAD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46230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46230</v>
      </c>
      <c r="F153" t="inlineStr">
        <is>
          <t>VÄRMLANDS LÄN</t>
        </is>
      </c>
      <c r="G153" t="inlineStr">
        <is>
          <t>FILIPSTAD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46230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46230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46230</v>
      </c>
      <c r="F156" t="inlineStr">
        <is>
          <t>VÄRMLANDS LÄN</t>
        </is>
      </c>
      <c r="G156" t="inlineStr">
        <is>
          <t>FILIPSTAD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45769</v>
      </c>
      <c r="E157" s="1" t="n">
        <v>46230</v>
      </c>
      <c r="F157" t="inlineStr">
        <is>
          <t>VÄRMLANDS LÄN</t>
        </is>
      </c>
      <c r="G157" t="inlineStr">
        <is>
          <t>FILIPSTAD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46230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46230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46230</v>
      </c>
      <c r="F160" t="inlineStr">
        <is>
          <t>VÄRMLANDS LÄN</t>
        </is>
      </c>
      <c r="G160" t="inlineStr">
        <is>
          <t>FILIPSTAD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46230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46230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46230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46230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46230</v>
      </c>
      <c r="F165" t="inlineStr">
        <is>
          <t>VÄRMLANDS LÄN</t>
        </is>
      </c>
      <c r="G165" t="inlineStr">
        <is>
          <t>FILIPSTAD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46230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46230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46230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45299</v>
      </c>
      <c r="E169" s="1" t="n">
        <v>46230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46230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46230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46230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46230</v>
      </c>
      <c r="F173" t="inlineStr">
        <is>
          <t>VÄRMLANDS LÄN</t>
        </is>
      </c>
      <c r="G173" t="inlineStr">
        <is>
          <t>FILIPSTAD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45124</v>
      </c>
      <c r="E174" s="1" t="n">
        <v>46230</v>
      </c>
      <c r="F174" t="inlineStr">
        <is>
          <t>VÄRMLANDS LÄN</t>
        </is>
      </c>
      <c r="G174" t="inlineStr">
        <is>
          <t>FILIPSTAD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46230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46230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46230</v>
      </c>
      <c r="F177" t="inlineStr">
        <is>
          <t>VÄRMLANDS LÄN</t>
        </is>
      </c>
      <c r="G177" t="inlineStr">
        <is>
          <t>FILIPSTAD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45933</v>
      </c>
      <c r="E178" s="1" t="n">
        <v>46230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46230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46230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46230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46230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45775</v>
      </c>
      <c r="E183" s="1" t="n">
        <v>46230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46230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46230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46230</v>
      </c>
      <c r="F186" t="inlineStr">
        <is>
          <t>VÄRMLANDS LÄN</t>
        </is>
      </c>
      <c r="G186" t="inlineStr">
        <is>
          <t>FILIPSTAD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46230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46230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63482-2021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44508</v>
      </c>
      <c r="E189" s="1" t="n">
        <v>46230</v>
      </c>
      <c r="F189" t="inlineStr">
        <is>
          <t>VÄRMLANDS LÄN</t>
        </is>
      </c>
      <c r="G189" t="inlineStr">
        <is>
          <t>FILIPSTAD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46230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46230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46230</v>
      </c>
      <c r="F192" t="inlineStr">
        <is>
          <t>VÄRMLANDS LÄN</t>
        </is>
      </c>
      <c r="G192" t="inlineStr">
        <is>
          <t>FILIPSTAD</t>
        </is>
      </c>
      <c r="H192" t="inlineStr">
        <is>
          <t>Kommuner</t>
        </is>
      </c>
      <c r="I192" t="n">
        <v>17.7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46230</v>
      </c>
      <c r="F193" t="inlineStr">
        <is>
          <t>VÄRMLANDS LÄN</t>
        </is>
      </c>
      <c r="G193" t="inlineStr">
        <is>
          <t>FILIPSTAD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45628</v>
      </c>
      <c r="E194" s="1" t="n">
        <v>46230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46230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46230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46230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46230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46230</v>
      </c>
      <c r="F199" t="inlineStr">
        <is>
          <t>VÄRMLANDS LÄN</t>
        </is>
      </c>
      <c r="G199" t="inlineStr">
        <is>
          <t>FILIPSTAD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46230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46230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46230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46230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45087</v>
      </c>
      <c r="E204" s="1" t="n">
        <v>46230</v>
      </c>
      <c r="F204" t="inlineStr">
        <is>
          <t>VÄRMLANDS LÄN</t>
        </is>
      </c>
      <c r="G204" t="inlineStr">
        <is>
          <t>FILIPSTAD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45088</v>
      </c>
      <c r="E205" s="1" t="n">
        <v>46230</v>
      </c>
      <c r="F205" t="inlineStr">
        <is>
          <t>VÄRMLANDS LÄN</t>
        </is>
      </c>
      <c r="G205" t="inlineStr">
        <is>
          <t>FILIPSTAD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46187</v>
      </c>
      <c r="E206" s="1" t="n">
        <v>46230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46230</v>
      </c>
      <c r="F207" t="inlineStr">
        <is>
          <t>VÄRMLANDS LÄN</t>
        </is>
      </c>
      <c r="G207" t="inlineStr">
        <is>
          <t>FILIPSTAD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46230</v>
      </c>
      <c r="F208" t="inlineStr">
        <is>
          <t>VÄRMLANDS LÄN</t>
        </is>
      </c>
      <c r="G208" t="inlineStr">
        <is>
          <t>FILIPSTAD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46230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46230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46230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46230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46230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46230</v>
      </c>
      <c r="F214" t="inlineStr">
        <is>
          <t>VÄRMLANDS LÄN</t>
        </is>
      </c>
      <c r="G214" t="inlineStr">
        <is>
          <t>FILIPSTAD</t>
        </is>
      </c>
      <c r="H214" t="inlineStr">
        <is>
          <t>Kyrkan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46230</v>
      </c>
      <c r="F215" t="inlineStr">
        <is>
          <t>VÄRMLANDS LÄN</t>
        </is>
      </c>
      <c r="G215" t="inlineStr">
        <is>
          <t>FILIPSTAD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46186</v>
      </c>
      <c r="E216" s="1" t="n">
        <v>46230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46230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46230</v>
      </c>
      <c r="F218" t="inlineStr">
        <is>
          <t>VÄRMLANDS LÄN</t>
        </is>
      </c>
      <c r="G218" t="inlineStr">
        <is>
          <t>FILIPSTAD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46230</v>
      </c>
      <c r="F219" t="inlineStr">
        <is>
          <t>VÄRMLANDS LÄN</t>
        </is>
      </c>
      <c r="G219" t="inlineStr">
        <is>
          <t>FILIPSTAD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46230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46230</v>
      </c>
      <c r="F221" t="inlineStr">
        <is>
          <t>VÄRMLANDS LÄN</t>
        </is>
      </c>
      <c r="G221" t="inlineStr">
        <is>
          <t>FILIPSTAD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46230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46230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46230</v>
      </c>
      <c r="F224" t="inlineStr">
        <is>
          <t>VÄRMLANDS LÄN</t>
        </is>
      </c>
      <c r="G224" t="inlineStr">
        <is>
          <t>FILIPSTAD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45093</v>
      </c>
      <c r="E225" s="1" t="n">
        <v>46230</v>
      </c>
      <c r="F225" t="inlineStr">
        <is>
          <t>VÄRMLANDS LÄN</t>
        </is>
      </c>
      <c r="G225" t="inlineStr">
        <is>
          <t>FILIPSTAD</t>
        </is>
      </c>
      <c r="H225" t="inlineStr">
        <is>
          <t>Kommuner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46230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46230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46186</v>
      </c>
      <c r="E228" s="1" t="n">
        <v>46230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45968</v>
      </c>
      <c r="E229" s="1" t="n">
        <v>46230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46230</v>
      </c>
      <c r="F230" t="inlineStr">
        <is>
          <t>VÄRMLANDS LÄN</t>
        </is>
      </c>
      <c r="G230" t="inlineStr">
        <is>
          <t>FILIPSTAD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46230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46230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46230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45418</v>
      </c>
      <c r="E234" s="1" t="n">
        <v>46230</v>
      </c>
      <c r="F234" t="inlineStr">
        <is>
          <t>VÄRMLANDS LÄN</t>
        </is>
      </c>
      <c r="G234" t="inlineStr">
        <is>
          <t>FILIPSTAD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46230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46230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46230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46230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46230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46230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46230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46191</v>
      </c>
      <c r="E242" s="1" t="n">
        <v>46230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46230</v>
      </c>
      <c r="F243" t="inlineStr">
        <is>
          <t>VÄRMLANDS LÄN</t>
        </is>
      </c>
      <c r="G243" t="inlineStr">
        <is>
          <t>FILIPSTAD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46230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46230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46230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44384-2021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44435</v>
      </c>
      <c r="E247" s="1" t="n">
        <v>46230</v>
      </c>
      <c r="F247" t="inlineStr">
        <is>
          <t>VÄRMLANDS LÄN</t>
        </is>
      </c>
      <c r="G247" t="inlineStr">
        <is>
          <t>FILIPSTAD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46230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46230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46230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46230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46230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46230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46230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46230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46230</v>
      </c>
      <c r="F256" t="inlineStr">
        <is>
          <t>VÄRMLANDS LÄN</t>
        </is>
      </c>
      <c r="G256" t="inlineStr">
        <is>
          <t>FILIPSTAD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46230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46230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46230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46230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45012</v>
      </c>
      <c r="E261" s="1" t="n">
        <v>46230</v>
      </c>
      <c r="F261" t="inlineStr">
        <is>
          <t>VÄRMLANDS LÄN</t>
        </is>
      </c>
      <c r="G261" t="inlineStr">
        <is>
          <t>FILIPSTAD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46230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46230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46230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46230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46230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46230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46230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46230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46230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46230</v>
      </c>
      <c r="F271" t="inlineStr">
        <is>
          <t>VÄRMLANDS LÄN</t>
        </is>
      </c>
      <c r="G271" t="inlineStr">
        <is>
          <t>FILIPSTAD</t>
        </is>
      </c>
      <c r="I271" t="n">
        <v>10.8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46230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46230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46230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46230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46230</v>
      </c>
      <c r="F276" t="inlineStr">
        <is>
          <t>VÄRMLANDS LÄN</t>
        </is>
      </c>
      <c r="G276" t="inlineStr">
        <is>
          <t>FILIPSTAD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46230</v>
      </c>
      <c r="F277" t="inlineStr">
        <is>
          <t>VÄRMLANDS LÄN</t>
        </is>
      </c>
      <c r="G277" t="inlineStr">
        <is>
          <t>FILIPSTAD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36251-2022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44803</v>
      </c>
      <c r="E278" s="1" t="n">
        <v>46230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46230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46230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46230</v>
      </c>
      <c r="F281" t="inlineStr">
        <is>
          <t>VÄRMLANDS LÄN</t>
        </is>
      </c>
      <c r="G281" t="inlineStr">
        <is>
          <t>FILIPSTAD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46230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45658</v>
      </c>
      <c r="E283" s="1" t="n">
        <v>46230</v>
      </c>
      <c r="F283" t="inlineStr">
        <is>
          <t>VÄRMLANDS LÄN</t>
        </is>
      </c>
      <c r="G283" t="inlineStr">
        <is>
          <t>FILIPSTAD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46230</v>
      </c>
      <c r="F284" t="inlineStr">
        <is>
          <t>VÄRMLANDS LÄN</t>
        </is>
      </c>
      <c r="G284" t="inlineStr">
        <is>
          <t>FILIPSTAD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46230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46230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46230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46230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46230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46230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46230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54735-2024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46230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45384</v>
      </c>
      <c r="E293" s="1" t="n">
        <v>46230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46230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46230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46230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46230</v>
      </c>
      <c r="F297" t="inlineStr">
        <is>
          <t>VÄRMLANDS LÄN</t>
        </is>
      </c>
      <c r="G297" t="inlineStr">
        <is>
          <t>FILIPSTAD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46230</v>
      </c>
      <c r="F298" t="inlineStr">
        <is>
          <t>VÄRMLANDS LÄN</t>
        </is>
      </c>
      <c r="G298" t="inlineStr">
        <is>
          <t>FILIPSTAD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46230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46230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46230</v>
      </c>
      <c r="F301" t="inlineStr">
        <is>
          <t>VÄRMLANDS LÄN</t>
        </is>
      </c>
      <c r="G301" t="inlineStr">
        <is>
          <t>FILIPSTAD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46230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61492-2025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46001</v>
      </c>
      <c r="E303" s="1" t="n">
        <v>46230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46230</v>
      </c>
      <c r="F304" t="inlineStr">
        <is>
          <t>VÄRMLANDS LÄN</t>
        </is>
      </c>
      <c r="G304" t="inlineStr">
        <is>
          <t>FILIPSTAD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46230</v>
      </c>
      <c r="F305" t="inlineStr">
        <is>
          <t>VÄRMLANDS LÄN</t>
        </is>
      </c>
      <c r="G305" t="inlineStr">
        <is>
          <t>FILIPSTAD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46230</v>
      </c>
      <c r="F306" t="inlineStr">
        <is>
          <t>VÄRMLANDS LÄN</t>
        </is>
      </c>
      <c r="G306" t="inlineStr">
        <is>
          <t>FILIPSTAD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46230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46230</v>
      </c>
      <c r="F308" t="inlineStr">
        <is>
          <t>VÄRMLANDS LÄN</t>
        </is>
      </c>
      <c r="G308" t="inlineStr">
        <is>
          <t>FILIPSTAD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46230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46230</v>
      </c>
      <c r="F310" t="inlineStr">
        <is>
          <t>VÄRMLANDS LÄN</t>
        </is>
      </c>
      <c r="G310" t="inlineStr">
        <is>
          <t>FILIPSTAD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46230</v>
      </c>
      <c r="F311" t="inlineStr">
        <is>
          <t>VÄRMLANDS LÄN</t>
        </is>
      </c>
      <c r="G311" t="inlineStr">
        <is>
          <t>FILIPSTAD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61327-2025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46001</v>
      </c>
      <c r="E312" s="1" t="n">
        <v>46230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61823-2025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46003</v>
      </c>
      <c r="E313" s="1" t="n">
        <v>46230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46230</v>
      </c>
      <c r="F314" t="inlineStr">
        <is>
          <t>VÄRMLANDS LÄN</t>
        </is>
      </c>
      <c r="G314" t="inlineStr">
        <is>
          <t>FILIPSTAD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46230</v>
      </c>
      <c r="F315" t="inlineStr">
        <is>
          <t>VÄRMLANDS LÄN</t>
        </is>
      </c>
      <c r="G315" t="inlineStr">
        <is>
          <t>FILIPSTAD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46230</v>
      </c>
      <c r="F316" t="inlineStr">
        <is>
          <t>VÄRMLANDS LÄN</t>
        </is>
      </c>
      <c r="G316" t="inlineStr">
        <is>
          <t>FILIPSTAD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46230</v>
      </c>
      <c r="F317" t="inlineStr">
        <is>
          <t>VÄRMLANDS LÄN</t>
        </is>
      </c>
      <c r="G317" t="inlineStr">
        <is>
          <t>FILIPSTAD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46230</v>
      </c>
      <c r="F318" t="inlineStr">
        <is>
          <t>VÄRMLANDS LÄN</t>
        </is>
      </c>
      <c r="G318" t="inlineStr">
        <is>
          <t>FILIPSTAD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46230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46230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46230</v>
      </c>
      <c r="F321" t="inlineStr">
        <is>
          <t>VÄRMLANDS LÄN</t>
        </is>
      </c>
      <c r="G321" t="inlineStr">
        <is>
          <t>FILIPSTAD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46004</v>
      </c>
      <c r="E322" s="1" t="n">
        <v>46230</v>
      </c>
      <c r="F322" t="inlineStr">
        <is>
          <t>VÄRMLANDS LÄN</t>
        </is>
      </c>
      <c r="G322" t="inlineStr">
        <is>
          <t>FILIPSTAD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46230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46004</v>
      </c>
      <c r="E324" s="1" t="n">
        <v>46230</v>
      </c>
      <c r="F324" t="inlineStr">
        <is>
          <t>VÄRMLANDS LÄN</t>
        </is>
      </c>
      <c r="G324" t="inlineStr">
        <is>
          <t>FILIPSTAD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46230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46230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45588</v>
      </c>
      <c r="E327" s="1" t="n">
        <v>46230</v>
      </c>
      <c r="F327" t="inlineStr">
        <is>
          <t>VÄRMLANDS LÄN</t>
        </is>
      </c>
      <c r="G327" t="inlineStr">
        <is>
          <t>FILIPSTAD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45391</v>
      </c>
      <c r="E328" s="1" t="n">
        <v>46230</v>
      </c>
      <c r="F328" t="inlineStr">
        <is>
          <t>VÄRMLANDS LÄN</t>
        </is>
      </c>
      <c r="G328" t="inlineStr">
        <is>
          <t>FILIPSTAD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46230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44579</v>
      </c>
      <c r="E330" s="1" t="n">
        <v>46230</v>
      </c>
      <c r="F330" t="inlineStr">
        <is>
          <t>VÄRMLANDS LÄN</t>
        </is>
      </c>
      <c r="G330" t="inlineStr">
        <is>
          <t>FILIPSTAD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46230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46230</v>
      </c>
      <c r="F332" t="inlineStr">
        <is>
          <t>VÄRMLANDS LÄN</t>
        </is>
      </c>
      <c r="G332" t="inlineStr">
        <is>
          <t>FILIPSTAD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46230</v>
      </c>
      <c r="F333" t="inlineStr">
        <is>
          <t>VÄRMLANDS LÄN</t>
        </is>
      </c>
      <c r="G333" t="inlineStr">
        <is>
          <t>FILIPSTAD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46230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46230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46230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46230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44439</v>
      </c>
      <c r="E338" s="1" t="n">
        <v>46230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45037</v>
      </c>
      <c r="E339" s="1" t="n">
        <v>46230</v>
      </c>
      <c r="F339" t="inlineStr">
        <is>
          <t>VÄRMLANDS LÄN</t>
        </is>
      </c>
      <c r="G339" t="inlineStr">
        <is>
          <t>FILIPSTAD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44789</v>
      </c>
      <c r="E340" s="1" t="n">
        <v>46230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45986</v>
      </c>
      <c r="E341" s="1" t="n">
        <v>46230</v>
      </c>
      <c r="F341" t="inlineStr">
        <is>
          <t>VÄRMLANDS LÄN</t>
        </is>
      </c>
      <c r="G341" t="inlineStr">
        <is>
          <t>FILIPSTAD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44805</v>
      </c>
      <c r="E342" s="1" t="n">
        <v>46230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46230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46230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46230</v>
      </c>
      <c r="F345" t="inlineStr">
        <is>
          <t>VÄRMLANDS LÄN</t>
        </is>
      </c>
      <c r="G345" t="inlineStr">
        <is>
          <t>FILIPSTAD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46230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46040</v>
      </c>
      <c r="E347" s="1" t="n">
        <v>46230</v>
      </c>
      <c r="F347" t="inlineStr">
        <is>
          <t>VÄRMLANDS LÄN</t>
        </is>
      </c>
      <c r="G347" t="inlineStr">
        <is>
          <t>FILIPSTAD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46230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44470</v>
      </c>
      <c r="E349" s="1" t="n">
        <v>46230</v>
      </c>
      <c r="F349" t="inlineStr">
        <is>
          <t>VÄRMLANDS LÄN</t>
        </is>
      </c>
      <c r="G349" t="inlineStr">
        <is>
          <t>FILIPSTAD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46230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46230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46230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46230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46257-2022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44847</v>
      </c>
      <c r="E354" s="1" t="n">
        <v>46230</v>
      </c>
      <c r="F354" t="inlineStr">
        <is>
          <t>VÄRMLANDS LÄN</t>
        </is>
      </c>
      <c r="G354" t="inlineStr">
        <is>
          <t>FILIPSTAD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46230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46230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46230</v>
      </c>
      <c r="F357" t="inlineStr">
        <is>
          <t>VÄRMLANDS LÄN</t>
        </is>
      </c>
      <c r="G357" t="inlineStr">
        <is>
          <t>FILIPSTAD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46230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46230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46230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23602-2026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46230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46230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8.199999999999999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46230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46230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46230</v>
      </c>
      <c r="F365" t="inlineStr">
        <is>
          <t>VÄRMLANDS LÄN</t>
        </is>
      </c>
      <c r="G365" t="inlineStr">
        <is>
          <t>FILIPSTAD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46230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46230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46230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23618-2023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46230</v>
      </c>
      <c r="F369" t="inlineStr">
        <is>
          <t>VÄRMLANDS LÄN</t>
        </is>
      </c>
      <c r="G369" t="inlineStr">
        <is>
          <t>FILIPSTAD</t>
        </is>
      </c>
      <c r="I369" t="n">
        <v>15.8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46230</v>
      </c>
      <c r="F370" t="inlineStr">
        <is>
          <t>VÄRMLANDS LÄN</t>
        </is>
      </c>
      <c r="G370" t="inlineStr">
        <is>
          <t>FILIPSTAD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29473-2024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45484</v>
      </c>
      <c r="E371" s="1" t="n">
        <v>46230</v>
      </c>
      <c r="F371" t="inlineStr">
        <is>
          <t>VÄRMLANDS LÄN</t>
        </is>
      </c>
      <c r="G371" t="inlineStr">
        <is>
          <t>FILIPSTAD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44588</v>
      </c>
      <c r="E372" s="1" t="n">
        <v>46230</v>
      </c>
      <c r="F372" t="inlineStr">
        <is>
          <t>VÄRMLANDS LÄN</t>
        </is>
      </c>
      <c r="G372" t="inlineStr">
        <is>
          <t>FILIPSTAD</t>
        </is>
      </c>
      <c r="H372" t="inlineStr">
        <is>
          <t>Kommuner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46230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46230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46230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9.1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46230</v>
      </c>
      <c r="F376" t="inlineStr">
        <is>
          <t>VÄRMLANDS LÄN</t>
        </is>
      </c>
      <c r="G376" t="inlineStr">
        <is>
          <t>FILIPSTAD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46230</v>
      </c>
      <c r="F377" t="inlineStr">
        <is>
          <t>VÄRMLANDS LÄN</t>
        </is>
      </c>
      <c r="G377" t="inlineStr">
        <is>
          <t>FILIPSTAD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46230</v>
      </c>
      <c r="F378" t="inlineStr">
        <is>
          <t>VÄRMLANDS LÄN</t>
        </is>
      </c>
      <c r="G378" t="inlineStr">
        <is>
          <t>FILIPSTAD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46230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46230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46230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46230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46230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46230</v>
      </c>
      <c r="F384" t="inlineStr">
        <is>
          <t>VÄRMLANDS LÄN</t>
        </is>
      </c>
      <c r="G384" t="inlineStr">
        <is>
          <t>FILIPSTAD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44579</v>
      </c>
      <c r="E385" s="1" t="n">
        <v>46230</v>
      </c>
      <c r="F385" t="inlineStr">
        <is>
          <t>VÄRMLANDS LÄN</t>
        </is>
      </c>
      <c r="G385" t="inlineStr">
        <is>
          <t>FILIPSTAD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46230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46230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46230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46230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46230</v>
      </c>
      <c r="F390" t="inlineStr">
        <is>
          <t>VÄRMLANDS LÄN</t>
        </is>
      </c>
      <c r="G390" t="inlineStr">
        <is>
          <t>FILIPSTAD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46230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46230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46230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46230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46230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46230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46230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45578</v>
      </c>
      <c r="E398" s="1" t="n">
        <v>46230</v>
      </c>
      <c r="F398" t="inlineStr">
        <is>
          <t>VÄRMLANDS LÄN</t>
        </is>
      </c>
      <c r="G398" t="inlineStr">
        <is>
          <t>FILIPSTAD</t>
        </is>
      </c>
      <c r="I398" t="n">
        <v>27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46230</v>
      </c>
      <c r="F399" t="inlineStr">
        <is>
          <t>VÄRMLANDS LÄN</t>
        </is>
      </c>
      <c r="G399" t="inlineStr">
        <is>
          <t>FILIPSTAD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46230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46230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46230</v>
      </c>
      <c r="F402" t="inlineStr">
        <is>
          <t>VÄRMLANDS LÄN</t>
        </is>
      </c>
      <c r="G402" t="inlineStr">
        <is>
          <t>FILIPSTAD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46230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46230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49935-2025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45940</v>
      </c>
      <c r="E405" s="1" t="n">
        <v>46230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46230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46230</v>
      </c>
      <c r="F407" t="inlineStr">
        <is>
          <t>VÄRMLANDS LÄN</t>
        </is>
      </c>
      <c r="G407" t="inlineStr">
        <is>
          <t>FILIPSTAD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46230</v>
      </c>
      <c r="F408" t="inlineStr">
        <is>
          <t>VÄRMLANDS LÄN</t>
        </is>
      </c>
      <c r="G408" t="inlineStr">
        <is>
          <t>FILIPSTAD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46230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45418</v>
      </c>
      <c r="E410" s="1" t="n">
        <v>46230</v>
      </c>
      <c r="F410" t="inlineStr">
        <is>
          <t>VÄRMLANDS LÄN</t>
        </is>
      </c>
      <c r="G410" t="inlineStr">
        <is>
          <t>FILIPSTAD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46230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46230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46230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46230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46230</v>
      </c>
      <c r="F415" t="inlineStr">
        <is>
          <t>VÄRMLANDS LÄN</t>
        </is>
      </c>
      <c r="G415" t="inlineStr">
        <is>
          <t>FILIPSTAD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46230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46230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46230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46230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46230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46230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46230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46230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45616</v>
      </c>
      <c r="E424" s="1" t="n">
        <v>46230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46230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46230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46230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46230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55397-2022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46230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46230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46230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46230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46230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46230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46230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46100</v>
      </c>
      <c r="E436" s="1" t="n">
        <v>46230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45014</v>
      </c>
      <c r="E437" s="1" t="n">
        <v>46230</v>
      </c>
      <c r="F437" t="inlineStr">
        <is>
          <t>VÄRMLANDS LÄN</t>
        </is>
      </c>
      <c r="G437" t="inlineStr">
        <is>
          <t>FILIPSTAD</t>
        </is>
      </c>
      <c r="H437" t="inlineStr">
        <is>
          <t>Kyrkan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46230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46230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44957</v>
      </c>
      <c r="E440" s="1" t="n">
        <v>46230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46230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46230</v>
      </c>
      <c r="F442" t="inlineStr">
        <is>
          <t>VÄRMLANDS LÄN</t>
        </is>
      </c>
      <c r="G442" t="inlineStr">
        <is>
          <t>FILIPSTAD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46230</v>
      </c>
      <c r="F443" t="inlineStr">
        <is>
          <t>VÄRMLANDS LÄN</t>
        </is>
      </c>
      <c r="G443" t="inlineStr">
        <is>
          <t>FILIPSTAD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46230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46230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46230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46230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46230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46230</v>
      </c>
      <c r="F449" t="inlineStr">
        <is>
          <t>VÄRMLANDS LÄN</t>
        </is>
      </c>
      <c r="G449" t="inlineStr">
        <is>
          <t>FILIPSTAD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46230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46230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46230</v>
      </c>
      <c r="F452" t="inlineStr">
        <is>
          <t>VÄRMLANDS LÄN</t>
        </is>
      </c>
      <c r="G452" t="inlineStr">
        <is>
          <t>FILIPSTAD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45511</v>
      </c>
      <c r="E453" s="1" t="n">
        <v>46230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44596</v>
      </c>
      <c r="E454" s="1" t="n">
        <v>46230</v>
      </c>
      <c r="F454" t="inlineStr">
        <is>
          <t>VÄRMLANDS LÄN</t>
        </is>
      </c>
      <c r="G454" t="inlineStr">
        <is>
          <t>FILIPSTAD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46230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16040-2026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46108</v>
      </c>
      <c r="E456" s="1" t="n">
        <v>46230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45186</v>
      </c>
      <c r="E457" s="1" t="n">
        <v>46230</v>
      </c>
      <c r="F457" t="inlineStr">
        <is>
          <t>VÄRMLANDS LÄN</t>
        </is>
      </c>
      <c r="G457" t="inlineStr">
        <is>
          <t>FILIPSTAD</t>
        </is>
      </c>
      <c r="I457" t="n">
        <v>15.3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46230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46230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46230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46230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46230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45569</v>
      </c>
      <c r="E463" s="1" t="n">
        <v>46230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46230</v>
      </c>
      <c r="F464" t="inlineStr">
        <is>
          <t>VÄRMLANDS LÄN</t>
        </is>
      </c>
      <c r="G464" t="inlineStr">
        <is>
          <t>FILIPSTAD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46230</v>
      </c>
      <c r="F465" t="inlineStr">
        <is>
          <t>VÄRMLANDS LÄN</t>
        </is>
      </c>
      <c r="G465" t="inlineStr">
        <is>
          <t>FILIPSTAD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46230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46230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46230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46230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46230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45583</v>
      </c>
      <c r="E471" s="1" t="n">
        <v>46230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46230</v>
      </c>
      <c r="F472" t="inlineStr">
        <is>
          <t>VÄRMLANDS LÄN</t>
        </is>
      </c>
      <c r="G472" t="inlineStr">
        <is>
          <t>FILIPSTAD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31537-2026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46223</v>
      </c>
      <c r="E473" s="1" t="n">
        <v>46230</v>
      </c>
      <c r="F473" t="inlineStr">
        <is>
          <t>VÄRMLANDS LÄN</t>
        </is>
      </c>
      <c r="G473" t="inlineStr">
        <is>
          <t>FILIPSTAD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19030-2022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44691</v>
      </c>
      <c r="E474" s="1" t="n">
        <v>46230</v>
      </c>
      <c r="F474" t="inlineStr">
        <is>
          <t>VÄRMLANDS LÄN</t>
        </is>
      </c>
      <c r="G474" t="inlineStr">
        <is>
          <t>FILIPSTAD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46230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46230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46230</v>
      </c>
      <c r="F477" t="inlineStr">
        <is>
          <t>VÄRMLANDS LÄN</t>
        </is>
      </c>
      <c r="G477" t="inlineStr">
        <is>
          <t>FILIPSTAD</t>
        </is>
      </c>
      <c r="H477" t="inlineStr">
        <is>
          <t>Kommuner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46230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46230</v>
      </c>
      <c r="F479" t="inlineStr">
        <is>
          <t>VÄRMLANDS LÄN</t>
        </is>
      </c>
      <c r="G479" t="inlineStr">
        <is>
          <t>FILIPSTAD</t>
        </is>
      </c>
      <c r="H479" t="inlineStr">
        <is>
          <t>Kommuner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18022-2026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46230</v>
      </c>
      <c r="F480" t="inlineStr">
        <is>
          <t>VÄRMLANDS LÄN</t>
        </is>
      </c>
      <c r="G480" t="inlineStr">
        <is>
          <t>FILIPSTAD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46230</v>
      </c>
      <c r="F481" t="inlineStr">
        <is>
          <t>VÄRMLANDS LÄN</t>
        </is>
      </c>
      <c r="G481" t="inlineStr">
        <is>
          <t>FILIPSTAD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46230</v>
      </c>
      <c r="F482" t="inlineStr">
        <is>
          <t>VÄRMLANDS LÄN</t>
        </is>
      </c>
      <c r="G482" t="inlineStr">
        <is>
          <t>FILIPSTAD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46126</v>
      </c>
      <c r="E483" s="1" t="n">
        <v>46230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46230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46230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46230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46230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46129</v>
      </c>
      <c r="E488" s="1" t="n">
        <v>46230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46225</v>
      </c>
      <c r="E489" s="1" t="n">
        <v>46230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46230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45655</v>
      </c>
      <c r="E491" s="1" t="n">
        <v>46230</v>
      </c>
      <c r="F491" t="inlineStr">
        <is>
          <t>VÄRMLANDS LÄN</t>
        </is>
      </c>
      <c r="G491" t="inlineStr">
        <is>
          <t>FILIPSTAD</t>
        </is>
      </c>
      <c r="I491" t="n">
        <v>26.5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62014-2024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45655</v>
      </c>
      <c r="E492" s="1" t="n">
        <v>46230</v>
      </c>
      <c r="F492" t="inlineStr">
        <is>
          <t>VÄRMLANDS LÄN</t>
        </is>
      </c>
      <c r="G492" t="inlineStr">
        <is>
          <t>FILIPSTAD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46230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44951</v>
      </c>
      <c r="E494" s="1" t="n">
        <v>46230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46230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46230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46230</v>
      </c>
      <c r="F497" t="inlineStr">
        <is>
          <t>VÄRMLANDS LÄN</t>
        </is>
      </c>
      <c r="G497" t="inlineStr">
        <is>
          <t>FILIPSTAD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46230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46230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46230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46230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46230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46230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46230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46230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44935</v>
      </c>
      <c r="E506" s="1" t="n">
        <v>46230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46230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46230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44959</v>
      </c>
      <c r="E509" s="1" t="n">
        <v>46230</v>
      </c>
      <c r="F509" t="inlineStr">
        <is>
          <t>VÄRMLANDS LÄN</t>
        </is>
      </c>
      <c r="G509" t="inlineStr">
        <is>
          <t>FILIPSTAD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46230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46230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46230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46230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46230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46226</v>
      </c>
      <c r="E515" s="1" t="n">
        <v>46230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46230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46230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46230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46230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45274</v>
      </c>
      <c r="E520" s="1" t="n">
        <v>46230</v>
      </c>
      <c r="F520" t="inlineStr">
        <is>
          <t>VÄRMLANDS LÄN</t>
        </is>
      </c>
      <c r="G520" t="inlineStr">
        <is>
          <t>FILIPSTAD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46227</v>
      </c>
      <c r="E521" s="1" t="n">
        <v>46230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46230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46227</v>
      </c>
      <c r="E523" s="1" t="n">
        <v>46230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43484-2023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46230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45124</v>
      </c>
      <c r="E525" s="1" t="n">
        <v>46230</v>
      </c>
      <c r="F525" t="inlineStr">
        <is>
          <t>VÄRMLANDS LÄN</t>
        </is>
      </c>
      <c r="G525" t="inlineStr">
        <is>
          <t>FILIPSTAD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45524</v>
      </c>
      <c r="E526" s="1" t="n">
        <v>46230</v>
      </c>
      <c r="F526" t="inlineStr">
        <is>
          <t>VÄRMLANDS LÄN</t>
        </is>
      </c>
      <c r="G526" t="inlineStr">
        <is>
          <t>FILIPSTAD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46230</v>
      </c>
      <c r="F527" t="inlineStr">
        <is>
          <t>VÄRMLANDS LÄN</t>
        </is>
      </c>
      <c r="G527" t="inlineStr">
        <is>
          <t>FILIPSTAD</t>
        </is>
      </c>
      <c r="H527" t="inlineStr">
        <is>
          <t>Kyrkan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46230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46230</v>
      </c>
      <c r="F529" t="inlineStr">
        <is>
          <t>VÄRMLANDS LÄN</t>
        </is>
      </c>
      <c r="G529" t="inlineStr">
        <is>
          <t>FILIPSTAD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45567</v>
      </c>
      <c r="E530" s="1" t="n">
        <v>46230</v>
      </c>
      <c r="F530" t="inlineStr">
        <is>
          <t>VÄRMLANDS LÄN</t>
        </is>
      </c>
      <c r="G530" t="inlineStr">
        <is>
          <t>FILIPSTAD</t>
        </is>
      </c>
      <c r="H530" t="inlineStr">
        <is>
          <t>Kyrkan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46230</v>
      </c>
      <c r="F531" t="inlineStr">
        <is>
          <t>VÄRMLANDS LÄN</t>
        </is>
      </c>
      <c r="G531" t="inlineStr">
        <is>
          <t>FILIPSTAD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45088</v>
      </c>
      <c r="E532" s="1" t="n">
        <v>46230</v>
      </c>
      <c r="F532" t="inlineStr">
        <is>
          <t>VÄRMLANDS LÄN</t>
        </is>
      </c>
      <c r="G532" t="inlineStr">
        <is>
          <t>FILIPSTAD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46230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69015-2021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44530</v>
      </c>
      <c r="E534" s="1" t="n">
        <v>46230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46230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44960</v>
      </c>
      <c r="E536" s="1" t="n">
        <v>46230</v>
      </c>
      <c r="F536" t="inlineStr">
        <is>
          <t>VÄRMLANDS LÄN</t>
        </is>
      </c>
      <c r="G536" t="inlineStr">
        <is>
          <t>FILIPSTAD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46230</v>
      </c>
      <c r="F537" t="inlineStr">
        <is>
          <t>VÄRMLANDS LÄN</t>
        </is>
      </c>
      <c r="G537" t="inlineStr">
        <is>
          <t>FILIPSTAD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53690-2022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44880</v>
      </c>
      <c r="E538" s="1" t="n">
        <v>46230</v>
      </c>
      <c r="F538" t="inlineStr">
        <is>
          <t>VÄRMLANDS LÄN</t>
        </is>
      </c>
      <c r="G538" t="inlineStr">
        <is>
          <t>FILIPSTAD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45700</v>
      </c>
      <c r="E539" s="1" t="n">
        <v>46230</v>
      </c>
      <c r="F539" t="inlineStr">
        <is>
          <t>VÄRMLANDS LÄN</t>
        </is>
      </c>
      <c r="G539" t="inlineStr">
        <is>
          <t>FILIPSTAD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46230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44467</v>
      </c>
      <c r="E541" s="1" t="n">
        <v>46230</v>
      </c>
      <c r="F541" t="inlineStr">
        <is>
          <t>VÄRMLANDS LÄN</t>
        </is>
      </c>
      <c r="G541" t="inlineStr">
        <is>
          <t>FILIPSTAD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46230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51266-2021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44461</v>
      </c>
      <c r="E543" s="1" t="n">
        <v>46230</v>
      </c>
      <c r="F543" t="inlineStr">
        <is>
          <t>VÄRMLANDS LÄN</t>
        </is>
      </c>
      <c r="G543" t="inlineStr">
        <is>
          <t>FILIPSTAD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51618-2022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44872</v>
      </c>
      <c r="E544" s="1" t="n">
        <v>46230</v>
      </c>
      <c r="F544" t="inlineStr">
        <is>
          <t>VÄRMLANDS LÄN</t>
        </is>
      </c>
      <c r="G544" t="inlineStr">
        <is>
          <t>FILIPSTAD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45516</v>
      </c>
      <c r="E545" s="1" t="n">
        <v>46230</v>
      </c>
      <c r="F545" t="inlineStr">
        <is>
          <t>VÄRMLANDS LÄN</t>
        </is>
      </c>
      <c r="G545" t="inlineStr">
        <is>
          <t>FILIPSTAD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46230</v>
      </c>
      <c r="F546" t="inlineStr">
        <is>
          <t>VÄRMLANDS LÄN</t>
        </is>
      </c>
      <c r="G546" t="inlineStr">
        <is>
          <t>FILIPSTAD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44672</v>
      </c>
      <c r="E547" s="1" t="n">
        <v>46230</v>
      </c>
      <c r="F547" t="inlineStr">
        <is>
          <t>VÄRMLANDS LÄN</t>
        </is>
      </c>
      <c r="G547" t="inlineStr">
        <is>
          <t>FILIPSTAD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46230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46978-2023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46230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46230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45471</v>
      </c>
      <c r="E551" s="1" t="n">
        <v>46230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45414</v>
      </c>
      <c r="E552" s="1" t="n">
        <v>46230</v>
      </c>
      <c r="F552" t="inlineStr">
        <is>
          <t>VÄRMLANDS LÄN</t>
        </is>
      </c>
      <c r="G552" t="inlineStr">
        <is>
          <t>FILIPSTAD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46230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45495</v>
      </c>
      <c r="E554" s="1" t="n">
        <v>46230</v>
      </c>
      <c r="F554" t="inlineStr">
        <is>
          <t>VÄRMLANDS LÄN</t>
        </is>
      </c>
      <c r="G554" t="inlineStr">
        <is>
          <t>FILIPSTAD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45667</v>
      </c>
      <c r="E555" s="1" t="n">
        <v>46230</v>
      </c>
      <c r="F555" t="inlineStr">
        <is>
          <t>VÄRMLANDS LÄN</t>
        </is>
      </c>
      <c r="G555" t="inlineStr">
        <is>
          <t>FILIPSTAD</t>
        </is>
      </c>
      <c r="H555" t="inlineStr">
        <is>
          <t>Kommuner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46230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65167-2021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44515</v>
      </c>
      <c r="E557" s="1" t="n">
        <v>46230</v>
      </c>
      <c r="F557" t="inlineStr">
        <is>
          <t>VÄRMLANDS LÄN</t>
        </is>
      </c>
      <c r="G557" t="inlineStr">
        <is>
          <t>FILIPSTAD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46230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46230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46230</v>
      </c>
      <c r="F560" t="inlineStr">
        <is>
          <t>VÄRMLANDS LÄN</t>
        </is>
      </c>
      <c r="G560" t="inlineStr">
        <is>
          <t>FILIPSTAD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46230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46230</v>
      </c>
      <c r="F562" t="inlineStr">
        <is>
          <t>VÄRMLANDS LÄN</t>
        </is>
      </c>
      <c r="G562" t="inlineStr">
        <is>
          <t>FILIPSTAD</t>
        </is>
      </c>
      <c r="H562" t="inlineStr">
        <is>
          <t>Kyrkan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46230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45793</v>
      </c>
      <c r="E564" s="1" t="n">
        <v>46230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45792</v>
      </c>
      <c r="E565" s="1" t="n">
        <v>46230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45792</v>
      </c>
      <c r="E566" s="1" t="n">
        <v>46230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46230</v>
      </c>
      <c r="F567" t="inlineStr">
        <is>
          <t>VÄRMLANDS LÄN</t>
        </is>
      </c>
      <c r="G567" t="inlineStr">
        <is>
          <t>FILIPSTAD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72118-2021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44543</v>
      </c>
      <c r="E568" s="1" t="n">
        <v>46230</v>
      </c>
      <c r="F568" t="inlineStr">
        <is>
          <t>VÄRMLANDS LÄN</t>
        </is>
      </c>
      <c r="G568" t="inlineStr">
        <is>
          <t>FILIPSTAD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45747</v>
      </c>
      <c r="E569" s="1" t="n">
        <v>46230</v>
      </c>
      <c r="F569" t="inlineStr">
        <is>
          <t>VÄRMLANDS LÄN</t>
        </is>
      </c>
      <c r="G569" t="inlineStr">
        <is>
          <t>FILIPSTAD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65174-2021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44515</v>
      </c>
      <c r="E570" s="1" t="n">
        <v>46230</v>
      </c>
      <c r="F570" t="inlineStr">
        <is>
          <t>VÄRMLANDS LÄN</t>
        </is>
      </c>
      <c r="G570" t="inlineStr">
        <is>
          <t>FILIPSTAD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24143-2025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46230</v>
      </c>
      <c r="F571" t="inlineStr">
        <is>
          <t>VÄRMLANDS LÄN</t>
        </is>
      </c>
      <c r="G571" t="inlineStr">
        <is>
          <t>FILIPSTAD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45439</v>
      </c>
      <c r="E572" s="1" t="n">
        <v>46230</v>
      </c>
      <c r="F572" t="inlineStr">
        <is>
          <t>VÄRMLANDS LÄN</t>
        </is>
      </c>
      <c r="G572" t="inlineStr">
        <is>
          <t>FILIPSTAD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45322</v>
      </c>
      <c r="E573" s="1" t="n">
        <v>46230</v>
      </c>
      <c r="F573" t="inlineStr">
        <is>
          <t>VÄRMLANDS LÄN</t>
        </is>
      </c>
      <c r="G573" t="inlineStr">
        <is>
          <t>FILIPSTAD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46230</v>
      </c>
      <c r="F574" t="inlineStr">
        <is>
          <t>VÄRMLANDS LÄN</t>
        </is>
      </c>
      <c r="G574" t="inlineStr">
        <is>
          <t>FILIPSTAD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44801</v>
      </c>
      <c r="E575" s="1" t="n">
        <v>46230</v>
      </c>
      <c r="F575" t="inlineStr">
        <is>
          <t>VÄRMLANDS LÄN</t>
        </is>
      </c>
      <c r="G575" t="inlineStr">
        <is>
          <t>FILIPSTAD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47261-2024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46230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46230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26123-2025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45805</v>
      </c>
      <c r="E578" s="1" t="n">
        <v>46230</v>
      </c>
      <c r="F578" t="inlineStr">
        <is>
          <t>VÄRMLANDS LÄN</t>
        </is>
      </c>
      <c r="G578" t="inlineStr">
        <is>
          <t>FILIPSTAD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45810</v>
      </c>
      <c r="E579" s="1" t="n">
        <v>46230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45470</v>
      </c>
      <c r="E580" s="1" t="n">
        <v>46230</v>
      </c>
      <c r="F580" t="inlineStr">
        <is>
          <t>VÄRMLANDS LÄN</t>
        </is>
      </c>
      <c r="G580" t="inlineStr">
        <is>
          <t>FILIPSTAD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26599-2024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45469</v>
      </c>
      <c r="E581" s="1" t="n">
        <v>46230</v>
      </c>
      <c r="F581" t="inlineStr">
        <is>
          <t>VÄRMLANDS LÄN</t>
        </is>
      </c>
      <c r="G581" t="inlineStr">
        <is>
          <t>FILIPSTAD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46230</v>
      </c>
      <c r="F582" t="inlineStr">
        <is>
          <t>VÄRMLANDS LÄN</t>
        </is>
      </c>
      <c r="G582" t="inlineStr">
        <is>
          <t>FILIPSTAD</t>
        </is>
      </c>
      <c r="H582" t="inlineStr">
        <is>
          <t>Kyrkan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29660-2025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46230</v>
      </c>
      <c r="F583" t="inlineStr">
        <is>
          <t>VÄRMLANDS LÄN</t>
        </is>
      </c>
      <c r="G583" t="inlineStr">
        <is>
          <t>FILIPSTAD</t>
        </is>
      </c>
      <c r="I583" t="n">
        <v>23.3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45826</v>
      </c>
      <c r="E584" s="1" t="n">
        <v>46230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46230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45826</v>
      </c>
      <c r="E586" s="1" t="n">
        <v>46230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46230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31172-2025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45832</v>
      </c>
      <c r="E588" s="1" t="n">
        <v>46230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46230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46230</v>
      </c>
      <c r="F590" t="inlineStr">
        <is>
          <t>VÄRMLANDS LÄN</t>
        </is>
      </c>
      <c r="G590" t="inlineStr">
        <is>
          <t>FILIPSTAD</t>
        </is>
      </c>
      <c r="I590" t="n">
        <v>18.7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46230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45688</v>
      </c>
      <c r="E592" s="1" t="n">
        <v>46230</v>
      </c>
      <c r="F592" t="inlineStr">
        <is>
          <t>VÄRMLANDS LÄN</t>
        </is>
      </c>
      <c r="G592" t="inlineStr">
        <is>
          <t>FILIPSTAD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33407-2025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45841</v>
      </c>
      <c r="E593" s="1" t="n">
        <v>46230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30077-2025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46230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36582-2025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45870</v>
      </c>
      <c r="E595" s="1" t="n">
        <v>46230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46230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46230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46230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46230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46230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46230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46230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46230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46230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46230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46230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46230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46230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46230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46230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46230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46230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2026-07-27T01:52:58Z</dcterms:created>
  <dcterms:modified xmlns:dcterms="http://purl.org/dc/terms/" xmlns:xsi="http://www.w3.org/2001/XMLSchema-instance" xsi:type="dcterms:W3CDTF">2026-07-27T01:52:59Z</dcterms:modified>
</cp:coreProperties>
</file>