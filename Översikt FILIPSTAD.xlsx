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46314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46314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46314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46314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37620-2026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46276</v>
      </c>
      <c r="E15" s="1" t="n">
        <v>46314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4.1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Kandelabersvamp
Tretåig hackspett</t>
        </is>
      </c>
      <c r="W15">
        <f>HYPERLINK("https://klasma.github.io/Logging_1782/artfynd/A 37620-2026 artfynd.xlsx", "A 37620-2026")</f>
        <v/>
      </c>
      <c r="X15">
        <f>HYPERLINK("https://klasma.github.io/Logging_1782/kartor/A 37620-2026 karta.png", "A 37620-2026")</f>
        <v/>
      </c>
      <c r="Y15">
        <f>HYPERLINK("https://klasma.github.io/Logging_1782/kartor_geotiff/A 37620-2026 georefererad karta.tif", "A 37620-2026")</f>
        <v/>
      </c>
      <c r="AA15">
        <f>HYPERLINK("https://klasma.github.io/Logging_1782/klagomål/A 37620-2026 FSC-klagomål.docx", "A 37620-2026")</f>
        <v/>
      </c>
      <c r="AB15">
        <f>HYPERLINK("https://klasma.github.io/Logging_1782/klagomålsmail/A 37620-2026 FSC-klagomål mail.docx", "A 37620-2026")</f>
        <v/>
      </c>
      <c r="AC15">
        <f>HYPERLINK("https://klasma.github.io/Logging_1782/tillsyn/A 37620-2026 tillsynsbegäran.docx", "A 37620-2026")</f>
        <v/>
      </c>
      <c r="AD15">
        <f>HYPERLINK("https://klasma.github.io/Logging_1782/tillsynsmail/A 37620-2026 tillsynsbegäran mail.docx", "A 37620-2026")</f>
        <v/>
      </c>
      <c r="AE15">
        <f>HYPERLINK("https://klasma.github.io/Logging_1782/fåglar/A 37620-2026 prioriterade fågelarter.docx", "A 37620-2026")</f>
        <v/>
      </c>
    </row>
    <row r="16" ht="15" customHeight="1">
      <c r="A16" t="inlineStr">
        <is>
          <t>A 38667-2026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46283</v>
      </c>
      <c r="E16" s="1" t="n">
        <v>46314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10.7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0</v>
      </c>
      <c r="V16" s="2" t="inlineStr">
        <is>
          <t>Brunklöver
Tvåblad
Fläcknycklar</t>
        </is>
      </c>
      <c r="W16">
        <f>HYPERLINK("https://klasma.github.io/Logging_1782/artfynd/A 38667-2026 artfynd.xlsx", "A 38667-2026")</f>
        <v/>
      </c>
      <c r="X16">
        <f>HYPERLINK("https://klasma.github.io/Logging_1782/kartor/A 38667-2026 karta.png", "A 38667-2026")</f>
        <v/>
      </c>
      <c r="Y16">
        <f>HYPERLINK("https://klasma.github.io/Logging_1782/kartor_geotiff/A 38667-2026 georefererad karta.tif", "A 38667-2026")</f>
        <v/>
      </c>
      <c r="AA16">
        <f>HYPERLINK("https://klasma.github.io/Logging_1782/klagomål/A 38667-2026 FSC-klagomål.docx", "A 38667-2026")</f>
        <v/>
      </c>
      <c r="AB16">
        <f>HYPERLINK("https://klasma.github.io/Logging_1782/klagomålsmail/A 38667-2026 FSC-klagomål mail.docx", "A 38667-2026")</f>
        <v/>
      </c>
      <c r="AC16">
        <f>HYPERLINK("https://klasma.github.io/Logging_1782/tillsyn/A 38667-2026 tillsynsbegäran.docx", "A 38667-2026")</f>
        <v/>
      </c>
      <c r="AD16">
        <f>HYPERLINK("https://klasma.github.io/Logging_1782/tillsynsmail/A 38667-2026 tillsynsbegäran mail.docx", "A 38667-2026")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46314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46314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46314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46314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46314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46314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46314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16139-2025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46314</v>
      </c>
      <c r="F24" t="inlineStr">
        <is>
          <t>VÄRMLANDS LÄN</t>
        </is>
      </c>
      <c r="G24" t="inlineStr">
        <is>
          <t>FILIPSTAD</t>
        </is>
      </c>
      <c r="I24" t="n">
        <v>18.2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Bronshjon</t>
        </is>
      </c>
      <c r="W24">
        <f>HYPERLINK("https://klasma.github.io/Logging_1782/artfynd/A 16139-2025 artfynd.xlsx", "A 16139-2025")</f>
        <v/>
      </c>
      <c r="X24">
        <f>HYPERLINK("https://klasma.github.io/Logging_1782/kartor/A 16139-2025 karta.png", "A 16139-2025")</f>
        <v/>
      </c>
      <c r="Y24">
        <f>HYPERLINK("https://klasma.github.io/Logging_1782/kartor_geotiff/A 16139-2025 georefererad karta.tif", "A 16139-2025")</f>
        <v/>
      </c>
      <c r="AA24">
        <f>HYPERLINK("https://klasma.github.io/Logging_1782/klagomål/A 16139-2025 FSC-klagomål.docx", "A 16139-2025")</f>
        <v/>
      </c>
      <c r="AB24">
        <f>HYPERLINK("https://klasma.github.io/Logging_1782/klagomålsmail/A 16139-2025 FSC-klagomål mail.docx", "A 16139-2025")</f>
        <v/>
      </c>
      <c r="AC24">
        <f>HYPERLINK("https://klasma.github.io/Logging_1782/tillsyn/A 16139-2025 tillsynsbegäran.docx", "A 16139-2025")</f>
        <v/>
      </c>
      <c r="AD24">
        <f>HYPERLINK("https://klasma.github.io/Logging_1782/tillsynsmail/A 16139-2025 tillsynsbegäran mail.docx", "A 16139-2025")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46314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46314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46314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46314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46314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46314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46314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46314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46314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46314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46314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46314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46314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46314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46314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46314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31257-2026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46314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10.2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Gräsull</t>
        </is>
      </c>
      <c r="W46">
        <f>HYPERLINK("https://klasma.github.io/Logging_1782/artfynd/A 31257-2026 artfynd.xlsx", "A 31257-2026")</f>
        <v/>
      </c>
      <c r="X46">
        <f>HYPERLINK("https://klasma.github.io/Logging_1782/kartor/A 31257-2026 karta.png", "A 31257-2026")</f>
        <v/>
      </c>
      <c r="Y46">
        <f>HYPERLINK("https://klasma.github.io/Logging_1782/kartor_geotiff/A 31257-2026 georefererad karta.tif", "A 31257-2026")</f>
        <v/>
      </c>
      <c r="AA46">
        <f>HYPERLINK("https://klasma.github.io/Logging_1782/klagomål/A 31257-2026 FSC-klagomål.docx", "A 31257-2026")</f>
        <v/>
      </c>
      <c r="AB46">
        <f>HYPERLINK("https://klasma.github.io/Logging_1782/klagomålsmail/A 31257-2026 FSC-klagomål mail.docx", "A 31257-2026")</f>
        <v/>
      </c>
      <c r="AC46">
        <f>HYPERLINK("https://klasma.github.io/Logging_1782/tillsyn/A 31257-2026 tillsynsbegäran.docx", "A 31257-2026")</f>
        <v/>
      </c>
      <c r="AD46">
        <f>HYPERLINK("https://klasma.github.io/Logging_1782/tillsynsmail/A 31257-2026 tillsynsbegäran mail.docx", "A 31257-2026")</f>
        <v/>
      </c>
    </row>
    <row r="47" ht="15" customHeight="1">
      <c r="A47" t="inlineStr">
        <is>
          <t>A 5992-2023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44959</v>
      </c>
      <c r="E47" s="1" t="n">
        <v>46314</v>
      </c>
      <c r="F47" t="inlineStr">
        <is>
          <t>VÄRMLANDS LÄN</t>
        </is>
      </c>
      <c r="G47" t="inlineStr">
        <is>
          <t>FILIPSTAD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5992-2023 artfynd.xlsx", "A 5992-2023")</f>
        <v/>
      </c>
      <c r="X47">
        <f>HYPERLINK("https://klasma.github.io/Logging_1782/kartor/A 5992-2023 karta.png", "A 5992-2023")</f>
        <v/>
      </c>
      <c r="Y47">
        <f>HYPERLINK("https://klasma.github.io/Logging_1782/kartor_geotiff/A 5992-2023 georefererad karta.tif", "A 5992-2023")</f>
        <v/>
      </c>
      <c r="AA47">
        <f>HYPERLINK("https://klasma.github.io/Logging_1782/klagomål/A 5992-2023 FSC-klagomål.docx", "A 5992-2023")</f>
        <v/>
      </c>
      <c r="AB47">
        <f>HYPERLINK("https://klasma.github.io/Logging_1782/klagomålsmail/A 5992-2023 FSC-klagomål mail.docx", "A 5992-2023")</f>
        <v/>
      </c>
      <c r="AC47">
        <f>HYPERLINK("https://klasma.github.io/Logging_1782/tillsyn/A 5992-2023 tillsynsbegäran.docx", "A 5992-2023")</f>
        <v/>
      </c>
      <c r="AD47">
        <f>HYPERLINK("https://klasma.github.io/Logging_1782/tillsynsmail/A 5992-2023 tillsynsbegäran mail.docx", "A 5992-2023")</f>
        <v/>
      </c>
    </row>
    <row r="48" ht="15" customHeight="1">
      <c r="A48" t="inlineStr">
        <is>
          <t>A 51522-2022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46314</v>
      </c>
      <c r="F48" t="inlineStr">
        <is>
          <t>VÄRMLANDS LÄN</t>
        </is>
      </c>
      <c r="G48" t="inlineStr">
        <is>
          <t>FILIPSTAD</t>
        </is>
      </c>
      <c r="I48" t="n">
        <v>4.1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HYPERLINK("https://klasma.github.io/Logging_1782/artfynd/A 51522-2022 artfynd.xlsx", "A 51522-2022")</f>
        <v/>
      </c>
      <c r="X48">
        <f>HYPERLINK("https://klasma.github.io/Logging_1782/kartor/A 51522-2022 karta.png", "A 51522-2022")</f>
        <v/>
      </c>
      <c r="Y48">
        <f>HYPERLINK("https://klasma.github.io/Logging_1782/kartor_geotiff/A 51522-2022 georefererad karta.tif", "A 51522-2022")</f>
        <v/>
      </c>
      <c r="AA48">
        <f>HYPERLINK("https://klasma.github.io/Logging_1782/klagomål/A 51522-2022 FSC-klagomål.docx", "A 51522-2022")</f>
        <v/>
      </c>
      <c r="AB48">
        <f>HYPERLINK("https://klasma.github.io/Logging_1782/klagomålsmail/A 51522-2022 FSC-klagomål mail.docx", "A 51522-2022")</f>
        <v/>
      </c>
      <c r="AC48">
        <f>HYPERLINK("https://klasma.github.io/Logging_1782/tillsyn/A 51522-2022 tillsynsbegäran.docx", "A 51522-2022")</f>
        <v/>
      </c>
      <c r="AD48">
        <f>HYPERLINK("https://klasma.github.io/Logging_1782/tillsynsmail/A 51522-2022 tillsynsbegäran mail.docx", "A 51522-2022")</f>
        <v/>
      </c>
    </row>
    <row r="49" ht="15" customHeight="1">
      <c r="A49" t="inlineStr">
        <is>
          <t>A 23046-2023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46314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HYPERLINK("https://klasma.github.io/Logging_1782/artfynd/A 23046-2023 artfynd.xlsx", "A 23046-2023")</f>
        <v/>
      </c>
      <c r="X49">
        <f>HYPERLINK("https://klasma.github.io/Logging_1782/kartor/A 23046-2023 karta.png", "A 23046-2023")</f>
        <v/>
      </c>
      <c r="Y49">
        <f>HYPERLINK("https://klasma.github.io/Logging_1782/kartor_geotiff/A 23046-2023 georefererad karta.tif", "A 23046-2023")</f>
        <v/>
      </c>
      <c r="Z49">
        <f>HYPERLINK("https://klasma.github.io/Logging_1782/knärot/A 23046-2023 karta knärot.png", "A 23046-2023")</f>
        <v/>
      </c>
      <c r="AA49">
        <f>HYPERLINK("https://klasma.github.io/Logging_1782/klagomål/A 23046-2023 FSC-klagomål.docx", "A 23046-2023")</f>
        <v/>
      </c>
      <c r="AB49">
        <f>HYPERLINK("https://klasma.github.io/Logging_1782/klagomålsmail/A 23046-2023 FSC-klagomål mail.docx", "A 23046-2023")</f>
        <v/>
      </c>
      <c r="AC49">
        <f>HYPERLINK("https://klasma.github.io/Logging_1782/tillsyn/A 23046-2023 tillsynsbegäran.docx", "A 23046-2023")</f>
        <v/>
      </c>
      <c r="AD49">
        <f>HYPERLINK("https://klasma.github.io/Logging_1782/tillsynsmail/A 23046-2023 tillsynsbegäran mail.docx", "A 23046-2023")</f>
        <v/>
      </c>
    </row>
    <row r="50" ht="15" customHeight="1">
      <c r="A50" t="inlineStr">
        <is>
          <t>A 30988-2026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46213</v>
      </c>
      <c r="E50" s="1" t="n">
        <v>46314</v>
      </c>
      <c r="F50" t="inlineStr">
        <is>
          <t>VÄRMLANDS LÄN</t>
        </is>
      </c>
      <c r="G50" t="inlineStr">
        <is>
          <t>FILIPSTAD</t>
        </is>
      </c>
      <c r="I50" t="n">
        <v>2.4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Skuggblåslav</t>
        </is>
      </c>
      <c r="W50">
        <f>HYPERLINK("https://klasma.github.io/Logging_1782/artfynd/A 30988-2026 artfynd.xlsx", "A 30988-2026")</f>
        <v/>
      </c>
      <c r="X50">
        <f>HYPERLINK("https://klasma.github.io/Logging_1782/kartor/A 30988-2026 karta.png", "A 30988-2026")</f>
        <v/>
      </c>
      <c r="Y50">
        <f>HYPERLINK("https://klasma.github.io/Logging_1782/kartor_geotiff/A 30988-2026 georefererad karta.tif", "A 30988-2026")</f>
        <v/>
      </c>
      <c r="AA50">
        <f>HYPERLINK("https://klasma.github.io/Logging_1782/klagomål/A 30988-2026 FSC-klagomål.docx", "A 30988-2026")</f>
        <v/>
      </c>
      <c r="AB50">
        <f>HYPERLINK("https://klasma.github.io/Logging_1782/klagomålsmail/A 30988-2026 FSC-klagomål mail.docx", "A 30988-2026")</f>
        <v/>
      </c>
      <c r="AC50">
        <f>HYPERLINK("https://klasma.github.io/Logging_1782/tillsyn/A 30988-2026 tillsynsbegäran.docx", "A 30988-2026")</f>
        <v/>
      </c>
      <c r="AD50">
        <f>HYPERLINK("https://klasma.github.io/Logging_1782/tillsynsmail/A 30988-2026 tillsynsbegäran mail.docx", "A 30988-2026")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46314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46314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46314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46314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46314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46314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46314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46314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46314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46314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46314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46314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46314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46314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46314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46314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46314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46314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46314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46314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46314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46314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25737-2023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46314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46314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46314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46314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46314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46314</v>
      </c>
      <c r="F88" t="inlineStr">
        <is>
          <t>VÄRMLANDS LÄN</t>
        </is>
      </c>
      <c r="G88" t="inlineStr">
        <is>
          <t>FILIPSTAD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46314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46314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46314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14582-2025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45742</v>
      </c>
      <c r="E92" s="1" t="n">
        <v>46314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46314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46314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46314</v>
      </c>
      <c r="F95" t="inlineStr">
        <is>
          <t>VÄRMLANDS LÄN</t>
        </is>
      </c>
      <c r="G95" t="inlineStr">
        <is>
          <t>FILIPSTAD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46314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46314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46314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46314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46314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46314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46314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46314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46314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45153</v>
      </c>
      <c r="E105" s="1" t="n">
        <v>46314</v>
      </c>
      <c r="F105" t="inlineStr">
        <is>
          <t>VÄRMLANDS LÄN</t>
        </is>
      </c>
      <c r="G105" t="inlineStr">
        <is>
          <t>FILIPSTAD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46314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46314</v>
      </c>
      <c r="F107" t="inlineStr">
        <is>
          <t>VÄRMLANDS LÄN</t>
        </is>
      </c>
      <c r="G107" t="inlineStr">
        <is>
          <t>FILIPSTAD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46314</v>
      </c>
      <c r="F108" t="inlineStr">
        <is>
          <t>VÄRMLANDS LÄN</t>
        </is>
      </c>
      <c r="G108" t="inlineStr">
        <is>
          <t>FILIPSTAD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46314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50856-2022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44867</v>
      </c>
      <c r="E110" s="1" t="n">
        <v>46314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46314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46314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71971-2021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46314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46314</v>
      </c>
      <c r="F114" t="inlineStr">
        <is>
          <t>VÄRMLANDS LÄN</t>
        </is>
      </c>
      <c r="G114" t="inlineStr">
        <is>
          <t>FILIPSTAD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46314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46314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45107</v>
      </c>
      <c r="E117" s="1" t="n">
        <v>46314</v>
      </c>
      <c r="F117" t="inlineStr">
        <is>
          <t>VÄRMLANDS LÄN</t>
        </is>
      </c>
      <c r="G117" t="inlineStr">
        <is>
          <t>FILIPSTAD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46314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46314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46314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46314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46314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46314</v>
      </c>
      <c r="F123" t="inlineStr">
        <is>
          <t>VÄRMLANDS LÄN</t>
        </is>
      </c>
      <c r="G123" t="inlineStr">
        <is>
          <t>FILIPSTAD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46314</v>
      </c>
      <c r="F124" t="inlineStr">
        <is>
          <t>VÄRMLANDS LÄN</t>
        </is>
      </c>
      <c r="G124" t="inlineStr">
        <is>
          <t>FILIPSTAD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46314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46314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46314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46314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46314</v>
      </c>
      <c r="F129" t="inlineStr">
        <is>
          <t>VÄRMLANDS LÄN</t>
        </is>
      </c>
      <c r="G129" t="inlineStr">
        <is>
          <t>FILIPSTAD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45901</v>
      </c>
      <c r="E130" s="1" t="n">
        <v>46314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46314</v>
      </c>
      <c r="F131" t="inlineStr">
        <is>
          <t>VÄRMLANDS LÄN</t>
        </is>
      </c>
      <c r="G131" t="inlineStr">
        <is>
          <t>FILIPSTAD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46314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46314</v>
      </c>
      <c r="F133" t="inlineStr">
        <is>
          <t>VÄRMLANDS LÄN</t>
        </is>
      </c>
      <c r="G133" t="inlineStr">
        <is>
          <t>FILIPSTAD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22830-2023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45072</v>
      </c>
      <c r="E134" s="1" t="n">
        <v>46314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45072</v>
      </c>
      <c r="E135" s="1" t="n">
        <v>46314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46314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46314</v>
      </c>
      <c r="F137" t="inlineStr">
        <is>
          <t>VÄRMLANDS LÄN</t>
        </is>
      </c>
      <c r="G137" t="inlineStr">
        <is>
          <t>FILIPSTAD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46314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46314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46314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46314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46314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46314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46314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46314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46314</v>
      </c>
      <c r="F147" t="inlineStr">
        <is>
          <t>VÄRMLANDS LÄN</t>
        </is>
      </c>
      <c r="G147" t="inlineStr">
        <is>
          <t>FILIPSTAD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45867</v>
      </c>
      <c r="E148" s="1" t="n">
        <v>46314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46314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46314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45880</v>
      </c>
      <c r="E151" s="1" t="n">
        <v>46314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45775</v>
      </c>
      <c r="E152" s="1" t="n">
        <v>46314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41718-2025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45902</v>
      </c>
      <c r="E153" s="1" t="n">
        <v>46314</v>
      </c>
      <c r="F153" t="inlineStr">
        <is>
          <t>VÄRMLANDS LÄN</t>
        </is>
      </c>
      <c r="G153" t="inlineStr">
        <is>
          <t>FILIPSTAD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46314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46314</v>
      </c>
      <c r="F155" t="inlineStr">
        <is>
          <t>VÄRMLANDS LÄN</t>
        </is>
      </c>
      <c r="G155" t="inlineStr">
        <is>
          <t>FILIPSTAD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46314</v>
      </c>
      <c r="F156" t="inlineStr">
        <is>
          <t>VÄRMLANDS LÄN</t>
        </is>
      </c>
      <c r="G156" t="inlineStr">
        <is>
          <t>FILIPSTAD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46314</v>
      </c>
      <c r="F157" t="inlineStr">
        <is>
          <t>VÄRMLANDS LÄN</t>
        </is>
      </c>
      <c r="G157" t="inlineStr">
        <is>
          <t>FILIPSTAD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46142</v>
      </c>
      <c r="E158" s="1" t="n">
        <v>46314</v>
      </c>
      <c r="F158" t="inlineStr">
        <is>
          <t>VÄRMLANDS LÄN</t>
        </is>
      </c>
      <c r="G158" t="inlineStr">
        <is>
          <t>FILIPSTAD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46314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45769</v>
      </c>
      <c r="E160" s="1" t="n">
        <v>46314</v>
      </c>
      <c r="F160" t="inlineStr">
        <is>
          <t>VÄRMLANDS LÄN</t>
        </is>
      </c>
      <c r="G160" t="inlineStr">
        <is>
          <t>FILIPSTAD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46314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46314</v>
      </c>
      <c r="F162" t="inlineStr">
        <is>
          <t>VÄRMLANDS LÄN</t>
        </is>
      </c>
      <c r="G162" t="inlineStr">
        <is>
          <t>FILIPSTAD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46314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46314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46314</v>
      </c>
      <c r="F165" t="inlineStr">
        <is>
          <t>VÄRMLANDS LÄN</t>
        </is>
      </c>
      <c r="G165" t="inlineStr">
        <is>
          <t>FILIPSTAD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46314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46314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46314</v>
      </c>
      <c r="F168" t="inlineStr">
        <is>
          <t>VÄRMLANDS LÄN</t>
        </is>
      </c>
      <c r="G168" t="inlineStr">
        <is>
          <t>FILIPSTAD</t>
        </is>
      </c>
      <c r="I168" t="n">
        <v>11.7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46314</v>
      </c>
      <c r="F169" t="inlineStr">
        <is>
          <t>VÄRMLANDS LÄN</t>
        </is>
      </c>
      <c r="G169" t="inlineStr">
        <is>
          <t>FILIPSTAD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46314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46314</v>
      </c>
      <c r="F172" t="inlineStr">
        <is>
          <t>VÄRMLANDS LÄN</t>
        </is>
      </c>
      <c r="G172" t="inlineStr">
        <is>
          <t>FILIPSTAD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46314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46314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45933</v>
      </c>
      <c r="E176" s="1" t="n">
        <v>46314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46314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46314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46314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46314</v>
      </c>
      <c r="F180" t="inlineStr">
        <is>
          <t>VÄRMLANDS LÄN</t>
        </is>
      </c>
      <c r="G180" t="inlineStr">
        <is>
          <t>FILIPSTAD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46314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46314</v>
      </c>
      <c r="F183" t="inlineStr">
        <is>
          <t>VÄRMLANDS LÄN</t>
        </is>
      </c>
      <c r="G183" t="inlineStr">
        <is>
          <t>FILIPSTAD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46314</v>
      </c>
      <c r="F184" t="inlineStr">
        <is>
          <t>VÄRMLANDS LÄN</t>
        </is>
      </c>
      <c r="G184" t="inlineStr">
        <is>
          <t>FILIPSTAD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63482-2021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44508</v>
      </c>
      <c r="E185" s="1" t="n">
        <v>46314</v>
      </c>
      <c r="F185" t="inlineStr">
        <is>
          <t>VÄRMLANDS LÄN</t>
        </is>
      </c>
      <c r="G185" t="inlineStr">
        <is>
          <t>FILIPSTAD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46314</v>
      </c>
      <c r="F186" t="inlineStr">
        <is>
          <t>VÄRMLANDS LÄN</t>
        </is>
      </c>
      <c r="G186" t="inlineStr">
        <is>
          <t>FILIPSTAD</t>
        </is>
      </c>
      <c r="H186" t="inlineStr">
        <is>
          <t>Kommuner</t>
        </is>
      </c>
      <c r="I186" t="n">
        <v>17.7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46314</v>
      </c>
      <c r="F187" t="inlineStr">
        <is>
          <t>VÄRMLANDS LÄN</t>
        </is>
      </c>
      <c r="G187" t="inlineStr">
        <is>
          <t>FILIPSTAD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45628</v>
      </c>
      <c r="E188" s="1" t="n">
        <v>46314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46314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46314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45087</v>
      </c>
      <c r="E192" s="1" t="n">
        <v>46314</v>
      </c>
      <c r="F192" t="inlineStr">
        <is>
          <t>VÄRMLANDS LÄN</t>
        </is>
      </c>
      <c r="G192" t="inlineStr">
        <is>
          <t>FILIPSTAD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45088</v>
      </c>
      <c r="E193" s="1" t="n">
        <v>46314</v>
      </c>
      <c r="F193" t="inlineStr">
        <is>
          <t>VÄRMLANDS LÄN</t>
        </is>
      </c>
      <c r="G193" t="inlineStr">
        <is>
          <t>FILIPSTAD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46314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46314</v>
      </c>
      <c r="F195" t="inlineStr">
        <is>
          <t>VÄRMLANDS LÄN</t>
        </is>
      </c>
      <c r="G195" t="inlineStr">
        <is>
          <t>FILIPSTAD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46314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46314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46314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46314</v>
      </c>
      <c r="F199" t="inlineStr">
        <is>
          <t>VÄRMLANDS LÄN</t>
        </is>
      </c>
      <c r="G199" t="inlineStr">
        <is>
          <t>FILIPSTAD</t>
        </is>
      </c>
      <c r="H199" t="inlineStr">
        <is>
          <t>Kyrkan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46314</v>
      </c>
      <c r="F200" t="inlineStr">
        <is>
          <t>VÄRMLANDS LÄN</t>
        </is>
      </c>
      <c r="G200" t="inlineStr">
        <is>
          <t>FILIPSTAD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46314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46314</v>
      </c>
      <c r="F202" t="inlineStr">
        <is>
          <t>VÄRMLANDS LÄN</t>
        </is>
      </c>
      <c r="G202" t="inlineStr">
        <is>
          <t>FILIPSTAD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46314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46314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46314</v>
      </c>
      <c r="F205" t="inlineStr">
        <is>
          <t>VÄRMLANDS LÄN</t>
        </is>
      </c>
      <c r="G205" t="inlineStr">
        <is>
          <t>FILIPSTAD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45093</v>
      </c>
      <c r="E206" s="1" t="n">
        <v>46314</v>
      </c>
      <c r="F206" t="inlineStr">
        <is>
          <t>VÄRMLANDS LÄN</t>
        </is>
      </c>
      <c r="G206" t="inlineStr">
        <is>
          <t>FILIPSTAD</t>
        </is>
      </c>
      <c r="H206" t="inlineStr">
        <is>
          <t>Kommuner</t>
        </is>
      </c>
      <c r="I206" t="n">
        <v>15.4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46314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46314</v>
      </c>
      <c r="F208" t="inlineStr">
        <is>
          <t>VÄRMLANDS LÄN</t>
        </is>
      </c>
      <c r="G208" t="inlineStr">
        <is>
          <t>FILIPSTAD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46314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46314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46314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46314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46314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46314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46314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46314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46314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46314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46314</v>
      </c>
      <c r="F220" t="inlineStr">
        <is>
          <t>VÄRMLANDS LÄN</t>
        </is>
      </c>
      <c r="G220" t="inlineStr">
        <is>
          <t>FILIPSTAD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46314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46314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46314</v>
      </c>
      <c r="F223" t="inlineStr">
        <is>
          <t>VÄRMLANDS LÄN</t>
        </is>
      </c>
      <c r="G223" t="inlineStr">
        <is>
          <t>FILIPSTAD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46314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46314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46314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46314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46314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46314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46314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46314</v>
      </c>
      <c r="F234" t="inlineStr">
        <is>
          <t>VÄRMLANDS LÄN</t>
        </is>
      </c>
      <c r="G234" t="inlineStr">
        <is>
          <t>FILIPSTAD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46314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46314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46314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46314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46314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46314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46314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46314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46314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46314</v>
      </c>
      <c r="F248" t="inlineStr">
        <is>
          <t>VÄRMLANDS LÄN</t>
        </is>
      </c>
      <c r="G248" t="inlineStr">
        <is>
          <t>FILIPSTAD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46314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46314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46314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8.9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36251-2022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44803</v>
      </c>
      <c r="E252" s="1" t="n">
        <v>46314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46167</v>
      </c>
      <c r="E253" s="1" t="n">
        <v>46314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46314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45364</v>
      </c>
      <c r="E255" s="1" t="n">
        <v>46314</v>
      </c>
      <c r="F255" t="inlineStr">
        <is>
          <t>VÄRMLANDS LÄN</t>
        </is>
      </c>
      <c r="G255" t="inlineStr">
        <is>
          <t>FILIPSTAD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45658</v>
      </c>
      <c r="E256" s="1" t="n">
        <v>46314</v>
      </c>
      <c r="F256" t="inlineStr">
        <is>
          <t>VÄRMLANDS LÄN</t>
        </is>
      </c>
      <c r="G256" t="inlineStr">
        <is>
          <t>FILIPSTAD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46314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46314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46314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46314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46169</v>
      </c>
      <c r="E262" s="1" t="n">
        <v>46314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46314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46314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46314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46314</v>
      </c>
      <c r="F266" t="inlineStr">
        <is>
          <t>VÄRMLANDS LÄN</t>
        </is>
      </c>
      <c r="G266" t="inlineStr">
        <is>
          <t>FILIPSTAD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45618</v>
      </c>
      <c r="E267" s="1" t="n">
        <v>46314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46314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45384</v>
      </c>
      <c r="E269" s="1" t="n">
        <v>46314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46169</v>
      </c>
      <c r="E270" s="1" t="n">
        <v>46314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46314</v>
      </c>
      <c r="F271" t="inlineStr">
        <is>
          <t>VÄRMLANDS LÄN</t>
        </is>
      </c>
      <c r="G271" t="inlineStr">
        <is>
          <t>FILIPSTAD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46314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46314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49935-2025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45940</v>
      </c>
      <c r="E274" s="1" t="n">
        <v>46314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46314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46314</v>
      </c>
      <c r="F276" t="inlineStr">
        <is>
          <t>VÄRMLANDS LÄN</t>
        </is>
      </c>
      <c r="G276" t="inlineStr">
        <is>
          <t>FILIPSTAD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61492-2025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46001</v>
      </c>
      <c r="E277" s="1" t="n">
        <v>46314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46314</v>
      </c>
      <c r="F278" t="inlineStr">
        <is>
          <t>VÄRMLANDS LÄN</t>
        </is>
      </c>
      <c r="G278" t="inlineStr">
        <is>
          <t>FILIPSTAD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46314</v>
      </c>
      <c r="F279" t="inlineStr">
        <is>
          <t>VÄRMLANDS LÄN</t>
        </is>
      </c>
      <c r="G279" t="inlineStr">
        <is>
          <t>FILIPSTAD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46314</v>
      </c>
      <c r="F280" t="inlineStr">
        <is>
          <t>VÄRMLANDS LÄN</t>
        </is>
      </c>
      <c r="G280" t="inlineStr">
        <is>
          <t>FILIPSTAD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46314</v>
      </c>
      <c r="F281" t="inlineStr">
        <is>
          <t>VÄRMLANDS LÄN</t>
        </is>
      </c>
      <c r="G281" t="inlineStr">
        <is>
          <t>FILIPSTAD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46001</v>
      </c>
      <c r="E282" s="1" t="n">
        <v>46314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46314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46314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46314</v>
      </c>
      <c r="F285" t="inlineStr">
        <is>
          <t>VÄRMLANDS LÄN</t>
        </is>
      </c>
      <c r="G285" t="inlineStr">
        <is>
          <t>FILIPSTAD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61327-2025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46001</v>
      </c>
      <c r="E286" s="1" t="n">
        <v>46314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46314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46314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46314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46314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46314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61823-2025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46003</v>
      </c>
      <c r="E292" s="1" t="n">
        <v>46314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46314</v>
      </c>
      <c r="F293" t="inlineStr">
        <is>
          <t>VÄRMLANDS LÄN</t>
        </is>
      </c>
      <c r="G293" t="inlineStr">
        <is>
          <t>FILIPSTAD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46314</v>
      </c>
      <c r="F294" t="inlineStr">
        <is>
          <t>VÄRMLANDS LÄN</t>
        </is>
      </c>
      <c r="G294" t="inlineStr">
        <is>
          <t>FILIPSTAD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46314</v>
      </c>
      <c r="F295" t="inlineStr">
        <is>
          <t>VÄRMLANDS LÄN</t>
        </is>
      </c>
      <c r="G295" t="inlineStr">
        <is>
          <t>FILIPSTAD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46002</v>
      </c>
      <c r="E296" s="1" t="n">
        <v>46314</v>
      </c>
      <c r="F296" t="inlineStr">
        <is>
          <t>VÄRMLANDS LÄN</t>
        </is>
      </c>
      <c r="G296" t="inlineStr">
        <is>
          <t>FILIPSTAD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46314</v>
      </c>
      <c r="F297" t="inlineStr">
        <is>
          <t>VÄRMLANDS LÄN</t>
        </is>
      </c>
      <c r="G297" t="inlineStr">
        <is>
          <t>FILIPSTAD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46314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46314</v>
      </c>
      <c r="F299" t="inlineStr">
        <is>
          <t>VÄRMLANDS LÄN</t>
        </is>
      </c>
      <c r="G299" t="inlineStr">
        <is>
          <t>FILIPSTAD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46314</v>
      </c>
      <c r="F302" t="inlineStr">
        <is>
          <t>VÄRMLANDS LÄN</t>
        </is>
      </c>
      <c r="G302" t="inlineStr">
        <is>
          <t>FILIPSTAD</t>
        </is>
      </c>
      <c r="I302" t="n">
        <v>15.5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46004</v>
      </c>
      <c r="E303" s="1" t="n">
        <v>46314</v>
      </c>
      <c r="F303" t="inlineStr">
        <is>
          <t>VÄRMLANDS LÄN</t>
        </is>
      </c>
      <c r="G303" t="inlineStr">
        <is>
          <t>FILIPSTAD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46004</v>
      </c>
      <c r="E304" s="1" t="n">
        <v>46314</v>
      </c>
      <c r="F304" t="inlineStr">
        <is>
          <t>VÄRMLANDS LÄN</t>
        </is>
      </c>
      <c r="G304" t="inlineStr">
        <is>
          <t>FILIPSTAD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46314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46314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46314</v>
      </c>
      <c r="F308" t="inlineStr">
        <is>
          <t>VÄRMLANDS LÄN</t>
        </is>
      </c>
      <c r="G308" t="inlineStr">
        <is>
          <t>FILIPSTAD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46314</v>
      </c>
      <c r="F309" t="inlineStr">
        <is>
          <t>VÄRMLANDS LÄN</t>
        </is>
      </c>
      <c r="G309" t="inlineStr">
        <is>
          <t>FILIPSTAD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46314</v>
      </c>
      <c r="F310" t="inlineStr">
        <is>
          <t>VÄRMLANDS LÄN</t>
        </is>
      </c>
      <c r="G310" t="inlineStr">
        <is>
          <t>FILIPSTAD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46314</v>
      </c>
      <c r="F311" t="inlineStr">
        <is>
          <t>VÄRMLANDS LÄN</t>
        </is>
      </c>
      <c r="G311" t="inlineStr">
        <is>
          <t>FILIPSTAD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46314</v>
      </c>
      <c r="F312" t="inlineStr">
        <is>
          <t>VÄRMLANDS LÄN</t>
        </is>
      </c>
      <c r="G312" t="inlineStr">
        <is>
          <t>FILIPSTAD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70405-2021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46314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44579</v>
      </c>
      <c r="E314" s="1" t="n">
        <v>46314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46314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46314</v>
      </c>
      <c r="F316" t="inlineStr">
        <is>
          <t>VÄRMLANDS LÄN</t>
        </is>
      </c>
      <c r="G316" t="inlineStr">
        <is>
          <t>FILIPSTAD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46314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45986</v>
      </c>
      <c r="E318" s="1" t="n">
        <v>46314</v>
      </c>
      <c r="F318" t="inlineStr">
        <is>
          <t>VÄRMLANDS LÄN</t>
        </is>
      </c>
      <c r="G318" t="inlineStr">
        <is>
          <t>FILIPSTAD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46314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46040</v>
      </c>
      <c r="E322" s="1" t="n">
        <v>46314</v>
      </c>
      <c r="F322" t="inlineStr">
        <is>
          <t>VÄRMLANDS LÄN</t>
        </is>
      </c>
      <c r="G322" t="inlineStr">
        <is>
          <t>FILIPSTAD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45037</v>
      </c>
      <c r="E323" s="1" t="n">
        <v>46314</v>
      </c>
      <c r="F323" t="inlineStr">
        <is>
          <t>VÄRMLANDS LÄN</t>
        </is>
      </c>
      <c r="G323" t="inlineStr">
        <is>
          <t>FILIPSTAD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46314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46314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36827-2022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44805</v>
      </c>
      <c r="E326" s="1" t="n">
        <v>46314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46314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46314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46314</v>
      </c>
      <c r="F329" t="inlineStr">
        <is>
          <t>VÄRMLANDS LÄN</t>
        </is>
      </c>
      <c r="G329" t="inlineStr">
        <is>
          <t>FILIPSTAD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46314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46314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46314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46314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46314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46314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46314</v>
      </c>
      <c r="F337" t="inlineStr">
        <is>
          <t>VÄRMLANDS LÄN</t>
        </is>
      </c>
      <c r="G337" t="inlineStr">
        <is>
          <t>FILIPSTAD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46314</v>
      </c>
      <c r="F338" t="inlineStr">
        <is>
          <t>VÄRMLANDS LÄN</t>
        </is>
      </c>
      <c r="G338" t="inlineStr">
        <is>
          <t>FILIPSTAD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46314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46314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46314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46314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46257-2022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44847</v>
      </c>
      <c r="E343" s="1" t="n">
        <v>46314</v>
      </c>
      <c r="F343" t="inlineStr">
        <is>
          <t>VÄRMLANDS LÄN</t>
        </is>
      </c>
      <c r="G343" t="inlineStr">
        <is>
          <t>FILIPSTAD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45229</v>
      </c>
      <c r="E344" s="1" t="n">
        <v>46314</v>
      </c>
      <c r="F344" t="inlineStr">
        <is>
          <t>VÄRMLANDS LÄN</t>
        </is>
      </c>
      <c r="G344" t="inlineStr">
        <is>
          <t>FILIPSTAD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46064</v>
      </c>
      <c r="E345" s="1" t="n">
        <v>46314</v>
      </c>
      <c r="F345" t="inlineStr">
        <is>
          <t>VÄRMLANDS LÄN</t>
        </is>
      </c>
      <c r="G345" t="inlineStr">
        <is>
          <t>FILIPSTAD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46314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46187</v>
      </c>
      <c r="E347" s="1" t="n">
        <v>46314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46314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45077</v>
      </c>
      <c r="E349" s="1" t="n">
        <v>46314</v>
      </c>
      <c r="F349" t="inlineStr">
        <is>
          <t>VÄRMLANDS LÄN</t>
        </is>
      </c>
      <c r="G349" t="inlineStr">
        <is>
          <t>FILIPSTAD</t>
        </is>
      </c>
      <c r="I349" t="n">
        <v>15.8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44960</v>
      </c>
      <c r="E350" s="1" t="n">
        <v>46314</v>
      </c>
      <c r="F350" t="inlineStr">
        <is>
          <t>VÄRMLANDS LÄN</t>
        </is>
      </c>
      <c r="G350" t="inlineStr">
        <is>
          <t>FILIPSTAD</t>
        </is>
      </c>
      <c r="H350" t="inlineStr">
        <is>
          <t>Kommuner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29473-2024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45484</v>
      </c>
      <c r="E351" s="1" t="n">
        <v>46314</v>
      </c>
      <c r="F351" t="inlineStr">
        <is>
          <t>VÄRMLANDS LÄN</t>
        </is>
      </c>
      <c r="G351" t="inlineStr">
        <is>
          <t>FILIPSTAD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46314</v>
      </c>
      <c r="F352" t="inlineStr">
        <is>
          <t>VÄRMLANDS LÄN</t>
        </is>
      </c>
      <c r="G352" t="inlineStr">
        <is>
          <t>FILIPSTAD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46314</v>
      </c>
      <c r="F353" t="inlineStr">
        <is>
          <t>VÄRMLANDS LÄN</t>
        </is>
      </c>
      <c r="G353" t="inlineStr">
        <is>
          <t>FILIPSTAD</t>
        </is>
      </c>
      <c r="H353" t="inlineStr">
        <is>
          <t>Kommuner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46186</v>
      </c>
      <c r="E355" s="1" t="n">
        <v>46314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46314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45063</v>
      </c>
      <c r="E357" s="1" t="n">
        <v>46314</v>
      </c>
      <c r="F357" t="inlineStr">
        <is>
          <t>VÄRMLANDS LÄN</t>
        </is>
      </c>
      <c r="G357" t="inlineStr">
        <is>
          <t>FILIPSTAD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46314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46314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45463</v>
      </c>
      <c r="E360" s="1" t="n">
        <v>46314</v>
      </c>
      <c r="F360" t="inlineStr">
        <is>
          <t>VÄRMLANDS LÄN</t>
        </is>
      </c>
      <c r="G360" t="inlineStr">
        <is>
          <t>FILIPSTAD</t>
        </is>
      </c>
      <c r="I360" t="n">
        <v>13.2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44579</v>
      </c>
      <c r="E361" s="1" t="n">
        <v>46314</v>
      </c>
      <c r="F361" t="inlineStr">
        <is>
          <t>VÄRMLANDS LÄN</t>
        </is>
      </c>
      <c r="G361" t="inlineStr">
        <is>
          <t>FILIPSTAD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46314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46314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46314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46314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46314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46314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46314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46314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46314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46314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46314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46314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45578</v>
      </c>
      <c r="E376" s="1" t="n">
        <v>46314</v>
      </c>
      <c r="F376" t="inlineStr">
        <is>
          <t>VÄRMLANDS LÄN</t>
        </is>
      </c>
      <c r="G376" t="inlineStr">
        <is>
          <t>FILIPSTAD</t>
        </is>
      </c>
      <c r="I376" t="n">
        <v>27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46314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46314</v>
      </c>
      <c r="F378" t="inlineStr">
        <is>
          <t>VÄRMLANDS LÄN</t>
        </is>
      </c>
      <c r="G378" t="inlineStr">
        <is>
          <t>FILIPSTAD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46314</v>
      </c>
      <c r="F379" t="inlineStr">
        <is>
          <t>VÄRMLANDS LÄN</t>
        </is>
      </c>
      <c r="G379" t="inlineStr">
        <is>
          <t>FILIPSTAD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46314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46314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46314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46314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46314</v>
      </c>
      <c r="F387" t="inlineStr">
        <is>
          <t>VÄRMLANDS LÄN</t>
        </is>
      </c>
      <c r="G387" t="inlineStr">
        <is>
          <t>FILIPSTAD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46314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16040-2026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46108</v>
      </c>
      <c r="E389" s="1" t="n">
        <v>46314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46314</v>
      </c>
      <c r="F390" t="inlineStr">
        <is>
          <t>VÄRMLANDS LÄN</t>
        </is>
      </c>
      <c r="G390" t="inlineStr">
        <is>
          <t>FILIPSTAD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46314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16975-2026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46114</v>
      </c>
      <c r="E392" s="1" t="n">
        <v>46314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46314</v>
      </c>
      <c r="F393" t="inlineStr">
        <is>
          <t>VÄRMLANDS LÄN</t>
        </is>
      </c>
      <c r="G393" t="inlineStr">
        <is>
          <t>FILIPSTAD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46119</v>
      </c>
      <c r="E394" s="1" t="n">
        <v>46314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46314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46314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46314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46314</v>
      </c>
      <c r="F398" t="inlineStr">
        <is>
          <t>VÄRMLANDS LÄN</t>
        </is>
      </c>
      <c r="G398" t="inlineStr">
        <is>
          <t>FILIPSTAD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46314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46314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46314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46314</v>
      </c>
      <c r="F402" t="inlineStr">
        <is>
          <t>VÄRMLANDS LÄN</t>
        </is>
      </c>
      <c r="G402" t="inlineStr">
        <is>
          <t>FILIPSTAD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46314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44887</v>
      </c>
      <c r="E404" s="1" t="n">
        <v>46314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46314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46314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46314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46314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36377-2023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45152</v>
      </c>
      <c r="E409" s="1" t="n">
        <v>46314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46314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46314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46314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18826-2026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46314</v>
      </c>
      <c r="F413" t="inlineStr">
        <is>
          <t>VÄRMLANDS LÄN</t>
        </is>
      </c>
      <c r="G413" t="inlineStr">
        <is>
          <t>FILIPSTAD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46314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46314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46314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46314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46314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46314</v>
      </c>
      <c r="F421" t="inlineStr">
        <is>
          <t>VÄRMLANDS LÄN</t>
        </is>
      </c>
      <c r="G421" t="inlineStr">
        <is>
          <t>FILIPSTAD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45014</v>
      </c>
      <c r="E422" s="1" t="n">
        <v>46314</v>
      </c>
      <c r="F422" t="inlineStr">
        <is>
          <t>VÄRMLANDS LÄN</t>
        </is>
      </c>
      <c r="G422" t="inlineStr">
        <is>
          <t>FILIPSTAD</t>
        </is>
      </c>
      <c r="H422" t="inlineStr">
        <is>
          <t>Kyrkan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44957</v>
      </c>
      <c r="E423" s="1" t="n">
        <v>46314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46314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46314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46314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46314</v>
      </c>
      <c r="F427" t="inlineStr">
        <is>
          <t>VÄRMLANDS LÄN</t>
        </is>
      </c>
      <c r="G427" t="inlineStr">
        <is>
          <t>FILIPSTAD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46314</v>
      </c>
      <c r="F428" t="inlineStr">
        <is>
          <t>VÄRMLANDS LÄN</t>
        </is>
      </c>
      <c r="G428" t="inlineStr">
        <is>
          <t>FILIPSTAD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46314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46314</v>
      </c>
      <c r="F431" t="inlineStr">
        <is>
          <t>VÄRMLANDS LÄN</t>
        </is>
      </c>
      <c r="G431" t="inlineStr">
        <is>
          <t>FILIPSTAD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46314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46314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46314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46314</v>
      </c>
      <c r="F435" t="inlineStr">
        <is>
          <t>VÄRMLANDS LÄN</t>
        </is>
      </c>
      <c r="G435" t="inlineStr">
        <is>
          <t>FILIPSTAD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46314</v>
      </c>
      <c r="F436" t="inlineStr">
        <is>
          <t>VÄRMLANDS LÄN</t>
        </is>
      </c>
      <c r="G436" t="inlineStr">
        <is>
          <t>FILIPSTAD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45186</v>
      </c>
      <c r="E437" s="1" t="n">
        <v>46314</v>
      </c>
      <c r="F437" t="inlineStr">
        <is>
          <t>VÄRMLANDS LÄN</t>
        </is>
      </c>
      <c r="G437" t="inlineStr">
        <is>
          <t>FILIPSTAD</t>
        </is>
      </c>
      <c r="I437" t="n">
        <v>15.3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46314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46314</v>
      </c>
      <c r="F439" t="inlineStr">
        <is>
          <t>VÄRMLANDS LÄN</t>
        </is>
      </c>
      <c r="G439" t="inlineStr">
        <is>
          <t>FILIPSTAD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43633-2024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46314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46314</v>
      </c>
      <c r="F441" t="inlineStr">
        <is>
          <t>VÄRMLANDS LÄN</t>
        </is>
      </c>
      <c r="G441" t="inlineStr">
        <is>
          <t>FILIPSTAD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46314</v>
      </c>
      <c r="F442" t="inlineStr">
        <is>
          <t>VÄRMLANDS LÄN</t>
        </is>
      </c>
      <c r="G442" t="inlineStr">
        <is>
          <t>FILIPSTAD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46680-2024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46314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46314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44691</v>
      </c>
      <c r="E445" s="1" t="n">
        <v>46314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45096</v>
      </c>
      <c r="E446" s="1" t="n">
        <v>46314</v>
      </c>
      <c r="F446" t="inlineStr">
        <is>
          <t>VÄRMLANDS LÄN</t>
        </is>
      </c>
      <c r="G446" t="inlineStr">
        <is>
          <t>FILIPSTAD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46314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46314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45655</v>
      </c>
      <c r="E449" s="1" t="n">
        <v>46314</v>
      </c>
      <c r="F449" t="inlineStr">
        <is>
          <t>VÄRMLANDS LÄN</t>
        </is>
      </c>
      <c r="G449" t="inlineStr">
        <is>
          <t>FILIPSTAD</t>
        </is>
      </c>
      <c r="I449" t="n">
        <v>26.5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62014-2024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45655</v>
      </c>
      <c r="E450" s="1" t="n">
        <v>46314</v>
      </c>
      <c r="F450" t="inlineStr">
        <is>
          <t>VÄRMLANDS LÄN</t>
        </is>
      </c>
      <c r="G450" t="inlineStr">
        <is>
          <t>FILIPSTAD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46314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1170-2023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44935</v>
      </c>
      <c r="E452" s="1" t="n">
        <v>46314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46314</v>
      </c>
      <c r="F453" t="inlineStr">
        <is>
          <t>VÄRMLANDS LÄN</t>
        </is>
      </c>
      <c r="G453" t="inlineStr">
        <is>
          <t>FILIPSTAD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46223</v>
      </c>
      <c r="E454" s="1" t="n">
        <v>46314</v>
      </c>
      <c r="F454" t="inlineStr">
        <is>
          <t>VÄRMLANDS LÄN</t>
        </is>
      </c>
      <c r="G454" t="inlineStr">
        <is>
          <t>FILIPSTAD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31537-2026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46223</v>
      </c>
      <c r="E455" s="1" t="n">
        <v>46314</v>
      </c>
      <c r="F455" t="inlineStr">
        <is>
          <t>VÄRMLANDS LÄN</t>
        </is>
      </c>
      <c r="G455" t="inlineStr">
        <is>
          <t>FILIPSTAD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46219</v>
      </c>
      <c r="E456" s="1" t="n">
        <v>46314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46225</v>
      </c>
      <c r="E457" s="1" t="n">
        <v>46314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46314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9.9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46226</v>
      </c>
      <c r="E459" s="1" t="n">
        <v>46314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46226</v>
      </c>
      <c r="E460" s="1" t="n">
        <v>46314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46314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46314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46314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46314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46314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46314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46314</v>
      </c>
      <c r="F467" t="inlineStr">
        <is>
          <t>VÄRMLANDS LÄN</t>
        </is>
      </c>
      <c r="G467" t="inlineStr">
        <is>
          <t>FILIPSTAD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46314</v>
      </c>
      <c r="F468" t="inlineStr">
        <is>
          <t>VÄRMLANDS LÄN</t>
        </is>
      </c>
      <c r="G468" t="inlineStr">
        <is>
          <t>FILIPSTAD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46314</v>
      </c>
      <c r="F469" t="inlineStr">
        <is>
          <t>VÄRMLANDS LÄN</t>
        </is>
      </c>
      <c r="G469" t="inlineStr">
        <is>
          <t>FILIPSTAD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46186</v>
      </c>
      <c r="E470" s="1" t="n">
        <v>46314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46232</v>
      </c>
      <c r="E471" s="1" t="n">
        <v>46314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45184</v>
      </c>
      <c r="E472" s="1" t="n">
        <v>46314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46314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46231</v>
      </c>
      <c r="E474" s="1" t="n">
        <v>46314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46314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46232</v>
      </c>
      <c r="E476" s="1" t="n">
        <v>46314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45124</v>
      </c>
      <c r="E477" s="1" t="n">
        <v>46314</v>
      </c>
      <c r="F477" t="inlineStr">
        <is>
          <t>VÄRMLANDS LÄN</t>
        </is>
      </c>
      <c r="G477" t="inlineStr">
        <is>
          <t>FILIPSTAD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46314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37519-2026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46276</v>
      </c>
      <c r="E479" s="1" t="n">
        <v>46314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45524</v>
      </c>
      <c r="E480" s="1" t="n">
        <v>46314</v>
      </c>
      <c r="F480" t="inlineStr">
        <is>
          <t>VÄRMLANDS LÄN</t>
        </is>
      </c>
      <c r="G480" t="inlineStr">
        <is>
          <t>FILIPSTAD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46314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46314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46233</v>
      </c>
      <c r="E483" s="1" t="n">
        <v>46314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46314</v>
      </c>
      <c r="F484" t="inlineStr">
        <is>
          <t>VÄRMLANDS LÄN</t>
        </is>
      </c>
      <c r="G484" t="inlineStr">
        <is>
          <t>FILIPSTAD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46314</v>
      </c>
      <c r="F485" t="inlineStr">
        <is>
          <t>VÄRMLANDS LÄN</t>
        </is>
      </c>
      <c r="G485" t="inlineStr">
        <is>
          <t>FILIPSTAD</t>
        </is>
      </c>
      <c r="H485" t="inlineStr">
        <is>
          <t>Kommuner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46314</v>
      </c>
      <c r="F486" t="inlineStr">
        <is>
          <t>VÄRMLANDS LÄN</t>
        </is>
      </c>
      <c r="G486" t="inlineStr">
        <is>
          <t>FILIPSTAD</t>
        </is>
      </c>
      <c r="H486" t="inlineStr">
        <is>
          <t>Kyrkan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46314</v>
      </c>
      <c r="F487" t="inlineStr">
        <is>
          <t>VÄRMLANDS LÄN</t>
        </is>
      </c>
      <c r="G487" t="inlineStr">
        <is>
          <t>FILIPSTAD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46314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46314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45342</v>
      </c>
      <c r="E490" s="1" t="n">
        <v>46314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46314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46314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46282</v>
      </c>
      <c r="E493" s="1" t="n">
        <v>46314</v>
      </c>
      <c r="F493" t="inlineStr">
        <is>
          <t>VÄRMLANDS LÄN</t>
        </is>
      </c>
      <c r="G493" t="inlineStr">
        <is>
          <t>FILIPSTAD</t>
        </is>
      </c>
      <c r="H493" t="inlineStr">
        <is>
          <t>Kyrkan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46314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46314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46314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46314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46283</v>
      </c>
      <c r="E498" s="1" t="n">
        <v>46314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46314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46314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46286</v>
      </c>
      <c r="E502" s="1" t="n">
        <v>46314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46314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46314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43045-2024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45567</v>
      </c>
      <c r="E505" s="1" t="n">
        <v>46314</v>
      </c>
      <c r="F505" t="inlineStr">
        <is>
          <t>VÄRMLANDS LÄN</t>
        </is>
      </c>
      <c r="G505" t="inlineStr">
        <is>
          <t>FILIPSTAD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46314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46314</v>
      </c>
      <c r="F507" t="inlineStr">
        <is>
          <t>VÄRMLANDS LÄN</t>
        </is>
      </c>
      <c r="G507" t="inlineStr">
        <is>
          <t>FILIPSTAD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46314</v>
      </c>
      <c r="F508" t="inlineStr">
        <is>
          <t>VÄRMLANDS LÄN</t>
        </is>
      </c>
      <c r="G508" t="inlineStr">
        <is>
          <t>FILIPSTAD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46314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46314</v>
      </c>
      <c r="F510" t="inlineStr">
        <is>
          <t>VÄRMLANDS LÄN</t>
        </is>
      </c>
      <c r="G510" t="inlineStr">
        <is>
          <t>FILIPSTAD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38664-2026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46314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25376-2023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45088</v>
      </c>
      <c r="E512" s="1" t="n">
        <v>46314</v>
      </c>
      <c r="F512" t="inlineStr">
        <is>
          <t>VÄRMLANDS LÄN</t>
        </is>
      </c>
      <c r="G512" t="inlineStr">
        <is>
          <t>FILIPSTAD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46314</v>
      </c>
      <c r="F513" t="inlineStr">
        <is>
          <t>VÄRMLANDS LÄN</t>
        </is>
      </c>
      <c r="G513" t="inlineStr">
        <is>
          <t>FILIPSTAD</t>
        </is>
      </c>
      <c r="H513" t="inlineStr">
        <is>
          <t>Kyrkan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46314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46314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46314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46314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46314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46314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46314</v>
      </c>
      <c r="F521" t="inlineStr">
        <is>
          <t>VÄRMLANDS LÄN</t>
        </is>
      </c>
      <c r="G521" t="inlineStr">
        <is>
          <t>FILIPSTAD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46290</v>
      </c>
      <c r="E522" s="1" t="n">
        <v>46314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46314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46314</v>
      </c>
      <c r="F524" t="inlineStr">
        <is>
          <t>VÄRMLANDS LÄN</t>
        </is>
      </c>
      <c r="G524" t="inlineStr">
        <is>
          <t>FILIPSTAD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53690-2022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44880</v>
      </c>
      <c r="E525" s="1" t="n">
        <v>46314</v>
      </c>
      <c r="F525" t="inlineStr">
        <is>
          <t>VÄRMLANDS LÄN</t>
        </is>
      </c>
      <c r="G525" t="inlineStr">
        <is>
          <t>FILIPSTAD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45700</v>
      </c>
      <c r="E526" s="1" t="n">
        <v>46314</v>
      </c>
      <c r="F526" t="inlineStr">
        <is>
          <t>VÄRMLANDS LÄN</t>
        </is>
      </c>
      <c r="G526" t="inlineStr">
        <is>
          <t>FILIPSTAD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48040-2023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46314</v>
      </c>
      <c r="F527" t="inlineStr">
        <is>
          <t>VÄRMLANDS LÄN</t>
        </is>
      </c>
      <c r="G527" t="inlineStr">
        <is>
          <t>FILIPSTAD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46314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46314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46314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44872</v>
      </c>
      <c r="E533" s="1" t="n">
        <v>46314</v>
      </c>
      <c r="F533" t="inlineStr">
        <is>
          <t>VÄRMLANDS LÄN</t>
        </is>
      </c>
      <c r="G533" t="inlineStr">
        <is>
          <t>FILIPSTAD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46251</v>
      </c>
      <c r="E534" s="1" t="n">
        <v>46314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45516</v>
      </c>
      <c r="E535" s="1" t="n">
        <v>46314</v>
      </c>
      <c r="F535" t="inlineStr">
        <is>
          <t>VÄRMLANDS LÄN</t>
        </is>
      </c>
      <c r="G535" t="inlineStr">
        <is>
          <t>FILIPSTAD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46314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46314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44809</v>
      </c>
      <c r="E538" s="1" t="n">
        <v>46314</v>
      </c>
      <c r="F538" t="inlineStr">
        <is>
          <t>VÄRMLANDS LÄN</t>
        </is>
      </c>
      <c r="G538" t="inlineStr">
        <is>
          <t>FILIPSTAD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46314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44672</v>
      </c>
      <c r="E540" s="1" t="n">
        <v>46314</v>
      </c>
      <c r="F540" t="inlineStr">
        <is>
          <t>VÄRMLANDS LÄN</t>
        </is>
      </c>
      <c r="G540" t="inlineStr">
        <is>
          <t>FILIPSTAD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46314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46294</v>
      </c>
      <c r="E542" s="1" t="n">
        <v>46314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46314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46314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46314</v>
      </c>
      <c r="F546" t="inlineStr">
        <is>
          <t>VÄRMLANDS LÄN</t>
        </is>
      </c>
      <c r="G546" t="inlineStr">
        <is>
          <t>FILIPSTAD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46314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46314</v>
      </c>
      <c r="F548" t="inlineStr">
        <is>
          <t>VÄRMLANDS LÄN</t>
        </is>
      </c>
      <c r="G548" t="inlineStr">
        <is>
          <t>FILIPSTAD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46213</v>
      </c>
      <c r="E550" s="1" t="n">
        <v>46314</v>
      </c>
      <c r="F550" t="inlineStr">
        <is>
          <t>VÄRMLANDS LÄN</t>
        </is>
      </c>
      <c r="G550" t="inlineStr">
        <is>
          <t>FILIPSTAD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45471</v>
      </c>
      <c r="E552" s="1" t="n">
        <v>46314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45414</v>
      </c>
      <c r="E553" s="1" t="n">
        <v>46314</v>
      </c>
      <c r="F553" t="inlineStr">
        <is>
          <t>VÄRMLANDS LÄN</t>
        </is>
      </c>
      <c r="G553" t="inlineStr">
        <is>
          <t>FILIPSTAD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46314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19.2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47002-2024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45586</v>
      </c>
      <c r="E555" s="1" t="n">
        <v>46314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45495</v>
      </c>
      <c r="E556" s="1" t="n">
        <v>46314</v>
      </c>
      <c r="F556" t="inlineStr">
        <is>
          <t>VÄRMLANDS LÄN</t>
        </is>
      </c>
      <c r="G556" t="inlineStr">
        <is>
          <t>FILIPSTAD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45439</v>
      </c>
      <c r="E557" s="1" t="n">
        <v>46314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46297</v>
      </c>
      <c r="E558" s="1" t="n">
        <v>46314</v>
      </c>
      <c r="F558" t="inlineStr">
        <is>
          <t>VÄRMLANDS LÄN</t>
        </is>
      </c>
      <c r="G558" t="inlineStr">
        <is>
          <t>FILIPSTAD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65167-2021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44515</v>
      </c>
      <c r="E559" s="1" t="n">
        <v>46314</v>
      </c>
      <c r="F559" t="inlineStr">
        <is>
          <t>VÄRMLANDS LÄN</t>
        </is>
      </c>
      <c r="G559" t="inlineStr">
        <is>
          <t>FILIPSTAD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46314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45530</v>
      </c>
      <c r="E561" s="1" t="n">
        <v>46314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46314</v>
      </c>
      <c r="F562" t="inlineStr">
        <is>
          <t>VÄRMLANDS LÄN</t>
        </is>
      </c>
      <c r="G562" t="inlineStr">
        <is>
          <t>FILIPSTAD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45593</v>
      </c>
      <c r="E563" s="1" t="n">
        <v>46314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46259</v>
      </c>
      <c r="E564" s="1" t="n">
        <v>46314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46314</v>
      </c>
      <c r="F565" t="inlineStr">
        <is>
          <t>VÄRMLANDS LÄN</t>
        </is>
      </c>
      <c r="G565" t="inlineStr">
        <is>
          <t>FILIPSTAD</t>
        </is>
      </c>
      <c r="H565" t="inlineStr">
        <is>
          <t>Kyrkan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46314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46314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45793</v>
      </c>
      <c r="E568" s="1" t="n">
        <v>46314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23399-2025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45792</v>
      </c>
      <c r="E569" s="1" t="n">
        <v>46314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46304</v>
      </c>
      <c r="E570" s="1" t="n">
        <v>46314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46261</v>
      </c>
      <c r="E571" s="1" t="n">
        <v>46314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46314</v>
      </c>
      <c r="F572" t="inlineStr">
        <is>
          <t>VÄRMLANDS LÄN</t>
        </is>
      </c>
      <c r="G572" t="inlineStr">
        <is>
          <t>FILIPSTAD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72118-2021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46314</v>
      </c>
      <c r="F573" t="inlineStr">
        <is>
          <t>VÄRMLANDS LÄN</t>
        </is>
      </c>
      <c r="G573" t="inlineStr">
        <is>
          <t>FILIPSTAD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46314</v>
      </c>
      <c r="F574" t="inlineStr">
        <is>
          <t>VÄRMLANDS LÄN</t>
        </is>
      </c>
      <c r="G574" t="inlineStr">
        <is>
          <t>FILIPSTAD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65174-2021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44515</v>
      </c>
      <c r="E575" s="1" t="n">
        <v>46314</v>
      </c>
      <c r="F575" t="inlineStr">
        <is>
          <t>VÄRMLANDS LÄN</t>
        </is>
      </c>
      <c r="G575" t="inlineStr">
        <is>
          <t>FILIPSTAD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46261</v>
      </c>
      <c r="E576" s="1" t="n">
        <v>46314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46314</v>
      </c>
      <c r="F577" t="inlineStr">
        <is>
          <t>VÄRMLANDS LÄN</t>
        </is>
      </c>
      <c r="G577" t="inlineStr">
        <is>
          <t>FILIPSTAD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46314</v>
      </c>
      <c r="F578" t="inlineStr">
        <is>
          <t>VÄRMLANDS LÄN</t>
        </is>
      </c>
      <c r="G578" t="inlineStr">
        <is>
          <t>FILIPSTAD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45931</v>
      </c>
      <c r="E579" s="1" t="n">
        <v>46314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46314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46314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46314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35290-2026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46261</v>
      </c>
      <c r="E583" s="1" t="n">
        <v>46314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15406-2025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46314</v>
      </c>
      <c r="F584" t="inlineStr">
        <is>
          <t>VÄRMLANDS LÄN</t>
        </is>
      </c>
      <c r="G584" t="inlineStr">
        <is>
          <t>FILIPSTAD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46314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44801</v>
      </c>
      <c r="E586" s="1" t="n">
        <v>46314</v>
      </c>
      <c r="F586" t="inlineStr">
        <is>
          <t>VÄRMLANDS LÄN</t>
        </is>
      </c>
      <c r="G586" t="inlineStr">
        <is>
          <t>FILIPSTAD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42123-2026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46304</v>
      </c>
      <c r="E587" s="1" t="n">
        <v>46314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46314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35423-2026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46314</v>
      </c>
      <c r="F589" t="inlineStr">
        <is>
          <t>VÄRMLANDS LÄN</t>
        </is>
      </c>
      <c r="G589" t="inlineStr">
        <is>
          <t>FILIPSTAD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50786-2024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45602</v>
      </c>
      <c r="E590" s="1" t="n">
        <v>46314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47261-2024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45586</v>
      </c>
      <c r="E591" s="1" t="n">
        <v>46314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46314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26116-2025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46314</v>
      </c>
      <c r="F593" t="inlineStr">
        <is>
          <t>VÄRMLANDS LÄN</t>
        </is>
      </c>
      <c r="G593" t="inlineStr">
        <is>
          <t>FILIPSTAD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26123-2025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45805</v>
      </c>
      <c r="E594" s="1" t="n">
        <v>46314</v>
      </c>
      <c r="F594" t="inlineStr">
        <is>
          <t>VÄRMLANDS LÄN</t>
        </is>
      </c>
      <c r="G594" t="inlineStr">
        <is>
          <t>FILIPSTAD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46314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46266</v>
      </c>
      <c r="E596" s="1" t="n">
        <v>46314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46314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46264</v>
      </c>
      <c r="E598" s="1" t="n">
        <v>46314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46266</v>
      </c>
      <c r="E599" s="1" t="n">
        <v>46314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46266</v>
      </c>
      <c r="E600" s="1" t="n">
        <v>46314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46266</v>
      </c>
      <c r="E601" s="1" t="n">
        <v>46314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46264</v>
      </c>
      <c r="E602" s="1" t="n">
        <v>46314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46308</v>
      </c>
      <c r="E603" s="1" t="n">
        <v>46314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46314</v>
      </c>
      <c r="F605" t="inlineStr">
        <is>
          <t>VÄRMLANDS LÄN</t>
        </is>
      </c>
      <c r="G605" t="inlineStr">
        <is>
          <t>FILIPSTAD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26599-2024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45469</v>
      </c>
      <c r="E606" s="1" t="n">
        <v>46314</v>
      </c>
      <c r="F606" t="inlineStr">
        <is>
          <t>VÄRMLANDS LÄN</t>
        </is>
      </c>
      <c r="G606" t="inlineStr">
        <is>
          <t>FILIPSTAD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46269</v>
      </c>
      <c r="E607" s="1" t="n">
        <v>46314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46314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46314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46314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46314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46314</v>
      </c>
      <c r="F612" t="inlineStr">
        <is>
          <t>VÄRMLANDS LÄN</t>
        </is>
      </c>
      <c r="G612" t="inlineStr">
        <is>
          <t>FILIPSTAD</t>
        </is>
      </c>
      <c r="H612" t="inlineStr">
        <is>
          <t>Kyrkan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29660-2025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46314</v>
      </c>
      <c r="F613" t="inlineStr">
        <is>
          <t>VÄRMLANDS LÄN</t>
        </is>
      </c>
      <c r="G613" t="inlineStr">
        <is>
          <t>FILIPSTAD</t>
        </is>
      </c>
      <c r="I613" t="n">
        <v>23.3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46311</v>
      </c>
      <c r="E614" s="1" t="n">
        <v>46314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28.9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46314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45826</v>
      </c>
      <c r="E616" s="1" t="n">
        <v>46314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45827</v>
      </c>
      <c r="E617" s="1" t="n">
        <v>46314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31172-2025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45832</v>
      </c>
      <c r="E618" s="1" t="n">
        <v>46314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32032-2025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45835</v>
      </c>
      <c r="E619" s="1" t="n">
        <v>46314</v>
      </c>
      <c r="F619" t="inlineStr">
        <is>
          <t>VÄRMLANDS LÄN</t>
        </is>
      </c>
      <c r="G619" t="inlineStr">
        <is>
          <t>FILIPSTAD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46314</v>
      </c>
      <c r="F620" t="inlineStr">
        <is>
          <t>VÄRMLANDS LÄN</t>
        </is>
      </c>
      <c r="G620" t="inlineStr">
        <is>
          <t>FILIPSTAD</t>
        </is>
      </c>
      <c r="I620" t="n">
        <v>18.7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45827</v>
      </c>
      <c r="E621" s="1" t="n">
        <v>46314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46314</v>
      </c>
      <c r="F622" t="inlineStr">
        <is>
          <t>VÄRMLANDS LÄN</t>
        </is>
      </c>
      <c r="G622" t="inlineStr">
        <is>
          <t>FILIPSTAD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33407-2025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45841</v>
      </c>
      <c r="E623" s="1" t="n">
        <v>46314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30077-2025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46314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46314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46314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46314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46314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46314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46314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46314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46314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46314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46314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46314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46314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46314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46314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46314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46314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46314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46314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46314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2026-10-19T02:01:10Z</dcterms:created>
  <dcterms:modified xmlns:dcterms="http://purl.org/dc/terms/" xmlns:xsi="http://www.w3.org/2001/XMLSchema-instance" xsi:type="dcterms:W3CDTF">2026-10-19T02:01:10Z</dcterms:modified>
</cp:coreProperties>
</file>