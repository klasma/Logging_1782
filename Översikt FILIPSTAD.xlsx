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46289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46289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46289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46289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46289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A 28915-2026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46199</v>
      </c>
      <c r="E17" s="1" t="n">
        <v>46289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12.3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11</v>
      </c>
      <c r="U17" t="n">
        <v>11</v>
      </c>
      <c r="V17" s="2" t="inlineStr">
        <is>
          <t>Plattlummer
Stjärnstarr
Fläcknycklar</t>
        </is>
      </c>
      <c r="W17">
        <f>HYPERLINK("https://klasma.github.io/Logging_1782/artfynd/A 28915-2026 artfynd.xlsx", "A 28915-2026")</f>
        <v/>
      </c>
      <c r="X17">
        <f>HYPERLINK("https://klasma.github.io/Logging_1782/kartor/A 28915-2026 karta.png", "A 28915-2026")</f>
        <v/>
      </c>
      <c r="Y17">
        <f>HYPERLINK("https://klasma.github.io/Logging_1782/kartor_geotiff/A 28915-2026 georefererad karta.tif", "A 28915-2026")</f>
        <v/>
      </c>
      <c r="AA17">
        <f>HYPERLINK("https://klasma.github.io/Logging_1782/klagomål/A 28915-2026 FSC-klagomål.docx", "A 28915-2026")</f>
        <v/>
      </c>
      <c r="AB17">
        <f>HYPERLINK("https://klasma.github.io/Logging_1782/klagomålsmail/A 28915-2026 FSC-klagomål mail.docx", "A 28915-2026")</f>
        <v/>
      </c>
      <c r="AC17">
        <f>HYPERLINK("https://klasma.github.io/Logging_1782/tillsyn/A 28915-2026 tillsynsbegäran.docx", "A 28915-2026")</f>
        <v/>
      </c>
      <c r="AD17">
        <f>HYPERLINK("https://klasma.github.io/Logging_1782/tillsynsmail/A 28915-2026 tillsynsbegäran mail.docx", "A 28915-2026")</f>
        <v/>
      </c>
    </row>
    <row r="18" ht="15" customHeight="1">
      <c r="A18" t="inlineStr">
        <is>
          <t>A 34684-2026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46289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7.2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Bårdlav
Stuplav
Fläcknycklar</t>
        </is>
      </c>
      <c r="W18">
        <f>HYPERLINK("https://klasma.github.io/Logging_1782/artfynd/A 34684-2026 artfynd.xlsx", "A 34684-2026")</f>
        <v/>
      </c>
      <c r="X18">
        <f>HYPERLINK("https://klasma.github.io/Logging_1782/kartor/A 34684-2026 karta.png", "A 34684-2026")</f>
        <v/>
      </c>
      <c r="Y18">
        <f>HYPERLINK("https://klasma.github.io/Logging_1782/kartor_geotiff/A 34684-2026 georefererad karta.tif", "A 34684-2026")</f>
        <v/>
      </c>
      <c r="AA18">
        <f>HYPERLINK("https://klasma.github.io/Logging_1782/klagomål/A 34684-2026 FSC-klagomål.docx", "A 34684-2026")</f>
        <v/>
      </c>
      <c r="AB18">
        <f>HYPERLINK("https://klasma.github.io/Logging_1782/klagomålsmail/A 34684-2026 FSC-klagomål mail.docx", "A 34684-2026")</f>
        <v/>
      </c>
      <c r="AC18">
        <f>HYPERLINK("https://klasma.github.io/Logging_1782/tillsyn/A 34684-2026 tillsynsbegäran.docx", "A 34684-2026")</f>
        <v/>
      </c>
      <c r="AD18">
        <f>HYPERLINK("https://klasma.github.io/Logging_1782/tillsynsmail/A 34684-2026 tillsynsbegäran mail.docx", "A 34684-2026")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46289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A 37620-2026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46276</v>
      </c>
      <c r="E20" s="1" t="n">
        <v>46289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4.1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Kandelabersvamp
Tretåig hackspett</t>
        </is>
      </c>
      <c r="W20">
        <f>HYPERLINK("https://klasma.github.io/Logging_1782/artfynd/A 37620-2026 artfynd.xlsx", "A 37620-2026")</f>
        <v/>
      </c>
      <c r="X20">
        <f>HYPERLINK("https://klasma.github.io/Logging_1782/kartor/A 37620-2026 karta.png", "A 37620-2026")</f>
        <v/>
      </c>
      <c r="Y20">
        <f>HYPERLINK("https://klasma.github.io/Logging_1782/kartor_geotiff/A 37620-2026 georefererad karta.tif", "A 37620-2026")</f>
        <v/>
      </c>
      <c r="AA20">
        <f>HYPERLINK("https://klasma.github.io/Logging_1782/klagomål/A 37620-2026 FSC-klagomål.docx", "A 37620-2026")</f>
        <v/>
      </c>
      <c r="AB20">
        <f>HYPERLINK("https://klasma.github.io/Logging_1782/klagomålsmail/A 37620-2026 FSC-klagomål mail.docx", "A 37620-2026")</f>
        <v/>
      </c>
      <c r="AC20">
        <f>HYPERLINK("https://klasma.github.io/Logging_1782/tillsyn/A 37620-2026 tillsynsbegäran.docx", "A 37620-2026")</f>
        <v/>
      </c>
      <c r="AD20">
        <f>HYPERLINK("https://klasma.github.io/Logging_1782/tillsynsmail/A 37620-2026 tillsynsbegäran mail.docx", "A 37620-2026")</f>
        <v/>
      </c>
      <c r="AE20">
        <f>HYPERLINK("https://klasma.github.io/Logging_1782/fåglar/A 37620-2026 prioriterade fågelarter.docx", "A 37620-2026")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46289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46289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46289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46289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46289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46289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46289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46289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33583-2026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46289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16.4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Bårdlav
Stuplav</t>
        </is>
      </c>
      <c r="W29">
        <f>HYPERLINK("https://klasma.github.io/Logging_1782/artfynd/A 33583-2026 artfynd.xlsx", "A 33583-2026")</f>
        <v/>
      </c>
      <c r="X29">
        <f>HYPERLINK("https://klasma.github.io/Logging_1782/kartor/A 33583-2026 karta.png", "A 33583-2026")</f>
        <v/>
      </c>
      <c r="Y29">
        <f>HYPERLINK("https://klasma.github.io/Logging_1782/kartor_geotiff/A 33583-2026 georefererad karta.tif", "A 33583-2026")</f>
        <v/>
      </c>
      <c r="AA29">
        <f>HYPERLINK("https://klasma.github.io/Logging_1782/klagomål/A 33583-2026 FSC-klagomål.docx", "A 33583-2026")</f>
        <v/>
      </c>
      <c r="AB29">
        <f>HYPERLINK("https://klasma.github.io/Logging_1782/klagomålsmail/A 33583-2026 FSC-klagomål mail.docx", "A 33583-2026")</f>
        <v/>
      </c>
      <c r="AC29">
        <f>HYPERLINK("https://klasma.github.io/Logging_1782/tillsyn/A 33583-2026 tillsynsbegäran.docx", "A 33583-2026")</f>
        <v/>
      </c>
      <c r="AD29">
        <f>HYPERLINK("https://klasma.github.io/Logging_1782/tillsynsmail/A 33583-2026 tillsynsbegäran mail.docx", "A 33583-2026")</f>
        <v/>
      </c>
    </row>
    <row r="30" ht="15" customHeight="1">
      <c r="A30" t="inlineStr">
        <is>
          <t>A 37534-2026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46276</v>
      </c>
      <c r="E30" s="1" t="n">
        <v>46289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8</v>
      </c>
      <c r="U30" t="n">
        <v>0</v>
      </c>
      <c r="V30" s="2" t="inlineStr">
        <is>
          <t>Garnlav
Spillkråka</t>
        </is>
      </c>
      <c r="W30">
        <f>HYPERLINK("https://klasma.github.io/Logging_1782/artfynd/A 37534-2026 artfynd.xlsx", "A 37534-2026")</f>
        <v/>
      </c>
      <c r="X30">
        <f>HYPERLINK("https://klasma.github.io/Logging_1782/kartor/A 37534-2026 karta.png", "A 37534-2026")</f>
        <v/>
      </c>
      <c r="Y30">
        <f>HYPERLINK("https://klasma.github.io/Logging_1782/kartor_geotiff/A 37534-2026 georefererad karta.tif", "A 37534-2026")</f>
        <v/>
      </c>
      <c r="AA30">
        <f>HYPERLINK("https://klasma.github.io/Logging_1782/klagomål/A 37534-2026 FSC-klagomål.docx", "A 37534-2026")</f>
        <v/>
      </c>
      <c r="AB30">
        <f>HYPERLINK("https://klasma.github.io/Logging_1782/klagomålsmail/A 37534-2026 FSC-klagomål mail.docx", "A 37534-2026")</f>
        <v/>
      </c>
      <c r="AC30">
        <f>HYPERLINK("https://klasma.github.io/Logging_1782/tillsyn/A 37534-2026 tillsynsbegäran.docx", "A 37534-2026")</f>
        <v/>
      </c>
      <c r="AD30">
        <f>HYPERLINK("https://klasma.github.io/Logging_1782/tillsynsmail/A 37534-2026 tillsynsbegäran mail.docx", "A 37534-2026")</f>
        <v/>
      </c>
      <c r="AE30">
        <f>HYPERLINK("https://klasma.github.io/Logging_1782/fåglar/A 37534-2026 prioriterade fågelarter.docx", "A 37534-2026")</f>
        <v/>
      </c>
    </row>
    <row r="31" ht="15" customHeight="1">
      <c r="A31" t="inlineStr">
        <is>
          <t>A 32438-2026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46289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Dubbelnycklar
Ängsnycklar</t>
        </is>
      </c>
      <c r="W31">
        <f>HYPERLINK("https://klasma.github.io/Logging_1782/artfynd/A 32438-2026 artfynd.xlsx", "A 32438-2026")</f>
        <v/>
      </c>
      <c r="X31">
        <f>HYPERLINK("https://klasma.github.io/Logging_1782/kartor/A 32438-2026 karta.png", "A 32438-2026")</f>
        <v/>
      </c>
      <c r="Y31">
        <f>HYPERLINK("https://klasma.github.io/Logging_1782/kartor_geotiff/A 32438-2026 georefererad karta.tif", "A 32438-2026")</f>
        <v/>
      </c>
      <c r="AA31">
        <f>HYPERLINK("https://klasma.github.io/Logging_1782/klagomål/A 32438-2026 FSC-klagomål.docx", "A 32438-2026")</f>
        <v/>
      </c>
      <c r="AB31">
        <f>HYPERLINK("https://klasma.github.io/Logging_1782/klagomålsmail/A 32438-2026 FSC-klagomål mail.docx", "A 32438-2026")</f>
        <v/>
      </c>
      <c r="AC31">
        <f>HYPERLINK("https://klasma.github.io/Logging_1782/tillsyn/A 32438-2026 tillsynsbegäran.docx", "A 32438-2026")</f>
        <v/>
      </c>
      <c r="AD31">
        <f>HYPERLINK("https://klasma.github.io/Logging_1782/tillsynsmail/A 32438-2026 tillsynsbegäran mail.docx", "A 32438-2026")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46289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46289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46289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1346-2025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46289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Fläcknycklar</t>
        </is>
      </c>
      <c r="W35">
        <f>HYPERLINK("https://klasma.github.io/Logging_1782/artfynd/A 1346-2025 artfynd.xlsx", "A 1346-2025")</f>
        <v/>
      </c>
      <c r="X35">
        <f>HYPERLINK("https://klasma.github.io/Logging_1782/kartor/A 1346-2025 karta.png", "A 1346-2025")</f>
        <v/>
      </c>
      <c r="Y35">
        <f>HYPERLINK("https://klasma.github.io/Logging_1782/kartor_geotiff/A 1346-2025 georefererad karta.tif", "A 1346-2025")</f>
        <v/>
      </c>
      <c r="AA35">
        <f>HYPERLINK("https://klasma.github.io/Logging_1782/klagomål/A 1346-2025 FSC-klagomål.docx", "A 1346-2025")</f>
        <v/>
      </c>
      <c r="AB35">
        <f>HYPERLINK("https://klasma.github.io/Logging_1782/klagomålsmail/A 1346-2025 FSC-klagomål mail.docx", "A 1346-2025")</f>
        <v/>
      </c>
      <c r="AC35">
        <f>HYPERLINK("https://klasma.github.io/Logging_1782/tillsyn/A 1346-2025 tillsynsbegäran.docx", "A 1346-2025")</f>
        <v/>
      </c>
      <c r="AD35">
        <f>HYPERLINK("https://klasma.github.io/Logging_1782/tillsynsmail/A 1346-2025 tillsynsbegäran mail.docx", "A 1346-2025")</f>
        <v/>
      </c>
    </row>
    <row r="36" ht="15" customHeight="1">
      <c r="A36" t="inlineStr">
        <is>
          <t>A 46978-2023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45195</v>
      </c>
      <c r="E36" s="1" t="n">
        <v>46289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46978-2023 artfynd.xlsx", "A 46978-2023")</f>
        <v/>
      </c>
      <c r="X36">
        <f>HYPERLINK("https://klasma.github.io/Logging_1782/kartor/A 46978-2023 karta.png", "A 46978-2023")</f>
        <v/>
      </c>
      <c r="Y36">
        <f>HYPERLINK("https://klasma.github.io/Logging_1782/kartor_geotiff/A 46978-2023 georefererad karta.tif", "A 46978-2023")</f>
        <v/>
      </c>
      <c r="AA36">
        <f>HYPERLINK("https://klasma.github.io/Logging_1782/klagomål/A 46978-2023 FSC-klagomål.docx", "A 46978-2023")</f>
        <v/>
      </c>
      <c r="AB36">
        <f>HYPERLINK("https://klasma.github.io/Logging_1782/klagomålsmail/A 46978-2023 FSC-klagomål mail.docx", "A 46978-2023")</f>
        <v/>
      </c>
      <c r="AC36">
        <f>HYPERLINK("https://klasma.github.io/Logging_1782/tillsyn/A 46978-2023 tillsynsbegäran.docx", "A 46978-2023")</f>
        <v/>
      </c>
      <c r="AD36">
        <f>HYPERLINK("https://klasma.github.io/Logging_1782/tillsynsmail/A 46978-2023 tillsynsbegäran mail.docx", "A 46978-2023")</f>
        <v/>
      </c>
    </row>
    <row r="37" ht="15" customHeight="1">
      <c r="A37" t="inlineStr">
        <is>
          <t>A 10138-2024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45364</v>
      </c>
      <c r="E37" s="1" t="n">
        <v>46289</v>
      </c>
      <c r="F37" t="inlineStr">
        <is>
          <t>VÄRMLANDS LÄN</t>
        </is>
      </c>
      <c r="G37" t="inlineStr">
        <is>
          <t>FILIPSTAD</t>
        </is>
      </c>
      <c r="H37" t="inlineStr">
        <is>
          <t>Kommuner</t>
        </is>
      </c>
      <c r="I37" t="n">
        <v>6.8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Purpurknipprot</t>
        </is>
      </c>
      <c r="W37">
        <f>HYPERLINK("https://klasma.github.io/Logging_1782/artfynd/A 10138-2024 artfynd.xlsx", "A 10138-2024")</f>
        <v/>
      </c>
      <c r="X37">
        <f>HYPERLINK("https://klasma.github.io/Logging_1782/kartor/A 10138-2024 karta.png", "A 10138-2024")</f>
        <v/>
      </c>
      <c r="Y37">
        <f>HYPERLINK("https://klasma.github.io/Logging_1782/kartor_geotiff/A 10138-2024 georefererad karta.tif", "A 10138-2024")</f>
        <v/>
      </c>
      <c r="AA37">
        <f>HYPERLINK("https://klasma.github.io/Logging_1782/klagomål/A 10138-2024 FSC-klagomål.docx", "A 10138-2024")</f>
        <v/>
      </c>
      <c r="AB37">
        <f>HYPERLINK("https://klasma.github.io/Logging_1782/klagomålsmail/A 10138-2024 FSC-klagomål mail.docx", "A 10138-2024")</f>
        <v/>
      </c>
      <c r="AC37">
        <f>HYPERLINK("https://klasma.github.io/Logging_1782/tillsyn/A 10138-2024 tillsynsbegäran.docx", "A 10138-2024")</f>
        <v/>
      </c>
      <c r="AD37">
        <f>HYPERLINK("https://klasma.github.io/Logging_1782/tillsynsmail/A 10138-2024 tillsynsbegäran mail.docx", "A 10138-2024")</f>
        <v/>
      </c>
    </row>
    <row r="38" ht="15" customHeight="1">
      <c r="A38" t="inlineStr">
        <is>
          <t>A 18138-2022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46289</v>
      </c>
      <c r="F38" t="inlineStr">
        <is>
          <t>VÄRMLANDS LÄN</t>
        </is>
      </c>
      <c r="G38" t="inlineStr">
        <is>
          <t>FILIPSTAD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18138-2022 artfynd.xlsx", "A 18138-2022")</f>
        <v/>
      </c>
      <c r="X38">
        <f>HYPERLINK("https://klasma.github.io/Logging_1782/kartor/A 18138-2022 karta.png", "A 18138-2022")</f>
        <v/>
      </c>
      <c r="Y38">
        <f>HYPERLINK("https://klasma.github.io/Logging_1782/kartor_geotiff/A 18138-2022 georefererad karta.tif", "A 18138-2022")</f>
        <v/>
      </c>
      <c r="AA38">
        <f>HYPERLINK("https://klasma.github.io/Logging_1782/klagomål/A 18138-2022 FSC-klagomål.docx", "A 18138-2022")</f>
        <v/>
      </c>
      <c r="AB38">
        <f>HYPERLINK("https://klasma.github.io/Logging_1782/klagomålsmail/A 18138-2022 FSC-klagomål mail.docx", "A 18138-2022")</f>
        <v/>
      </c>
      <c r="AC38">
        <f>HYPERLINK("https://klasma.github.io/Logging_1782/tillsyn/A 18138-2022 tillsynsbegäran.docx", "A 18138-2022")</f>
        <v/>
      </c>
      <c r="AD38">
        <f>HYPERLINK("https://klasma.github.io/Logging_1782/tillsynsmail/A 18138-2022 tillsynsbegäran mail.docx", "A 18138-2022")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46289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Purpurknipprot</t>
        </is>
      </c>
      <c r="W39">
        <f>HYPERLINK("https://klasma.github.io/Logging_1782/artfynd/A 11453-2025 artfynd.xlsx", "A 11453-2025")</f>
        <v/>
      </c>
      <c r="X39">
        <f>HYPERLINK("https://klasma.github.io/Logging_1782/kartor/A 11453-2025 karta.png", "A 11453-2025")</f>
        <v/>
      </c>
      <c r="Y39">
        <f>HYPERLINK("https://klasma.github.io/Logging_1782/kartor_geotiff/A 11453-2025 georefererad karta.tif", "A 11453-2025")</f>
        <v/>
      </c>
      <c r="AA39">
        <f>HYPERLINK("https://klasma.github.io/Logging_1782/klagomål/A 11453-2025 FSC-klagomål.docx", "A 11453-2025")</f>
        <v/>
      </c>
      <c r="AB39">
        <f>HYPERLINK("https://klasma.github.io/Logging_1782/klagomålsmail/A 11453-2025 FSC-klagomål mail.docx", "A 11453-2025")</f>
        <v/>
      </c>
      <c r="AC39">
        <f>HYPERLINK("https://klasma.github.io/Logging_1782/tillsyn/A 11453-2025 tillsynsbegäran.docx", "A 11453-2025")</f>
        <v/>
      </c>
      <c r="AD39">
        <f>HYPERLINK("https://klasma.github.io/Logging_1782/tillsynsmail/A 11453-2025 tillsynsbegäran mail.docx", "A 11453-2025")</f>
        <v/>
      </c>
    </row>
    <row r="40" ht="15" customHeight="1">
      <c r="A40" t="inlineStr">
        <is>
          <t>A 38140-2024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46289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HYPERLINK("https://klasma.github.io/Logging_1782/artfynd/A 38140-2024 artfynd.xlsx", "A 38140-2024")</f>
        <v/>
      </c>
      <c r="X40">
        <f>HYPERLINK("https://klasma.github.io/Logging_1782/kartor/A 38140-2024 karta.png", "A 38140-2024")</f>
        <v/>
      </c>
      <c r="Y40">
        <f>HYPERLINK("https://klasma.github.io/Logging_1782/kartor_geotiff/A 38140-2024 georefererad karta.tif", "A 38140-2024")</f>
        <v/>
      </c>
      <c r="AA40">
        <f>HYPERLINK("https://klasma.github.io/Logging_1782/klagomål/A 38140-2024 FSC-klagomål.docx", "A 38140-2024")</f>
        <v/>
      </c>
      <c r="AB40">
        <f>HYPERLINK("https://klasma.github.io/Logging_1782/klagomålsmail/A 38140-2024 FSC-klagomål mail.docx", "A 38140-2024")</f>
        <v/>
      </c>
      <c r="AC40">
        <f>HYPERLINK("https://klasma.github.io/Logging_1782/tillsyn/A 38140-2024 tillsynsbegäran.docx", "A 38140-2024")</f>
        <v/>
      </c>
      <c r="AD40">
        <f>HYPERLINK("https://klasma.github.io/Logging_1782/tillsynsmail/A 38140-2024 tillsynsbegäran mail.docx", "A 38140-2024")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46289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45781-2025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45923</v>
      </c>
      <c r="E42" s="1" t="n">
        <v>46289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Brunklöver</t>
        </is>
      </c>
      <c r="W42">
        <f>HYPERLINK("https://klasma.github.io/Logging_1782/artfynd/A 45781-2025 artfynd.xlsx", "A 45781-2025")</f>
        <v/>
      </c>
      <c r="X42">
        <f>HYPERLINK("https://klasma.github.io/Logging_1782/kartor/A 45781-2025 karta.png", "A 45781-2025")</f>
        <v/>
      </c>
      <c r="Y42">
        <f>HYPERLINK("https://klasma.github.io/Logging_1782/kartor_geotiff/A 45781-2025 georefererad karta.tif", "A 45781-2025")</f>
        <v/>
      </c>
      <c r="AA42">
        <f>HYPERLINK("https://klasma.github.io/Logging_1782/klagomål/A 45781-2025 FSC-klagomål.docx", "A 45781-2025")</f>
        <v/>
      </c>
      <c r="AB42">
        <f>HYPERLINK("https://klasma.github.io/Logging_1782/klagomålsmail/A 45781-2025 FSC-klagomål mail.docx", "A 45781-2025")</f>
        <v/>
      </c>
      <c r="AC42">
        <f>HYPERLINK("https://klasma.github.io/Logging_1782/tillsyn/A 45781-2025 tillsynsbegäran.docx", "A 45781-2025")</f>
        <v/>
      </c>
      <c r="AD42">
        <f>HYPERLINK("https://klasma.github.io/Logging_1782/tillsynsmail/A 45781-2025 tillsynsbegäran mail.docx", "A 45781-2025")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46289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46289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58734-2025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46289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Tretåig hackspett</t>
        </is>
      </c>
      <c r="W45">
        <f>HYPERLINK("https://klasma.github.io/Logging_1782/artfynd/A 58734-2025 artfynd.xlsx", "A 58734-2025")</f>
        <v/>
      </c>
      <c r="X45">
        <f>HYPERLINK("https://klasma.github.io/Logging_1782/kartor/A 58734-2025 karta.png", "A 58734-2025")</f>
        <v/>
      </c>
      <c r="Y45">
        <f>HYPERLINK("https://klasma.github.io/Logging_1782/kartor_geotiff/A 58734-2025 georefererad karta.tif", "A 58734-2025")</f>
        <v/>
      </c>
      <c r="AA45">
        <f>HYPERLINK("https://klasma.github.io/Logging_1782/klagomål/A 58734-2025 FSC-klagomål.docx", "A 58734-2025")</f>
        <v/>
      </c>
      <c r="AB45">
        <f>HYPERLINK("https://klasma.github.io/Logging_1782/klagomålsmail/A 58734-2025 FSC-klagomål mail.docx", "A 58734-2025")</f>
        <v/>
      </c>
      <c r="AC45">
        <f>HYPERLINK("https://klasma.github.io/Logging_1782/tillsyn/A 58734-2025 tillsynsbegäran.docx", "A 58734-2025")</f>
        <v/>
      </c>
      <c r="AD45">
        <f>HYPERLINK("https://klasma.github.io/Logging_1782/tillsynsmail/A 58734-2025 tillsynsbegäran mail.docx", "A 58734-2025")</f>
        <v/>
      </c>
      <c r="AE45">
        <f>HYPERLINK("https://klasma.github.io/Logging_1782/fåglar/A 58734-2025 prioriterade fågelarter.docx", "A 58734-2025")</f>
        <v/>
      </c>
    </row>
    <row r="46" ht="15" customHeight="1">
      <c r="A46" t="inlineStr">
        <is>
          <t>A 30652-2025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46289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HYPERLINK("https://klasma.github.io/Logging_1782/artfynd/A 30652-2025 artfynd.xlsx", "A 30652-2025")</f>
        <v/>
      </c>
      <c r="X46">
        <f>HYPERLINK("https://klasma.github.io/Logging_1782/kartor/A 30652-2025 karta.png", "A 30652-2025")</f>
        <v/>
      </c>
      <c r="Y46">
        <f>HYPERLINK("https://klasma.github.io/Logging_1782/kartor_geotiff/A 30652-2025 georefererad karta.tif", "A 30652-2025")</f>
        <v/>
      </c>
      <c r="AA46">
        <f>HYPERLINK("https://klasma.github.io/Logging_1782/klagomål/A 30652-2025 FSC-klagomål.docx", "A 30652-2025")</f>
        <v/>
      </c>
      <c r="AB46">
        <f>HYPERLINK("https://klasma.github.io/Logging_1782/klagomålsmail/A 30652-2025 FSC-klagomål mail.docx", "A 30652-2025")</f>
        <v/>
      </c>
      <c r="AC46">
        <f>HYPERLINK("https://klasma.github.io/Logging_1782/tillsyn/A 30652-2025 tillsynsbegäran.docx", "A 30652-2025")</f>
        <v/>
      </c>
      <c r="AD46">
        <f>HYPERLINK("https://klasma.github.io/Logging_1782/tillsynsmail/A 30652-2025 tillsynsbegäran mail.docx", "A 30652-2025")</f>
        <v/>
      </c>
      <c r="AE46">
        <f>HYPERLINK("https://klasma.github.io/Logging_1782/fåglar/A 30652-2025 prioriterade fågelarter.docx", "A 30652-2025")</f>
        <v/>
      </c>
    </row>
    <row r="47" ht="15" customHeight="1">
      <c r="A47" t="inlineStr">
        <is>
          <t>A 4560-2025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45687</v>
      </c>
      <c r="E47" s="1" t="n">
        <v>46289</v>
      </c>
      <c r="F47" t="inlineStr">
        <is>
          <t>VÄRMLANDS LÄN</t>
        </is>
      </c>
      <c r="G47" t="inlineStr">
        <is>
          <t>FILIPSTAD</t>
        </is>
      </c>
      <c r="I47" t="n">
        <v>13.6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HYPERLINK("https://klasma.github.io/Logging_1782/artfynd/A 4560-2025 artfynd.xlsx", "A 4560-2025")</f>
        <v/>
      </c>
      <c r="X47">
        <f>HYPERLINK("https://klasma.github.io/Logging_1782/kartor/A 4560-2025 karta.png", "A 4560-2025")</f>
        <v/>
      </c>
      <c r="Y47">
        <f>HYPERLINK("https://klasma.github.io/Logging_1782/kartor_geotiff/A 4560-2025 georefererad karta.tif", "A 4560-2025")</f>
        <v/>
      </c>
      <c r="AA47">
        <f>HYPERLINK("https://klasma.github.io/Logging_1782/klagomål/A 4560-2025 FSC-klagomål.docx", "A 4560-2025")</f>
        <v/>
      </c>
      <c r="AB47">
        <f>HYPERLINK("https://klasma.github.io/Logging_1782/klagomålsmail/A 4560-2025 FSC-klagomål mail.docx", "A 4560-2025")</f>
        <v/>
      </c>
      <c r="AC47">
        <f>HYPERLINK("https://klasma.github.io/Logging_1782/tillsyn/A 4560-2025 tillsynsbegäran.docx", "A 4560-2025")</f>
        <v/>
      </c>
      <c r="AD47">
        <f>HYPERLINK("https://klasma.github.io/Logging_1782/tillsynsmail/A 4560-2025 tillsynsbegäran mail.docx", "A 4560-2025")</f>
        <v/>
      </c>
    </row>
    <row r="48" ht="15" customHeight="1">
      <c r="A48" t="inlineStr">
        <is>
          <t>A 51522-2022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46289</v>
      </c>
      <c r="F48" t="inlineStr">
        <is>
          <t>VÄRMLANDS LÄN</t>
        </is>
      </c>
      <c r="G48" t="inlineStr">
        <is>
          <t>FILIPSTAD</t>
        </is>
      </c>
      <c r="I48" t="n">
        <v>4.1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HYPERLINK("https://klasma.github.io/Logging_1782/artfynd/A 51522-2022 artfynd.xlsx", "A 51522-2022")</f>
        <v/>
      </c>
      <c r="X48">
        <f>HYPERLINK("https://klasma.github.io/Logging_1782/kartor/A 51522-2022 karta.png", "A 51522-2022")</f>
        <v/>
      </c>
      <c r="Y48">
        <f>HYPERLINK("https://klasma.github.io/Logging_1782/kartor_geotiff/A 51522-2022 georefererad karta.tif", "A 51522-2022")</f>
        <v/>
      </c>
      <c r="AA48">
        <f>HYPERLINK("https://klasma.github.io/Logging_1782/klagomål/A 51522-2022 FSC-klagomål.docx", "A 51522-2022")</f>
        <v/>
      </c>
      <c r="AB48">
        <f>HYPERLINK("https://klasma.github.io/Logging_1782/klagomålsmail/A 51522-2022 FSC-klagomål mail.docx", "A 51522-2022")</f>
        <v/>
      </c>
      <c r="AC48">
        <f>HYPERLINK("https://klasma.github.io/Logging_1782/tillsyn/A 51522-2022 tillsynsbegäran.docx", "A 51522-2022")</f>
        <v/>
      </c>
      <c r="AD48">
        <f>HYPERLINK("https://klasma.github.io/Logging_1782/tillsynsmail/A 51522-2022 tillsynsbegäran mail.docx", "A 51522-2022")</f>
        <v/>
      </c>
    </row>
    <row r="49" ht="15" customHeight="1">
      <c r="A49" t="inlineStr">
        <is>
          <t>A 50776-2024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46289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15.5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HYPERLINK("https://klasma.github.io/Logging_1782/artfynd/A 50776-2024 artfynd.xlsx", "A 50776-2024")</f>
        <v/>
      </c>
      <c r="X49">
        <f>HYPERLINK("https://klasma.github.io/Logging_1782/kartor/A 50776-2024 karta.png", "A 50776-2024")</f>
        <v/>
      </c>
      <c r="Y49">
        <f>HYPERLINK("https://klasma.github.io/Logging_1782/kartor_geotiff/A 50776-2024 georefererad karta.tif", "A 50776-2024")</f>
        <v/>
      </c>
      <c r="AA49">
        <f>HYPERLINK("https://klasma.github.io/Logging_1782/klagomål/A 50776-2024 FSC-klagomål.docx", "A 50776-2024")</f>
        <v/>
      </c>
      <c r="AB49">
        <f>HYPERLINK("https://klasma.github.io/Logging_1782/klagomålsmail/A 50776-2024 FSC-klagomål mail.docx", "A 50776-2024")</f>
        <v/>
      </c>
      <c r="AC49">
        <f>HYPERLINK("https://klasma.github.io/Logging_1782/tillsyn/A 50776-2024 tillsynsbegäran.docx", "A 50776-2024")</f>
        <v/>
      </c>
      <c r="AD49">
        <f>HYPERLINK("https://klasma.github.io/Logging_1782/tillsynsmail/A 50776-2024 tillsynsbegäran mail.docx", "A 50776-2024")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46289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5992-2023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44959</v>
      </c>
      <c r="E51" s="1" t="n">
        <v>46289</v>
      </c>
      <c r="F51" t="inlineStr">
        <is>
          <t>VÄRMLANDS LÄN</t>
        </is>
      </c>
      <c r="G51" t="inlineStr">
        <is>
          <t>FILIPSTAD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HYPERLINK("https://klasma.github.io/Logging_1782/artfynd/A 5992-2023 artfynd.xlsx", "A 5992-2023")</f>
        <v/>
      </c>
      <c r="X51">
        <f>HYPERLINK("https://klasma.github.io/Logging_1782/kartor/A 5992-2023 karta.png", "A 5992-2023")</f>
        <v/>
      </c>
      <c r="Y51">
        <f>HYPERLINK("https://klasma.github.io/Logging_1782/kartor_geotiff/A 5992-2023 georefererad karta.tif", "A 5992-2023")</f>
        <v/>
      </c>
      <c r="AA51">
        <f>HYPERLINK("https://klasma.github.io/Logging_1782/klagomål/A 5992-2023 FSC-klagomål.docx", "A 5992-2023")</f>
        <v/>
      </c>
      <c r="AB51">
        <f>HYPERLINK("https://klasma.github.io/Logging_1782/klagomålsmail/A 5992-2023 FSC-klagomål mail.docx", "A 5992-2023")</f>
        <v/>
      </c>
      <c r="AC51">
        <f>HYPERLINK("https://klasma.github.io/Logging_1782/tillsyn/A 5992-2023 tillsynsbegäran.docx", "A 5992-2023")</f>
        <v/>
      </c>
      <c r="AD51">
        <f>HYPERLINK("https://klasma.github.io/Logging_1782/tillsynsmail/A 5992-2023 tillsynsbegäran mail.docx", "A 5992-2023")</f>
        <v/>
      </c>
    </row>
    <row r="52" ht="15" customHeight="1">
      <c r="A52" t="inlineStr">
        <is>
          <t>A 25862-2026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46289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Talltaggsvamp</t>
        </is>
      </c>
      <c r="W52">
        <f>HYPERLINK("https://klasma.github.io/Logging_1782/artfynd/A 25862-2026 artfynd.xlsx", "A 25862-2026")</f>
        <v/>
      </c>
      <c r="X52">
        <f>HYPERLINK("https://klasma.github.io/Logging_1782/kartor/A 25862-2026 karta.png", "A 25862-2026")</f>
        <v/>
      </c>
      <c r="Y52">
        <f>HYPERLINK("https://klasma.github.io/Logging_1782/kartor_geotiff/A 25862-2026 georefererad karta.tif", "A 25862-2026")</f>
        <v/>
      </c>
      <c r="AA52">
        <f>HYPERLINK("https://klasma.github.io/Logging_1782/klagomål/A 25862-2026 FSC-klagomål.docx", "A 25862-2026")</f>
        <v/>
      </c>
      <c r="AB52">
        <f>HYPERLINK("https://klasma.github.io/Logging_1782/klagomålsmail/A 25862-2026 FSC-klagomål mail.docx", "A 25862-2026")</f>
        <v/>
      </c>
      <c r="AC52">
        <f>HYPERLINK("https://klasma.github.io/Logging_1782/tillsyn/A 25862-2026 tillsynsbegäran.docx", "A 25862-2026")</f>
        <v/>
      </c>
      <c r="AD52">
        <f>HYPERLINK("https://klasma.github.io/Logging_1782/tillsynsmail/A 25862-2026 tillsynsbegäran mail.docx", "A 25862-2026")</f>
        <v/>
      </c>
    </row>
    <row r="53" ht="15" customHeight="1">
      <c r="A53" t="inlineStr">
        <is>
          <t>A 28989-2026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46289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28989-2026 artfynd.xlsx", "A 28989-2026")</f>
        <v/>
      </c>
      <c r="X53">
        <f>HYPERLINK("https://klasma.github.io/Logging_1782/kartor/A 28989-2026 karta.png", "A 28989-2026")</f>
        <v/>
      </c>
      <c r="Y53">
        <f>HYPERLINK("https://klasma.github.io/Logging_1782/kartor_geotiff/A 28989-2026 georefererad karta.tif", "A 28989-2026")</f>
        <v/>
      </c>
      <c r="AA53">
        <f>HYPERLINK("https://klasma.github.io/Logging_1782/klagomål/A 28989-2026 FSC-klagomål.docx", "A 28989-2026")</f>
        <v/>
      </c>
      <c r="AB53">
        <f>HYPERLINK("https://klasma.github.io/Logging_1782/klagomålsmail/A 28989-2026 FSC-klagomål mail.docx", "A 28989-2026")</f>
        <v/>
      </c>
      <c r="AC53">
        <f>HYPERLINK("https://klasma.github.io/Logging_1782/tillsyn/A 28989-2026 tillsynsbegäran.docx", "A 28989-2026")</f>
        <v/>
      </c>
      <c r="AD53">
        <f>HYPERLINK("https://klasma.github.io/Logging_1782/tillsynsmail/A 28989-2026 tillsynsbegäran mail.docx", "A 28989-2026")</f>
        <v/>
      </c>
    </row>
    <row r="54" ht="15" customHeight="1">
      <c r="A54" t="inlineStr">
        <is>
          <t>A 30988-2026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46213</v>
      </c>
      <c r="E54" s="1" t="n">
        <v>46289</v>
      </c>
      <c r="F54" t="inlineStr">
        <is>
          <t>VÄRMLANDS LÄN</t>
        </is>
      </c>
      <c r="G54" t="inlineStr">
        <is>
          <t>FILIPSTAD</t>
        </is>
      </c>
      <c r="I54" t="n">
        <v>2.4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Skuggblåslav</t>
        </is>
      </c>
      <c r="W54">
        <f>HYPERLINK("https://klasma.github.io/Logging_1782/artfynd/A 30988-2026 artfynd.xlsx", "A 30988-2026")</f>
        <v/>
      </c>
      <c r="X54">
        <f>HYPERLINK("https://klasma.github.io/Logging_1782/kartor/A 30988-2026 karta.png", "A 30988-2026")</f>
        <v/>
      </c>
      <c r="Y54">
        <f>HYPERLINK("https://klasma.github.io/Logging_1782/kartor_geotiff/A 30988-2026 georefererad karta.tif", "A 30988-2026")</f>
        <v/>
      </c>
      <c r="AA54">
        <f>HYPERLINK("https://klasma.github.io/Logging_1782/klagomål/A 30988-2026 FSC-klagomål.docx", "A 30988-2026")</f>
        <v/>
      </c>
      <c r="AB54">
        <f>HYPERLINK("https://klasma.github.io/Logging_1782/klagomålsmail/A 30988-2026 FSC-klagomål mail.docx", "A 30988-2026")</f>
        <v/>
      </c>
      <c r="AC54">
        <f>HYPERLINK("https://klasma.github.io/Logging_1782/tillsyn/A 30988-2026 tillsynsbegäran.docx", "A 30988-2026")</f>
        <v/>
      </c>
      <c r="AD54">
        <f>HYPERLINK("https://klasma.github.io/Logging_1782/tillsynsmail/A 30988-2026 tillsynsbegäran mail.docx", "A 30988-2026")</f>
        <v/>
      </c>
    </row>
    <row r="55" ht="15" customHeight="1">
      <c r="A55" t="inlineStr">
        <is>
          <t>A 31257-2026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46218</v>
      </c>
      <c r="E55" s="1" t="n">
        <v>46289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10.2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Gräsull</t>
        </is>
      </c>
      <c r="W55">
        <f>HYPERLINK("https://klasma.github.io/Logging_1782/artfynd/A 31257-2026 artfynd.xlsx", "A 31257-2026")</f>
        <v/>
      </c>
      <c r="X55">
        <f>HYPERLINK("https://klasma.github.io/Logging_1782/kartor/A 31257-2026 karta.png", "A 31257-2026")</f>
        <v/>
      </c>
      <c r="Y55">
        <f>HYPERLINK("https://klasma.github.io/Logging_1782/kartor_geotiff/A 31257-2026 georefererad karta.tif", "A 31257-2026")</f>
        <v/>
      </c>
      <c r="AA55">
        <f>HYPERLINK("https://klasma.github.io/Logging_1782/klagomål/A 31257-2026 FSC-klagomål.docx", "A 31257-2026")</f>
        <v/>
      </c>
      <c r="AB55">
        <f>HYPERLINK("https://klasma.github.io/Logging_1782/klagomålsmail/A 31257-2026 FSC-klagomål mail.docx", "A 31257-2026")</f>
        <v/>
      </c>
      <c r="AC55">
        <f>HYPERLINK("https://klasma.github.io/Logging_1782/tillsyn/A 31257-2026 tillsynsbegäran.docx", "A 31257-2026")</f>
        <v/>
      </c>
      <c r="AD55">
        <f>HYPERLINK("https://klasma.github.io/Logging_1782/tillsynsmail/A 31257-2026 tillsynsbegäran mail.docx", "A 31257-2026")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46289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46289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46289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46289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46289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46289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46289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46289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46289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46289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46289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46289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46289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46289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46289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46289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46289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46289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46289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45569</v>
      </c>
      <c r="E78" s="1" t="n">
        <v>46289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46289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46289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45586</v>
      </c>
      <c r="E81" s="1" t="n">
        <v>46289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22866-2023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45072</v>
      </c>
      <c r="E82" s="1" t="n">
        <v>46289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29473-2024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45484</v>
      </c>
      <c r="E83" s="1" t="n">
        <v>46289</v>
      </c>
      <c r="F83" t="inlineStr">
        <is>
          <t>VÄRMLANDS LÄN</t>
        </is>
      </c>
      <c r="G83" t="inlineStr">
        <is>
          <t>FILIPSTAD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46289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46289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46289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46289</v>
      </c>
      <c r="F87" t="inlineStr">
        <is>
          <t>VÄRMLANDS LÄN</t>
        </is>
      </c>
      <c r="G87" t="inlineStr">
        <is>
          <t>FILIPSTAD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46289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46289</v>
      </c>
      <c r="F89" t="inlineStr">
        <is>
          <t>VÄRMLANDS LÄN</t>
        </is>
      </c>
      <c r="G89" t="inlineStr">
        <is>
          <t>FILIPSTAD</t>
        </is>
      </c>
      <c r="H89" t="inlineStr">
        <is>
          <t>Kyrkan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46289</v>
      </c>
      <c r="F90" t="inlineStr">
        <is>
          <t>VÄRMLANDS LÄN</t>
        </is>
      </c>
      <c r="G90" t="inlineStr">
        <is>
          <t>FILIPSTAD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46289</v>
      </c>
      <c r="F91" t="inlineStr">
        <is>
          <t>VÄRMLANDS LÄN</t>
        </is>
      </c>
      <c r="G91" t="inlineStr">
        <is>
          <t>FILIPSTAD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46289</v>
      </c>
      <c r="F92" t="inlineStr">
        <is>
          <t>VÄRMLANDS LÄN</t>
        </is>
      </c>
      <c r="G92" t="inlineStr">
        <is>
          <t>FILIPSTAD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46289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46289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46289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46289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46289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46289</v>
      </c>
      <c r="F98" t="inlineStr">
        <is>
          <t>VÄRMLANDS LÄN</t>
        </is>
      </c>
      <c r="G98" t="inlineStr">
        <is>
          <t>FILIPSTAD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46289</v>
      </c>
      <c r="F99" t="inlineStr">
        <is>
          <t>VÄRMLANDS LÄN</t>
        </is>
      </c>
      <c r="G99" t="inlineStr">
        <is>
          <t>FILIPSTAD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45792</v>
      </c>
      <c r="E100" s="1" t="n">
        <v>46289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46289</v>
      </c>
      <c r="F101" t="inlineStr">
        <is>
          <t>VÄRMLANDS LÄN</t>
        </is>
      </c>
      <c r="G101" t="inlineStr">
        <is>
          <t>FILIPSTAD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46289</v>
      </c>
      <c r="F102" t="inlineStr">
        <is>
          <t>VÄRMLANDS LÄN</t>
        </is>
      </c>
      <c r="G102" t="inlineStr">
        <is>
          <t>FILIPSTAD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46289</v>
      </c>
      <c r="F103" t="inlineStr">
        <is>
          <t>VÄRMLANDS LÄN</t>
        </is>
      </c>
      <c r="G103" t="inlineStr">
        <is>
          <t>FILIPSTAD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46289</v>
      </c>
      <c r="F104" t="inlineStr">
        <is>
          <t>VÄRMLANDS LÄN</t>
        </is>
      </c>
      <c r="G104" t="inlineStr">
        <is>
          <t>FILIPSTAD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46289</v>
      </c>
      <c r="F105" t="inlineStr">
        <is>
          <t>VÄRMLANDS LÄN</t>
        </is>
      </c>
      <c r="G105" t="inlineStr">
        <is>
          <t>FILIPSTAD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45439</v>
      </c>
      <c r="E106" s="1" t="n">
        <v>46289</v>
      </c>
      <c r="F106" t="inlineStr">
        <is>
          <t>VÄRMLANDS LÄN</t>
        </is>
      </c>
      <c r="G106" t="inlineStr">
        <is>
          <t>FILIPSTAD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46289</v>
      </c>
      <c r="F107" t="inlineStr">
        <is>
          <t>VÄRMLANDS LÄN</t>
        </is>
      </c>
      <c r="G107" t="inlineStr">
        <is>
          <t>FILIPSTAD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46289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46289</v>
      </c>
      <c r="F109" t="inlineStr">
        <is>
          <t>VÄRMLANDS LÄN</t>
        </is>
      </c>
      <c r="G109" t="inlineStr">
        <is>
          <t>FILIPSTAD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45202</v>
      </c>
      <c r="E110" s="1" t="n">
        <v>46289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45391</v>
      </c>
      <c r="E111" s="1" t="n">
        <v>46289</v>
      </c>
      <c r="F111" t="inlineStr">
        <is>
          <t>VÄRMLANDS LÄN</t>
        </is>
      </c>
      <c r="G111" t="inlineStr">
        <is>
          <t>FILIPSTAD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23382-2024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45453</v>
      </c>
      <c r="E112" s="1" t="n">
        <v>46289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46289</v>
      </c>
      <c r="F113" t="inlineStr">
        <is>
          <t>VÄRMLANDS LÄN</t>
        </is>
      </c>
      <c r="G113" t="inlineStr">
        <is>
          <t>FILIPSTAD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46289</v>
      </c>
      <c r="F114" t="inlineStr">
        <is>
          <t>VÄRMLANDS LÄN</t>
        </is>
      </c>
      <c r="G114" t="inlineStr">
        <is>
          <t>FILIPSTAD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46289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46289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45014</v>
      </c>
      <c r="E117" s="1" t="n">
        <v>46289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45427</v>
      </c>
      <c r="E118" s="1" t="n">
        <v>46289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45088</v>
      </c>
      <c r="E119" s="1" t="n">
        <v>46289</v>
      </c>
      <c r="F119" t="inlineStr">
        <is>
          <t>VÄRMLANDS LÄN</t>
        </is>
      </c>
      <c r="G119" t="inlineStr">
        <is>
          <t>FILIPSTAD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45793</v>
      </c>
      <c r="E120" s="1" t="n">
        <v>46289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46289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45223</v>
      </c>
      <c r="E122" s="1" t="n">
        <v>46289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19351-2025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46289</v>
      </c>
      <c r="F123" t="inlineStr">
        <is>
          <t>VÄRMLANDS LÄN</t>
        </is>
      </c>
      <c r="G123" t="inlineStr">
        <is>
          <t>FILIPSTAD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46289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46289</v>
      </c>
      <c r="F125" t="inlineStr">
        <is>
          <t>VÄRMLANDS LÄN</t>
        </is>
      </c>
      <c r="G125" t="inlineStr">
        <is>
          <t>FILIPSTAD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65174-2021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46289</v>
      </c>
      <c r="F126" t="inlineStr">
        <is>
          <t>VÄRMLANDS LÄN</t>
        </is>
      </c>
      <c r="G126" t="inlineStr">
        <is>
          <t>FILIPSTAD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46289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45384</v>
      </c>
      <c r="E128" s="1" t="n">
        <v>46289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46289</v>
      </c>
      <c r="F129" t="inlineStr">
        <is>
          <t>VÄRMLANDS LÄN</t>
        </is>
      </c>
      <c r="G129" t="inlineStr">
        <is>
          <t>FILIPSTAD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45088</v>
      </c>
      <c r="E130" s="1" t="n">
        <v>46289</v>
      </c>
      <c r="F130" t="inlineStr">
        <is>
          <t>VÄRMLANDS LÄN</t>
        </is>
      </c>
      <c r="G130" t="inlineStr">
        <is>
          <t>FILIPSTAD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46289</v>
      </c>
      <c r="F131" t="inlineStr">
        <is>
          <t>VÄRMLANDS LÄN</t>
        </is>
      </c>
      <c r="G131" t="inlineStr">
        <is>
          <t>FILIPSTAD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46289</v>
      </c>
      <c r="F132" t="inlineStr">
        <is>
          <t>VÄRMLANDS LÄN</t>
        </is>
      </c>
      <c r="G132" t="inlineStr">
        <is>
          <t>FILIPSTAD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44801</v>
      </c>
      <c r="E133" s="1" t="n">
        <v>46289</v>
      </c>
      <c r="F133" t="inlineStr">
        <is>
          <t>VÄRMLANDS LÄN</t>
        </is>
      </c>
      <c r="G133" t="inlineStr">
        <is>
          <t>FILIPSTAD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46289</v>
      </c>
      <c r="F134" t="inlineStr">
        <is>
          <t>VÄRMLANDS LÄN</t>
        </is>
      </c>
      <c r="G134" t="inlineStr">
        <is>
          <t>FILIPSTAD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46289</v>
      </c>
      <c r="F135" t="inlineStr">
        <is>
          <t>VÄRMLANDS LÄN</t>
        </is>
      </c>
      <c r="G135" t="inlineStr">
        <is>
          <t>FILIPSTAD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46289</v>
      </c>
      <c r="F136" t="inlineStr">
        <is>
          <t>VÄRMLANDS LÄN</t>
        </is>
      </c>
      <c r="G136" t="inlineStr">
        <is>
          <t>FILIPSTAD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46289</v>
      </c>
      <c r="F137" t="inlineStr">
        <is>
          <t>VÄRMLANDS LÄN</t>
        </is>
      </c>
      <c r="G137" t="inlineStr">
        <is>
          <t>FILIPSTAD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46289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45463</v>
      </c>
      <c r="E139" s="1" t="n">
        <v>46289</v>
      </c>
      <c r="F139" t="inlineStr">
        <is>
          <t>VÄRMLANDS LÄN</t>
        </is>
      </c>
      <c r="G139" t="inlineStr">
        <is>
          <t>FILIPSTAD</t>
        </is>
      </c>
      <c r="I139" t="n">
        <v>13.2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41718-2025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45902</v>
      </c>
      <c r="E140" s="1" t="n">
        <v>46289</v>
      </c>
      <c r="F140" t="inlineStr">
        <is>
          <t>VÄRMLANDS LÄN</t>
        </is>
      </c>
      <c r="G140" t="inlineStr">
        <is>
          <t>FILIPSTAD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45106</v>
      </c>
      <c r="E141" s="1" t="n">
        <v>46289</v>
      </c>
      <c r="F141" t="inlineStr">
        <is>
          <t>VÄRMLANDS LÄN</t>
        </is>
      </c>
      <c r="G141" t="inlineStr">
        <is>
          <t>FILIPSTAD</t>
        </is>
      </c>
      <c r="H141" t="inlineStr">
        <is>
          <t>Kyrkan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46289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46289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45741</v>
      </c>
      <c r="E144" s="1" t="n">
        <v>46289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46289</v>
      </c>
      <c r="F145" t="inlineStr">
        <is>
          <t>VÄRMLANDS LÄN</t>
        </is>
      </c>
      <c r="G145" t="inlineStr">
        <is>
          <t>FILIPSTAD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45120</v>
      </c>
      <c r="E146" s="1" t="n">
        <v>46289</v>
      </c>
      <c r="F146" t="inlineStr">
        <is>
          <t>VÄRMLANDS LÄN</t>
        </is>
      </c>
      <c r="G146" t="inlineStr">
        <is>
          <t>FILIPSTAD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46289</v>
      </c>
      <c r="F147" t="inlineStr">
        <is>
          <t>VÄRMLANDS LÄN</t>
        </is>
      </c>
      <c r="G147" t="inlineStr">
        <is>
          <t>FILIPSTAD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46289</v>
      </c>
      <c r="F148" t="inlineStr">
        <is>
          <t>VÄRMLANDS LÄN</t>
        </is>
      </c>
      <c r="G148" t="inlineStr">
        <is>
          <t>FILIPSTAD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46289</v>
      </c>
      <c r="F149" t="inlineStr">
        <is>
          <t>VÄRMLANDS LÄN</t>
        </is>
      </c>
      <c r="G149" t="inlineStr">
        <is>
          <t>FILIPSTAD</t>
        </is>
      </c>
      <c r="H149" t="inlineStr">
        <is>
          <t>Kommuner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46289</v>
      </c>
      <c r="F150" t="inlineStr">
        <is>
          <t>VÄRMLANDS LÄN</t>
        </is>
      </c>
      <c r="G150" t="inlineStr">
        <is>
          <t>FILIPSTAD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44957</v>
      </c>
      <c r="E151" s="1" t="n">
        <v>46289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14275-2024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46289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9270-2023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44980</v>
      </c>
      <c r="E153" s="1" t="n">
        <v>46289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46289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45393</v>
      </c>
      <c r="E155" s="1" t="n">
        <v>46289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46289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45114</v>
      </c>
      <c r="E157" s="1" t="n">
        <v>46289</v>
      </c>
      <c r="F157" t="inlineStr">
        <is>
          <t>VÄRMLANDS LÄN</t>
        </is>
      </c>
      <c r="G157" t="inlineStr">
        <is>
          <t>FILIPSTAD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45567</v>
      </c>
      <c r="E158" s="1" t="n">
        <v>46289</v>
      </c>
      <c r="F158" t="inlineStr">
        <is>
          <t>VÄRMLANDS LÄN</t>
        </is>
      </c>
      <c r="G158" t="inlineStr">
        <is>
          <t>FILIPSTAD</t>
        </is>
      </c>
      <c r="H158" t="inlineStr">
        <is>
          <t>Kyrkan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46289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46289</v>
      </c>
      <c r="F160" t="inlineStr">
        <is>
          <t>VÄRMLANDS LÄN</t>
        </is>
      </c>
      <c r="G160" t="inlineStr">
        <is>
          <t>FILIPSTAD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46289</v>
      </c>
      <c r="F161" t="inlineStr">
        <is>
          <t>VÄRMLANDS LÄN</t>
        </is>
      </c>
      <c r="G161" t="inlineStr">
        <is>
          <t>FILIPSTAD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45418</v>
      </c>
      <c r="E162" s="1" t="n">
        <v>46289</v>
      </c>
      <c r="F162" t="inlineStr">
        <is>
          <t>VÄRMLANDS LÄN</t>
        </is>
      </c>
      <c r="G162" t="inlineStr">
        <is>
          <t>FILIPSTAD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46289</v>
      </c>
      <c r="F163" t="inlineStr">
        <is>
          <t>VÄRMLANDS LÄN</t>
        </is>
      </c>
      <c r="G163" t="inlineStr">
        <is>
          <t>FILIPSTAD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26123-2025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45805</v>
      </c>
      <c r="E164" s="1" t="n">
        <v>46289</v>
      </c>
      <c r="F164" t="inlineStr">
        <is>
          <t>VÄRMLANDS LÄN</t>
        </is>
      </c>
      <c r="G164" t="inlineStr">
        <is>
          <t>FILIPSTAD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46289</v>
      </c>
      <c r="F165" t="inlineStr">
        <is>
          <t>VÄRMLANDS LÄN</t>
        </is>
      </c>
      <c r="G165" t="inlineStr">
        <is>
          <t>FILIPSTAD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26116-2025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45805</v>
      </c>
      <c r="E166" s="1" t="n">
        <v>46289</v>
      </c>
      <c r="F166" t="inlineStr">
        <is>
          <t>VÄRMLANDS LÄN</t>
        </is>
      </c>
      <c r="G166" t="inlineStr">
        <is>
          <t>FILIPSTAD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46289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44637</v>
      </c>
      <c r="E168" s="1" t="n">
        <v>46289</v>
      </c>
      <c r="F168" t="inlineStr">
        <is>
          <t>VÄRMLANDS LÄN</t>
        </is>
      </c>
      <c r="G168" t="inlineStr">
        <is>
          <t>FILIPSTAD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46289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20966-2024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46289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26843-2024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45470</v>
      </c>
      <c r="E171" s="1" t="n">
        <v>46289</v>
      </c>
      <c r="F171" t="inlineStr">
        <is>
          <t>VÄRMLANDS LÄN</t>
        </is>
      </c>
      <c r="G171" t="inlineStr">
        <is>
          <t>FILIPSTAD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46289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45671</v>
      </c>
      <c r="E173" s="1" t="n">
        <v>46289</v>
      </c>
      <c r="F173" t="inlineStr">
        <is>
          <t>VÄRMLANDS LÄN</t>
        </is>
      </c>
      <c r="G173" t="inlineStr">
        <is>
          <t>FILIPSTAD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46289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46289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45933</v>
      </c>
      <c r="E176" s="1" t="n">
        <v>46289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46289</v>
      </c>
      <c r="F177" t="inlineStr">
        <is>
          <t>VÄRMLANDS LÄN</t>
        </is>
      </c>
      <c r="G177" t="inlineStr">
        <is>
          <t>FILIPSTAD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26599-2024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45469</v>
      </c>
      <c r="E178" s="1" t="n">
        <v>46289</v>
      </c>
      <c r="F178" t="inlineStr">
        <is>
          <t>VÄRMLANDS LÄN</t>
        </is>
      </c>
      <c r="G178" t="inlineStr">
        <is>
          <t>FILIPSTAD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46289</v>
      </c>
      <c r="F179" t="inlineStr">
        <is>
          <t>VÄRMLANDS LÄN</t>
        </is>
      </c>
      <c r="G179" t="inlineStr">
        <is>
          <t>FILIPSTAD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46289</v>
      </c>
      <c r="F180" t="inlineStr">
        <is>
          <t>VÄRMLANDS LÄN</t>
        </is>
      </c>
      <c r="G180" t="inlineStr">
        <is>
          <t>FILIPSTAD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46289</v>
      </c>
      <c r="F181" t="inlineStr">
        <is>
          <t>VÄRMLANDS LÄN</t>
        </is>
      </c>
      <c r="G181" t="inlineStr">
        <is>
          <t>FILIPSTAD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46289</v>
      </c>
      <c r="F182" t="inlineStr">
        <is>
          <t>VÄRMLANDS LÄN</t>
        </is>
      </c>
      <c r="G182" t="inlineStr">
        <is>
          <t>FILIPSTAD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63482-2021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46289</v>
      </c>
      <c r="F183" t="inlineStr">
        <is>
          <t>VÄRMLANDS LÄN</t>
        </is>
      </c>
      <c r="G183" t="inlineStr">
        <is>
          <t>FILIPSTAD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45578</v>
      </c>
      <c r="E184" s="1" t="n">
        <v>46289</v>
      </c>
      <c r="F184" t="inlineStr">
        <is>
          <t>VÄRMLANDS LÄN</t>
        </is>
      </c>
      <c r="G184" t="inlineStr">
        <is>
          <t>FILIPSTAD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46289</v>
      </c>
      <c r="F185" t="inlineStr">
        <is>
          <t>VÄRMLANDS LÄN</t>
        </is>
      </c>
      <c r="G185" t="inlineStr">
        <is>
          <t>FILIPSTAD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45665</v>
      </c>
      <c r="E186" s="1" t="n">
        <v>46289</v>
      </c>
      <c r="F186" t="inlineStr">
        <is>
          <t>VÄRMLANDS LÄN</t>
        </is>
      </c>
      <c r="G186" t="inlineStr">
        <is>
          <t>FILIPSTAD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44536</v>
      </c>
      <c r="E187" s="1" t="n">
        <v>46289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44596</v>
      </c>
      <c r="E188" s="1" t="n">
        <v>46289</v>
      </c>
      <c r="F188" t="inlineStr">
        <is>
          <t>VÄRMLANDS LÄN</t>
        </is>
      </c>
      <c r="G188" t="inlineStr">
        <is>
          <t>FILIPSTAD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69015-2021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46289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46289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45618</v>
      </c>
      <c r="E191" s="1" t="n">
        <v>46289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46289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46289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46289</v>
      </c>
      <c r="F194" t="inlineStr">
        <is>
          <t>VÄRMLANDS LÄN</t>
        </is>
      </c>
      <c r="G194" t="inlineStr">
        <is>
          <t>FILIPSTAD</t>
        </is>
      </c>
      <c r="H194" t="inlineStr">
        <is>
          <t>Kyrkan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44935</v>
      </c>
      <c r="E195" s="1" t="n">
        <v>46289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46289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46289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45658</v>
      </c>
      <c r="E198" s="1" t="n">
        <v>46289</v>
      </c>
      <c r="F198" t="inlineStr">
        <is>
          <t>VÄRMLANDS LÄN</t>
        </is>
      </c>
      <c r="G198" t="inlineStr">
        <is>
          <t>FILIPSTAD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46289</v>
      </c>
      <c r="F199" t="inlineStr">
        <is>
          <t>VÄRMLANDS LÄN</t>
        </is>
      </c>
      <c r="G199" t="inlineStr">
        <is>
          <t>FILIPSTAD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46289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46289</v>
      </c>
      <c r="F201" t="inlineStr">
        <is>
          <t>VÄRMLANDS LÄN</t>
        </is>
      </c>
      <c r="G201" t="inlineStr">
        <is>
          <t>FILIPSTAD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46289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45364</v>
      </c>
      <c r="E203" s="1" t="n">
        <v>46289</v>
      </c>
      <c r="F203" t="inlineStr">
        <is>
          <t>VÄRMLANDS LÄN</t>
        </is>
      </c>
      <c r="G203" t="inlineStr">
        <is>
          <t>FILIPSTAD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46289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46289</v>
      </c>
      <c r="F205" t="inlineStr">
        <is>
          <t>VÄRMLANDS LÄN</t>
        </is>
      </c>
      <c r="G205" t="inlineStr">
        <is>
          <t>FILIPSTAD</t>
        </is>
      </c>
      <c r="H205" t="inlineStr">
        <is>
          <t>Kyrkan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46289</v>
      </c>
      <c r="F206" t="inlineStr">
        <is>
          <t>VÄRMLANDS LÄN</t>
        </is>
      </c>
      <c r="G206" t="inlineStr">
        <is>
          <t>FILIPSTAD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44788</v>
      </c>
      <c r="E207" s="1" t="n">
        <v>46289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46289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46289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46289</v>
      </c>
      <c r="F210" t="inlineStr">
        <is>
          <t>VÄRMLANDS LÄN</t>
        </is>
      </c>
      <c r="G210" t="inlineStr">
        <is>
          <t>FILIPSTAD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46289</v>
      </c>
      <c r="F211" t="inlineStr">
        <is>
          <t>VÄRMLANDS LÄN</t>
        </is>
      </c>
      <c r="G211" t="inlineStr">
        <is>
          <t>FILIPSTAD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46289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46289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46289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46289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29825-2023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45107</v>
      </c>
      <c r="E216" s="1" t="n">
        <v>46289</v>
      </c>
      <c r="F216" t="inlineStr">
        <is>
          <t>VÄRMLANDS LÄN</t>
        </is>
      </c>
      <c r="G216" t="inlineStr">
        <is>
          <t>FILIPSTAD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46289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46289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46289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46289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56184-2025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46289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46289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46289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46289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46289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46289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46289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46289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45686</v>
      </c>
      <c r="E229" s="1" t="n">
        <v>46289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46289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46289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46289</v>
      </c>
      <c r="F232" t="inlineStr">
        <is>
          <t>VÄRMLANDS LÄN</t>
        </is>
      </c>
      <c r="G232" t="inlineStr">
        <is>
          <t>FILIPSTAD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28161-2023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45093</v>
      </c>
      <c r="E233" s="1" t="n">
        <v>46289</v>
      </c>
      <c r="F233" t="inlineStr">
        <is>
          <t>VÄRMLANDS LÄN</t>
        </is>
      </c>
      <c r="G233" t="inlineStr">
        <is>
          <t>FILIPSTAD</t>
        </is>
      </c>
      <c r="H233" t="inlineStr">
        <is>
          <t>Kommuner</t>
        </is>
      </c>
      <c r="I233" t="n">
        <v>15.4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46289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46289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46289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44691</v>
      </c>
      <c r="E237" s="1" t="n">
        <v>46289</v>
      </c>
      <c r="F237" t="inlineStr">
        <is>
          <t>VÄRMLANDS LÄN</t>
        </is>
      </c>
      <c r="G237" t="inlineStr">
        <is>
          <t>FILIPSTAD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46289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46289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46289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44998</v>
      </c>
      <c r="E241" s="1" t="n">
        <v>46289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46289</v>
      </c>
      <c r="F242" t="inlineStr">
        <is>
          <t>VÄRMLANDS LÄN</t>
        </is>
      </c>
      <c r="G242" t="inlineStr">
        <is>
          <t>FILIPSTAD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46289</v>
      </c>
      <c r="F243" t="inlineStr">
        <is>
          <t>VÄRMLANDS LÄN</t>
        </is>
      </c>
      <c r="G243" t="inlineStr">
        <is>
          <t>FILIPSTAD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46289</v>
      </c>
      <c r="F244" t="inlineStr">
        <is>
          <t>VÄRMLANDS LÄN</t>
        </is>
      </c>
      <c r="G244" t="inlineStr">
        <is>
          <t>FILIPSTAD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46289</v>
      </c>
      <c r="F245" t="inlineStr">
        <is>
          <t>VÄRMLANDS LÄN</t>
        </is>
      </c>
      <c r="G245" t="inlineStr">
        <is>
          <t>FILIPSTAD</t>
        </is>
      </c>
      <c r="H245" t="inlineStr">
        <is>
          <t>Kyrkan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46289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46289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46289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46289</v>
      </c>
      <c r="F249" t="inlineStr">
        <is>
          <t>VÄRMLANDS LÄN</t>
        </is>
      </c>
      <c r="G249" t="inlineStr">
        <is>
          <t>FILIPSTAD</t>
        </is>
      </c>
      <c r="I249" t="n">
        <v>23.3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46289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46289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46289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46289</v>
      </c>
      <c r="F253" t="inlineStr">
        <is>
          <t>VÄRMLANDS LÄN</t>
        </is>
      </c>
      <c r="G253" t="inlineStr">
        <is>
          <t>FILIPSTAD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46289</v>
      </c>
      <c r="F254" t="inlineStr">
        <is>
          <t>VÄRMLANDS LÄN</t>
        </is>
      </c>
      <c r="G254" t="inlineStr">
        <is>
          <t>FILIPSTAD</t>
        </is>
      </c>
      <c r="H254" t="inlineStr">
        <is>
          <t>Kyrkan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45989</v>
      </c>
      <c r="E255" s="1" t="n">
        <v>46289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46289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31172-2025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45832</v>
      </c>
      <c r="E257" s="1" t="n">
        <v>46289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46289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46289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46289</v>
      </c>
      <c r="F260" t="inlineStr">
        <is>
          <t>VÄRMLANDS LÄN</t>
        </is>
      </c>
      <c r="G260" t="inlineStr">
        <is>
          <t>FILIPSTAD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45995</v>
      </c>
      <c r="E261" s="1" t="n">
        <v>46289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46289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46289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46289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45186</v>
      </c>
      <c r="E265" s="1" t="n">
        <v>46289</v>
      </c>
      <c r="F265" t="inlineStr">
        <is>
          <t>VÄRMLANDS LÄN</t>
        </is>
      </c>
      <c r="G265" t="inlineStr">
        <is>
          <t>FILIPSTAD</t>
        </is>
      </c>
      <c r="I265" t="n">
        <v>15.3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16103-2025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45750</v>
      </c>
      <c r="E266" s="1" t="n">
        <v>46289</v>
      </c>
      <c r="F266" t="inlineStr">
        <is>
          <t>VÄRMLANDS LÄN</t>
        </is>
      </c>
      <c r="G266" t="inlineStr">
        <is>
          <t>FILIPSTAD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46289</v>
      </c>
      <c r="F267" t="inlineStr">
        <is>
          <t>VÄRMLANDS LÄN</t>
        </is>
      </c>
      <c r="G267" t="inlineStr">
        <is>
          <t>FILIPSTAD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31883-2025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46289</v>
      </c>
      <c r="F268" t="inlineStr">
        <is>
          <t>VÄRMLANDS LÄN</t>
        </is>
      </c>
      <c r="G268" t="inlineStr">
        <is>
          <t>FILIPSTAD</t>
        </is>
      </c>
      <c r="I268" t="n">
        <v>18.7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46289</v>
      </c>
      <c r="F269" t="inlineStr">
        <is>
          <t>VÄRMLANDS LÄN</t>
        </is>
      </c>
      <c r="G269" t="inlineStr">
        <is>
          <t>FILIPSTAD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61327-2025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46001</v>
      </c>
      <c r="E270" s="1" t="n">
        <v>46289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46289</v>
      </c>
      <c r="F271" t="inlineStr">
        <is>
          <t>VÄRMLANDS LÄN</t>
        </is>
      </c>
      <c r="G271" t="inlineStr">
        <is>
          <t>FILIPSTAD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46289</v>
      </c>
      <c r="F272" t="inlineStr">
        <is>
          <t>VÄRMLANDS LÄN</t>
        </is>
      </c>
      <c r="G272" t="inlineStr">
        <is>
          <t>FILIPSTAD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46289</v>
      </c>
      <c r="F273" t="inlineStr">
        <is>
          <t>VÄRMLANDS LÄN</t>
        </is>
      </c>
      <c r="G273" t="inlineStr">
        <is>
          <t>FILIPSTAD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46001</v>
      </c>
      <c r="E274" s="1" t="n">
        <v>46289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46002</v>
      </c>
      <c r="E275" s="1" t="n">
        <v>46289</v>
      </c>
      <c r="F275" t="inlineStr">
        <is>
          <t>VÄRMLANDS LÄN</t>
        </is>
      </c>
      <c r="G275" t="inlineStr">
        <is>
          <t>FILIPSTAD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46289</v>
      </c>
      <c r="F276" t="inlineStr">
        <is>
          <t>VÄRMLANDS LÄN</t>
        </is>
      </c>
      <c r="G276" t="inlineStr">
        <is>
          <t>FILIPSTAD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46289</v>
      </c>
      <c r="F277" t="inlineStr">
        <is>
          <t>VÄRMLANDS LÄN</t>
        </is>
      </c>
      <c r="G277" t="inlineStr">
        <is>
          <t>FILIPSTAD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46001</v>
      </c>
      <c r="E278" s="1" t="n">
        <v>46289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36251-2022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44803</v>
      </c>
      <c r="E279" s="1" t="n">
        <v>46289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46289</v>
      </c>
      <c r="F280" t="inlineStr">
        <is>
          <t>VÄRMLANDS LÄN</t>
        </is>
      </c>
      <c r="G280" t="inlineStr">
        <is>
          <t>FILIPSTAD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46004</v>
      </c>
      <c r="E281" s="1" t="n">
        <v>46289</v>
      </c>
      <c r="F281" t="inlineStr">
        <is>
          <t>VÄRMLANDS LÄN</t>
        </is>
      </c>
      <c r="G281" t="inlineStr">
        <is>
          <t>FILIPSTAD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46289</v>
      </c>
      <c r="F282" t="inlineStr">
        <is>
          <t>VÄRMLANDS LÄN</t>
        </is>
      </c>
      <c r="G282" t="inlineStr">
        <is>
          <t>FILIPSTAD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46004</v>
      </c>
      <c r="E283" s="1" t="n">
        <v>46289</v>
      </c>
      <c r="F283" t="inlineStr">
        <is>
          <t>VÄRMLANDS LÄN</t>
        </is>
      </c>
      <c r="G283" t="inlineStr">
        <is>
          <t>FILIPSTAD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33671-2022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44789</v>
      </c>
      <c r="E284" s="1" t="n">
        <v>46289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61823-2025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46003</v>
      </c>
      <c r="E285" s="1" t="n">
        <v>46289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46289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46289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46257-2022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44847</v>
      </c>
      <c r="E288" s="1" t="n">
        <v>46289</v>
      </c>
      <c r="F288" t="inlineStr">
        <is>
          <t>VÄRMLANDS LÄN</t>
        </is>
      </c>
      <c r="G288" t="inlineStr">
        <is>
          <t>FILIPSTAD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44805</v>
      </c>
      <c r="E289" s="1" t="n">
        <v>46289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44809</v>
      </c>
      <c r="E290" s="1" t="n">
        <v>46289</v>
      </c>
      <c r="F290" t="inlineStr">
        <is>
          <t>VÄRMLANDS LÄN</t>
        </is>
      </c>
      <c r="G290" t="inlineStr">
        <is>
          <t>FILIPSTAD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45986</v>
      </c>
      <c r="E291" s="1" t="n">
        <v>46289</v>
      </c>
      <c r="F291" t="inlineStr">
        <is>
          <t>VÄRMLANDS LÄN</t>
        </is>
      </c>
      <c r="G291" t="inlineStr">
        <is>
          <t>FILIPSTAD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45232</v>
      </c>
      <c r="E292" s="1" t="n">
        <v>46289</v>
      </c>
      <c r="F292" t="inlineStr">
        <is>
          <t>VÄRMLANDS LÄN</t>
        </is>
      </c>
      <c r="G292" t="inlineStr">
        <is>
          <t>FILIPSTAD</t>
        </is>
      </c>
      <c r="I292" t="n">
        <v>15.5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32032-2025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45835</v>
      </c>
      <c r="E293" s="1" t="n">
        <v>46289</v>
      </c>
      <c r="F293" t="inlineStr">
        <is>
          <t>VÄRMLANDS LÄN</t>
        </is>
      </c>
      <c r="G293" t="inlineStr">
        <is>
          <t>FILIPSTAD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45245</v>
      </c>
      <c r="E294" s="1" t="n">
        <v>46289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46289</v>
      </c>
      <c r="F295" t="inlineStr">
        <is>
          <t>VÄRMLANDS LÄN</t>
        </is>
      </c>
      <c r="G295" t="inlineStr">
        <is>
          <t>FILIPSTAD</t>
        </is>
      </c>
      <c r="H295" t="inlineStr">
        <is>
          <t>Kyrkan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46040</v>
      </c>
      <c r="E296" s="1" t="n">
        <v>46289</v>
      </c>
      <c r="F296" t="inlineStr">
        <is>
          <t>VÄRMLANDS LÄN</t>
        </is>
      </c>
      <c r="G296" t="inlineStr">
        <is>
          <t>FILIPSTAD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45688</v>
      </c>
      <c r="E297" s="1" t="n">
        <v>46289</v>
      </c>
      <c r="F297" t="inlineStr">
        <is>
          <t>VÄRMLANDS LÄN</t>
        </is>
      </c>
      <c r="G297" t="inlineStr">
        <is>
          <t>FILIPSTAD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46289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46014</v>
      </c>
      <c r="E299" s="1" t="n">
        <v>46289</v>
      </c>
      <c r="F299" t="inlineStr">
        <is>
          <t>VÄRMLANDS LÄN</t>
        </is>
      </c>
      <c r="G299" t="inlineStr">
        <is>
          <t>FILIPSTAD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45087</v>
      </c>
      <c r="E300" s="1" t="n">
        <v>46289</v>
      </c>
      <c r="F300" t="inlineStr">
        <is>
          <t>VÄRMLANDS LÄN</t>
        </is>
      </c>
      <c r="G300" t="inlineStr">
        <is>
          <t>FILIPSTAD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46289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46289</v>
      </c>
      <c r="F302" t="inlineStr">
        <is>
          <t>VÄRMLANDS LÄN</t>
        </is>
      </c>
      <c r="G302" t="inlineStr">
        <is>
          <t>FILIPSTAD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46289</v>
      </c>
      <c r="F303" t="inlineStr">
        <is>
          <t>VÄRMLANDS LÄN</t>
        </is>
      </c>
      <c r="G303" t="inlineStr">
        <is>
          <t>FILIPSTAD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46240</v>
      </c>
      <c r="E304" s="1" t="n">
        <v>46289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46240</v>
      </c>
      <c r="E305" s="1" t="n">
        <v>46289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45177</v>
      </c>
      <c r="E306" s="1" t="n">
        <v>46289</v>
      </c>
      <c r="F306" t="inlineStr">
        <is>
          <t>VÄRMLANDS LÄN</t>
        </is>
      </c>
      <c r="G306" t="inlineStr">
        <is>
          <t>FILIPSTAD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46240</v>
      </c>
      <c r="E307" s="1" t="n">
        <v>46289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46289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38578-2026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46289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46241</v>
      </c>
      <c r="E310" s="1" t="n">
        <v>46289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46289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44876</v>
      </c>
      <c r="E312" s="1" t="n">
        <v>46289</v>
      </c>
      <c r="F312" t="inlineStr">
        <is>
          <t>VÄRMLANDS LÄN</t>
        </is>
      </c>
      <c r="G312" t="inlineStr">
        <is>
          <t>FILIPSTAD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32600-2026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46240</v>
      </c>
      <c r="E313" s="1" t="n">
        <v>46289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46289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46283</v>
      </c>
      <c r="E315" s="1" t="n">
        <v>46289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46289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33407-2025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46289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46283</v>
      </c>
      <c r="E318" s="1" t="n">
        <v>46289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46244</v>
      </c>
      <c r="E319" s="1" t="n">
        <v>46289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46289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45218</v>
      </c>
      <c r="E321" s="1" t="n">
        <v>46289</v>
      </c>
      <c r="F321" t="inlineStr">
        <is>
          <t>VÄRMLANDS LÄN</t>
        </is>
      </c>
      <c r="G321" t="inlineStr">
        <is>
          <t>FILIPSTAD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46289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46245</v>
      </c>
      <c r="E323" s="1" t="n">
        <v>46289</v>
      </c>
      <c r="F323" t="inlineStr">
        <is>
          <t>VÄRMLANDS LÄN</t>
        </is>
      </c>
      <c r="G323" t="inlineStr">
        <is>
          <t>FILIPSTAD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46289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55397-2022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44887</v>
      </c>
      <c r="E325" s="1" t="n">
        <v>46289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46289</v>
      </c>
      <c r="F326" t="inlineStr">
        <is>
          <t>VÄRMLANDS LÄN</t>
        </is>
      </c>
      <c r="G326" t="inlineStr">
        <is>
          <t>FILIPSTAD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44960</v>
      </c>
      <c r="E327" s="1" t="n">
        <v>46289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46289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46244</v>
      </c>
      <c r="E329" s="1" t="n">
        <v>46289</v>
      </c>
      <c r="F329" t="inlineStr">
        <is>
          <t>VÄRMLANDS LÄN</t>
        </is>
      </c>
      <c r="G329" t="inlineStr">
        <is>
          <t>FILIPSTAD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55978-2022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44889</v>
      </c>
      <c r="E330" s="1" t="n">
        <v>46289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46289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46287</v>
      </c>
      <c r="E332" s="1" t="n">
        <v>46289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46289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46244</v>
      </c>
      <c r="E334" s="1" t="n">
        <v>46289</v>
      </c>
      <c r="F334" t="inlineStr">
        <is>
          <t>VÄRMLANDS LÄN</t>
        </is>
      </c>
      <c r="G334" t="inlineStr">
        <is>
          <t>FILIPSTAD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50856-2022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44867</v>
      </c>
      <c r="E335" s="1" t="n">
        <v>46289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44911</v>
      </c>
      <c r="E336" s="1" t="n">
        <v>46289</v>
      </c>
      <c r="F336" t="inlineStr">
        <is>
          <t>VÄRMLANDS LÄN</t>
        </is>
      </c>
      <c r="G336" t="inlineStr">
        <is>
          <t>FILIPSTAD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45568</v>
      </c>
      <c r="E337" s="1" t="n">
        <v>46289</v>
      </c>
      <c r="F337" t="inlineStr">
        <is>
          <t>VÄRMLANDS LÄN</t>
        </is>
      </c>
      <c r="G337" t="inlineStr">
        <is>
          <t>FILIPSTAD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45253</v>
      </c>
      <c r="E338" s="1" t="n">
        <v>46289</v>
      </c>
      <c r="F338" t="inlineStr">
        <is>
          <t>VÄRMLANDS LÄN</t>
        </is>
      </c>
      <c r="G338" t="inlineStr">
        <is>
          <t>FILIPSTAD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46266</v>
      </c>
      <c r="E339" s="1" t="n">
        <v>46289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46289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46087</v>
      </c>
      <c r="E341" s="1" t="n">
        <v>46289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46289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46289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36680-2023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45153</v>
      </c>
      <c r="E344" s="1" t="n">
        <v>46289</v>
      </c>
      <c r="F344" t="inlineStr">
        <is>
          <t>VÄRMLANDS LÄN</t>
        </is>
      </c>
      <c r="G344" t="inlineStr">
        <is>
          <t>FILIPSTAD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46289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46289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46289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5803-2023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44963</v>
      </c>
      <c r="E348" s="1" t="n">
        <v>46289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46289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46289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46289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46289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46289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46289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46289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46289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44872</v>
      </c>
      <c r="E357" s="1" t="n">
        <v>46289</v>
      </c>
      <c r="F357" t="inlineStr">
        <is>
          <t>VÄRMLANDS LÄN</t>
        </is>
      </c>
      <c r="G357" t="inlineStr">
        <is>
          <t>FILIPSTAD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46289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46289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71971-2021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46289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46289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15920-2026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46107</v>
      </c>
      <c r="E362" s="1" t="n">
        <v>46289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46289</v>
      </c>
      <c r="F363" t="inlineStr">
        <is>
          <t>VÄRMLANDS LÄN</t>
        </is>
      </c>
      <c r="G363" t="inlineStr">
        <is>
          <t>FILIPSTAD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46289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45114</v>
      </c>
      <c r="E365" s="1" t="n">
        <v>46289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46289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46289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16040-2026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46108</v>
      </c>
      <c r="E368" s="1" t="n">
        <v>46289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46289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44981</v>
      </c>
      <c r="E370" s="1" t="n">
        <v>46289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16975-2026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46114</v>
      </c>
      <c r="E371" s="1" t="n">
        <v>46289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8.1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46289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54008-2021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44470</v>
      </c>
      <c r="E373" s="1" t="n">
        <v>46289</v>
      </c>
      <c r="F373" t="inlineStr">
        <is>
          <t>VÄRMLANDS LÄN</t>
        </is>
      </c>
      <c r="G373" t="inlineStr">
        <is>
          <t>FILIPSTAD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46119</v>
      </c>
      <c r="E374" s="1" t="n">
        <v>46289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17326-2026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46119</v>
      </c>
      <c r="E375" s="1" t="n">
        <v>46289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46289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46289</v>
      </c>
      <c r="F377" t="inlineStr">
        <is>
          <t>VÄRMLANDS LÄN</t>
        </is>
      </c>
      <c r="G377" t="inlineStr">
        <is>
          <t>FILIPSTAD</t>
        </is>
      </c>
      <c r="I377" t="n">
        <v>9.699999999999999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44963</v>
      </c>
      <c r="E378" s="1" t="n">
        <v>46289</v>
      </c>
      <c r="F378" t="inlineStr">
        <is>
          <t>VÄRMLANDS LÄN</t>
        </is>
      </c>
      <c r="G378" t="inlineStr">
        <is>
          <t>FILIPSTAD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36582-2025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45870</v>
      </c>
      <c r="E379" s="1" t="n">
        <v>46289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36809-2022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44805</v>
      </c>
      <c r="E380" s="1" t="n">
        <v>46289</v>
      </c>
      <c r="F380" t="inlineStr">
        <is>
          <t>VÄRMLANDS LÄN</t>
        </is>
      </c>
      <c r="G380" t="inlineStr">
        <is>
          <t>FILIPSTAD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45124</v>
      </c>
      <c r="E381" s="1" t="n">
        <v>46289</v>
      </c>
      <c r="F381" t="inlineStr">
        <is>
          <t>VÄRMLANDS LÄN</t>
        </is>
      </c>
      <c r="G381" t="inlineStr">
        <is>
          <t>FILIPSTAD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46289</v>
      </c>
      <c r="F382" t="inlineStr">
        <is>
          <t>VÄRMLANDS LÄN</t>
        </is>
      </c>
      <c r="G382" t="inlineStr">
        <is>
          <t>FILIPSTAD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46122</v>
      </c>
      <c r="E383" s="1" t="n">
        <v>46289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44911</v>
      </c>
      <c r="E384" s="1" t="n">
        <v>46289</v>
      </c>
      <c r="F384" t="inlineStr">
        <is>
          <t>VÄRMLANDS LÄN</t>
        </is>
      </c>
      <c r="G384" t="inlineStr">
        <is>
          <t>FILIPSTAD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46122</v>
      </c>
      <c r="E385" s="1" t="n">
        <v>46289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18022-2026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46289</v>
      </c>
      <c r="F386" t="inlineStr">
        <is>
          <t>VÄRMLANDS LÄN</t>
        </is>
      </c>
      <c r="G386" t="inlineStr">
        <is>
          <t>FILIPSTAD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46289</v>
      </c>
      <c r="F387" t="inlineStr">
        <is>
          <t>VÄRMLANDS LÄN</t>
        </is>
      </c>
      <c r="G387" t="inlineStr">
        <is>
          <t>FILIPSTAD</t>
        </is>
      </c>
      <c r="H387" t="inlineStr">
        <is>
          <t>Kommuner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46289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46289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46289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18443-2026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46289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46289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46127</v>
      </c>
      <c r="E393" s="1" t="n">
        <v>46289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46126</v>
      </c>
      <c r="E394" s="1" t="n">
        <v>46289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45152</v>
      </c>
      <c r="E395" s="1" t="n">
        <v>46289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46289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25737-2023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45090</v>
      </c>
      <c r="E397" s="1" t="n">
        <v>46289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46289</v>
      </c>
      <c r="F398" t="inlineStr">
        <is>
          <t>VÄRMLANDS LÄN</t>
        </is>
      </c>
      <c r="G398" t="inlineStr">
        <is>
          <t>FILIPSTAD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44579</v>
      </c>
      <c r="E399" s="1" t="n">
        <v>46289</v>
      </c>
      <c r="F399" t="inlineStr">
        <is>
          <t>VÄRMLANDS LÄN</t>
        </is>
      </c>
      <c r="G399" t="inlineStr">
        <is>
          <t>FILIPSTAD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46289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46289</v>
      </c>
      <c r="F401" t="inlineStr">
        <is>
          <t>VÄRMLANDS LÄN</t>
        </is>
      </c>
      <c r="G401" t="inlineStr">
        <is>
          <t>FILIPSTAD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46289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46289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46289</v>
      </c>
      <c r="F404" t="inlineStr">
        <is>
          <t>VÄRMLANDS LÄN</t>
        </is>
      </c>
      <c r="G404" t="inlineStr">
        <is>
          <t>FILIPSTAD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46289</v>
      </c>
      <c r="F405" t="inlineStr">
        <is>
          <t>VÄRMLANDS LÄN</t>
        </is>
      </c>
      <c r="G405" t="inlineStr">
        <is>
          <t>FILIPSTAD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45516</v>
      </c>
      <c r="E406" s="1" t="n">
        <v>46289</v>
      </c>
      <c r="F406" t="inlineStr">
        <is>
          <t>VÄRMLANDS LÄN</t>
        </is>
      </c>
      <c r="G406" t="inlineStr">
        <is>
          <t>FILIPSTAD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46136</v>
      </c>
      <c r="E407" s="1" t="n">
        <v>46289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45655</v>
      </c>
      <c r="E408" s="1" t="n">
        <v>46289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46289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45037</v>
      </c>
      <c r="E410" s="1" t="n">
        <v>46289</v>
      </c>
      <c r="F410" t="inlineStr">
        <is>
          <t>VÄRMLANDS LÄN</t>
        </is>
      </c>
      <c r="G410" t="inlineStr">
        <is>
          <t>FILIPSTAD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46289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46289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46289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8.800000000000001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18210-2024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45420</v>
      </c>
      <c r="E414" s="1" t="n">
        <v>46289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46289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45896</v>
      </c>
      <c r="E416" s="1" t="n">
        <v>46289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45516-2024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45578</v>
      </c>
      <c r="E417" s="1" t="n">
        <v>46289</v>
      </c>
      <c r="F417" t="inlineStr">
        <is>
          <t>VÄRMLANDS LÄN</t>
        </is>
      </c>
      <c r="G417" t="inlineStr">
        <is>
          <t>FILIPSTAD</t>
        </is>
      </c>
      <c r="I417" t="n">
        <v>27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46680-2024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45583</v>
      </c>
      <c r="E418" s="1" t="n">
        <v>46289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22830-2023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45072</v>
      </c>
      <c r="E419" s="1" t="n">
        <v>46289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41521-2025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45901</v>
      </c>
      <c r="E420" s="1" t="n">
        <v>46289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22843-2025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45790</v>
      </c>
      <c r="E421" s="1" t="n">
        <v>46289</v>
      </c>
      <c r="F421" t="inlineStr">
        <is>
          <t>VÄRMLANDS LÄN</t>
        </is>
      </c>
      <c r="G421" t="inlineStr">
        <is>
          <t>FILIPSTAD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46289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45655</v>
      </c>
      <c r="E423" s="1" t="n">
        <v>46289</v>
      </c>
      <c r="F423" t="inlineStr">
        <is>
          <t>VÄRMLANDS LÄN</t>
        </is>
      </c>
      <c r="G423" t="inlineStr">
        <is>
          <t>FILIPSTAD</t>
        </is>
      </c>
      <c r="I423" t="n">
        <v>26.5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45819</v>
      </c>
      <c r="E424" s="1" t="n">
        <v>46289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46289</v>
      </c>
      <c r="F425" t="inlineStr">
        <is>
          <t>VÄRMLANDS LÄN</t>
        </is>
      </c>
      <c r="G425" t="inlineStr">
        <is>
          <t>FILIPSTAD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48040-2023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46289</v>
      </c>
      <c r="F426" t="inlineStr">
        <is>
          <t>VÄRMLANDS LÄN</t>
        </is>
      </c>
      <c r="G426" t="inlineStr">
        <is>
          <t>FILIPSTAD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45195</v>
      </c>
      <c r="E427" s="1" t="n">
        <v>46289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44935</v>
      </c>
      <c r="E428" s="1" t="n">
        <v>46289</v>
      </c>
      <c r="F428" t="inlineStr">
        <is>
          <t>VÄRMLANDS LÄN</t>
        </is>
      </c>
      <c r="G428" t="inlineStr">
        <is>
          <t>FILIPSTAD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54080-2025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45964</v>
      </c>
      <c r="E429" s="1" t="n">
        <v>46289</v>
      </c>
      <c r="F429" t="inlineStr">
        <is>
          <t>VÄRMLANDS LÄN</t>
        </is>
      </c>
      <c r="G429" t="inlineStr">
        <is>
          <t>FILIPSTAD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45841</v>
      </c>
      <c r="E430" s="1" t="n">
        <v>46289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45720</v>
      </c>
      <c r="E431" s="1" t="n">
        <v>46289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46289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45880</v>
      </c>
      <c r="E433" s="1" t="n">
        <v>46289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46289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45742</v>
      </c>
      <c r="E435" s="1" t="n">
        <v>46289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56840-2024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45628</v>
      </c>
      <c r="E436" s="1" t="n">
        <v>46289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46289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45712</v>
      </c>
      <c r="E438" s="1" t="n">
        <v>46289</v>
      </c>
      <c r="F438" t="inlineStr">
        <is>
          <t>VÄRMLANDS LÄN</t>
        </is>
      </c>
      <c r="G438" t="inlineStr">
        <is>
          <t>FILIPSTAD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23618-2023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46289</v>
      </c>
      <c r="F439" t="inlineStr">
        <is>
          <t>VÄRMLANDS LÄN</t>
        </is>
      </c>
      <c r="G439" t="inlineStr">
        <is>
          <t>FILIPSTAD</t>
        </is>
      </c>
      <c r="I439" t="n">
        <v>15.8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39896-2025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45891</v>
      </c>
      <c r="E440" s="1" t="n">
        <v>46289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46289</v>
      </c>
      <c r="F441" t="inlineStr">
        <is>
          <t>VÄRMLANDS LÄN</t>
        </is>
      </c>
      <c r="G441" t="inlineStr">
        <is>
          <t>FILIPSTAD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46289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46289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46289</v>
      </c>
      <c r="F444" t="inlineStr">
        <is>
          <t>VÄRMLANDS LÄN</t>
        </is>
      </c>
      <c r="G444" t="inlineStr">
        <is>
          <t>FILIPSTAD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46289</v>
      </c>
      <c r="F445" t="inlineStr">
        <is>
          <t>VÄRMLANDS LÄN</t>
        </is>
      </c>
      <c r="G445" t="inlineStr">
        <is>
          <t>FILIPSTAD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20554-2025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45775</v>
      </c>
      <c r="E446" s="1" t="n">
        <v>46289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45939</v>
      </c>
      <c r="E447" s="1" t="n">
        <v>46289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46289</v>
      </c>
      <c r="F448" t="inlineStr">
        <is>
          <t>VÄRMLANDS LÄN</t>
        </is>
      </c>
      <c r="G448" t="inlineStr">
        <is>
          <t>FILIPSTAD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45867</v>
      </c>
      <c r="E449" s="1" t="n">
        <v>46289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46289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46289</v>
      </c>
      <c r="F451" t="inlineStr">
        <is>
          <t>VÄRMLANDS LÄN</t>
        </is>
      </c>
      <c r="G451" t="inlineStr">
        <is>
          <t>FILIPSTAD</t>
        </is>
      </c>
      <c r="H451" t="inlineStr">
        <is>
          <t>Kommuner</t>
        </is>
      </c>
      <c r="I451" t="n">
        <v>17.7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46289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24139-2024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45456</v>
      </c>
      <c r="E453" s="1" t="n">
        <v>46289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46108</v>
      </c>
      <c r="E454" s="1" t="n">
        <v>46289</v>
      </c>
      <c r="F454" t="inlineStr">
        <is>
          <t>VÄRMLANDS LÄN</t>
        </is>
      </c>
      <c r="G454" t="inlineStr">
        <is>
          <t>FILIPSTAD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45436</v>
      </c>
      <c r="E455" s="1" t="n">
        <v>46289</v>
      </c>
      <c r="F455" t="inlineStr">
        <is>
          <t>VÄRMLANDS LÄN</t>
        </is>
      </c>
      <c r="G455" t="inlineStr">
        <is>
          <t>FILIPSTAD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45524</v>
      </c>
      <c r="E456" s="1" t="n">
        <v>46289</v>
      </c>
      <c r="F456" t="inlineStr">
        <is>
          <t>VÄRMLANDS LÄN</t>
        </is>
      </c>
      <c r="G456" t="inlineStr">
        <is>
          <t>FILIPSTAD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45299</v>
      </c>
      <c r="E457" s="1" t="n">
        <v>46289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46148</v>
      </c>
      <c r="E458" s="1" t="n">
        <v>46289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46289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46289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46289</v>
      </c>
      <c r="F461" t="inlineStr">
        <is>
          <t>VÄRMLANDS LÄN</t>
        </is>
      </c>
      <c r="G461" t="inlineStr">
        <is>
          <t>FILIPSTAD</t>
        </is>
      </c>
      <c r="I461" t="n">
        <v>10.8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46289</v>
      </c>
      <c r="F462" t="inlineStr">
        <is>
          <t>VÄRMLANDS LÄN</t>
        </is>
      </c>
      <c r="G462" t="inlineStr">
        <is>
          <t>FILIPSTAD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22201-2026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46289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46289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46289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45495</v>
      </c>
      <c r="E466" s="1" t="n">
        <v>46289</v>
      </c>
      <c r="F466" t="inlineStr">
        <is>
          <t>VÄRMLANDS LÄN</t>
        </is>
      </c>
      <c r="G466" t="inlineStr">
        <is>
          <t>FILIPSTAD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45471</v>
      </c>
      <c r="E467" s="1" t="n">
        <v>46289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46289</v>
      </c>
      <c r="F468" t="inlineStr">
        <is>
          <t>VÄRMLANDS LÄN</t>
        </is>
      </c>
      <c r="G468" t="inlineStr">
        <is>
          <t>FILIPSTAD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46289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46289</v>
      </c>
      <c r="F470" t="inlineStr">
        <is>
          <t>VÄRMLANDS LÄN</t>
        </is>
      </c>
      <c r="G470" t="inlineStr">
        <is>
          <t>FILIPSTAD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22021-2026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46289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46289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46289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46289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46289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45439</v>
      </c>
      <c r="E476" s="1" t="n">
        <v>46289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46289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23620-2023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46289</v>
      </c>
      <c r="F478" t="inlineStr">
        <is>
          <t>VÄRMLANDS LÄN</t>
        </is>
      </c>
      <c r="G478" t="inlineStr">
        <is>
          <t>FILIPSTAD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46289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46289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46289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46289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46289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46289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46289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46289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49935-2025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45940</v>
      </c>
      <c r="E487" s="1" t="n">
        <v>46289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46289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23934-2026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46289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46289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46289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46289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23931-2026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46289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46167</v>
      </c>
      <c r="E494" s="1" t="n">
        <v>46289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46289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46289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46289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46289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46289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9.300000000000001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46289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46289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46169</v>
      </c>
      <c r="E502" s="1" t="n">
        <v>46289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46289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46289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46170</v>
      </c>
      <c r="E505" s="1" t="n">
        <v>46289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46289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46289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24452-2026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46289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46289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46289</v>
      </c>
      <c r="F510" t="inlineStr">
        <is>
          <t>VÄRMLANDS LÄN</t>
        </is>
      </c>
      <c r="G510" t="inlineStr">
        <is>
          <t>FILIPSTAD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45835</v>
      </c>
      <c r="E511" s="1" t="n">
        <v>46289</v>
      </c>
      <c r="F511" t="inlineStr">
        <is>
          <t>VÄRMLANDS LÄN</t>
        </is>
      </c>
      <c r="G511" t="inlineStr">
        <is>
          <t>FILIPSTAD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16063-2025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45749</v>
      </c>
      <c r="E512" s="1" t="n">
        <v>46289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46289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24886-2026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46289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46289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46289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46289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46289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46289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46289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46289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46289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46289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46289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46289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46289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46289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46182</v>
      </c>
      <c r="E528" s="1" t="n">
        <v>46289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46289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46187</v>
      </c>
      <c r="E530" s="1" t="n">
        <v>46289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46289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46186</v>
      </c>
      <c r="E532" s="1" t="n">
        <v>46289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46289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46289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46289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46289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46289</v>
      </c>
      <c r="F537" t="inlineStr">
        <is>
          <t>VÄRMLANDS LÄN</t>
        </is>
      </c>
      <c r="G537" t="inlineStr">
        <is>
          <t>FILIPSTAD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46289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46289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45947</v>
      </c>
      <c r="E540" s="1" t="n">
        <v>46289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46289</v>
      </c>
      <c r="F541" t="inlineStr">
        <is>
          <t>VÄRMLANDS LÄN</t>
        </is>
      </c>
      <c r="G541" t="inlineStr">
        <is>
          <t>FILIPSTAD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46289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46289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46289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46289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46289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46289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46289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46289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46247</v>
      </c>
      <c r="E550" s="1" t="n">
        <v>46289</v>
      </c>
      <c r="F550" t="inlineStr">
        <is>
          <t>VÄRMLANDS LÄN</t>
        </is>
      </c>
      <c r="G550" t="inlineStr">
        <is>
          <t>FILIPSTAD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46289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46289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46289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46289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29863-2026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46289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46289</v>
      </c>
      <c r="F556" t="inlineStr">
        <is>
          <t>VÄRMLANDS LÄN</t>
        </is>
      </c>
      <c r="G556" t="inlineStr">
        <is>
          <t>FILIPSTAD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46289</v>
      </c>
      <c r="F557" t="inlineStr">
        <is>
          <t>VÄRMLANDS LÄN</t>
        </is>
      </c>
      <c r="G557" t="inlineStr">
        <is>
          <t>FILIPSTAD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46289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33866-2026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46289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46289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46213</v>
      </c>
      <c r="E561" s="1" t="n">
        <v>46289</v>
      </c>
      <c r="F561" t="inlineStr">
        <is>
          <t>VÄRMLANDS LÄN</t>
        </is>
      </c>
      <c r="G561" t="inlineStr">
        <is>
          <t>FILIPSTAD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46251</v>
      </c>
      <c r="E562" s="1" t="n">
        <v>46289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46252</v>
      </c>
      <c r="E563" s="1" t="n">
        <v>46289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46289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46251</v>
      </c>
      <c r="E565" s="1" t="n">
        <v>46289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46289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30540-2026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46210</v>
      </c>
      <c r="E567" s="1" t="n">
        <v>46289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46289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19.2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46289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34442-2026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46289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46289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46259</v>
      </c>
      <c r="E572" s="1" t="n">
        <v>46289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46289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35290-2026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46289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46261</v>
      </c>
      <c r="E575" s="1" t="n">
        <v>46289</v>
      </c>
      <c r="F575" t="inlineStr">
        <is>
          <t>VÄRMLANDS LÄN</t>
        </is>
      </c>
      <c r="G575" t="inlineStr">
        <is>
          <t>FILIPSTAD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46289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46261</v>
      </c>
      <c r="E577" s="1" t="n">
        <v>46289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46218</v>
      </c>
      <c r="E578" s="1" t="n">
        <v>46289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46289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8.4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35927-2026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46266</v>
      </c>
      <c r="E580" s="1" t="n">
        <v>46289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46264</v>
      </c>
      <c r="E581" s="1" t="n">
        <v>46289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27426-2026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46189</v>
      </c>
      <c r="E582" s="1" t="n">
        <v>46289</v>
      </c>
      <c r="F582" t="inlineStr">
        <is>
          <t>VÄRMLANDS LÄN</t>
        </is>
      </c>
      <c r="G582" t="inlineStr">
        <is>
          <t>FILIPSTAD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46223</v>
      </c>
      <c r="E583" s="1" t="n">
        <v>46289</v>
      </c>
      <c r="F583" t="inlineStr">
        <is>
          <t>VÄRMLANDS LÄN</t>
        </is>
      </c>
      <c r="G583" t="inlineStr">
        <is>
          <t>FILIPSTAD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35821-2026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46289</v>
      </c>
      <c r="F584" t="inlineStr">
        <is>
          <t>VÄRMLANDS LÄN</t>
        </is>
      </c>
      <c r="G584" t="inlineStr">
        <is>
          <t>FILIPSTAD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46266</v>
      </c>
      <c r="E585" s="1" t="n">
        <v>46289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46289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46264</v>
      </c>
      <c r="E587" s="1" t="n">
        <v>46289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46266</v>
      </c>
      <c r="E588" s="1" t="n">
        <v>46289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31537-2026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46223</v>
      </c>
      <c r="E589" s="1" t="n">
        <v>46289</v>
      </c>
      <c r="F589" t="inlineStr">
        <is>
          <t>VÄRMLANDS LÄN</t>
        </is>
      </c>
      <c r="G589" t="inlineStr">
        <is>
          <t>FILIPSTAD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46289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46225</v>
      </c>
      <c r="E591" s="1" t="n">
        <v>46289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46289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46226</v>
      </c>
      <c r="E593" s="1" t="n">
        <v>46289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46226</v>
      </c>
      <c r="E594" s="1" t="n">
        <v>46289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46226</v>
      </c>
      <c r="E595" s="1" t="n">
        <v>46289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46227</v>
      </c>
      <c r="E596" s="1" t="n">
        <v>46289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46227</v>
      </c>
      <c r="E597" s="1" t="n">
        <v>46289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36819-2026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46289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36818-2026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46272</v>
      </c>
      <c r="E599" s="1" t="n">
        <v>46289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46289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36744-2026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46272</v>
      </c>
      <c r="E601" s="1" t="n">
        <v>46289</v>
      </c>
      <c r="F601" t="inlineStr">
        <is>
          <t>VÄRMLANDS LÄN</t>
        </is>
      </c>
      <c r="G601" t="inlineStr">
        <is>
          <t>FILIPSTAD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36508-2026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46269</v>
      </c>
      <c r="E602" s="1" t="n">
        <v>46289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46289</v>
      </c>
      <c r="F603" t="inlineStr">
        <is>
          <t>VÄRMLANDS LÄN</t>
        </is>
      </c>
      <c r="G603" t="inlineStr">
        <is>
          <t>FILIPSTAD</t>
        </is>
      </c>
      <c r="I603" t="n">
        <v>11.6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46269</v>
      </c>
      <c r="E604" s="1" t="n">
        <v>46289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46269</v>
      </c>
      <c r="E605" s="1" t="n">
        <v>46289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46186</v>
      </c>
      <c r="E606" s="1" t="n">
        <v>46289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31914-2026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46231</v>
      </c>
      <c r="E607" s="1" t="n">
        <v>46289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46274</v>
      </c>
      <c r="E608" s="1" t="n">
        <v>46289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46289</v>
      </c>
      <c r="F609" t="inlineStr">
        <is>
          <t>VÄRMLANDS LÄN</t>
        </is>
      </c>
      <c r="G609" t="inlineStr">
        <is>
          <t>FILIPSTAD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36955-2026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46289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46289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46233</v>
      </c>
      <c r="E612" s="1" t="n">
        <v>46289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46232</v>
      </c>
      <c r="E613" s="1" t="n">
        <v>46289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46232</v>
      </c>
      <c r="E614" s="1" t="n">
        <v>46289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46232</v>
      </c>
      <c r="E615" s="1" t="n">
        <v>46289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8.699999999999999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32035-2026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46233</v>
      </c>
      <c r="E616" s="1" t="n">
        <v>46289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46289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32249-2026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46289</v>
      </c>
      <c r="F618" t="inlineStr">
        <is>
          <t>VÄRMLANDS LÄN</t>
        </is>
      </c>
      <c r="G618" t="inlineStr">
        <is>
          <t>FILIPSTAD</t>
        </is>
      </c>
      <c r="H618" t="inlineStr">
        <is>
          <t>Kommuner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46234</v>
      </c>
      <c r="E619" s="1" t="n">
        <v>46289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46289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32248-2026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46237</v>
      </c>
      <c r="E621" s="1" t="n">
        <v>46289</v>
      </c>
      <c r="F621" t="inlineStr">
        <is>
          <t>VÄRMLANDS LÄN</t>
        </is>
      </c>
      <c r="G621" t="inlineStr">
        <is>
          <t>FILIPSTAD</t>
        </is>
      </c>
      <c r="I621" t="n">
        <v>13.4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46289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46239</v>
      </c>
      <c r="E623" s="1" t="n">
        <v>46289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38325-2026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46282</v>
      </c>
      <c r="E624" s="1" t="n">
        <v>46289</v>
      </c>
      <c r="F624" t="inlineStr">
        <is>
          <t>VÄRMLANDS LÄN</t>
        </is>
      </c>
      <c r="G624" t="inlineStr">
        <is>
          <t>FILIPSTAD</t>
        </is>
      </c>
      <c r="H624" t="inlineStr">
        <is>
          <t>Kyrkan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32572-2026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46239</v>
      </c>
      <c r="E625" s="1" t="n">
        <v>46289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38228-2026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46281</v>
      </c>
      <c r="E626" s="1" t="n">
        <v>46289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32442-2026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46239</v>
      </c>
      <c r="E627" s="1" t="n">
        <v>46289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5757-2021</t>
        </is>
      </c>
      <c r="B628" t="inlineStr">
        <is>
          <t>samrådsanmälan</t>
        </is>
      </c>
      <c r="C628" t="inlineStr">
        <is>
          <t>Basväg</t>
        </is>
      </c>
      <c r="D628" s="1" t="n">
        <v>44438</v>
      </c>
      <c r="E628" s="1" t="n">
        <v>46289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1191-2021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44328</v>
      </c>
      <c r="E629" s="1" t="n">
        <v>46289</v>
      </c>
      <c r="F629" t="inlineStr">
        <is>
          <t>VÄRMLANDS LÄN</t>
        </is>
      </c>
      <c r="G629" t="inlineStr">
        <is>
          <t>FILIPSTAD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4134-2023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46289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4115-2023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45246</v>
      </c>
      <c r="E631" s="1" t="n">
        <v>46289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4137-2023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46289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4132-2023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46289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4130-2023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46289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4127-2023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46289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837-2023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44991</v>
      </c>
      <c r="E636" s="1" t="n">
        <v>46289</v>
      </c>
      <c r="F636" t="inlineStr">
        <is>
          <t>VÄRMLANDS LÄN</t>
        </is>
      </c>
      <c r="G636" t="inlineStr">
        <is>
          <t>FILIPSTAD</t>
        </is>
      </c>
      <c r="I636" t="n">
        <v>19.3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46289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3919-2023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45233</v>
      </c>
      <c r="E638" s="1" t="n">
        <v>46289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4135-2023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46289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46289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20.4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294-2025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45687</v>
      </c>
      <c r="E641" s="1" t="n">
        <v>46289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4116-2023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45246</v>
      </c>
      <c r="E642" s="1" t="n">
        <v>46289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661-2025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45716</v>
      </c>
      <c r="E643" s="1" t="n">
        <v>46289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3429-2025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45995</v>
      </c>
      <c r="E644" s="1" t="n">
        <v>46289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3576-2025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46010</v>
      </c>
      <c r="E645" s="1" t="n">
        <v>46289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105-2026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46036</v>
      </c>
      <c r="E646" s="1" t="n">
        <v>46289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238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2026-09-24T01:56:45Z</dcterms:created>
  <dcterms:modified xmlns:dcterms="http://purl.org/dc/terms/" xmlns:xsi="http://www.w3.org/2001/XMLSchema-instance" xsi:type="dcterms:W3CDTF">2026-09-24T01:56:45Z</dcterms:modified>
</cp:coreProperties>
</file>