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46225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46225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46225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46225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46225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46225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46225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46225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46225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46225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Garnlav
Dropptaggsvamp
Skuggblåslav
Fläcknycklar</t>
        </is>
      </c>
      <c r="W11">
        <f>HYPERLINK("https://klasma.github.io/Logging_1782/artfynd/A 38138-2024 artfynd.xlsx", "A 38138-2024")</f>
        <v/>
      </c>
      <c r="X11">
        <f>HYPERLINK("https://klasma.github.io/Logging_1782/kartor/A 38138-2024 karta.png", "A 38138-2024")</f>
        <v/>
      </c>
      <c r="Y11">
        <f>HYPERLINK("https://klasma.github.io/Logging_1782/kartor_geotiff/A 38138-2024 georefererad karta.tif", "A 38138-2024")</f>
        <v/>
      </c>
      <c r="AA11">
        <f>HYPERLINK("https://klasma.github.io/Logging_1782/klagomål/A 38138-2024 FSC-klagomål.docx", "A 38138-2024")</f>
        <v/>
      </c>
      <c r="AB11">
        <f>HYPERLINK("https://klasma.github.io/Logging_1782/klagomålsmail/A 38138-2024 FSC-klagomål mail.docx", "A 38138-2024")</f>
        <v/>
      </c>
      <c r="AC11">
        <f>HYPERLINK("https://klasma.github.io/Logging_1782/tillsyn/A 38138-2024 tillsynsbegäran.docx", "A 38138-2024")</f>
        <v/>
      </c>
      <c r="AD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46225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46225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46225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46225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Garnlav
Dropptaggsvamp
Skuggblåslav</t>
        </is>
      </c>
      <c r="W15">
        <f>HYPERLINK("https://klasma.github.io/Logging_1782/artfynd/A 38134-2024 artfynd.xlsx", "A 38134-2024")</f>
        <v/>
      </c>
      <c r="X15">
        <f>HYPERLINK("https://klasma.github.io/Logging_1782/kartor/A 38134-2024 karta.png", "A 38134-2024")</f>
        <v/>
      </c>
      <c r="Y15">
        <f>HYPERLINK("https://klasma.github.io/Logging_1782/kartor_geotiff/A 38134-2024 georefererad karta.tif", "A 38134-2024")</f>
        <v/>
      </c>
      <c r="AA15">
        <f>HYPERLINK("https://klasma.github.io/Logging_1782/klagomål/A 38134-2024 FSC-klagomål.docx", "A 38134-2024")</f>
        <v/>
      </c>
      <c r="AB15">
        <f>HYPERLINK("https://klasma.github.io/Logging_1782/klagomålsmail/A 38134-2024 FSC-klagomål mail.docx", "A 38134-2024")</f>
        <v/>
      </c>
      <c r="AC15">
        <f>HYPERLINK("https://klasma.github.io/Logging_1782/tillsyn/A 38134-2024 tillsynsbegäran.docx", "A 38134-2024")</f>
        <v/>
      </c>
      <c r="AD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46225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1</v>
      </c>
      <c r="V16" s="2" t="inlineStr">
        <is>
          <t>Smalfotad taggsvamp
Vaddporing
Utter</t>
        </is>
      </c>
      <c r="W16">
        <f>HYPERLINK("https://klasma.github.io/Logging_1782/artfynd/A 63625-2023 artfynd.xlsx", "A 63625-2023")</f>
        <v/>
      </c>
      <c r="X16">
        <f>HYPERLINK("https://klasma.github.io/Logging_1782/kartor/A 63625-2023 karta.png", "A 63625-2023")</f>
        <v/>
      </c>
      <c r="Y16">
        <f>HYPERLINK("https://klasma.github.io/Logging_1782/kartor_geotiff/A 63625-2023 georefererad karta.tif", "A 63625-2023")</f>
        <v/>
      </c>
      <c r="AA16">
        <f>HYPERLINK("https://klasma.github.io/Logging_1782/klagomål/A 63625-2023 FSC-klagomål.docx", "A 63625-2023")</f>
        <v/>
      </c>
      <c r="AB16">
        <f>HYPERLINK("https://klasma.github.io/Logging_1782/klagomålsmail/A 63625-2023 FSC-klagomål mail.docx", "A 63625-2023")</f>
        <v/>
      </c>
      <c r="AC16">
        <f>HYPERLINK("https://klasma.github.io/Logging_1782/tillsyn/A 63625-2023 tillsynsbegäran.docx", "A 63625-2023")</f>
        <v/>
      </c>
      <c r="AD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46225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46225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Fläcknycklar</t>
        </is>
      </c>
      <c r="W18">
        <f>HYPERLINK("https://klasma.github.io/Logging_1782/artfynd/A 38132-2024 artfynd.xlsx", "A 38132-2024")</f>
        <v/>
      </c>
      <c r="X18">
        <f>HYPERLINK("https://klasma.github.io/Logging_1782/kartor/A 38132-2024 karta.png", "A 38132-2024")</f>
        <v/>
      </c>
      <c r="Y18">
        <f>HYPERLINK("https://klasma.github.io/Logging_1782/kartor_geotiff/A 38132-2024 georefererad karta.tif", "A 38132-2024")</f>
        <v/>
      </c>
      <c r="AA18">
        <f>HYPERLINK("https://klasma.github.io/Logging_1782/klagomål/A 38132-2024 FSC-klagomål.docx", "A 38132-2024")</f>
        <v/>
      </c>
      <c r="AB18">
        <f>HYPERLINK("https://klasma.github.io/Logging_1782/klagomålsmail/A 38132-2024 FSC-klagomål mail.docx", "A 38132-2024")</f>
        <v/>
      </c>
      <c r="AC18">
        <f>HYPERLINK("https://klasma.github.io/Logging_1782/tillsyn/A 38132-2024 tillsynsbegäran.docx", "A 38132-2024")</f>
        <v/>
      </c>
      <c r="AD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46225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Bronshjon
Korallblylav</t>
        </is>
      </c>
      <c r="W19">
        <f>HYPERLINK("https://klasma.github.io/Logging_1782/artfynd/A 45523-2022 artfynd.xlsx", "A 45523-2022")</f>
        <v/>
      </c>
      <c r="X19">
        <f>HYPERLINK("https://klasma.github.io/Logging_1782/kartor/A 45523-2022 karta.png", "A 45523-2022")</f>
        <v/>
      </c>
      <c r="Y19">
        <f>HYPERLINK("https://klasma.github.io/Logging_1782/kartor_geotiff/A 45523-2022 georefererad karta.tif", "A 45523-2022")</f>
        <v/>
      </c>
      <c r="AA19">
        <f>HYPERLINK("https://klasma.github.io/Logging_1782/klagomål/A 45523-2022 FSC-klagomål.docx", "A 45523-2022")</f>
        <v/>
      </c>
      <c r="AB19">
        <f>HYPERLINK("https://klasma.github.io/Logging_1782/klagomålsmail/A 45523-2022 FSC-klagomål mail.docx", "A 45523-2022")</f>
        <v/>
      </c>
      <c r="AC19">
        <f>HYPERLINK("https://klasma.github.io/Logging_1782/tillsyn/A 45523-2022 tillsynsbegäran.docx", "A 45523-2022")</f>
        <v/>
      </c>
      <c r="AD19">
        <f>HYPERLINK("https://klasma.github.io/Logging_1782/tillsynsmail/A 45523-2022 tillsynsbegäran mail.docx", "A 45523-2022")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46225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Grönsiska
Smålom</t>
        </is>
      </c>
      <c r="W20">
        <f>HYPERLINK("https://klasma.github.io/Logging_1782/artfynd/A 51103-2025 artfynd.xlsx", "A 51103-2025")</f>
        <v/>
      </c>
      <c r="X20">
        <f>HYPERLINK("https://klasma.github.io/Logging_1782/kartor/A 51103-2025 karta.png", "A 51103-2025")</f>
        <v/>
      </c>
      <c r="Y20">
        <f>HYPERLINK("https://klasma.github.io/Logging_1782/kartor_geotiff/A 51103-2025 georefererad karta.tif", "A 51103-2025")</f>
        <v/>
      </c>
      <c r="AA20">
        <f>HYPERLINK("https://klasma.github.io/Logging_1782/klagomål/A 51103-2025 FSC-klagomål.docx", "A 51103-2025")</f>
        <v/>
      </c>
      <c r="AB20">
        <f>HYPERLINK("https://klasma.github.io/Logging_1782/klagomålsmail/A 51103-2025 FSC-klagomål mail.docx", "A 51103-2025")</f>
        <v/>
      </c>
      <c r="AC20">
        <f>HYPERLINK("https://klasma.github.io/Logging_1782/tillsyn/A 51103-2025 tillsynsbegäran.docx", "A 51103-2025")</f>
        <v/>
      </c>
      <c r="AD20">
        <f>HYPERLINK("https://klasma.github.io/Logging_1782/tillsynsmail/A 51103-2025 tillsynsbegäran mail.docx", "A 51103-2025")</f>
        <v/>
      </c>
      <c r="AE20">
        <f>HYPERLINK("https://klasma.github.io/Logging_1782/fåglar/A 51103-2025 prioriterade fågelarter.docx", "A 51103-2025")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46225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Läderlappslav
Tjäder</t>
        </is>
      </c>
      <c r="W21">
        <f>HYPERLINK("https://klasma.github.io/Logging_1782/artfynd/A 51922-2024 artfynd.xlsx", "A 51922-2024")</f>
        <v/>
      </c>
      <c r="X21">
        <f>HYPERLINK("https://klasma.github.io/Logging_1782/kartor/A 51922-2024 karta.png", "A 51922-2024")</f>
        <v/>
      </c>
      <c r="Y21">
        <f>HYPERLINK("https://klasma.github.io/Logging_1782/kartor_geotiff/A 51922-2024 georefererad karta.tif", "A 51922-2024")</f>
        <v/>
      </c>
      <c r="AA21">
        <f>HYPERLINK("https://klasma.github.io/Logging_1782/klagomål/A 51922-2024 FSC-klagomål.docx", "A 51922-2024")</f>
        <v/>
      </c>
      <c r="AB21">
        <f>HYPERLINK("https://klasma.github.io/Logging_1782/klagomålsmail/A 51922-2024 FSC-klagomål mail.docx", "A 51922-2024")</f>
        <v/>
      </c>
      <c r="AC21">
        <f>HYPERLINK("https://klasma.github.io/Logging_1782/tillsyn/A 51922-2024 tillsynsbegäran.docx", "A 51922-2024")</f>
        <v/>
      </c>
      <c r="AD21">
        <f>HYPERLINK("https://klasma.github.io/Logging_1782/tillsynsmail/A 51922-2024 tillsynsbegäran mail.docx", "A 51922-2024")</f>
        <v/>
      </c>
      <c r="AE21">
        <f>HYPERLINK("https://klasma.github.io/Logging_1782/fåglar/A 51922-2024 prioriterade fågelarter.docx", "A 51922-2024")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46225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46225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Bronshjon</t>
        </is>
      </c>
      <c r="W23">
        <f>HYPERLINK("https://klasma.github.io/Logging_1782/artfynd/A 16139-2025 artfynd.xlsx", "A 16139-2025")</f>
        <v/>
      </c>
      <c r="X23">
        <f>HYPERLINK("https://klasma.github.io/Logging_1782/kartor/A 16139-2025 karta.png", "A 16139-2025")</f>
        <v/>
      </c>
      <c r="Y23">
        <f>HYPERLINK("https://klasma.github.io/Logging_1782/kartor_geotiff/A 16139-2025 georefererad karta.tif", "A 16139-2025")</f>
        <v/>
      </c>
      <c r="AA23">
        <f>HYPERLINK("https://klasma.github.io/Logging_1782/klagomål/A 16139-2025 FSC-klagomål.docx", "A 16139-2025")</f>
        <v/>
      </c>
      <c r="AB23">
        <f>HYPERLINK("https://klasma.github.io/Logging_1782/klagomålsmail/A 16139-2025 FSC-klagomål mail.docx", "A 16139-2025")</f>
        <v/>
      </c>
      <c r="AC23">
        <f>HYPERLINK("https://klasma.github.io/Logging_1782/tillsyn/A 16139-2025 tillsynsbegäran.docx", "A 16139-2025")</f>
        <v/>
      </c>
      <c r="AD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46225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46225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46225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46225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Garnlav</t>
        </is>
      </c>
      <c r="W27">
        <f>HYPERLINK("https://klasma.github.io/Logging_1782/artfynd/A 62572-2021 artfynd.xlsx", "A 62572-2021")</f>
        <v/>
      </c>
      <c r="X27">
        <f>HYPERLINK("https://klasma.github.io/Logging_1782/kartor/A 62572-2021 karta.png", "A 62572-2021")</f>
        <v/>
      </c>
      <c r="Y27">
        <f>HYPERLINK("https://klasma.github.io/Logging_1782/kartor_geotiff/A 62572-2021 georefererad karta.tif", "A 62572-2021")</f>
        <v/>
      </c>
      <c r="AA27">
        <f>HYPERLINK("https://klasma.github.io/Logging_1782/klagomål/A 62572-2021 FSC-klagomål.docx", "A 62572-2021")</f>
        <v/>
      </c>
      <c r="AB27">
        <f>HYPERLINK("https://klasma.github.io/Logging_1782/klagomålsmail/A 62572-2021 FSC-klagomål mail.docx", "A 62572-2021")</f>
        <v/>
      </c>
      <c r="AC27">
        <f>HYPERLINK("https://klasma.github.io/Logging_1782/tillsyn/A 62572-2021 tillsynsbegäran.docx", "A 62572-2021")</f>
        <v/>
      </c>
      <c r="AD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46225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HYPERLINK("https://klasma.github.io/Logging_1782/artfynd/A 20754-2022 artfynd.xlsx", "A 20754-2022")</f>
        <v/>
      </c>
      <c r="X28">
        <f>HYPERLINK("https://klasma.github.io/Logging_1782/kartor/A 20754-2022 karta.png", "A 20754-2022")</f>
        <v/>
      </c>
      <c r="Y28">
        <f>HYPERLINK("https://klasma.github.io/Logging_1782/kartor_geotiff/A 20754-2022 georefererad karta.tif", "A 20754-2022")</f>
        <v/>
      </c>
      <c r="AA28">
        <f>HYPERLINK("https://klasma.github.io/Logging_1782/klagomål/A 20754-2022 FSC-klagomål.docx", "A 20754-2022")</f>
        <v/>
      </c>
      <c r="AB28">
        <f>HYPERLINK("https://klasma.github.io/Logging_1782/klagomålsmail/A 20754-2022 FSC-klagomål mail.docx", "A 20754-2022")</f>
        <v/>
      </c>
      <c r="AC28">
        <f>HYPERLINK("https://klasma.github.io/Logging_1782/tillsyn/A 20754-2022 tillsynsbegäran.docx", "A 20754-2022")</f>
        <v/>
      </c>
      <c r="AD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46225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Purpurknipprot</t>
        </is>
      </c>
      <c r="W29">
        <f>HYPERLINK("https://klasma.github.io/Logging_1782/artfynd/A 10138-2024 artfynd.xlsx", "A 10138-2024")</f>
        <v/>
      </c>
      <c r="X29">
        <f>HYPERLINK("https://klasma.github.io/Logging_1782/kartor/A 10138-2024 karta.png", "A 10138-2024")</f>
        <v/>
      </c>
      <c r="Y29">
        <f>HYPERLINK("https://klasma.github.io/Logging_1782/kartor_geotiff/A 10138-2024 georefererad karta.tif", "A 10138-2024")</f>
        <v/>
      </c>
      <c r="AA29">
        <f>HYPERLINK("https://klasma.github.io/Logging_1782/klagomål/A 10138-2024 FSC-klagomål.docx", "A 10138-2024")</f>
        <v/>
      </c>
      <c r="AB29">
        <f>HYPERLINK("https://klasma.github.io/Logging_1782/klagomålsmail/A 10138-2024 FSC-klagomål mail.docx", "A 10138-2024")</f>
        <v/>
      </c>
      <c r="AC29">
        <f>HYPERLINK("https://klasma.github.io/Logging_1782/tillsyn/A 10138-2024 tillsynsbegäran.docx", "A 10138-2024")</f>
        <v/>
      </c>
      <c r="AD29">
        <f>HYPERLINK("https://klasma.github.io/Logging_1782/tillsynsmail/A 10138-2024 tillsynsbegäran mail.docx", "A 10138-2024")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46225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HYPERLINK("https://klasma.github.io/Logging_1782/artfynd/A 38140-2024 artfynd.xlsx", "A 38140-2024")</f>
        <v/>
      </c>
      <c r="X30">
        <f>HYPERLINK("https://klasma.github.io/Logging_1782/kartor/A 38140-2024 karta.png", "A 38140-2024")</f>
        <v/>
      </c>
      <c r="Y30">
        <f>HYPERLINK("https://klasma.github.io/Logging_1782/kartor_geotiff/A 38140-2024 georefererad karta.tif", "A 38140-2024")</f>
        <v/>
      </c>
      <c r="AA30">
        <f>HYPERLINK("https://klasma.github.io/Logging_1782/klagomål/A 38140-2024 FSC-klagomål.docx", "A 38140-2024")</f>
        <v/>
      </c>
      <c r="AB30">
        <f>HYPERLINK("https://klasma.github.io/Logging_1782/klagomålsmail/A 38140-2024 FSC-klagomål mail.docx", "A 38140-2024")</f>
        <v/>
      </c>
      <c r="AC30">
        <f>HYPERLINK("https://klasma.github.io/Logging_1782/tillsyn/A 38140-2024 tillsynsbegäran.docx", "A 38140-2024")</f>
        <v/>
      </c>
      <c r="AD30">
        <f>HYPERLINK("https://klasma.github.io/Logging_1782/tillsynsmail/A 38140-2024 tillsynsbegäran mail.docx", "A 38140-2024")</f>
        <v/>
      </c>
    </row>
    <row r="31" ht="15" customHeight="1">
      <c r="A31" t="inlineStr">
        <is>
          <t>A 4560-2025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46225</v>
      </c>
      <c r="F31" t="inlineStr">
        <is>
          <t>VÄRMLANDS LÄN</t>
        </is>
      </c>
      <c r="G31" t="inlineStr">
        <is>
          <t>FILIPSTAD</t>
        </is>
      </c>
      <c r="I31" t="n">
        <v>13.6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Skrovlig taggsvamp</t>
        </is>
      </c>
      <c r="W31">
        <f>HYPERLINK("https://klasma.github.io/Logging_1782/artfynd/A 4560-2025 artfynd.xlsx", "A 4560-2025")</f>
        <v/>
      </c>
      <c r="X31">
        <f>HYPERLINK("https://klasma.github.io/Logging_1782/kartor/A 4560-2025 karta.png", "A 4560-2025")</f>
        <v/>
      </c>
      <c r="Y31">
        <f>HYPERLINK("https://klasma.github.io/Logging_1782/kartor_geotiff/A 4560-2025 georefererad karta.tif", "A 4560-2025")</f>
        <v/>
      </c>
      <c r="AA31">
        <f>HYPERLINK("https://klasma.github.io/Logging_1782/klagomål/A 4560-2025 FSC-klagomål.docx", "A 4560-2025")</f>
        <v/>
      </c>
      <c r="AB31">
        <f>HYPERLINK("https://klasma.github.io/Logging_1782/klagomålsmail/A 4560-2025 FSC-klagomål mail.docx", "A 4560-2025")</f>
        <v/>
      </c>
      <c r="AC31">
        <f>HYPERLINK("https://klasma.github.io/Logging_1782/tillsyn/A 4560-2025 tillsynsbegäran.docx", "A 4560-2025")</f>
        <v/>
      </c>
      <c r="AD31">
        <f>HYPERLINK("https://klasma.github.io/Logging_1782/tillsynsmail/A 4560-2025 tillsynsbegäran mail.docx", "A 4560-2025")</f>
        <v/>
      </c>
    </row>
    <row r="32" ht="15" customHeight="1">
      <c r="A32" t="inlineStr">
        <is>
          <t>A 25916-2025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45804</v>
      </c>
      <c r="E32" s="1" t="n">
        <v>46225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26.4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HYPERLINK("https://klasma.github.io/Logging_1782/artfynd/A 25916-2025 artfynd.xlsx", "A 25916-2025")</f>
        <v/>
      </c>
      <c r="X32">
        <f>HYPERLINK("https://klasma.github.io/Logging_1782/kartor/A 25916-2025 karta.png", "A 25916-2025")</f>
        <v/>
      </c>
      <c r="Y32">
        <f>HYPERLINK("https://klasma.github.io/Logging_1782/kartor_geotiff/A 25916-2025 georefererad karta.tif", "A 25916-2025")</f>
        <v/>
      </c>
      <c r="AA32">
        <f>HYPERLINK("https://klasma.github.io/Logging_1782/klagomål/A 25916-2025 FSC-klagomål.docx", "A 25916-2025")</f>
        <v/>
      </c>
      <c r="AB32">
        <f>HYPERLINK("https://klasma.github.io/Logging_1782/klagomålsmail/A 25916-2025 FSC-klagomål mail.docx", "A 25916-2025")</f>
        <v/>
      </c>
      <c r="AC32">
        <f>HYPERLINK("https://klasma.github.io/Logging_1782/tillsyn/A 25916-2025 tillsynsbegäran.docx", "A 25916-2025")</f>
        <v/>
      </c>
      <c r="AD32">
        <f>HYPERLINK("https://klasma.github.io/Logging_1782/tillsynsmail/A 25916-2025 tillsynsbegäran mail.docx", "A 25916-2025")</f>
        <v/>
      </c>
    </row>
    <row r="33" ht="15" customHeight="1">
      <c r="A33" t="inlineStr">
        <is>
          <t>A 30652-2025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45831</v>
      </c>
      <c r="E33" s="1" t="n">
        <v>46225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Tjäder</t>
        </is>
      </c>
      <c r="W33">
        <f>HYPERLINK("https://klasma.github.io/Logging_1782/artfynd/A 30652-2025 artfynd.xlsx", "A 30652-2025")</f>
        <v/>
      </c>
      <c r="X33">
        <f>HYPERLINK("https://klasma.github.io/Logging_1782/kartor/A 30652-2025 karta.png", "A 30652-2025")</f>
        <v/>
      </c>
      <c r="Y33">
        <f>HYPERLINK("https://klasma.github.io/Logging_1782/kartor_geotiff/A 30652-2025 georefererad karta.tif", "A 30652-2025")</f>
        <v/>
      </c>
      <c r="AA33">
        <f>HYPERLINK("https://klasma.github.io/Logging_1782/klagomål/A 30652-2025 FSC-klagomål.docx", "A 30652-2025")</f>
        <v/>
      </c>
      <c r="AB33">
        <f>HYPERLINK("https://klasma.github.io/Logging_1782/klagomålsmail/A 30652-2025 FSC-klagomål mail.docx", "A 30652-2025")</f>
        <v/>
      </c>
      <c r="AC33">
        <f>HYPERLINK("https://klasma.github.io/Logging_1782/tillsyn/A 30652-2025 tillsynsbegäran.docx", "A 30652-2025")</f>
        <v/>
      </c>
      <c r="AD33">
        <f>HYPERLINK("https://klasma.github.io/Logging_1782/tillsynsmail/A 30652-2025 tillsynsbegäran mail.docx", "A 30652-2025")</f>
        <v/>
      </c>
      <c r="AE33">
        <f>HYPERLINK("https://klasma.github.io/Logging_1782/fåglar/A 30652-2025 prioriterade fågelarter.docx", "A 30652-2025")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46225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34145-2024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45524</v>
      </c>
      <c r="E35" s="1" t="n">
        <v>46225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Brunklöver</t>
        </is>
      </c>
      <c r="W35">
        <f>HYPERLINK("https://klasma.github.io/Logging_1782/artfynd/A 34145-2024 artfynd.xlsx", "A 34145-2024")</f>
        <v/>
      </c>
      <c r="X35">
        <f>HYPERLINK("https://klasma.github.io/Logging_1782/kartor/A 34145-2024 karta.png", "A 34145-2024")</f>
        <v/>
      </c>
      <c r="Y35">
        <f>HYPERLINK("https://klasma.github.io/Logging_1782/kartor_geotiff/A 34145-2024 georefererad karta.tif", "A 34145-2024")</f>
        <v/>
      </c>
      <c r="AA35">
        <f>HYPERLINK("https://klasma.github.io/Logging_1782/klagomål/A 34145-2024 FSC-klagomål.docx", "A 34145-2024")</f>
        <v/>
      </c>
      <c r="AB35">
        <f>HYPERLINK("https://klasma.github.io/Logging_1782/klagomålsmail/A 34145-2024 FSC-klagomål mail.docx", "A 34145-2024")</f>
        <v/>
      </c>
      <c r="AC35">
        <f>HYPERLINK("https://klasma.github.io/Logging_1782/tillsyn/A 34145-2024 tillsynsbegäran.docx", "A 34145-2024")</f>
        <v/>
      </c>
      <c r="AD35">
        <f>HYPERLINK("https://klasma.github.io/Logging_1782/tillsynsmail/A 34145-2024 tillsynsbegäran mail.docx", "A 34145-2024")</f>
        <v/>
      </c>
    </row>
    <row r="36" ht="15" customHeight="1">
      <c r="A36" t="inlineStr">
        <is>
          <t>A 23046-2023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46225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HYPERLINK("https://klasma.github.io/Logging_1782/artfynd/A 23046-2023 artfynd.xlsx", "A 23046-2023")</f>
        <v/>
      </c>
      <c r="X36">
        <f>HYPERLINK("https://klasma.github.io/Logging_1782/kartor/A 23046-2023 karta.png", "A 23046-2023")</f>
        <v/>
      </c>
      <c r="Y36">
        <f>HYPERLINK("https://klasma.github.io/Logging_1782/kartor_geotiff/A 23046-2023 georefererad karta.tif", "A 23046-2023")</f>
        <v/>
      </c>
      <c r="Z36">
        <f>HYPERLINK("https://klasma.github.io/Logging_1782/knärot/A 23046-2023 karta knärot.png", "A 23046-2023")</f>
        <v/>
      </c>
      <c r="AA36">
        <f>HYPERLINK("https://klasma.github.io/Logging_1782/klagomål/A 23046-2023 FSC-klagomål.docx", "A 23046-2023")</f>
        <v/>
      </c>
      <c r="AB36">
        <f>HYPERLINK("https://klasma.github.io/Logging_1782/klagomålsmail/A 23046-2023 FSC-klagomål mail.docx", "A 23046-2023")</f>
        <v/>
      </c>
      <c r="AC36">
        <f>HYPERLINK("https://klasma.github.io/Logging_1782/tillsyn/A 23046-2023 tillsynsbegäran.docx", "A 23046-2023")</f>
        <v/>
      </c>
      <c r="AD36">
        <f>HYPERLINK("https://klasma.github.io/Logging_1782/tillsynsmail/A 23046-2023 tillsynsbegäran mail.docx", "A 23046-2023")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46225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Ädellav</t>
        </is>
      </c>
      <c r="W37">
        <f>HYPERLINK("https://klasma.github.io/Logging_1782/artfynd/A 17529-2026 artfynd.xlsx", "A 17529-2026")</f>
        <v/>
      </c>
      <c r="X37">
        <f>HYPERLINK("https://klasma.github.io/Logging_1782/kartor/A 17529-2026 karta.png", "A 17529-2026")</f>
        <v/>
      </c>
      <c r="Y37">
        <f>HYPERLINK("https://klasma.github.io/Logging_1782/kartor_geotiff/A 17529-2026 georefererad karta.tif", "A 17529-2026")</f>
        <v/>
      </c>
      <c r="AA37">
        <f>HYPERLINK("https://klasma.github.io/Logging_1782/klagomål/A 17529-2026 FSC-klagomål.docx", "A 17529-2026")</f>
        <v/>
      </c>
      <c r="AB37">
        <f>HYPERLINK("https://klasma.github.io/Logging_1782/klagomålsmail/A 17529-2026 FSC-klagomål mail.docx", "A 17529-2026")</f>
        <v/>
      </c>
      <c r="AC37">
        <f>HYPERLINK("https://klasma.github.io/Logging_1782/tillsyn/A 17529-2026 tillsynsbegäran.docx", "A 17529-2026")</f>
        <v/>
      </c>
      <c r="AD37">
        <f>HYPERLINK("https://klasma.github.io/Logging_1782/tillsynsmail/A 17529-2026 tillsynsbegäran mail.docx", "A 17529-2026")</f>
        <v/>
      </c>
    </row>
    <row r="38" ht="15" customHeight="1">
      <c r="A38" t="inlineStr">
        <is>
          <t>A 58734-2025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46225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18.2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Tretåig hackspett</t>
        </is>
      </c>
      <c r="W38">
        <f>HYPERLINK("https://klasma.github.io/Logging_1782/artfynd/A 58734-2025 artfynd.xlsx", "A 58734-2025")</f>
        <v/>
      </c>
      <c r="X38">
        <f>HYPERLINK("https://klasma.github.io/Logging_1782/kartor/A 58734-2025 karta.png", "A 58734-2025")</f>
        <v/>
      </c>
      <c r="Y38">
        <f>HYPERLINK("https://klasma.github.io/Logging_1782/kartor_geotiff/A 58734-2025 georefererad karta.tif", "A 58734-2025")</f>
        <v/>
      </c>
      <c r="AA38">
        <f>HYPERLINK("https://klasma.github.io/Logging_1782/klagomål/A 58734-2025 FSC-klagomål.docx", "A 58734-2025")</f>
        <v/>
      </c>
      <c r="AB38">
        <f>HYPERLINK("https://klasma.github.io/Logging_1782/klagomålsmail/A 58734-2025 FSC-klagomål mail.docx", "A 58734-2025")</f>
        <v/>
      </c>
      <c r="AC38">
        <f>HYPERLINK("https://klasma.github.io/Logging_1782/tillsyn/A 58734-2025 tillsynsbegäran.docx", "A 58734-2025")</f>
        <v/>
      </c>
      <c r="AD38">
        <f>HYPERLINK("https://klasma.github.io/Logging_1782/tillsynsmail/A 58734-2025 tillsynsbegäran mail.docx", "A 58734-2025")</f>
        <v/>
      </c>
      <c r="AE38">
        <f>HYPERLINK("https://klasma.github.io/Logging_1782/fåglar/A 58734-2025 prioriterade fågelarter.docx", "A 58734-2025")</f>
        <v/>
      </c>
    </row>
    <row r="39" ht="15" customHeight="1">
      <c r="A39" t="inlineStr">
        <is>
          <t>A 28915-2026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46199</v>
      </c>
      <c r="E39" s="1" t="n">
        <v>46225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Stjärnstarr</t>
        </is>
      </c>
      <c r="W39">
        <f>HYPERLINK("https://klasma.github.io/Logging_1782/artfynd/A 28915-2026 artfynd.xlsx", "A 28915-2026")</f>
        <v/>
      </c>
      <c r="X39">
        <f>HYPERLINK("https://klasma.github.io/Logging_1782/kartor/A 28915-2026 karta.png", "A 28915-2026")</f>
        <v/>
      </c>
      <c r="Y39">
        <f>HYPERLINK("https://klasma.github.io/Logging_1782/kartor_geotiff/A 28915-2026 georefererad karta.tif", "A 28915-2026")</f>
        <v/>
      </c>
      <c r="AA39">
        <f>HYPERLINK("https://klasma.github.io/Logging_1782/klagomål/A 28915-2026 FSC-klagomål.docx", "A 28915-2026")</f>
        <v/>
      </c>
      <c r="AB39">
        <f>HYPERLINK("https://klasma.github.io/Logging_1782/klagomålsmail/A 28915-2026 FSC-klagomål mail.docx", "A 28915-2026")</f>
        <v/>
      </c>
      <c r="AC39">
        <f>HYPERLINK("https://klasma.github.io/Logging_1782/tillsyn/A 28915-2026 tillsynsbegäran.docx", "A 28915-2026")</f>
        <v/>
      </c>
      <c r="AD39">
        <f>HYPERLINK("https://klasma.github.io/Logging_1782/tillsynsmail/A 28915-2026 tillsynsbegäran mail.docx", "A 28915-2026")</f>
        <v/>
      </c>
    </row>
    <row r="40" ht="15" customHeight="1">
      <c r="A40" t="inlineStr">
        <is>
          <t>A 31257-2026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46225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10.2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Gräsull</t>
        </is>
      </c>
      <c r="W40">
        <f>HYPERLINK("https://klasma.github.io/Logging_1782/artfynd/A 31257-2026 artfynd.xlsx", "A 31257-2026")</f>
        <v/>
      </c>
      <c r="X40">
        <f>HYPERLINK("https://klasma.github.io/Logging_1782/kartor/A 31257-2026 karta.png", "A 31257-2026")</f>
        <v/>
      </c>
      <c r="Y40">
        <f>HYPERLINK("https://klasma.github.io/Logging_1782/kartor_geotiff/A 31257-2026 georefererad karta.tif", "A 31257-2026")</f>
        <v/>
      </c>
      <c r="AA40">
        <f>HYPERLINK("https://klasma.github.io/Logging_1782/klagomål/A 31257-2026 FSC-klagomål.docx", "A 31257-2026")</f>
        <v/>
      </c>
      <c r="AB40">
        <f>HYPERLINK("https://klasma.github.io/Logging_1782/klagomålsmail/A 31257-2026 FSC-klagomål mail.docx", "A 31257-2026")</f>
        <v/>
      </c>
      <c r="AC40">
        <f>HYPERLINK("https://klasma.github.io/Logging_1782/tillsyn/A 31257-2026 tillsynsbegäran.docx", "A 31257-2026")</f>
        <v/>
      </c>
      <c r="AD40">
        <f>HYPERLINK("https://klasma.github.io/Logging_1782/tillsynsmail/A 31257-2026 tillsynsbegäran mail.docx", "A 31257-2026")</f>
        <v/>
      </c>
    </row>
    <row r="41" ht="15" customHeight="1">
      <c r="A41" t="inlineStr">
        <is>
          <t>A 25862-2026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46225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Talltaggsvamp</t>
        </is>
      </c>
      <c r="W41">
        <f>HYPERLINK("https://klasma.github.io/Logging_1782/artfynd/A 25862-2026 artfynd.xlsx", "A 25862-2026")</f>
        <v/>
      </c>
      <c r="X41">
        <f>HYPERLINK("https://klasma.github.io/Logging_1782/kartor/A 25862-2026 karta.png", "A 25862-2026")</f>
        <v/>
      </c>
      <c r="Y41">
        <f>HYPERLINK("https://klasma.github.io/Logging_1782/kartor_geotiff/A 25862-2026 georefererad karta.tif", "A 25862-2026")</f>
        <v/>
      </c>
      <c r="AA41">
        <f>HYPERLINK("https://klasma.github.io/Logging_1782/klagomål/A 25862-2026 FSC-klagomål.docx", "A 25862-2026")</f>
        <v/>
      </c>
      <c r="AB41">
        <f>HYPERLINK("https://klasma.github.io/Logging_1782/klagomålsmail/A 25862-2026 FSC-klagomål mail.docx", "A 25862-2026")</f>
        <v/>
      </c>
      <c r="AC41">
        <f>HYPERLINK("https://klasma.github.io/Logging_1782/tillsyn/A 25862-2026 tillsynsbegäran.docx", "A 25862-2026")</f>
        <v/>
      </c>
      <c r="AD41">
        <f>HYPERLINK("https://klasma.github.io/Logging_1782/tillsynsmail/A 25862-2026 tillsynsbegäran mail.docx", "A 25862-2026")</f>
        <v/>
      </c>
    </row>
    <row r="42" ht="15" customHeight="1">
      <c r="A42" t="inlineStr">
        <is>
          <t>A 874-2025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45665</v>
      </c>
      <c r="E42" s="1" t="n">
        <v>46225</v>
      </c>
      <c r="F42" t="inlineStr">
        <is>
          <t>VÄRMLANDS LÄN</t>
        </is>
      </c>
      <c r="G42" t="inlineStr">
        <is>
          <t>FILIPSTAD</t>
        </is>
      </c>
      <c r="H42" t="inlineStr">
        <is>
          <t>Kyrkan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Kamjordstjärna</t>
        </is>
      </c>
      <c r="W42">
        <f>HYPERLINK("https://klasma.github.io/Logging_1782/artfynd/A 874-2025 artfynd.xlsx", "A 874-2025")</f>
        <v/>
      </c>
      <c r="X42">
        <f>HYPERLINK("https://klasma.github.io/Logging_1782/kartor/A 874-2025 karta.png", "A 874-2025")</f>
        <v/>
      </c>
      <c r="Y42">
        <f>HYPERLINK("https://klasma.github.io/Logging_1782/kartor_geotiff/A 874-2025 georefererad karta.tif", "A 874-2025")</f>
        <v/>
      </c>
      <c r="AA42">
        <f>HYPERLINK("https://klasma.github.io/Logging_1782/klagomål/A 874-2025 FSC-klagomål.docx", "A 874-2025")</f>
        <v/>
      </c>
      <c r="AB42">
        <f>HYPERLINK("https://klasma.github.io/Logging_1782/klagomålsmail/A 874-2025 FSC-klagomål mail.docx", "A 874-2025")</f>
        <v/>
      </c>
      <c r="AC42">
        <f>HYPERLINK("https://klasma.github.io/Logging_1782/tillsyn/A 874-2025 tillsynsbegäran.docx", "A 874-2025")</f>
        <v/>
      </c>
      <c r="AD42">
        <f>HYPERLINK("https://klasma.github.io/Logging_1782/tillsynsmail/A 874-2025 tillsynsbegäran mail.docx", "A 874-2025")</f>
        <v/>
      </c>
    </row>
    <row r="43" ht="15" customHeight="1">
      <c r="A43" t="inlineStr">
        <is>
          <t>A 51522-2022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44869</v>
      </c>
      <c r="E43" s="1" t="n">
        <v>46225</v>
      </c>
      <c r="F43" t="inlineStr">
        <is>
          <t>VÄRMLANDS LÄN</t>
        </is>
      </c>
      <c r="G43" t="inlineStr">
        <is>
          <t>FILIPSTAD</t>
        </is>
      </c>
      <c r="I43" t="n">
        <v>4.1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Tibast</t>
        </is>
      </c>
      <c r="W43">
        <f>HYPERLINK("https://klasma.github.io/Logging_1782/artfynd/A 51522-2022 artfynd.xlsx", "A 51522-2022")</f>
        <v/>
      </c>
      <c r="X43">
        <f>HYPERLINK("https://klasma.github.io/Logging_1782/kartor/A 51522-2022 karta.png", "A 51522-2022")</f>
        <v/>
      </c>
      <c r="Y43">
        <f>HYPERLINK("https://klasma.github.io/Logging_1782/kartor_geotiff/A 51522-2022 georefererad karta.tif", "A 51522-2022")</f>
        <v/>
      </c>
      <c r="AA43">
        <f>HYPERLINK("https://klasma.github.io/Logging_1782/klagomål/A 51522-2022 FSC-klagomål.docx", "A 51522-2022")</f>
        <v/>
      </c>
      <c r="AB43">
        <f>HYPERLINK("https://klasma.github.io/Logging_1782/klagomålsmail/A 51522-2022 FSC-klagomål mail.docx", "A 51522-2022")</f>
        <v/>
      </c>
      <c r="AC43">
        <f>HYPERLINK("https://klasma.github.io/Logging_1782/tillsyn/A 51522-2022 tillsynsbegäran.docx", "A 51522-2022")</f>
        <v/>
      </c>
      <c r="AD43">
        <f>HYPERLINK("https://klasma.github.io/Logging_1782/tillsynsmail/A 51522-2022 tillsynsbegäran mail.docx", "A 51522-2022")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46225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46225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Slaguggla</t>
        </is>
      </c>
      <c r="W45">
        <f>HYPERLINK("https://klasma.github.io/Logging_1782/artfynd/S 264-2022 artfynd.xlsx", "S 264-2022")</f>
        <v/>
      </c>
      <c r="X45">
        <f>HYPERLINK("https://klasma.github.io/Logging_1782/kartor/S 264-2022 karta.png", "S 264-2022")</f>
        <v/>
      </c>
      <c r="Y45">
        <f>HYPERLINK("https://klasma.github.io/Logging_1782/kartor_geotiff/S 264-2022 georefererad karta.tif", "S 264-2022")</f>
        <v/>
      </c>
      <c r="AA45">
        <f>HYPERLINK("https://klasma.github.io/Logging_1782/klagomål/S 264-2022 FSC-klagomål.docx", "S 264-2022")</f>
        <v/>
      </c>
      <c r="AB45">
        <f>HYPERLINK("https://klasma.github.io/Logging_1782/klagomålsmail/S 264-2022 FSC-klagomål mail.docx", "S 264-2022")</f>
        <v/>
      </c>
      <c r="AC45">
        <f>HYPERLINK("https://klasma.github.io/Logging_1782/tillsyn/S 264-2022 tillsynsbegäran.docx", "S 264-2022")</f>
        <v/>
      </c>
      <c r="AD45">
        <f>HYPERLINK("https://klasma.github.io/Logging_1782/tillsynsmail/S 264-2022 tillsynsbegäran mail.docx", "S 264-2022")</f>
        <v/>
      </c>
      <c r="AE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46225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Skrovlig taggsvamp</t>
        </is>
      </c>
      <c r="W46">
        <f>HYPERLINK("https://klasma.github.io/Logging_1782/artfynd/S 383-2025 artfynd.xlsx", "S 383-2025")</f>
        <v/>
      </c>
      <c r="X46">
        <f>HYPERLINK("https://klasma.github.io/Logging_1782/kartor/S 383-2025 karta.png", "S 383-2025")</f>
        <v/>
      </c>
      <c r="Y46">
        <f>HYPERLINK("https://klasma.github.io/Logging_1782/kartor_geotiff/S 383-2025 georefererad karta.tif", "S 383-2025")</f>
        <v/>
      </c>
      <c r="AA46">
        <f>HYPERLINK("https://klasma.github.io/Logging_1782/klagomål/S 383-2025 FSC-klagomål.docx", "S 383-2025")</f>
        <v/>
      </c>
      <c r="AB46">
        <f>HYPERLINK("https://klasma.github.io/Logging_1782/klagomålsmail/S 383-2025 FSC-klagomål mail.docx", "S 383-2025")</f>
        <v/>
      </c>
      <c r="AC46">
        <f>HYPERLINK("https://klasma.github.io/Logging_1782/tillsyn/S 383-2025 tillsynsbegäran.docx", "S 383-2025")</f>
        <v/>
      </c>
      <c r="AD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46225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46225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46225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46225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46225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46225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46225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46225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46225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37783-2021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44401</v>
      </c>
      <c r="E56" s="1" t="n">
        <v>46225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46225</v>
      </c>
      <c r="F57" t="inlineStr">
        <is>
          <t>VÄRMLANDS LÄN</t>
        </is>
      </c>
      <c r="G57" t="inlineStr">
        <is>
          <t>FILIPSTAD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46225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30.7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63714-2021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44505</v>
      </c>
      <c r="E59" s="1" t="n">
        <v>46225</v>
      </c>
      <c r="F59" t="inlineStr">
        <is>
          <t>VÄRMLANDS LÄN</t>
        </is>
      </c>
      <c r="G59" t="inlineStr">
        <is>
          <t>FILIPSTAD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44651</v>
      </c>
      <c r="E60" s="1" t="n">
        <v>46225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18.7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46225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46225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46225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46225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57090-2021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44482</v>
      </c>
      <c r="E65" s="1" t="n">
        <v>46225</v>
      </c>
      <c r="F65" t="inlineStr">
        <is>
          <t>VÄRMLANDS LÄN</t>
        </is>
      </c>
      <c r="G65" t="inlineStr">
        <is>
          <t>FILIPSTAD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46225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46225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46225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46225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59954-2021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46225</v>
      </c>
      <c r="F70" t="inlineStr">
        <is>
          <t>VÄRMLANDS LÄN</t>
        </is>
      </c>
      <c r="G70" t="inlineStr">
        <is>
          <t>FILIPSTAD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14074-2022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44651</v>
      </c>
      <c r="E71" s="1" t="n">
        <v>46225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66376-2021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44518</v>
      </c>
      <c r="E72" s="1" t="n">
        <v>46225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9.800000000000001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64526-2021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46225</v>
      </c>
      <c r="F73" t="inlineStr">
        <is>
          <t>VÄRMLANDS LÄN</t>
        </is>
      </c>
      <c r="G73" t="inlineStr">
        <is>
          <t>FILIPSTAD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50009-2021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46225</v>
      </c>
      <c r="F74" t="inlineStr">
        <is>
          <t>VÄRMLANDS LÄN</t>
        </is>
      </c>
      <c r="G74" t="inlineStr">
        <is>
          <t>FILIPSTAD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46225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57087-2021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44482</v>
      </c>
      <c r="E76" s="1" t="n">
        <v>46225</v>
      </c>
      <c r="F76" t="inlineStr">
        <is>
          <t>VÄRMLANDS LÄN</t>
        </is>
      </c>
      <c r="G76" t="inlineStr">
        <is>
          <t>FILIPSTAD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46225</v>
      </c>
      <c r="F77" t="inlineStr">
        <is>
          <t>VÄRMLANDS LÄN</t>
        </is>
      </c>
      <c r="G77" t="inlineStr">
        <is>
          <t>FILIPSTAD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46225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45203</v>
      </c>
      <c r="E79" s="1" t="n">
        <v>46225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45700</v>
      </c>
      <c r="E80" s="1" t="n">
        <v>46225</v>
      </c>
      <c r="F80" t="inlineStr">
        <is>
          <t>VÄRMLANDS LÄN</t>
        </is>
      </c>
      <c r="G80" t="inlineStr">
        <is>
          <t>FILIPSTAD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52981-2021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46225</v>
      </c>
      <c r="F81" t="inlineStr">
        <is>
          <t>VÄRMLANDS LÄN</t>
        </is>
      </c>
      <c r="G81" t="inlineStr">
        <is>
          <t>FILIPSTAD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6860-2024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45342</v>
      </c>
      <c r="E82" s="1" t="n">
        <v>46225</v>
      </c>
      <c r="F82" t="inlineStr">
        <is>
          <t>VÄRMLANDS LÄN</t>
        </is>
      </c>
      <c r="G82" t="inlineStr">
        <is>
          <t>FILIPSTAD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45230</v>
      </c>
      <c r="E83" s="1" t="n">
        <v>46225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46225</v>
      </c>
      <c r="F84" t="inlineStr">
        <is>
          <t>VÄRMLANDS LÄN</t>
        </is>
      </c>
      <c r="G84" t="inlineStr">
        <is>
          <t>FILIPSTAD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46225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45223</v>
      </c>
      <c r="E86" s="1" t="n">
        <v>46225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46225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13918-2024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45391</v>
      </c>
      <c r="E88" s="1" t="n">
        <v>46225</v>
      </c>
      <c r="F88" t="inlineStr">
        <is>
          <t>VÄRMLANDS LÄN</t>
        </is>
      </c>
      <c r="G88" t="inlineStr">
        <is>
          <t>FILIPSTAD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45453</v>
      </c>
      <c r="E89" s="1" t="n">
        <v>46225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46225</v>
      </c>
      <c r="F90" t="inlineStr">
        <is>
          <t>VÄRMLANDS LÄN</t>
        </is>
      </c>
      <c r="G90" t="inlineStr">
        <is>
          <t>FILIPSTAD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12837-2024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45384</v>
      </c>
      <c r="E91" s="1" t="n">
        <v>46225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45408</v>
      </c>
      <c r="E92" s="1" t="n">
        <v>46225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46225</v>
      </c>
      <c r="F93" t="inlineStr">
        <is>
          <t>VÄRMLANDS LÄN</t>
        </is>
      </c>
      <c r="G93" t="inlineStr">
        <is>
          <t>FILIPSTAD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51266-2021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46225</v>
      </c>
      <c r="F94" t="inlineStr">
        <is>
          <t>VÄRMLANDS LÄN</t>
        </is>
      </c>
      <c r="G94" t="inlineStr">
        <is>
          <t>FILIPSTAD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45267</v>
      </c>
      <c r="E95" s="1" t="n">
        <v>46225</v>
      </c>
      <c r="F95" t="inlineStr">
        <is>
          <t>VÄRMLANDS LÄN</t>
        </is>
      </c>
      <c r="G95" t="inlineStr">
        <is>
          <t>FILIPSTAD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46225</v>
      </c>
      <c r="F96" t="inlineStr">
        <is>
          <t>VÄRMLANDS LÄN</t>
        </is>
      </c>
      <c r="G96" t="inlineStr">
        <is>
          <t>FILIPSTAD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45418</v>
      </c>
      <c r="E97" s="1" t="n">
        <v>46225</v>
      </c>
      <c r="F97" t="inlineStr">
        <is>
          <t>VÄRMLANDS LÄN</t>
        </is>
      </c>
      <c r="G97" t="inlineStr">
        <is>
          <t>FILIPSTAD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45244</v>
      </c>
      <c r="E98" s="1" t="n">
        <v>46225</v>
      </c>
      <c r="F98" t="inlineStr">
        <is>
          <t>VÄRMLANDS LÄN</t>
        </is>
      </c>
      <c r="G98" t="inlineStr">
        <is>
          <t>FILIPSTAD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45463</v>
      </c>
      <c r="E99" s="1" t="n">
        <v>46225</v>
      </c>
      <c r="F99" t="inlineStr">
        <is>
          <t>VÄRMLANDS LÄN</t>
        </is>
      </c>
      <c r="G99" t="inlineStr">
        <is>
          <t>FILIPSTAD</t>
        </is>
      </c>
      <c r="I99" t="n">
        <v>13.2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32185-2024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45511</v>
      </c>
      <c r="E100" s="1" t="n">
        <v>46225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46225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32262-2023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46225</v>
      </c>
      <c r="F102" t="inlineStr">
        <is>
          <t>VÄRMLANDS LÄN</t>
        </is>
      </c>
      <c r="G102" t="inlineStr">
        <is>
          <t>FILIPSTAD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26123-2025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45805</v>
      </c>
      <c r="E103" s="1" t="n">
        <v>46225</v>
      </c>
      <c r="F103" t="inlineStr">
        <is>
          <t>VÄRMLANDS LÄN</t>
        </is>
      </c>
      <c r="G103" t="inlineStr">
        <is>
          <t>FILIPSTAD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45805</v>
      </c>
      <c r="E104" s="1" t="n">
        <v>46225</v>
      </c>
      <c r="F104" t="inlineStr">
        <is>
          <t>VÄRMLANDS LÄN</t>
        </is>
      </c>
      <c r="G104" t="inlineStr">
        <is>
          <t>FILIPSTAD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46225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26843-2024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45470</v>
      </c>
      <c r="E106" s="1" t="n">
        <v>46225</v>
      </c>
      <c r="F106" t="inlineStr">
        <is>
          <t>VÄRMLANDS LÄN</t>
        </is>
      </c>
      <c r="G106" t="inlineStr">
        <is>
          <t>FILIPSTAD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58611-2025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45986</v>
      </c>
      <c r="E107" s="1" t="n">
        <v>46225</v>
      </c>
      <c r="F107" t="inlineStr">
        <is>
          <t>VÄRMLANDS LÄN</t>
        </is>
      </c>
      <c r="G107" t="inlineStr">
        <is>
          <t>FILIPSTAD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27400-2024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45474</v>
      </c>
      <c r="E108" s="1" t="n">
        <v>46225</v>
      </c>
      <c r="F108" t="inlineStr">
        <is>
          <t>VÄRMLANDS LÄN</t>
        </is>
      </c>
      <c r="G108" t="inlineStr">
        <is>
          <t>FILIPSTAD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26599-2024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45469</v>
      </c>
      <c r="E109" s="1" t="n">
        <v>46225</v>
      </c>
      <c r="F109" t="inlineStr">
        <is>
          <t>VÄRMLANDS LÄN</t>
        </is>
      </c>
      <c r="G109" t="inlineStr">
        <is>
          <t>FILIPSTAD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3071-2026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46040</v>
      </c>
      <c r="E110" s="1" t="n">
        <v>46225</v>
      </c>
      <c r="F110" t="inlineStr">
        <is>
          <t>VÄRMLANDS LÄN</t>
        </is>
      </c>
      <c r="G110" t="inlineStr">
        <is>
          <t>FILIPSTAD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29885-2025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45826</v>
      </c>
      <c r="E111" s="1" t="n">
        <v>46225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46225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46225</v>
      </c>
      <c r="F113" t="inlineStr">
        <is>
          <t>VÄRMLANDS LÄN</t>
        </is>
      </c>
      <c r="G113" t="inlineStr">
        <is>
          <t>FILIPSTAD</t>
        </is>
      </c>
      <c r="H113" t="inlineStr">
        <is>
          <t>Kyrkan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29660-2025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45825</v>
      </c>
      <c r="E114" s="1" t="n">
        <v>46225</v>
      </c>
      <c r="F114" t="inlineStr">
        <is>
          <t>VÄRMLANDS LÄN</t>
        </is>
      </c>
      <c r="G114" t="inlineStr">
        <is>
          <t>FILIPSTAD</t>
        </is>
      </c>
      <c r="I114" t="n">
        <v>23.3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29944-2025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45826</v>
      </c>
      <c r="E115" s="1" t="n">
        <v>46225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46225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46225</v>
      </c>
      <c r="F117" t="inlineStr">
        <is>
          <t>VÄRMLANDS LÄN</t>
        </is>
      </c>
      <c r="G117" t="inlineStr">
        <is>
          <t>FILIPSTAD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46056</v>
      </c>
      <c r="E118" s="1" t="n">
        <v>46225</v>
      </c>
      <c r="F118" t="inlineStr">
        <is>
          <t>VÄRMLANDS LÄN</t>
        </is>
      </c>
      <c r="G118" t="inlineStr">
        <is>
          <t>FILIPSTAD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46225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31172-2025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45832</v>
      </c>
      <c r="E120" s="1" t="n">
        <v>46225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41718-2025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45902</v>
      </c>
      <c r="E121" s="1" t="n">
        <v>46225</v>
      </c>
      <c r="F121" t="inlineStr">
        <is>
          <t>VÄRMLANDS LÄN</t>
        </is>
      </c>
      <c r="G121" t="inlineStr">
        <is>
          <t>FILIPSTAD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31883-2025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45834</v>
      </c>
      <c r="E122" s="1" t="n">
        <v>46225</v>
      </c>
      <c r="F122" t="inlineStr">
        <is>
          <t>VÄRMLANDS LÄN</t>
        </is>
      </c>
      <c r="G122" t="inlineStr">
        <is>
          <t>FILIPSTAD</t>
        </is>
      </c>
      <c r="I122" t="n">
        <v>18.7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46059</v>
      </c>
      <c r="E123" s="1" t="n">
        <v>46225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32032-2025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45835</v>
      </c>
      <c r="E124" s="1" t="n">
        <v>46225</v>
      </c>
      <c r="F124" t="inlineStr">
        <is>
          <t>VÄRMLANDS LÄN</t>
        </is>
      </c>
      <c r="G124" t="inlineStr">
        <is>
          <t>FILIPSTAD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46225</v>
      </c>
      <c r="F125" t="inlineStr">
        <is>
          <t>VÄRMLANDS LÄN</t>
        </is>
      </c>
      <c r="G125" t="inlineStr">
        <is>
          <t>FILIPSTAD</t>
        </is>
      </c>
      <c r="H125" t="inlineStr">
        <is>
          <t>Kyrkan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46064</v>
      </c>
      <c r="E126" s="1" t="n">
        <v>46225</v>
      </c>
      <c r="F126" t="inlineStr">
        <is>
          <t>VÄRMLANDS LÄN</t>
        </is>
      </c>
      <c r="G126" t="inlineStr">
        <is>
          <t>FILIPSTAD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45688</v>
      </c>
      <c r="E127" s="1" t="n">
        <v>46225</v>
      </c>
      <c r="F127" t="inlineStr">
        <is>
          <t>VÄRMLANDS LÄN</t>
        </is>
      </c>
      <c r="G127" t="inlineStr">
        <is>
          <t>FILIPSTAD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46225</v>
      </c>
      <c r="F128" t="inlineStr">
        <is>
          <t>VÄRMLANDS LÄN</t>
        </is>
      </c>
      <c r="G128" t="inlineStr">
        <is>
          <t>FILIPSTAD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33407-2025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45841</v>
      </c>
      <c r="E129" s="1" t="n">
        <v>46225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46225</v>
      </c>
      <c r="F130" t="inlineStr">
        <is>
          <t>VÄRMLANDS LÄN</t>
        </is>
      </c>
      <c r="G130" t="inlineStr">
        <is>
          <t>FILIPSTAD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10279-2026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46076</v>
      </c>
      <c r="E131" s="1" t="n">
        <v>46225</v>
      </c>
      <c r="F131" t="inlineStr">
        <is>
          <t>VÄRMLANDS LÄN</t>
        </is>
      </c>
      <c r="G131" t="inlineStr">
        <is>
          <t>FILIPSTAD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45393</v>
      </c>
      <c r="E132" s="1" t="n">
        <v>46225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45826</v>
      </c>
      <c r="E133" s="1" t="n">
        <v>46225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46204-2025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46225</v>
      </c>
      <c r="F134" t="inlineStr">
        <is>
          <t>VÄRMLANDS LÄN</t>
        </is>
      </c>
      <c r="G134" t="inlineStr">
        <is>
          <t>FILIPSTAD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46282-2025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46225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12216-2026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46087</v>
      </c>
      <c r="E136" s="1" t="n">
        <v>46225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46225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12491-2026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46090</v>
      </c>
      <c r="E138" s="1" t="n">
        <v>46225</v>
      </c>
      <c r="F138" t="inlineStr">
        <is>
          <t>VÄRMLANDS LÄN</t>
        </is>
      </c>
      <c r="G138" t="inlineStr">
        <is>
          <t>FILIPSTAD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12509-2026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46090</v>
      </c>
      <c r="E139" s="1" t="n">
        <v>46225</v>
      </c>
      <c r="F139" t="inlineStr">
        <is>
          <t>VÄRMLANDS LÄN</t>
        </is>
      </c>
      <c r="G139" t="inlineStr">
        <is>
          <t>FILIPSTAD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46090</v>
      </c>
      <c r="E140" s="1" t="n">
        <v>46225</v>
      </c>
      <c r="F140" t="inlineStr">
        <is>
          <t>VÄRMLANDS LÄN</t>
        </is>
      </c>
      <c r="G140" t="inlineStr">
        <is>
          <t>FILIPSTAD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45931</v>
      </c>
      <c r="E141" s="1" t="n">
        <v>46225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46225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46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45870</v>
      </c>
      <c r="E143" s="1" t="n">
        <v>46225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47633-2025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46225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46092</v>
      </c>
      <c r="E145" s="1" t="n">
        <v>46225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48103-2025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45933</v>
      </c>
      <c r="E146" s="1" t="n">
        <v>46225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46225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46225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46225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46225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13553-2026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46225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46225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46098</v>
      </c>
      <c r="E153" s="1" t="n">
        <v>46225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13.7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46098</v>
      </c>
      <c r="E154" s="1" t="n">
        <v>46225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46225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46225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14315-2026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46099</v>
      </c>
      <c r="E157" s="1" t="n">
        <v>46225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45943</v>
      </c>
      <c r="E158" s="1" t="n">
        <v>46225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45882</v>
      </c>
      <c r="E159" s="1" t="n">
        <v>46225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46225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45943</v>
      </c>
      <c r="E161" s="1" t="n">
        <v>46225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45943</v>
      </c>
      <c r="E162" s="1" t="n">
        <v>46225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50199-2025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45943</v>
      </c>
      <c r="E163" s="1" t="n">
        <v>46225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46225</v>
      </c>
      <c r="F164" t="inlineStr">
        <is>
          <t>VÄRMLANDS LÄN</t>
        </is>
      </c>
      <c r="G164" t="inlineStr">
        <is>
          <t>FILIPSTAD</t>
        </is>
      </c>
      <c r="H164" t="inlineStr">
        <is>
          <t>Kommuner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15848-2026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46107</v>
      </c>
      <c r="E165" s="1" t="n">
        <v>46225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46225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51031-2025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46225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46107</v>
      </c>
      <c r="E168" s="1" t="n">
        <v>46225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46225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46107</v>
      </c>
      <c r="E170" s="1" t="n">
        <v>46225</v>
      </c>
      <c r="F170" t="inlineStr">
        <is>
          <t>VÄRMLANDS LÄN</t>
        </is>
      </c>
      <c r="G170" t="inlineStr">
        <is>
          <t>FILIPSTAD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15644-2026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46225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46225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45950</v>
      </c>
      <c r="E173" s="1" t="n">
        <v>46225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45947</v>
      </c>
      <c r="E174" s="1" t="n">
        <v>46225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46108</v>
      </c>
      <c r="E175" s="1" t="n">
        <v>46225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16040-2026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46108</v>
      </c>
      <c r="E176" s="1" t="n">
        <v>46225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46108</v>
      </c>
      <c r="E177" s="1" t="n">
        <v>46225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46225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45674</v>
      </c>
      <c r="E179" s="1" t="n">
        <v>46225</v>
      </c>
      <c r="F179" t="inlineStr">
        <is>
          <t>VÄRMLANDS LÄN</t>
        </is>
      </c>
      <c r="G179" t="inlineStr">
        <is>
          <t>FILIPSTAD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45951</v>
      </c>
      <c r="E180" s="1" t="n">
        <v>46225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45953</v>
      </c>
      <c r="E181" s="1" t="n">
        <v>46225</v>
      </c>
      <c r="F181" t="inlineStr">
        <is>
          <t>VÄRMLANDS LÄN</t>
        </is>
      </c>
      <c r="G181" t="inlineStr">
        <is>
          <t>FILIPSTAD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46225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16975-2026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46114</v>
      </c>
      <c r="E183" s="1" t="n">
        <v>46225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17292-2026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46119</v>
      </c>
      <c r="E184" s="1" t="n">
        <v>46225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46119</v>
      </c>
      <c r="E185" s="1" t="n">
        <v>46225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46119</v>
      </c>
      <c r="E186" s="1" t="n">
        <v>46225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46225</v>
      </c>
      <c r="F187" t="inlineStr">
        <is>
          <t>VÄRMLANDS LÄN</t>
        </is>
      </c>
      <c r="G187" t="inlineStr">
        <is>
          <t>FILIPSTAD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46225</v>
      </c>
      <c r="F188" t="inlineStr">
        <is>
          <t>VÄRMLANDS LÄN</t>
        </is>
      </c>
      <c r="G188" t="inlineStr">
        <is>
          <t>FILIPSTAD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46120</v>
      </c>
      <c r="E189" s="1" t="n">
        <v>46225</v>
      </c>
      <c r="F189" t="inlineStr">
        <is>
          <t>VÄRMLANDS LÄN</t>
        </is>
      </c>
      <c r="G189" t="inlineStr">
        <is>
          <t>FILIPSTAD</t>
        </is>
      </c>
      <c r="I189" t="n">
        <v>9.699999999999999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46225</v>
      </c>
      <c r="F190" t="inlineStr">
        <is>
          <t>VÄRMLANDS LÄN</t>
        </is>
      </c>
      <c r="G190" t="inlineStr">
        <is>
          <t>FILIPSTAD</t>
        </is>
      </c>
      <c r="H190" t="inlineStr">
        <is>
          <t>Kyrkan</t>
        </is>
      </c>
      <c r="I190" t="n">
        <v>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46225</v>
      </c>
      <c r="F191" t="inlineStr">
        <is>
          <t>VÄRMLANDS LÄN</t>
        </is>
      </c>
      <c r="G191" t="inlineStr">
        <is>
          <t>FILIPSTAD</t>
        </is>
      </c>
      <c r="H191" t="inlineStr">
        <is>
          <t>Kyrkan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17949-2026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46122</v>
      </c>
      <c r="E192" s="1" t="n">
        <v>46225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46225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46122</v>
      </c>
      <c r="E194" s="1" t="n">
        <v>46225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46122</v>
      </c>
      <c r="E195" s="1" t="n">
        <v>46225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46125</v>
      </c>
      <c r="E196" s="1" t="n">
        <v>46225</v>
      </c>
      <c r="F196" t="inlineStr">
        <is>
          <t>VÄRMLANDS LÄN</t>
        </is>
      </c>
      <c r="G196" t="inlineStr">
        <is>
          <t>FILIPSTAD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17900-2026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46122</v>
      </c>
      <c r="E197" s="1" t="n">
        <v>46225</v>
      </c>
      <c r="F197" t="inlineStr">
        <is>
          <t>VÄRMLANDS LÄN</t>
        </is>
      </c>
      <c r="G197" t="inlineStr">
        <is>
          <t>FILIPSTAD</t>
        </is>
      </c>
      <c r="H197" t="inlineStr">
        <is>
          <t>Kommuner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17914-2026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46122</v>
      </c>
      <c r="E198" s="1" t="n">
        <v>46225</v>
      </c>
      <c r="F198" t="inlineStr">
        <is>
          <t>VÄRMLANDS LÄN</t>
        </is>
      </c>
      <c r="G198" t="inlineStr">
        <is>
          <t>FILIPSTAD</t>
        </is>
      </c>
      <c r="H198" t="inlineStr">
        <is>
          <t>Kommuner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46225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46225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18533-2026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46225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44951</v>
      </c>
      <c r="E202" s="1" t="n">
        <v>46225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18443-2026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46127</v>
      </c>
      <c r="E203" s="1" t="n">
        <v>46225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46127</v>
      </c>
      <c r="E204" s="1" t="n">
        <v>46225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46127</v>
      </c>
      <c r="E205" s="1" t="n">
        <v>46225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18542-2026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46225</v>
      </c>
      <c r="F206" t="inlineStr">
        <is>
          <t>VÄRMLANDS LÄN</t>
        </is>
      </c>
      <c r="G206" t="inlineStr">
        <is>
          <t>FILIPSTAD</t>
        </is>
      </c>
      <c r="H206" t="inlineStr">
        <is>
          <t>Kommuner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18376-2026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46126</v>
      </c>
      <c r="E207" s="1" t="n">
        <v>46225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46225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45152</v>
      </c>
      <c r="E209" s="1" t="n">
        <v>46225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46225</v>
      </c>
      <c r="F210" t="inlineStr">
        <is>
          <t>VÄRMLANDS LÄN</t>
        </is>
      </c>
      <c r="G210" t="inlineStr">
        <is>
          <t>FILIPSTAD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55175-2025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46225</v>
      </c>
      <c r="F211" t="inlineStr">
        <is>
          <t>VÄRMLANDS LÄN</t>
        </is>
      </c>
      <c r="G211" t="inlineStr">
        <is>
          <t>FILIPSTAD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46129</v>
      </c>
      <c r="E212" s="1" t="n">
        <v>46225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18892-2026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46129</v>
      </c>
      <c r="E213" s="1" t="n">
        <v>46225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24.9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46128</v>
      </c>
      <c r="E214" s="1" t="n">
        <v>46225</v>
      </c>
      <c r="F214" t="inlineStr">
        <is>
          <t>VÄRMLANDS LÄN</t>
        </is>
      </c>
      <c r="G214" t="inlineStr">
        <is>
          <t>FILIPSTAD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55514-2025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46225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46225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46225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56086-2025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46225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56180-2025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46225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56037-2025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45973</v>
      </c>
      <c r="E220" s="1" t="n">
        <v>46225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56201-2025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46225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56158-2025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46225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56167-2025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45974</v>
      </c>
      <c r="E223" s="1" t="n">
        <v>46225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56182-2025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45974</v>
      </c>
      <c r="E224" s="1" t="n">
        <v>46225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46225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56062-2025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45973</v>
      </c>
      <c r="E226" s="1" t="n">
        <v>46225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9.199999999999999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46225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19435-2026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46133</v>
      </c>
      <c r="E228" s="1" t="n">
        <v>46225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19676-2026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46225</v>
      </c>
      <c r="F229" t="inlineStr">
        <is>
          <t>VÄRMLANDS LÄN</t>
        </is>
      </c>
      <c r="G229" t="inlineStr">
        <is>
          <t>FILIPSTAD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46225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46225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46225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46225</v>
      </c>
      <c r="F233" t="inlineStr">
        <is>
          <t>VÄRMLANDS LÄN</t>
        </is>
      </c>
      <c r="G233" t="inlineStr">
        <is>
          <t>FILIPSTAD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46225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46225</v>
      </c>
      <c r="F235" t="inlineStr">
        <is>
          <t>VÄRMLANDS LÄN</t>
        </is>
      </c>
      <c r="G235" t="inlineStr">
        <is>
          <t>FILIPSTAD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46225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46225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17794-2024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45418</v>
      </c>
      <c r="E238" s="1" t="n">
        <v>46225</v>
      </c>
      <c r="F238" t="inlineStr">
        <is>
          <t>VÄRMLANDS LÄN</t>
        </is>
      </c>
      <c r="G238" t="inlineStr">
        <is>
          <t>FILIPSTAD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46225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46225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38075-2025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45882</v>
      </c>
      <c r="E241" s="1" t="n">
        <v>46225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46225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18.8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44672</v>
      </c>
      <c r="E243" s="1" t="n">
        <v>46225</v>
      </c>
      <c r="F243" t="inlineStr">
        <is>
          <t>VÄRMLANDS LÄN</t>
        </is>
      </c>
      <c r="G243" t="inlineStr">
        <is>
          <t>FILIPSTAD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45511-2024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45578</v>
      </c>
      <c r="E244" s="1" t="n">
        <v>46225</v>
      </c>
      <c r="F244" t="inlineStr">
        <is>
          <t>VÄRMLANDS LÄN</t>
        </is>
      </c>
      <c r="G244" t="inlineStr">
        <is>
          <t>FILIPSTAD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46225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19833-2026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46135</v>
      </c>
      <c r="E246" s="1" t="n">
        <v>46225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56151-2023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45240</v>
      </c>
      <c r="E247" s="1" t="n">
        <v>46225</v>
      </c>
      <c r="F247" t="inlineStr">
        <is>
          <t>VÄRMLANDS LÄN</t>
        </is>
      </c>
      <c r="G247" t="inlineStr">
        <is>
          <t>FILIPSTAD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43634-2021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44433</v>
      </c>
      <c r="E248" s="1" t="n">
        <v>46225</v>
      </c>
      <c r="F248" t="inlineStr">
        <is>
          <t>VÄRMLANDS LÄN</t>
        </is>
      </c>
      <c r="G248" t="inlineStr">
        <is>
          <t>FILIPSTAD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46225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20050-2026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46136</v>
      </c>
      <c r="E250" s="1" t="n">
        <v>46225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58019-2025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45982</v>
      </c>
      <c r="E251" s="1" t="n">
        <v>46225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28.4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45981</v>
      </c>
      <c r="E252" s="1" t="n">
        <v>46225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46135</v>
      </c>
      <c r="E253" s="1" t="n">
        <v>46225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45420</v>
      </c>
      <c r="E254" s="1" t="n">
        <v>46225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40646-2025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45896</v>
      </c>
      <c r="E255" s="1" t="n">
        <v>46225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58211-2025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46225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45985</v>
      </c>
      <c r="E257" s="1" t="n">
        <v>46225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46225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46225</v>
      </c>
      <c r="F259" t="inlineStr">
        <is>
          <t>VÄRMLANDS LÄN</t>
        </is>
      </c>
      <c r="G259" t="inlineStr">
        <is>
          <t>FILIPSTAD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46225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22843-2025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45790</v>
      </c>
      <c r="E261" s="1" t="n">
        <v>46225</v>
      </c>
      <c r="F261" t="inlineStr">
        <is>
          <t>VÄRMLANDS LÄN</t>
        </is>
      </c>
      <c r="G261" t="inlineStr">
        <is>
          <t>FILIPSTAD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59414-2025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45989</v>
      </c>
      <c r="E262" s="1" t="n">
        <v>46225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59712-2025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45992</v>
      </c>
      <c r="E263" s="1" t="n">
        <v>46225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45992</v>
      </c>
      <c r="E264" s="1" t="n">
        <v>46225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46225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46225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45989</v>
      </c>
      <c r="E267" s="1" t="n">
        <v>46225</v>
      </c>
      <c r="F267" t="inlineStr">
        <is>
          <t>VÄRMLANDS LÄN</t>
        </is>
      </c>
      <c r="G267" t="inlineStr">
        <is>
          <t>FILIPSTAD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46225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45989</v>
      </c>
      <c r="E269" s="1" t="n">
        <v>46225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8.9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69015-2021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44530</v>
      </c>
      <c r="E270" s="1" t="n">
        <v>46225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45819</v>
      </c>
      <c r="E271" s="1" t="n">
        <v>46225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22558-2025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45789</v>
      </c>
      <c r="E272" s="1" t="n">
        <v>46225</v>
      </c>
      <c r="F272" t="inlineStr">
        <is>
          <t>VÄRMLANDS LÄN</t>
        </is>
      </c>
      <c r="G272" t="inlineStr">
        <is>
          <t>FILIPSTAD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59966-2025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45993</v>
      </c>
      <c r="E273" s="1" t="n">
        <v>46225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59929-2025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45993</v>
      </c>
      <c r="E274" s="1" t="n">
        <v>46225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60653-2025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46225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7.5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46225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60433-2025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46225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60396-2025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46225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54080-2025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46225</v>
      </c>
      <c r="F279" t="inlineStr">
        <is>
          <t>VÄRMLANDS LÄN</t>
        </is>
      </c>
      <c r="G279" t="inlineStr">
        <is>
          <t>FILIPSTAD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33379-2025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45841</v>
      </c>
      <c r="E280" s="1" t="n">
        <v>46225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46225</v>
      </c>
      <c r="F281" t="inlineStr">
        <is>
          <t>VÄRMLANDS LÄN</t>
        </is>
      </c>
      <c r="G281" t="inlineStr">
        <is>
          <t>FILIPSTAD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47344-2023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46225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46225</v>
      </c>
      <c r="F283" t="inlineStr">
        <is>
          <t>VÄRMLANDS LÄN</t>
        </is>
      </c>
      <c r="G283" t="inlineStr">
        <is>
          <t>FILIPSTAD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61327-2025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46001</v>
      </c>
      <c r="E284" s="1" t="n">
        <v>46225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46225</v>
      </c>
      <c r="F285" t="inlineStr">
        <is>
          <t>VÄRMLANDS LÄN</t>
        </is>
      </c>
      <c r="G285" t="inlineStr">
        <is>
          <t>FILIPSTAD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61482-2025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46225</v>
      </c>
      <c r="F286" t="inlineStr">
        <is>
          <t>VÄRMLANDS LÄN</t>
        </is>
      </c>
      <c r="G286" t="inlineStr">
        <is>
          <t>FILIPSTAD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61717-2025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46002</v>
      </c>
      <c r="E287" s="1" t="n">
        <v>46225</v>
      </c>
      <c r="F287" t="inlineStr">
        <is>
          <t>VÄRMLANDS LÄN</t>
        </is>
      </c>
      <c r="G287" t="inlineStr">
        <is>
          <t>FILIPSTAD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47436-2024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45587</v>
      </c>
      <c r="E288" s="1" t="n">
        <v>46225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61417-2025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46001</v>
      </c>
      <c r="E289" s="1" t="n">
        <v>46225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46002</v>
      </c>
      <c r="E290" s="1" t="n">
        <v>46225</v>
      </c>
      <c r="F290" t="inlineStr">
        <is>
          <t>VÄRMLANDS LÄN</t>
        </is>
      </c>
      <c r="G290" t="inlineStr">
        <is>
          <t>FILIPSTAD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61566-2025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46225</v>
      </c>
      <c r="F291" t="inlineStr">
        <is>
          <t>VÄRMLANDS LÄN</t>
        </is>
      </c>
      <c r="G291" t="inlineStr">
        <is>
          <t>FILIPSTAD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45880</v>
      </c>
      <c r="E292" s="1" t="n">
        <v>46225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46002</v>
      </c>
      <c r="E293" s="1" t="n">
        <v>46225</v>
      </c>
      <c r="F293" t="inlineStr">
        <is>
          <t>VÄRMLANDS LÄN</t>
        </is>
      </c>
      <c r="G293" t="inlineStr">
        <is>
          <t>FILIPSTAD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46225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61492-2025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46001</v>
      </c>
      <c r="E295" s="1" t="n">
        <v>46225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61391-2025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46225</v>
      </c>
      <c r="F296" t="inlineStr">
        <is>
          <t>VÄRMLANDS LÄN</t>
        </is>
      </c>
      <c r="G296" t="inlineStr">
        <is>
          <t>FILIPSTAD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46004</v>
      </c>
      <c r="E297" s="1" t="n">
        <v>46225</v>
      </c>
      <c r="F297" t="inlineStr">
        <is>
          <t>VÄRMLANDS LÄN</t>
        </is>
      </c>
      <c r="G297" t="inlineStr">
        <is>
          <t>FILIPSTAD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46225</v>
      </c>
      <c r="F298" t="inlineStr">
        <is>
          <t>VÄRMLANDS LÄN</t>
        </is>
      </c>
      <c r="G298" t="inlineStr">
        <is>
          <t>FILIPSTAD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45579</v>
      </c>
      <c r="E299" s="1" t="n">
        <v>46225</v>
      </c>
      <c r="F299" t="inlineStr">
        <is>
          <t>VÄRMLANDS LÄN</t>
        </is>
      </c>
      <c r="G299" t="inlineStr">
        <is>
          <t>FILIPSTAD</t>
        </is>
      </c>
      <c r="H299" t="inlineStr">
        <is>
          <t>Kyrkan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62033-2025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46004</v>
      </c>
      <c r="E300" s="1" t="n">
        <v>46225</v>
      </c>
      <c r="F300" t="inlineStr">
        <is>
          <t>VÄRMLANDS LÄN</t>
        </is>
      </c>
      <c r="G300" t="inlineStr">
        <is>
          <t>FILIPSTAD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46225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61823-2025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46003</v>
      </c>
      <c r="E302" s="1" t="n">
        <v>46225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46225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62243-2025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46006</v>
      </c>
      <c r="E304" s="1" t="n">
        <v>46225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54127-2023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45232</v>
      </c>
      <c r="E305" s="1" t="n">
        <v>46225</v>
      </c>
      <c r="F305" t="inlineStr">
        <is>
          <t>VÄRMLANDS LÄN</t>
        </is>
      </c>
      <c r="G305" t="inlineStr">
        <is>
          <t>FILIPSTAD</t>
        </is>
      </c>
      <c r="I305" t="n">
        <v>15.5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45891</v>
      </c>
      <c r="E306" s="1" t="n">
        <v>46225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63186-2025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46010</v>
      </c>
      <c r="E307" s="1" t="n">
        <v>46225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46225</v>
      </c>
      <c r="F308" t="inlineStr">
        <is>
          <t>VÄRMLANDS LÄN</t>
        </is>
      </c>
      <c r="G308" t="inlineStr">
        <is>
          <t>FILIPSTAD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46225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46141</v>
      </c>
      <c r="E310" s="1" t="n">
        <v>46225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1170-2023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44935</v>
      </c>
      <c r="E311" s="1" t="n">
        <v>46225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26549-2026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46183</v>
      </c>
      <c r="E312" s="1" t="n">
        <v>46225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63678-2025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46014</v>
      </c>
      <c r="E313" s="1" t="n">
        <v>46225</v>
      </c>
      <c r="F313" t="inlineStr">
        <is>
          <t>VÄRMLANDS LÄN</t>
        </is>
      </c>
      <c r="G313" t="inlineStr">
        <is>
          <t>FILIPSTAD</t>
        </is>
      </c>
      <c r="I313" t="n">
        <v>9.9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63629-2025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46014</v>
      </c>
      <c r="E314" s="1" t="n">
        <v>46225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46225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45758</v>
      </c>
      <c r="E316" s="1" t="n">
        <v>46225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46225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20554-2025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45775</v>
      </c>
      <c r="E318" s="1" t="n">
        <v>46225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45939</v>
      </c>
      <c r="E319" s="1" t="n">
        <v>46225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20919-2026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46225</v>
      </c>
      <c r="F320" t="inlineStr">
        <is>
          <t>VÄRMLANDS LÄN</t>
        </is>
      </c>
      <c r="G320" t="inlineStr">
        <is>
          <t>FILIPSTAD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45867</v>
      </c>
      <c r="E321" s="1" t="n">
        <v>46225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46225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46225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24139-2024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45456</v>
      </c>
      <c r="E324" s="1" t="n">
        <v>46225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16067-2026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46108</v>
      </c>
      <c r="E325" s="1" t="n">
        <v>46225</v>
      </c>
      <c r="F325" t="inlineStr">
        <is>
          <t>VÄRMLANDS LÄN</t>
        </is>
      </c>
      <c r="G325" t="inlineStr">
        <is>
          <t>FILIPSTAD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45364</v>
      </c>
      <c r="E326" s="1" t="n">
        <v>46225</v>
      </c>
      <c r="F326" t="inlineStr">
        <is>
          <t>VÄRMLANDS LÄN</t>
        </is>
      </c>
      <c r="G326" t="inlineStr">
        <is>
          <t>FILIPSTAD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46188</v>
      </c>
      <c r="E327" s="1" t="n">
        <v>46225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33368-2022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44788</v>
      </c>
      <c r="E328" s="1" t="n">
        <v>46225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46187</v>
      </c>
      <c r="E329" s="1" t="n">
        <v>46225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27078-2026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46186</v>
      </c>
      <c r="E330" s="1" t="n">
        <v>46225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27595-2026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46190</v>
      </c>
      <c r="E331" s="1" t="n">
        <v>46225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27372-2026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46188</v>
      </c>
      <c r="E332" s="1" t="n">
        <v>46225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21542-2026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46148</v>
      </c>
      <c r="E333" s="1" t="n">
        <v>46225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27426-2026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46189</v>
      </c>
      <c r="E334" s="1" t="n">
        <v>46225</v>
      </c>
      <c r="F334" t="inlineStr">
        <is>
          <t>VÄRMLANDS LÄN</t>
        </is>
      </c>
      <c r="G334" t="inlineStr">
        <is>
          <t>FILIPSTAD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54398-2024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45617</v>
      </c>
      <c r="E335" s="1" t="n">
        <v>46225</v>
      </c>
      <c r="F335" t="inlineStr">
        <is>
          <t>VÄRMLANDS LÄN</t>
        </is>
      </c>
      <c r="G335" t="inlineStr">
        <is>
          <t>FILIPSTAD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43045-2024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46225</v>
      </c>
      <c r="F336" t="inlineStr">
        <is>
          <t>VÄRMLANDS LÄN</t>
        </is>
      </c>
      <c r="G336" t="inlineStr">
        <is>
          <t>FILIPSTAD</t>
        </is>
      </c>
      <c r="H336" t="inlineStr">
        <is>
          <t>Kyrkan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46191</v>
      </c>
      <c r="E337" s="1" t="n">
        <v>46225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5.5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46191</v>
      </c>
      <c r="E338" s="1" t="n">
        <v>46225</v>
      </c>
      <c r="F338" t="inlineStr">
        <is>
          <t>VÄRMLANDS LÄN</t>
        </is>
      </c>
      <c r="G338" t="inlineStr">
        <is>
          <t>FILIPSTAD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46186</v>
      </c>
      <c r="E339" s="1" t="n">
        <v>46225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22045-2026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46225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46153</v>
      </c>
      <c r="E341" s="1" t="n">
        <v>46225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22136-2026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46225</v>
      </c>
      <c r="F342" t="inlineStr">
        <is>
          <t>VÄRMLANDS LÄN</t>
        </is>
      </c>
      <c r="G342" t="inlineStr">
        <is>
          <t>FILIPSTAD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22144-2026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46225</v>
      </c>
      <c r="F343" t="inlineStr">
        <is>
          <t>VÄRMLANDS LÄN</t>
        </is>
      </c>
      <c r="G343" t="inlineStr">
        <is>
          <t>FILIPSTAD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22201-2026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46225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28094-2026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46225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23.8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46153</v>
      </c>
      <c r="E346" s="1" t="n">
        <v>46225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46225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22032-2026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46225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46225</v>
      </c>
      <c r="F349" t="inlineStr">
        <is>
          <t>VÄRMLANDS LÄN</t>
        </is>
      </c>
      <c r="G349" t="inlineStr">
        <is>
          <t>FILIPSTAD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22021-2026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46225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46225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46225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22051-2026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46225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22220-2026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46225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46225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46225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20663-2024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45436</v>
      </c>
      <c r="E357" s="1" t="n">
        <v>46225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28419-2026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46197</v>
      </c>
      <c r="E358" s="1" t="n">
        <v>46225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28516-2026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46225</v>
      </c>
      <c r="F359" t="inlineStr">
        <is>
          <t>VÄRMLANDS LÄN</t>
        </is>
      </c>
      <c r="G359" t="inlineStr">
        <is>
          <t>FILIPSTAD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22533-2026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46225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43633-2024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45569</v>
      </c>
      <c r="E361" s="1" t="n">
        <v>46225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29127-2026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46225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46225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46202</v>
      </c>
      <c r="E364" s="1" t="n">
        <v>46225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22866-2023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45072</v>
      </c>
      <c r="E365" s="1" t="n">
        <v>46225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29473-2024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45484</v>
      </c>
      <c r="E366" s="1" t="n">
        <v>46225</v>
      </c>
      <c r="F366" t="inlineStr">
        <is>
          <t>VÄRMLANDS LÄN</t>
        </is>
      </c>
      <c r="G366" t="inlineStr">
        <is>
          <t>FILIPSTAD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29010-2026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46225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4.8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46204</v>
      </c>
      <c r="E368" s="1" t="n">
        <v>46225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28989-2026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46199</v>
      </c>
      <c r="E369" s="1" t="n">
        <v>46225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23620-2023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46225</v>
      </c>
      <c r="F370" t="inlineStr">
        <is>
          <t>VÄRMLANDS LÄN</t>
        </is>
      </c>
      <c r="G370" t="inlineStr">
        <is>
          <t>FILIPSTAD</t>
        </is>
      </c>
      <c r="I370" t="n">
        <v>7.5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45720</v>
      </c>
      <c r="E371" s="1" t="n">
        <v>46225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46978-2023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45195</v>
      </c>
      <c r="E372" s="1" t="n">
        <v>46225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29385-2026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46203</v>
      </c>
      <c r="E373" s="1" t="n">
        <v>46225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29417-2026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46203</v>
      </c>
      <c r="E374" s="1" t="n">
        <v>46225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7.4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46203</v>
      </c>
      <c r="E375" s="1" t="n">
        <v>46225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8.199999999999999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46203</v>
      </c>
      <c r="E376" s="1" t="n">
        <v>46225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23602-2026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46225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23576-2026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46225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17.9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23529-2026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46163</v>
      </c>
      <c r="E379" s="1" t="n">
        <v>46225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46225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46225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46163</v>
      </c>
      <c r="E382" s="1" t="n">
        <v>46225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44579</v>
      </c>
      <c r="E383" s="1" t="n">
        <v>46225</v>
      </c>
      <c r="F383" t="inlineStr">
        <is>
          <t>VÄRMLANDS LÄN</t>
        </is>
      </c>
      <c r="G383" t="inlineStr">
        <is>
          <t>FILIPSTAD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46225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20528-2025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46225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46225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26.6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46225</v>
      </c>
      <c r="F387" t="inlineStr">
        <is>
          <t>VÄRMLANDS LÄN</t>
        </is>
      </c>
      <c r="G387" t="inlineStr">
        <is>
          <t>FILIPSTAD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19705-2025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46225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54828-2023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45229</v>
      </c>
      <c r="E389" s="1" t="n">
        <v>46225</v>
      </c>
      <c r="F389" t="inlineStr">
        <is>
          <t>VÄRMLANDS LÄN</t>
        </is>
      </c>
      <c r="G389" t="inlineStr">
        <is>
          <t>FILIPSTAD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46205</v>
      </c>
      <c r="E390" s="1" t="n">
        <v>46225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46163</v>
      </c>
      <c r="E391" s="1" t="n">
        <v>46225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6728-2025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45700</v>
      </c>
      <c r="E392" s="1" t="n">
        <v>46225</v>
      </c>
      <c r="F392" t="inlineStr">
        <is>
          <t>VÄRMLANDS LÄN</t>
        </is>
      </c>
      <c r="G392" t="inlineStr">
        <is>
          <t>FILIPSTAD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16100-2025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45750</v>
      </c>
      <c r="E393" s="1" t="n">
        <v>46225</v>
      </c>
      <c r="F393" t="inlineStr">
        <is>
          <t>VÄRMLANDS LÄN</t>
        </is>
      </c>
      <c r="G393" t="inlineStr">
        <is>
          <t>FILIPSTAD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23943-2026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46225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49935-2025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45940</v>
      </c>
      <c r="E395" s="1" t="n">
        <v>46225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18138-2022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44684</v>
      </c>
      <c r="E396" s="1" t="n">
        <v>46225</v>
      </c>
      <c r="F396" t="inlineStr">
        <is>
          <t>VÄRMLANDS LÄN</t>
        </is>
      </c>
      <c r="G396" t="inlineStr">
        <is>
          <t>FILIPSTAD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24027-2026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46167</v>
      </c>
      <c r="E397" s="1" t="n">
        <v>46225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46167</v>
      </c>
      <c r="E398" s="1" t="n">
        <v>46225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15459-2026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46225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23959-2026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46225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14459-2023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45012</v>
      </c>
      <c r="E401" s="1" t="n">
        <v>46225</v>
      </c>
      <c r="F401" t="inlineStr">
        <is>
          <t>VÄRMLANDS LÄN</t>
        </is>
      </c>
      <c r="G401" t="inlineStr">
        <is>
          <t>FILIPSTAD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23952-2026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46225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30540-2026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46210</v>
      </c>
      <c r="E403" s="1" t="n">
        <v>46225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23922-2026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46225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46225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9.1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24005-2026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46167</v>
      </c>
      <c r="E406" s="1" t="n">
        <v>46225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46225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23886-2026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46225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46225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46225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46225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9.300000000000001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46212</v>
      </c>
      <c r="E412" s="1" t="n">
        <v>46225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47455-2023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45202</v>
      </c>
      <c r="E413" s="1" t="n">
        <v>46225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46225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46546-2021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44445</v>
      </c>
      <c r="E415" s="1" t="n">
        <v>46225</v>
      </c>
      <c r="F415" t="inlineStr">
        <is>
          <t>VÄRMLANDS LÄN</t>
        </is>
      </c>
      <c r="G415" t="inlineStr">
        <is>
          <t>FILIPSTAD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24260-2026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46169</v>
      </c>
      <c r="E416" s="1" t="n">
        <v>46225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24291-2026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46169</v>
      </c>
      <c r="E417" s="1" t="n">
        <v>46225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46170</v>
      </c>
      <c r="E418" s="1" t="n">
        <v>46225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24519-2026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46170</v>
      </c>
      <c r="E419" s="1" t="n">
        <v>46225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24520-2026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46170</v>
      </c>
      <c r="E420" s="1" t="n">
        <v>46225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24529-2026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46225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46170</v>
      </c>
      <c r="E422" s="1" t="n">
        <v>46225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14840-2023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45014</v>
      </c>
      <c r="E423" s="1" t="n">
        <v>46225</v>
      </c>
      <c r="F423" t="inlineStr">
        <is>
          <t>VÄRMLANDS LÄN</t>
        </is>
      </c>
      <c r="G423" t="inlineStr">
        <is>
          <t>FILIPSTAD</t>
        </is>
      </c>
      <c r="H423" t="inlineStr">
        <is>
          <t>Kyrkan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18999-2024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45427</v>
      </c>
      <c r="E424" s="1" t="n">
        <v>46225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46225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46225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45088</v>
      </c>
      <c r="E427" s="1" t="n">
        <v>46225</v>
      </c>
      <c r="F427" t="inlineStr">
        <is>
          <t>VÄRMLANDS LÄN</t>
        </is>
      </c>
      <c r="G427" t="inlineStr">
        <is>
          <t>FILIPSTAD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24745-2026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46171</v>
      </c>
      <c r="E428" s="1" t="n">
        <v>46225</v>
      </c>
      <c r="F428" t="inlineStr">
        <is>
          <t>VÄRMLANDS LÄN</t>
        </is>
      </c>
      <c r="G428" t="inlineStr">
        <is>
          <t>FILIPSTAD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39566-2023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45167</v>
      </c>
      <c r="E429" s="1" t="n">
        <v>46225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19351-2025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45769</v>
      </c>
      <c r="E430" s="1" t="n">
        <v>46225</v>
      </c>
      <c r="F430" t="inlineStr">
        <is>
          <t>VÄRMLANDS LÄN</t>
        </is>
      </c>
      <c r="G430" t="inlineStr">
        <is>
          <t>FILIPSTAD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32183-2025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45835</v>
      </c>
      <c r="E431" s="1" t="n">
        <v>46225</v>
      </c>
      <c r="F431" t="inlineStr">
        <is>
          <t>VÄRMLANDS LÄN</t>
        </is>
      </c>
      <c r="G431" t="inlineStr">
        <is>
          <t>FILIPSTAD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16063-2025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45749</v>
      </c>
      <c r="E432" s="1" t="n">
        <v>46225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25376-2023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45088</v>
      </c>
      <c r="E433" s="1" t="n">
        <v>46225</v>
      </c>
      <c r="F433" t="inlineStr">
        <is>
          <t>VÄRMLANDS LÄN</t>
        </is>
      </c>
      <c r="G433" t="inlineStr">
        <is>
          <t>FILIPSTAD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21593-2023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45063</v>
      </c>
      <c r="E434" s="1" t="n">
        <v>46225</v>
      </c>
      <c r="F434" t="inlineStr">
        <is>
          <t>VÄRMLANDS LÄN</t>
        </is>
      </c>
      <c r="G434" t="inlineStr">
        <is>
          <t>FILIPSTAD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25205-2026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46225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46218</v>
      </c>
      <c r="E436" s="1" t="n">
        <v>46225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45547</v>
      </c>
      <c r="E437" s="1" t="n">
        <v>46225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46174</v>
      </c>
      <c r="E438" s="1" t="n">
        <v>46225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25203-2026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46175</v>
      </c>
      <c r="E439" s="1" t="n">
        <v>46225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24941-2026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46174</v>
      </c>
      <c r="E440" s="1" t="n">
        <v>46225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8.5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31316-2026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46219</v>
      </c>
      <c r="E441" s="1" t="n">
        <v>46225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46178</v>
      </c>
      <c r="E442" s="1" t="n">
        <v>46225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25869-2026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46178</v>
      </c>
      <c r="E443" s="1" t="n">
        <v>46225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26211-2026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46225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26323-2026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46182</v>
      </c>
      <c r="E445" s="1" t="n">
        <v>46225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26343-2026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46182</v>
      </c>
      <c r="E446" s="1" t="n">
        <v>46225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57212-2023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45245</v>
      </c>
      <c r="E447" s="1" t="n">
        <v>46225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26227-2026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46182</v>
      </c>
      <c r="E448" s="1" t="n">
        <v>46225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26229-2026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46225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25976-2026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46225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26107-2026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46225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46178</v>
      </c>
      <c r="E452" s="1" t="n">
        <v>46225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27007-2026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46225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31537-2026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46223</v>
      </c>
      <c r="E454" s="1" t="n">
        <v>46225</v>
      </c>
      <c r="F454" t="inlineStr">
        <is>
          <t>VÄRMLANDS LÄN</t>
        </is>
      </c>
      <c r="G454" t="inlineStr">
        <is>
          <t>FILIPSTAD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45106</v>
      </c>
      <c r="E455" s="1" t="n">
        <v>46225</v>
      </c>
      <c r="F455" t="inlineStr">
        <is>
          <t>VÄRMLANDS LÄN</t>
        </is>
      </c>
      <c r="G455" t="inlineStr">
        <is>
          <t>FILIPSTAD</t>
        </is>
      </c>
      <c r="H455" t="inlineStr">
        <is>
          <t>Kyrkan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31548-2026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46223</v>
      </c>
      <c r="E456" s="1" t="n">
        <v>46225</v>
      </c>
      <c r="F456" t="inlineStr">
        <is>
          <t>VÄRMLANDS LÄN</t>
        </is>
      </c>
      <c r="G456" t="inlineStr">
        <is>
          <t>FILIPSTAD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26298-2026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46225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62787-2023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45271</v>
      </c>
      <c r="E458" s="1" t="n">
        <v>46225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14432-2025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45741</v>
      </c>
      <c r="E459" s="1" t="n">
        <v>46225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34512-2023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45133</v>
      </c>
      <c r="E460" s="1" t="n">
        <v>46225</v>
      </c>
      <c r="F460" t="inlineStr">
        <is>
          <t>VÄRMLANDS LÄN</t>
        </is>
      </c>
      <c r="G460" t="inlineStr">
        <is>
          <t>FILIPSTAD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44960</v>
      </c>
      <c r="E461" s="1" t="n">
        <v>46225</v>
      </c>
      <c r="F461" t="inlineStr">
        <is>
          <t>VÄRMLANDS LÄN</t>
        </is>
      </c>
      <c r="G461" t="inlineStr">
        <is>
          <t>FILIPSTAD</t>
        </is>
      </c>
      <c r="H461" t="inlineStr">
        <is>
          <t>Kommuner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4819-2023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44957</v>
      </c>
      <c r="E462" s="1" t="n">
        <v>46225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14275-2024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45393</v>
      </c>
      <c r="E463" s="1" t="n">
        <v>46225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9270-2023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44980</v>
      </c>
      <c r="E464" s="1" t="n">
        <v>46225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37945-2024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45544</v>
      </c>
      <c r="E465" s="1" t="n">
        <v>46225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31358-2023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45114</v>
      </c>
      <c r="E466" s="1" t="n">
        <v>46225</v>
      </c>
      <c r="F466" t="inlineStr">
        <is>
          <t>VÄRMLANDS LÄN</t>
        </is>
      </c>
      <c r="G466" t="inlineStr">
        <is>
          <t>FILIPSTAD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34116-2024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45524</v>
      </c>
      <c r="E467" s="1" t="n">
        <v>46225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43059-2024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45567</v>
      </c>
      <c r="E468" s="1" t="n">
        <v>46225</v>
      </c>
      <c r="F468" t="inlineStr">
        <is>
          <t>VÄRMLANDS LÄN</t>
        </is>
      </c>
      <c r="G468" t="inlineStr">
        <is>
          <t>FILIPSTAD</t>
        </is>
      </c>
      <c r="H468" t="inlineStr">
        <is>
          <t>Kyrkan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45616</v>
      </c>
      <c r="E469" s="1" t="n">
        <v>46225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17795-2024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45418</v>
      </c>
      <c r="E470" s="1" t="n">
        <v>46225</v>
      </c>
      <c r="F470" t="inlineStr">
        <is>
          <t>VÄRMLANDS LÄN</t>
        </is>
      </c>
      <c r="G470" t="inlineStr">
        <is>
          <t>FILIPSTAD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47890-2024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46225</v>
      </c>
      <c r="F471" t="inlineStr">
        <is>
          <t>VÄRMLANDS LÄN</t>
        </is>
      </c>
      <c r="G471" t="inlineStr">
        <is>
          <t>FILIPSTAD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12247-2022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44637</v>
      </c>
      <c r="E472" s="1" t="n">
        <v>46225</v>
      </c>
      <c r="F472" t="inlineStr">
        <is>
          <t>VÄRMLANDS LÄN</t>
        </is>
      </c>
      <c r="G472" t="inlineStr">
        <is>
          <t>FILIPSTAD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20966-2024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45439</v>
      </c>
      <c r="E473" s="1" t="n">
        <v>46225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45671</v>
      </c>
      <c r="E474" s="1" t="n">
        <v>46225</v>
      </c>
      <c r="F474" t="inlineStr">
        <is>
          <t>VÄRMLANDS LÄN</t>
        </is>
      </c>
      <c r="G474" t="inlineStr">
        <is>
          <t>FILIPSTAD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63411-2023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45274</v>
      </c>
      <c r="E475" s="1" t="n">
        <v>46225</v>
      </c>
      <c r="F475" t="inlineStr">
        <is>
          <t>VÄRMLANDS LÄN</t>
        </is>
      </c>
      <c r="G475" t="inlineStr">
        <is>
          <t>FILIPSTAD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45484</v>
      </c>
      <c r="E476" s="1" t="n">
        <v>46225</v>
      </c>
      <c r="F476" t="inlineStr">
        <is>
          <t>VÄRMLANDS LÄN</t>
        </is>
      </c>
      <c r="G476" t="inlineStr">
        <is>
          <t>FILIPSTAD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63482-2021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44508</v>
      </c>
      <c r="E477" s="1" t="n">
        <v>46225</v>
      </c>
      <c r="F477" t="inlineStr">
        <is>
          <t>VÄRMLANDS LÄN</t>
        </is>
      </c>
      <c r="G477" t="inlineStr">
        <is>
          <t>FILIPSTAD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45665</v>
      </c>
      <c r="E478" s="1" t="n">
        <v>46225</v>
      </c>
      <c r="F478" t="inlineStr">
        <is>
          <t>VÄRMLANDS LÄN</t>
        </is>
      </c>
      <c r="G478" t="inlineStr">
        <is>
          <t>FILIPSTAD</t>
        </is>
      </c>
      <c r="I478" t="n">
        <v>11.7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70405-2021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44536</v>
      </c>
      <c r="E479" s="1" t="n">
        <v>46225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5754-2022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46225</v>
      </c>
      <c r="F480" t="inlineStr">
        <is>
          <t>VÄRMLANDS LÄN</t>
        </is>
      </c>
      <c r="G480" t="inlineStr">
        <is>
          <t>FILIPSTAD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54735-2024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45618</v>
      </c>
      <c r="E481" s="1" t="n">
        <v>46225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40244-2023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45169</v>
      </c>
      <c r="E482" s="1" t="n">
        <v>46225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45658</v>
      </c>
      <c r="E483" s="1" t="n">
        <v>46225</v>
      </c>
      <c r="F483" t="inlineStr">
        <is>
          <t>VÄRMLANDS LÄN</t>
        </is>
      </c>
      <c r="G483" t="inlineStr">
        <is>
          <t>FILIPSTAD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21608-2023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45063</v>
      </c>
      <c r="E484" s="1" t="n">
        <v>46225</v>
      </c>
      <c r="F484" t="inlineStr">
        <is>
          <t>VÄRMLANDS LÄN</t>
        </is>
      </c>
      <c r="G484" t="inlineStr">
        <is>
          <t>FILIPSTAD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59436-2024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45638</v>
      </c>
      <c r="E485" s="1" t="n">
        <v>46225</v>
      </c>
      <c r="F485" t="inlineStr">
        <is>
          <t>VÄRMLANDS LÄN</t>
        </is>
      </c>
      <c r="G485" t="inlineStr">
        <is>
          <t>FILIPSTAD</t>
        </is>
      </c>
      <c r="H485" t="inlineStr">
        <is>
          <t>Kyrkan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54836-2023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45229</v>
      </c>
      <c r="E486" s="1" t="n">
        <v>46225</v>
      </c>
      <c r="F486" t="inlineStr">
        <is>
          <t>VÄRMLANDS LÄN</t>
        </is>
      </c>
      <c r="G486" t="inlineStr">
        <is>
          <t>FILIPSTAD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29825-2023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45107</v>
      </c>
      <c r="E487" s="1" t="n">
        <v>46225</v>
      </c>
      <c r="F487" t="inlineStr">
        <is>
          <t>VÄRMLANDS LÄN</t>
        </is>
      </c>
      <c r="G487" t="inlineStr">
        <is>
          <t>FILIPSTAD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45686</v>
      </c>
      <c r="E488" s="1" t="n">
        <v>46225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27789-2022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44743</v>
      </c>
      <c r="E489" s="1" t="n">
        <v>46225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43484-2023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45184</v>
      </c>
      <c r="E490" s="1" t="n">
        <v>46225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6674-2025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45700</v>
      </c>
      <c r="E491" s="1" t="n">
        <v>46225</v>
      </c>
      <c r="F491" t="inlineStr">
        <is>
          <t>VÄRMLANDS LÄN</t>
        </is>
      </c>
      <c r="G491" t="inlineStr">
        <is>
          <t>FILIPSTAD</t>
        </is>
      </c>
      <c r="I491" t="n">
        <v>5.7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28161-2023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45093</v>
      </c>
      <c r="E492" s="1" t="n">
        <v>46225</v>
      </c>
      <c r="F492" t="inlineStr">
        <is>
          <t>VÄRMLANDS LÄN</t>
        </is>
      </c>
      <c r="G492" t="inlineStr">
        <is>
          <t>FILIPSTAD</t>
        </is>
      </c>
      <c r="H492" t="inlineStr">
        <is>
          <t>Kommuner</t>
        </is>
      </c>
      <c r="I492" t="n">
        <v>15.4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20606-2025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45775</v>
      </c>
      <c r="E493" s="1" t="n">
        <v>46225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24054-2024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45456</v>
      </c>
      <c r="E494" s="1" t="n">
        <v>46225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19030-2022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44691</v>
      </c>
      <c r="E495" s="1" t="n">
        <v>46225</v>
      </c>
      <c r="F495" t="inlineStr">
        <is>
          <t>VÄRMLANDS LÄN</t>
        </is>
      </c>
      <c r="G495" t="inlineStr">
        <is>
          <t>FILIPSTAD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37577-2023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45159</v>
      </c>
      <c r="E496" s="1" t="n">
        <v>46225</v>
      </c>
      <c r="F496" t="inlineStr">
        <is>
          <t>VÄRMLANDS LÄN</t>
        </is>
      </c>
      <c r="G496" t="inlineStr">
        <is>
          <t>FILIPSTAD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43233-2023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46225</v>
      </c>
      <c r="F497" t="inlineStr">
        <is>
          <t>VÄRMLANDS LÄN</t>
        </is>
      </c>
      <c r="G497" t="inlineStr">
        <is>
          <t>FILIPSTAD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16371-2024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45407</v>
      </c>
      <c r="E498" s="1" t="n">
        <v>46225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53210-2023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45222</v>
      </c>
      <c r="E499" s="1" t="n">
        <v>46225</v>
      </c>
      <c r="F499" t="inlineStr">
        <is>
          <t>VÄRMLANDS LÄN</t>
        </is>
      </c>
      <c r="G499" t="inlineStr">
        <is>
          <t>FILIPSTAD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45167</v>
      </c>
      <c r="E500" s="1" t="n">
        <v>46225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43635-2023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45186</v>
      </c>
      <c r="E501" s="1" t="n">
        <v>46225</v>
      </c>
      <c r="F501" t="inlineStr">
        <is>
          <t>VÄRMLANDS LÄN</t>
        </is>
      </c>
      <c r="G501" t="inlineStr">
        <is>
          <t>FILIPSTAD</t>
        </is>
      </c>
      <c r="I501" t="n">
        <v>15.3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16103-2025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45750</v>
      </c>
      <c r="E502" s="1" t="n">
        <v>46225</v>
      </c>
      <c r="F502" t="inlineStr">
        <is>
          <t>VÄRMLANDS LÄN</t>
        </is>
      </c>
      <c r="G502" t="inlineStr">
        <is>
          <t>FILIPSTAD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45328</v>
      </c>
      <c r="E503" s="1" t="n">
        <v>46225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36251-2022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44803</v>
      </c>
      <c r="E504" s="1" t="n">
        <v>46225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33671-2022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44789</v>
      </c>
      <c r="E505" s="1" t="n">
        <v>46225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46257-2022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44847</v>
      </c>
      <c r="E506" s="1" t="n">
        <v>46225</v>
      </c>
      <c r="F506" t="inlineStr">
        <is>
          <t>VÄRMLANDS LÄN</t>
        </is>
      </c>
      <c r="G506" t="inlineStr">
        <is>
          <t>FILIPSTAD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36827-2022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44805</v>
      </c>
      <c r="E507" s="1" t="n">
        <v>46225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37611-2022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44809</v>
      </c>
      <c r="E508" s="1" t="n">
        <v>46225</v>
      </c>
      <c r="F508" t="inlineStr">
        <is>
          <t>VÄRMLANDS LÄN</t>
        </is>
      </c>
      <c r="G508" t="inlineStr">
        <is>
          <t>FILIPSTAD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57244-2023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45245</v>
      </c>
      <c r="E509" s="1" t="n">
        <v>46225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25338-2023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45087</v>
      </c>
      <c r="E510" s="1" t="n">
        <v>46225</v>
      </c>
      <c r="F510" t="inlineStr">
        <is>
          <t>VÄRMLANDS LÄN</t>
        </is>
      </c>
      <c r="G510" t="inlineStr">
        <is>
          <t>FILIPSTAD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45177</v>
      </c>
      <c r="E511" s="1" t="n">
        <v>46225</v>
      </c>
      <c r="F511" t="inlineStr">
        <is>
          <t>VÄRMLANDS LÄN</t>
        </is>
      </c>
      <c r="G511" t="inlineStr">
        <is>
          <t>FILIPSTAD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45139-2021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44439</v>
      </c>
      <c r="E512" s="1" t="n">
        <v>46225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53034-2022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44876</v>
      </c>
      <c r="E513" s="1" t="n">
        <v>46225</v>
      </c>
      <c r="F513" t="inlineStr">
        <is>
          <t>VÄRMLANDS LÄN</t>
        </is>
      </c>
      <c r="G513" t="inlineStr">
        <is>
          <t>FILIPSTAD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53348-2023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45229</v>
      </c>
      <c r="E514" s="1" t="n">
        <v>46225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51985-2023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45223</v>
      </c>
      <c r="E515" s="1" t="n">
        <v>46225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6.7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50904-2023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45218</v>
      </c>
      <c r="E516" s="1" t="n">
        <v>46225</v>
      </c>
      <c r="F516" t="inlineStr">
        <is>
          <t>VÄRMLANDS LÄN</t>
        </is>
      </c>
      <c r="G516" t="inlineStr">
        <is>
          <t>FILIPSTAD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55397-2022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44887</v>
      </c>
      <c r="E517" s="1" t="n">
        <v>46225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44960</v>
      </c>
      <c r="E518" s="1" t="n">
        <v>46225</v>
      </c>
      <c r="F518" t="inlineStr">
        <is>
          <t>VÄRMLANDS LÄN</t>
        </is>
      </c>
      <c r="G518" t="inlineStr">
        <is>
          <t>FILIPSTAD</t>
        </is>
      </c>
      <c r="H518" t="inlineStr">
        <is>
          <t>Kommuner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55978-2022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44889</v>
      </c>
      <c r="E519" s="1" t="n">
        <v>46225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50856-2022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44867</v>
      </c>
      <c r="E520" s="1" t="n">
        <v>46225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61628-2022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44911</v>
      </c>
      <c r="E521" s="1" t="n">
        <v>46225</v>
      </c>
      <c r="F521" t="inlineStr">
        <is>
          <t>VÄRMLANDS LÄN</t>
        </is>
      </c>
      <c r="G521" t="inlineStr">
        <is>
          <t>FILIPSTAD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43264-2024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45568</v>
      </c>
      <c r="E522" s="1" t="n">
        <v>46225</v>
      </c>
      <c r="F522" t="inlineStr">
        <is>
          <t>VÄRMLANDS LÄN</t>
        </is>
      </c>
      <c r="G522" t="inlineStr">
        <is>
          <t>FILIPSTAD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59296-2023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45253</v>
      </c>
      <c r="E523" s="1" t="n">
        <v>46225</v>
      </c>
      <c r="F523" t="inlineStr">
        <is>
          <t>VÄRMLANDS LÄN</t>
        </is>
      </c>
      <c r="G523" t="inlineStr">
        <is>
          <t>FILIPSTAD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44994</v>
      </c>
      <c r="E524" s="1" t="n">
        <v>46225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44384-2021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44435</v>
      </c>
      <c r="E525" s="1" t="n">
        <v>46225</v>
      </c>
      <c r="F525" t="inlineStr">
        <is>
          <t>VÄRMLANDS LÄN</t>
        </is>
      </c>
      <c r="G525" t="inlineStr">
        <is>
          <t>FILIPSTAD</t>
        </is>
      </c>
      <c r="I525" t="n">
        <v>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36680-2023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45153</v>
      </c>
      <c r="E526" s="1" t="n">
        <v>46225</v>
      </c>
      <c r="F526" t="inlineStr">
        <is>
          <t>VÄRMLANDS LÄN</t>
        </is>
      </c>
      <c r="G526" t="inlineStr">
        <is>
          <t>FILIPSTAD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5803-2023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44963</v>
      </c>
      <c r="E527" s="1" t="n">
        <v>46225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50776-2024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45602</v>
      </c>
      <c r="E528" s="1" t="n">
        <v>46225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51618-2022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44872</v>
      </c>
      <c r="E529" s="1" t="n">
        <v>46225</v>
      </c>
      <c r="F529" t="inlineStr">
        <is>
          <t>VÄRMLANDS LÄN</t>
        </is>
      </c>
      <c r="G529" t="inlineStr">
        <is>
          <t>FILIPSTAD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71971-2021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44544</v>
      </c>
      <c r="E530" s="1" t="n">
        <v>46225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46225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44981</v>
      </c>
      <c r="E532" s="1" t="n">
        <v>46225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54008-2021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44470</v>
      </c>
      <c r="E533" s="1" t="n">
        <v>46225</v>
      </c>
      <c r="F533" t="inlineStr">
        <is>
          <t>VÄRMLANDS LÄN</t>
        </is>
      </c>
      <c r="G533" t="inlineStr">
        <is>
          <t>FILIPSTAD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50786-2024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45602</v>
      </c>
      <c r="E534" s="1" t="n">
        <v>46225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5846-2023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44963</v>
      </c>
      <c r="E535" s="1" t="n">
        <v>46225</v>
      </c>
      <c r="F535" t="inlineStr">
        <is>
          <t>VÄRMLANDS LÄN</t>
        </is>
      </c>
      <c r="G535" t="inlineStr">
        <is>
          <t>FILIPSTAD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36809-2022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44805</v>
      </c>
      <c r="E536" s="1" t="n">
        <v>46225</v>
      </c>
      <c r="F536" t="inlineStr">
        <is>
          <t>VÄRMLANDS LÄN</t>
        </is>
      </c>
      <c r="G536" t="inlineStr">
        <is>
          <t>FILIPSTAD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33967-2023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45124</v>
      </c>
      <c r="E537" s="1" t="n">
        <v>46225</v>
      </c>
      <c r="F537" t="inlineStr">
        <is>
          <t>VÄRMLANDS LÄN</t>
        </is>
      </c>
      <c r="G537" t="inlineStr">
        <is>
          <t>FILIPSTAD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33973-2023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45124</v>
      </c>
      <c r="E538" s="1" t="n">
        <v>46225</v>
      </c>
      <c r="F538" t="inlineStr">
        <is>
          <t>VÄRMLANDS LÄN</t>
        </is>
      </c>
      <c r="G538" t="inlineStr">
        <is>
          <t>FILIPSTAD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61741-2022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44911</v>
      </c>
      <c r="E539" s="1" t="n">
        <v>46225</v>
      </c>
      <c r="F539" t="inlineStr">
        <is>
          <t>VÄRMLANDS LÄN</t>
        </is>
      </c>
      <c r="G539" t="inlineStr">
        <is>
          <t>FILIPSTAD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25737-2023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45090</v>
      </c>
      <c r="E540" s="1" t="n">
        <v>46225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44579</v>
      </c>
      <c r="E541" s="1" t="n">
        <v>46225</v>
      </c>
      <c r="F541" t="inlineStr">
        <is>
          <t>VÄRMLANDS LÄN</t>
        </is>
      </c>
      <c r="G541" t="inlineStr">
        <is>
          <t>FILIPSTAD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15471-2024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45401</v>
      </c>
      <c r="E542" s="1" t="n">
        <v>46225</v>
      </c>
      <c r="F542" t="inlineStr">
        <is>
          <t>VÄRMLANDS LÄN</t>
        </is>
      </c>
      <c r="G542" t="inlineStr">
        <is>
          <t>FILIPSTAD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45516</v>
      </c>
      <c r="E543" s="1" t="n">
        <v>46225</v>
      </c>
      <c r="F543" t="inlineStr">
        <is>
          <t>VÄRMLANDS LÄN</t>
        </is>
      </c>
      <c r="G543" t="inlineStr">
        <is>
          <t>FILIPSTAD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5992-2023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44959</v>
      </c>
      <c r="E544" s="1" t="n">
        <v>46225</v>
      </c>
      <c r="F544" t="inlineStr">
        <is>
          <t>VÄRMLANDS LÄN</t>
        </is>
      </c>
      <c r="G544" t="inlineStr">
        <is>
          <t>FILIPSTAD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62014-2024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45655</v>
      </c>
      <c r="E545" s="1" t="n">
        <v>46225</v>
      </c>
      <c r="F545" t="inlineStr">
        <is>
          <t>VÄRMLANDS LÄN</t>
        </is>
      </c>
      <c r="G545" t="inlineStr">
        <is>
          <t>FILIPSTAD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45037</v>
      </c>
      <c r="E546" s="1" t="n">
        <v>46225</v>
      </c>
      <c r="F546" t="inlineStr">
        <is>
          <t>VÄRMLANDS LÄN</t>
        </is>
      </c>
      <c r="G546" t="inlineStr">
        <is>
          <t>FILIPSTAD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4418-2024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45327</v>
      </c>
      <c r="E547" s="1" t="n">
        <v>46225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9.300000000000001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45516-2024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45578</v>
      </c>
      <c r="E548" s="1" t="n">
        <v>46225</v>
      </c>
      <c r="F548" t="inlineStr">
        <is>
          <t>VÄRMLANDS LÄN</t>
        </is>
      </c>
      <c r="G548" t="inlineStr">
        <is>
          <t>FILIPSTAD</t>
        </is>
      </c>
      <c r="I548" t="n">
        <v>27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46680-2024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45583</v>
      </c>
      <c r="E549" s="1" t="n">
        <v>46225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22830-2023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45072</v>
      </c>
      <c r="E550" s="1" t="n">
        <v>46225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62013-2024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45655</v>
      </c>
      <c r="E551" s="1" t="n">
        <v>46225</v>
      </c>
      <c r="F551" t="inlineStr">
        <is>
          <t>VÄRMLANDS LÄN</t>
        </is>
      </c>
      <c r="G551" t="inlineStr">
        <is>
          <t>FILIPSTAD</t>
        </is>
      </c>
      <c r="I551" t="n">
        <v>26.5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48040-2023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45204</v>
      </c>
      <c r="E552" s="1" t="n">
        <v>46225</v>
      </c>
      <c r="F552" t="inlineStr">
        <is>
          <t>VÄRMLANDS LÄN</t>
        </is>
      </c>
      <c r="G552" t="inlineStr">
        <is>
          <t>FILIPSTAD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48908-2023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45195</v>
      </c>
      <c r="E553" s="1" t="n">
        <v>46225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1042-2023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44935</v>
      </c>
      <c r="E554" s="1" t="n">
        <v>46225</v>
      </c>
      <c r="F554" t="inlineStr">
        <is>
          <t>VÄRMLANDS LÄN</t>
        </is>
      </c>
      <c r="G554" t="inlineStr">
        <is>
          <t>FILIPSTAD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10306-2025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45720</v>
      </c>
      <c r="E555" s="1" t="n">
        <v>46225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41075-2023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45173</v>
      </c>
      <c r="E556" s="1" t="n">
        <v>46225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14582-2025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45742</v>
      </c>
      <c r="E557" s="1" t="n">
        <v>46225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56840-2024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45628</v>
      </c>
      <c r="E558" s="1" t="n">
        <v>46225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8692-2025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45712</v>
      </c>
      <c r="E559" s="1" t="n">
        <v>46225</v>
      </c>
      <c r="F559" t="inlineStr">
        <is>
          <t>VÄRMLANDS LÄN</t>
        </is>
      </c>
      <c r="G559" t="inlineStr">
        <is>
          <t>FILIPSTAD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23618-2023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45077</v>
      </c>
      <c r="E560" s="1" t="n">
        <v>46225</v>
      </c>
      <c r="F560" t="inlineStr">
        <is>
          <t>VÄRMLANDS LÄN</t>
        </is>
      </c>
      <c r="G560" t="inlineStr">
        <is>
          <t>FILIPSTAD</t>
        </is>
      </c>
      <c r="I560" t="n">
        <v>15.8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60524-2024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45643</v>
      </c>
      <c r="E561" s="1" t="n">
        <v>46225</v>
      </c>
      <c r="F561" t="inlineStr">
        <is>
          <t>VÄRMLANDS LÄN</t>
        </is>
      </c>
      <c r="G561" t="inlineStr">
        <is>
          <t>FILIPSTAD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14328-2025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45740</v>
      </c>
      <c r="E562" s="1" t="n">
        <v>46225</v>
      </c>
      <c r="F562" t="inlineStr">
        <is>
          <t>VÄRMLANDS LÄN</t>
        </is>
      </c>
      <c r="G562" t="inlineStr">
        <is>
          <t>FILIPSTAD</t>
        </is>
      </c>
      <c r="I562" t="n">
        <v>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15228-2025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45744</v>
      </c>
      <c r="E563" s="1" t="n">
        <v>46225</v>
      </c>
      <c r="F563" t="inlineStr">
        <is>
          <t>VÄRMLANDS LÄN</t>
        </is>
      </c>
      <c r="G563" t="inlineStr">
        <is>
          <t>FILIPSTAD</t>
        </is>
      </c>
      <c r="H563" t="inlineStr">
        <is>
          <t>Kommuner</t>
        </is>
      </c>
      <c r="I563" t="n">
        <v>17.7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20661-2024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45436</v>
      </c>
      <c r="E564" s="1" t="n">
        <v>46225</v>
      </c>
      <c r="F564" t="inlineStr">
        <is>
          <t>VÄRMLANDS LÄN</t>
        </is>
      </c>
      <c r="G564" t="inlineStr">
        <is>
          <t>FILIPSTAD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34262-2024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45524</v>
      </c>
      <c r="E565" s="1" t="n">
        <v>46225</v>
      </c>
      <c r="F565" t="inlineStr">
        <is>
          <t>VÄRMLANDS LÄN</t>
        </is>
      </c>
      <c r="G565" t="inlineStr">
        <is>
          <t>FILIPSTAD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45299</v>
      </c>
      <c r="E566" s="1" t="n">
        <v>46225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30646-2024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45495</v>
      </c>
      <c r="E567" s="1" t="n">
        <v>46225</v>
      </c>
      <c r="F567" t="inlineStr">
        <is>
          <t>VÄRMLANDS LÄN</t>
        </is>
      </c>
      <c r="G567" t="inlineStr">
        <is>
          <t>FILIPSTAD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45471</v>
      </c>
      <c r="E568" s="1" t="n">
        <v>46225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17244-2024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45414</v>
      </c>
      <c r="E569" s="1" t="n">
        <v>46225</v>
      </c>
      <c r="F569" t="inlineStr">
        <is>
          <t>VÄRMLANDS LÄN</t>
        </is>
      </c>
      <c r="G569" t="inlineStr">
        <is>
          <t>FILIPSTAD</t>
        </is>
      </c>
      <c r="I569" t="n">
        <v>5.2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20875-2024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45439</v>
      </c>
      <c r="E570" s="1" t="n">
        <v>46225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1346-2025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45667</v>
      </c>
      <c r="E571" s="1" t="n">
        <v>46225</v>
      </c>
      <c r="F571" t="inlineStr">
        <is>
          <t>VÄRMLANDS LÄN</t>
        </is>
      </c>
      <c r="G571" t="inlineStr">
        <is>
          <t>FILIPSTAD</t>
        </is>
      </c>
      <c r="H571" t="inlineStr">
        <is>
          <t>Kommuner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47002-2024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45586</v>
      </c>
      <c r="E572" s="1" t="n">
        <v>46225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65167-2021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44515</v>
      </c>
      <c r="E573" s="1" t="n">
        <v>46225</v>
      </c>
      <c r="F573" t="inlineStr">
        <is>
          <t>VÄRMLANDS LÄN</t>
        </is>
      </c>
      <c r="G573" t="inlineStr">
        <is>
          <t>FILIPSTAD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22880-2025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45790</v>
      </c>
      <c r="E574" s="1" t="n">
        <v>46225</v>
      </c>
      <c r="F574" t="inlineStr">
        <is>
          <t>VÄRMLANDS LÄN</t>
        </is>
      </c>
      <c r="G574" t="inlineStr">
        <is>
          <t>FILIPSTAD</t>
        </is>
      </c>
      <c r="H574" t="inlineStr">
        <is>
          <t>Kyrkan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23266-2025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46225</v>
      </c>
      <c r="F575" t="inlineStr">
        <is>
          <t>VÄRMLANDS LÄN</t>
        </is>
      </c>
      <c r="G575" t="inlineStr">
        <is>
          <t>FILIPSTAD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23475-2025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45792</v>
      </c>
      <c r="E576" s="1" t="n">
        <v>46225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28357-2024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45477</v>
      </c>
      <c r="E577" s="1" t="n">
        <v>46225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5.9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48702-2024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45593</v>
      </c>
      <c r="E578" s="1" t="n">
        <v>46225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35304-2024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45530</v>
      </c>
      <c r="E579" s="1" t="n">
        <v>46225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6.6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23399-2025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45792</v>
      </c>
      <c r="E580" s="1" t="n">
        <v>46225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1350-2025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45667</v>
      </c>
      <c r="E581" s="1" t="n">
        <v>46225</v>
      </c>
      <c r="F581" t="inlineStr">
        <is>
          <t>VÄRMLANDS LÄN</t>
        </is>
      </c>
      <c r="G581" t="inlineStr">
        <is>
          <t>FILIPSTAD</t>
        </is>
      </c>
      <c r="H581" t="inlineStr">
        <is>
          <t>Kommuner</t>
        </is>
      </c>
      <c r="I581" t="n">
        <v>5.9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20844-2024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45439</v>
      </c>
      <c r="E582" s="1" t="n">
        <v>46225</v>
      </c>
      <c r="F582" t="inlineStr">
        <is>
          <t>VÄRMLANDS LÄN</t>
        </is>
      </c>
      <c r="G582" t="inlineStr">
        <is>
          <t>FILIPSTAD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3979-2024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45322</v>
      </c>
      <c r="E583" s="1" t="n">
        <v>46225</v>
      </c>
      <c r="F583" t="inlineStr">
        <is>
          <t>VÄRMLANDS LÄN</t>
        </is>
      </c>
      <c r="G583" t="inlineStr">
        <is>
          <t>FILIPSTAD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72118-2021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44543</v>
      </c>
      <c r="E584" s="1" t="n">
        <v>46225</v>
      </c>
      <c r="F584" t="inlineStr">
        <is>
          <t>VÄRMLANDS LÄN</t>
        </is>
      </c>
      <c r="G584" t="inlineStr">
        <is>
          <t>FILIPSTAD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24143-2025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45796</v>
      </c>
      <c r="E585" s="1" t="n">
        <v>46225</v>
      </c>
      <c r="F585" t="inlineStr">
        <is>
          <t>VÄRMLANDS LÄN</t>
        </is>
      </c>
      <c r="G585" t="inlineStr">
        <is>
          <t>FILIPSTAD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15396-2025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45747</v>
      </c>
      <c r="E586" s="1" t="n">
        <v>46225</v>
      </c>
      <c r="F586" t="inlineStr">
        <is>
          <t>VÄRMLANDS LÄN</t>
        </is>
      </c>
      <c r="G586" t="inlineStr">
        <is>
          <t>FILIPSTAD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23775-2025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45793</v>
      </c>
      <c r="E587" s="1" t="n">
        <v>46225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8712-2024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45355</v>
      </c>
      <c r="E588" s="1" t="n">
        <v>46225</v>
      </c>
      <c r="F588" t="inlineStr">
        <is>
          <t>VÄRMLANDS LÄN</t>
        </is>
      </c>
      <c r="G588" t="inlineStr">
        <is>
          <t>FILIPSTAD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65174-2021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44515</v>
      </c>
      <c r="E589" s="1" t="n">
        <v>46225</v>
      </c>
      <c r="F589" t="inlineStr">
        <is>
          <t>VÄRMLANDS LÄN</t>
        </is>
      </c>
      <c r="G589" t="inlineStr">
        <is>
          <t>FILIPSTAD</t>
        </is>
      </c>
      <c r="I589" t="n">
        <v>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15406-2025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45747</v>
      </c>
      <c r="E590" s="1" t="n">
        <v>46225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35799-2022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44801</v>
      </c>
      <c r="E591" s="1" t="n">
        <v>46225</v>
      </c>
      <c r="F591" t="inlineStr">
        <is>
          <t>VÄRMLANDS LÄN</t>
        </is>
      </c>
      <c r="G591" t="inlineStr">
        <is>
          <t>FILIPSTAD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5757-2021</t>
        </is>
      </c>
      <c r="B592" t="inlineStr">
        <is>
          <t>samrådsanmälan</t>
        </is>
      </c>
      <c r="C592" t="inlineStr">
        <is>
          <t>Basväg</t>
        </is>
      </c>
      <c r="D592" s="1" t="n">
        <v>44438</v>
      </c>
      <c r="E592" s="1" t="n">
        <v>46225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1191-2021</t>
        </is>
      </c>
      <c r="B593" t="inlineStr">
        <is>
          <t>samrådsanmälan</t>
        </is>
      </c>
      <c r="C593" t="inlineStr">
        <is>
          <t>Åtgärd i nyckelbiotop</t>
        </is>
      </c>
      <c r="D593" s="1" t="n">
        <v>44328</v>
      </c>
      <c r="E593" s="1" t="n">
        <v>46225</v>
      </c>
      <c r="F593" t="inlineStr">
        <is>
          <t>VÄRMLANDS LÄN</t>
        </is>
      </c>
      <c r="G593" t="inlineStr">
        <is>
          <t>FILIPSTAD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4134-2023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45247</v>
      </c>
      <c r="E594" s="1" t="n">
        <v>46225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4115-2023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45246</v>
      </c>
      <c r="E595" s="1" t="n">
        <v>46225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4137-2023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46225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4132-2023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46225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4130-2023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46225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4127-2023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46225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837-2023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44991</v>
      </c>
      <c r="E600" s="1" t="n">
        <v>46225</v>
      </c>
      <c r="F600" t="inlineStr">
        <is>
          <t>VÄRMLANDS LÄN</t>
        </is>
      </c>
      <c r="G600" t="inlineStr">
        <is>
          <t>FILIPSTAD</t>
        </is>
      </c>
      <c r="I600" t="n">
        <v>19.3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4129-2023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46225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3919-2023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45233</v>
      </c>
      <c r="E602" s="1" t="n">
        <v>46225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4135-2023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46225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18.9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6078-2021</t>
        </is>
      </c>
      <c r="B604" t="inlineStr">
        <is>
          <t>samrådsanmälan</t>
        </is>
      </c>
      <c r="C604" t="inlineStr">
        <is>
          <t>Åtgärd i nyckelbiotop</t>
        </is>
      </c>
      <c r="D604" s="1" t="n">
        <v>44442</v>
      </c>
      <c r="E604" s="1" t="n">
        <v>46225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4126-2023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46225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294-2025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45687</v>
      </c>
      <c r="E606" s="1" t="n">
        <v>46225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186.4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4116-2023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45246</v>
      </c>
      <c r="E607" s="1" t="n">
        <v>46225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661-2025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45716</v>
      </c>
      <c r="E608" s="1" t="n">
        <v>46225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161.7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3429-2025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45995</v>
      </c>
      <c r="E609" s="1" t="n">
        <v>46225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3576-2025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46010</v>
      </c>
      <c r="E610" s="1" t="n">
        <v>46225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105-2026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46036</v>
      </c>
      <c r="E611" s="1" t="n">
        <v>46225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238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2026-07-22T01:39:07Z</dcterms:created>
  <dcterms:modified xmlns:dcterms="http://purl.org/dc/terms/" xmlns:xsi="http://www.w3.org/2001/XMLSchema-instance" xsi:type="dcterms:W3CDTF">2026-07-22T01:39:08Z</dcterms:modified>
</cp:coreProperties>
</file>