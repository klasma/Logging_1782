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46258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46258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46258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46258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46258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38138-2024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1.6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Dropptaggsvamp
Skuggblåslav
Fläcknycklar</t>
        </is>
      </c>
      <c r="W12">
        <f>HYPERLINK("https://klasma.github.io/Logging_1782/artfynd/A 38138-2024 artfynd.xlsx", "A 38138-2024")</f>
        <v/>
      </c>
      <c r="X12">
        <f>HYPERLINK("https://klasma.github.io/Logging_1782/kartor/A 38138-2024 karta.png", "A 38138-2024")</f>
        <v/>
      </c>
      <c r="Y12">
        <f>HYPERLINK("https://klasma.github.io/Logging_1782/kartor_geotiff/A 38138-2024 georefererad karta.tif", "A 38138-2024")</f>
        <v/>
      </c>
      <c r="AA12">
        <f>HYPERLINK("https://klasma.github.io/Logging_1782/klagomål/A 38138-2024 FSC-klagomål.docx", "A 38138-2024")</f>
        <v/>
      </c>
      <c r="AB12">
        <f>HYPERLINK("https://klasma.github.io/Logging_1782/klagomålsmail/A 38138-2024 FSC-klagomål mail.docx", "A 38138-2024")</f>
        <v/>
      </c>
      <c r="AC12">
        <f>HYPERLINK("https://klasma.github.io/Logging_1782/tillsyn/A 38138-2024 tillsynsbegäran.docx", "A 38138-2024")</f>
        <v/>
      </c>
      <c r="AD12">
        <f>HYPERLINK("https://klasma.github.io/Logging_1782/tillsynsmail/A 38138-2024 tillsynsbegäran mail.docx", "A 38138-2024")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46258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46258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46258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38134-2024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45545</v>
      </c>
      <c r="E16" s="1" t="n">
        <v>46258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Dropptaggsvamp
Skuggblåslav</t>
        </is>
      </c>
      <c r="W16">
        <f>HYPERLINK("https://klasma.github.io/Logging_1782/artfynd/A 38134-2024 artfynd.xlsx", "A 38134-2024")</f>
        <v/>
      </c>
      <c r="X16">
        <f>HYPERLINK("https://klasma.github.io/Logging_1782/kartor/A 38134-2024 karta.png", "A 38134-2024")</f>
        <v/>
      </c>
      <c r="Y16">
        <f>HYPERLINK("https://klasma.github.io/Logging_1782/kartor_geotiff/A 38134-2024 georefererad karta.tif", "A 38134-2024")</f>
        <v/>
      </c>
      <c r="AA16">
        <f>HYPERLINK("https://klasma.github.io/Logging_1782/klagomål/A 38134-2024 FSC-klagomål.docx", "A 38134-2024")</f>
        <v/>
      </c>
      <c r="AB16">
        <f>HYPERLINK("https://klasma.github.io/Logging_1782/klagomålsmail/A 38134-2024 FSC-klagomål mail.docx", "A 38134-2024")</f>
        <v/>
      </c>
      <c r="AC16">
        <f>HYPERLINK("https://klasma.github.io/Logging_1782/tillsyn/A 38134-2024 tillsynsbegäran.docx", "A 38134-2024")</f>
        <v/>
      </c>
      <c r="AD16">
        <f>HYPERLINK("https://klasma.github.io/Logging_1782/tillsynsmail/A 38134-2024 tillsynsbegäran mail.docx", "A 38134-2024")</f>
        <v/>
      </c>
    </row>
    <row r="17" ht="15" customHeight="1">
      <c r="A17" t="inlineStr">
        <is>
          <t>A 63625-2023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45275</v>
      </c>
      <c r="E17" s="1" t="n">
        <v>46258</v>
      </c>
      <c r="F17" t="inlineStr">
        <is>
          <t>VÄRMLANDS LÄN</t>
        </is>
      </c>
      <c r="G17" t="inlineStr">
        <is>
          <t>FILIPSTAD</t>
        </is>
      </c>
      <c r="I17" t="n">
        <v>1.9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Smalfotad taggsvamp
Vaddporing
Utter</t>
        </is>
      </c>
      <c r="W17">
        <f>HYPERLINK("https://klasma.github.io/Logging_1782/artfynd/A 63625-2023 artfynd.xlsx", "A 63625-2023")</f>
        <v/>
      </c>
      <c r="X17">
        <f>HYPERLINK("https://klasma.github.io/Logging_1782/kartor/A 63625-2023 karta.png", "A 63625-2023")</f>
        <v/>
      </c>
      <c r="Y17">
        <f>HYPERLINK("https://klasma.github.io/Logging_1782/kartor_geotiff/A 63625-2023 georefererad karta.tif", "A 63625-2023")</f>
        <v/>
      </c>
      <c r="AA17">
        <f>HYPERLINK("https://klasma.github.io/Logging_1782/klagomål/A 63625-2023 FSC-klagomål.docx", "A 63625-2023")</f>
        <v/>
      </c>
      <c r="AB17">
        <f>HYPERLINK("https://klasma.github.io/Logging_1782/klagomålsmail/A 63625-2023 FSC-klagomål mail.docx", "A 63625-2023")</f>
        <v/>
      </c>
      <c r="AC17">
        <f>HYPERLINK("https://klasma.github.io/Logging_1782/tillsyn/A 63625-2023 tillsynsbegäran.docx", "A 63625-2023")</f>
        <v/>
      </c>
      <c r="AD17">
        <f>HYPERLINK("https://klasma.github.io/Logging_1782/tillsynsmail/A 63625-2023 tillsynsbegäran mail.docx", "A 63625-2023")</f>
        <v/>
      </c>
    </row>
    <row r="18" ht="15" customHeight="1">
      <c r="A18" t="inlineStr">
        <is>
          <t>S 145-2023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44942</v>
      </c>
      <c r="E18" s="1" t="n">
        <v>46258</v>
      </c>
      <c r="F18" t="inlineStr">
        <is>
          <t>VÄRMLANDS LÄN</t>
        </is>
      </c>
      <c r="G18" t="inlineStr">
        <is>
          <t>FILIPSTAD</t>
        </is>
      </c>
      <c r="I18" t="n">
        <v>3.8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Loppstarr
Majviva
Guckusko</t>
        </is>
      </c>
      <c r="W18">
        <f>HYPERLINK("https://klasma.github.io/Logging_1782/artfynd/S 145-2023 artfynd.xlsx", "S 145-2023")</f>
        <v/>
      </c>
      <c r="X18">
        <f>HYPERLINK("https://klasma.github.io/Logging_1782/kartor/S 145-2023 karta.png", "S 145-2023")</f>
        <v/>
      </c>
      <c r="Y18">
        <f>HYPERLINK("https://klasma.github.io/Logging_1782/kartor_geotiff/S 145-2023 georefererad karta.tif", "S 145-2023")</f>
        <v/>
      </c>
      <c r="AA18">
        <f>HYPERLINK("https://klasma.github.io/Logging_1782/klagomål/S 145-2023 FSC-klagomål.docx", "S 145-2023")</f>
        <v/>
      </c>
      <c r="AB18">
        <f>HYPERLINK("https://klasma.github.io/Logging_1782/klagomålsmail/S 145-2023 FSC-klagomål mail.docx", "S 145-2023")</f>
        <v/>
      </c>
      <c r="AC18">
        <f>HYPERLINK("https://klasma.github.io/Logging_1782/tillsyn/S 145-2023 tillsynsbegäran.docx", "S 145-2023")</f>
        <v/>
      </c>
      <c r="AD18">
        <f>HYPERLINK("https://klasma.github.io/Logging_1782/tillsynsmail/S 145-2023 tillsynsbegäran mail.docx", "S 145-2023")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46258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46258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46258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46258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46258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46258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46258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19945-2023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46258</v>
      </c>
      <c r="F26" t="inlineStr">
        <is>
          <t>VÄRMLANDS LÄN</t>
        </is>
      </c>
      <c r="G26" t="inlineStr">
        <is>
          <t>FILIPSTAD</t>
        </is>
      </c>
      <c r="I26" t="n">
        <v>3.3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3</v>
      </c>
      <c r="V26" s="2" t="inlineStr">
        <is>
          <t>Guckusko
Kransrams</t>
        </is>
      </c>
      <c r="W26">
        <f>HYPERLINK("https://klasma.github.io/Logging_1782/artfynd/A 19945-2023 artfynd.xlsx", "A 19945-2023")</f>
        <v/>
      </c>
      <c r="X26">
        <f>HYPERLINK("https://klasma.github.io/Logging_1782/kartor/A 19945-2023 karta.png", "A 19945-2023")</f>
        <v/>
      </c>
      <c r="Y26">
        <f>HYPERLINK("https://klasma.github.io/Logging_1782/kartor_geotiff/A 19945-2023 georefererad karta.tif", "A 19945-2023")</f>
        <v/>
      </c>
      <c r="AA26">
        <f>HYPERLINK("https://klasma.github.io/Logging_1782/klagomål/A 19945-2023 FSC-klagomål.docx", "A 19945-2023")</f>
        <v/>
      </c>
      <c r="AB26">
        <f>HYPERLINK("https://klasma.github.io/Logging_1782/klagomålsmail/A 19945-2023 FSC-klagomål mail.docx", "A 19945-2023")</f>
        <v/>
      </c>
      <c r="AC26">
        <f>HYPERLINK("https://klasma.github.io/Logging_1782/tillsyn/A 19945-2023 tillsynsbegäran.docx", "A 19945-2023")</f>
        <v/>
      </c>
      <c r="AD26">
        <f>HYPERLINK("https://klasma.github.io/Logging_1782/tillsynsmail/A 19945-2023 tillsynsbegäran mail.docx", "A 19945-2023")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46258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46258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46258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46258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46258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46258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46258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46258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874-2025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46258</v>
      </c>
      <c r="F36" t="inlineStr">
        <is>
          <t>VÄRMLANDS LÄN</t>
        </is>
      </c>
      <c r="G36" t="inlineStr">
        <is>
          <t>FILIPSTAD</t>
        </is>
      </c>
      <c r="H36" t="inlineStr">
        <is>
          <t>Kyrkan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Kamjordstjärna</t>
        </is>
      </c>
      <c r="W36">
        <f>HYPERLINK("https://klasma.github.io/Logging_1782/artfynd/A 874-2025 artfynd.xlsx", "A 874-2025")</f>
        <v/>
      </c>
      <c r="X36">
        <f>HYPERLINK("https://klasma.github.io/Logging_1782/kartor/A 874-2025 karta.png", "A 874-2025")</f>
        <v/>
      </c>
      <c r="Y36">
        <f>HYPERLINK("https://klasma.github.io/Logging_1782/kartor_geotiff/A 874-2025 georefererad karta.tif", "A 874-2025")</f>
        <v/>
      </c>
      <c r="AA36">
        <f>HYPERLINK("https://klasma.github.io/Logging_1782/klagomål/A 874-2025 FSC-klagomål.docx", "A 874-2025")</f>
        <v/>
      </c>
      <c r="AB36">
        <f>HYPERLINK("https://klasma.github.io/Logging_1782/klagomålsmail/A 874-2025 FSC-klagomål mail.docx", "A 874-2025")</f>
        <v/>
      </c>
      <c r="AC36">
        <f>HYPERLINK("https://klasma.github.io/Logging_1782/tillsyn/A 874-2025 tillsynsbegäran.docx", "A 874-2025")</f>
        <v/>
      </c>
      <c r="AD36">
        <f>HYPERLINK("https://klasma.github.io/Logging_1782/tillsynsmail/A 874-2025 tillsynsbegäran mail.docx", "A 874-2025")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46258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46258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46258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46258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46258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46258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46258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23046-2023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45075</v>
      </c>
      <c r="E45" s="1" t="n">
        <v>46258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HYPERLINK("https://klasma.github.io/Logging_1782/artfynd/A 23046-2023 artfynd.xlsx", "A 23046-2023")</f>
        <v/>
      </c>
      <c r="X45">
        <f>HYPERLINK("https://klasma.github.io/Logging_1782/kartor/A 23046-2023 karta.png", "A 23046-2023")</f>
        <v/>
      </c>
      <c r="Y45">
        <f>HYPERLINK("https://klasma.github.io/Logging_1782/kartor_geotiff/A 23046-2023 georefererad karta.tif", "A 23046-2023")</f>
        <v/>
      </c>
      <c r="Z45">
        <f>HYPERLINK("https://klasma.github.io/Logging_1782/knärot/A 23046-2023 karta knärot.png", "A 23046-2023")</f>
        <v/>
      </c>
      <c r="AA45">
        <f>HYPERLINK("https://klasma.github.io/Logging_1782/klagomål/A 23046-2023 FSC-klagomål.docx", "A 23046-2023")</f>
        <v/>
      </c>
      <c r="AB45">
        <f>HYPERLINK("https://klasma.github.io/Logging_1782/klagomålsmail/A 23046-2023 FSC-klagomål mail.docx", "A 23046-2023")</f>
        <v/>
      </c>
      <c r="AC45">
        <f>HYPERLINK("https://klasma.github.io/Logging_1782/tillsyn/A 23046-2023 tillsynsbegäran.docx", "A 23046-2023")</f>
        <v/>
      </c>
      <c r="AD45">
        <f>HYPERLINK("https://klasma.github.io/Logging_1782/tillsynsmail/A 23046-2023 tillsynsbegäran mail.docx", "A 23046-2023")</f>
        <v/>
      </c>
    </row>
    <row r="46" ht="15" customHeight="1">
      <c r="A46" t="inlineStr">
        <is>
          <t>A 11453-2025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46258</v>
      </c>
      <c r="F46" t="inlineStr">
        <is>
          <t>VÄRMLANDS LÄN</t>
        </is>
      </c>
      <c r="G46" t="inlineStr">
        <is>
          <t>FILIPSTAD</t>
        </is>
      </c>
      <c r="I46" t="n">
        <v>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Purpurknipprot</t>
        </is>
      </c>
      <c r="W46">
        <f>HYPERLINK("https://klasma.github.io/Logging_1782/artfynd/A 11453-2025 artfynd.xlsx", "A 11453-2025")</f>
        <v/>
      </c>
      <c r="X46">
        <f>HYPERLINK("https://klasma.github.io/Logging_1782/kartor/A 11453-2025 karta.png", "A 11453-2025")</f>
        <v/>
      </c>
      <c r="Y46">
        <f>HYPERLINK("https://klasma.github.io/Logging_1782/kartor_geotiff/A 11453-2025 georefererad karta.tif", "A 11453-2025")</f>
        <v/>
      </c>
      <c r="AA46">
        <f>HYPERLINK("https://klasma.github.io/Logging_1782/klagomål/A 11453-2025 FSC-klagomål.docx", "A 11453-2025")</f>
        <v/>
      </c>
      <c r="AB46">
        <f>HYPERLINK("https://klasma.github.io/Logging_1782/klagomålsmail/A 11453-2025 FSC-klagomål mail.docx", "A 11453-2025")</f>
        <v/>
      </c>
      <c r="AC46">
        <f>HYPERLINK("https://klasma.github.io/Logging_1782/tillsyn/A 11453-2025 tillsynsbegäran.docx", "A 11453-2025")</f>
        <v/>
      </c>
      <c r="AD46">
        <f>HYPERLINK("https://klasma.github.io/Logging_1782/tillsynsmail/A 11453-2025 tillsynsbegäran mail.docx", "A 11453-2025")</f>
        <v/>
      </c>
    </row>
    <row r="47" ht="15" customHeight="1">
      <c r="A47" t="inlineStr">
        <is>
          <t>S 264-2022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44578</v>
      </c>
      <c r="E47" s="1" t="n">
        <v>46258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398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HYPERLINK("https://klasma.github.io/Logging_1782/artfynd/S 264-2022 artfynd.xlsx", "S 264-2022")</f>
        <v/>
      </c>
      <c r="X47">
        <f>HYPERLINK("https://klasma.github.io/Logging_1782/kartor/S 264-2022 karta.png", "S 264-2022")</f>
        <v/>
      </c>
      <c r="Y47">
        <f>HYPERLINK("https://klasma.github.io/Logging_1782/kartor_geotiff/S 264-2022 georefererad karta.tif", "S 264-2022")</f>
        <v/>
      </c>
      <c r="AA47">
        <f>HYPERLINK("https://klasma.github.io/Logging_1782/klagomål/S 264-2022 FSC-klagomål.docx", "S 264-2022")</f>
        <v/>
      </c>
      <c r="AB47">
        <f>HYPERLINK("https://klasma.github.io/Logging_1782/klagomålsmail/S 264-2022 FSC-klagomål mail.docx", "S 264-2022")</f>
        <v/>
      </c>
      <c r="AC47">
        <f>HYPERLINK("https://klasma.github.io/Logging_1782/tillsyn/S 264-2022 tillsynsbegäran.docx", "S 264-2022")</f>
        <v/>
      </c>
      <c r="AD47">
        <f>HYPERLINK("https://klasma.github.io/Logging_1782/tillsynsmail/S 264-2022 tillsynsbegäran mail.docx", "S 264-2022")</f>
        <v/>
      </c>
      <c r="AE47">
        <f>HYPERLINK("https://klasma.github.io/Logging_1782/fåglar/S 264-2022 prioriterade fågelarter.docx", "S 264-2022")</f>
        <v/>
      </c>
    </row>
    <row r="48" ht="15" customHeight="1">
      <c r="A48" t="inlineStr">
        <is>
          <t>S 383-2025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45691</v>
      </c>
      <c r="E48" s="1" t="n">
        <v>46258</v>
      </c>
      <c r="F48" t="inlineStr">
        <is>
          <t>VÄRMLANDS LÄN</t>
        </is>
      </c>
      <c r="G48" t="inlineStr">
        <is>
          <t>FILIPSTAD</t>
        </is>
      </c>
      <c r="I48" t="n">
        <v>18.6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HYPERLINK("https://klasma.github.io/Logging_1782/artfynd/S 383-2025 artfynd.xlsx", "S 383-2025")</f>
        <v/>
      </c>
      <c r="X48">
        <f>HYPERLINK("https://klasma.github.io/Logging_1782/kartor/S 383-2025 karta.png", "S 383-2025")</f>
        <v/>
      </c>
      <c r="Y48">
        <f>HYPERLINK("https://klasma.github.io/Logging_1782/kartor_geotiff/S 383-2025 georefererad karta.tif", "S 383-2025")</f>
        <v/>
      </c>
      <c r="AA48">
        <f>HYPERLINK("https://klasma.github.io/Logging_1782/klagomål/S 383-2025 FSC-klagomål.docx", "S 383-2025")</f>
        <v/>
      </c>
      <c r="AB48">
        <f>HYPERLINK("https://klasma.github.io/Logging_1782/klagomålsmail/S 383-2025 FSC-klagomål mail.docx", "S 383-2025")</f>
        <v/>
      </c>
      <c r="AC48">
        <f>HYPERLINK("https://klasma.github.io/Logging_1782/tillsyn/S 383-2025 tillsynsbegäran.docx", "S 383-2025")</f>
        <v/>
      </c>
      <c r="AD48">
        <f>HYPERLINK("https://klasma.github.io/Logging_1782/tillsynsmail/S 383-2025 tillsynsbegäran mail.docx", "S 383-2025")</f>
        <v/>
      </c>
    </row>
    <row r="49" ht="15" customHeight="1">
      <c r="A49" t="inlineStr">
        <is>
          <t>A 8482-2022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46258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46258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44664</v>
      </c>
      <c r="E51" s="1" t="n">
        <v>46258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46258</v>
      </c>
      <c r="F52" t="inlineStr">
        <is>
          <t>VÄRMLANDS LÄN</t>
        </is>
      </c>
      <c r="G52" t="inlineStr">
        <is>
          <t>FILIPSTAD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46258</v>
      </c>
      <c r="F53" t="inlineStr">
        <is>
          <t>VÄRMLANDS LÄN</t>
        </is>
      </c>
      <c r="G53" t="inlineStr">
        <is>
          <t>FILIPSTAD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44606</v>
      </c>
      <c r="E54" s="1" t="n">
        <v>46258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46258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46258</v>
      </c>
      <c r="F56" t="inlineStr">
        <is>
          <t>VÄRMLANDS LÄN</t>
        </is>
      </c>
      <c r="G56" t="inlineStr">
        <is>
          <t>FILIPSTAD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44726</v>
      </c>
      <c r="E57" s="1" t="n">
        <v>46258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30.7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44505</v>
      </c>
      <c r="E58" s="1" t="n">
        <v>46258</v>
      </c>
      <c r="F58" t="inlineStr">
        <is>
          <t>VÄRMLANDS LÄN</t>
        </is>
      </c>
      <c r="G58" t="inlineStr">
        <is>
          <t>FILIPSTAD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46258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46258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46258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22356-2022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44713</v>
      </c>
      <c r="E63" s="1" t="n">
        <v>46258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46258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46258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46258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46258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19626-2022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44694</v>
      </c>
      <c r="E68" s="1" t="n">
        <v>46258</v>
      </c>
      <c r="F68" t="inlineStr">
        <is>
          <t>VÄRMLANDS LÄN</t>
        </is>
      </c>
      <c r="G68" t="inlineStr">
        <is>
          <t>FILIPSTAD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46258</v>
      </c>
      <c r="F69" t="inlineStr">
        <is>
          <t>VÄRMLANDS LÄN</t>
        </is>
      </c>
      <c r="G69" t="inlineStr">
        <is>
          <t>FILIPSTAD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46258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46258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46258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46258</v>
      </c>
      <c r="F73" t="inlineStr">
        <is>
          <t>VÄRMLANDS LÄN</t>
        </is>
      </c>
      <c r="G73" t="inlineStr">
        <is>
          <t>FILIPSTAD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46258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44801</v>
      </c>
      <c r="E75" s="1" t="n">
        <v>46258</v>
      </c>
      <c r="F75" t="inlineStr">
        <is>
          <t>VÄRMLANDS LÄN</t>
        </is>
      </c>
      <c r="G75" t="inlineStr">
        <is>
          <t>FILIPSTAD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46258</v>
      </c>
      <c r="F76" t="inlineStr">
        <is>
          <t>VÄRMLANDS LÄN</t>
        </is>
      </c>
      <c r="G76" t="inlineStr">
        <is>
          <t>FILIPSTAD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47261-2024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45586</v>
      </c>
      <c r="E77" s="1" t="n">
        <v>46258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46258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26116-2025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46258</v>
      </c>
      <c r="F79" t="inlineStr">
        <is>
          <t>VÄRMLANDS LÄN</t>
        </is>
      </c>
      <c r="G79" t="inlineStr">
        <is>
          <t>FILIPSTAD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26123-2025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45805</v>
      </c>
      <c r="E80" s="1" t="n">
        <v>46258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46258</v>
      </c>
      <c r="F81" t="inlineStr">
        <is>
          <t>VÄRMLANDS LÄN</t>
        </is>
      </c>
      <c r="G81" t="inlineStr">
        <is>
          <t>FILIPSTAD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46258</v>
      </c>
      <c r="F82" t="inlineStr">
        <is>
          <t>VÄRMLANDS LÄN</t>
        </is>
      </c>
      <c r="G82" t="inlineStr">
        <is>
          <t>FILIPSTAD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46258</v>
      </c>
      <c r="F83" t="inlineStr">
        <is>
          <t>VÄRMLANDS LÄN</t>
        </is>
      </c>
      <c r="G83" t="inlineStr">
        <is>
          <t>FILIPSTAD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22830-2023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45072</v>
      </c>
      <c r="E84" s="1" t="n">
        <v>46258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22866-2023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45072</v>
      </c>
      <c r="E85" s="1" t="n">
        <v>46258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45810</v>
      </c>
      <c r="E86" s="1" t="n">
        <v>46258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46258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45470</v>
      </c>
      <c r="E88" s="1" t="n">
        <v>46258</v>
      </c>
      <c r="F88" t="inlineStr">
        <is>
          <t>VÄRMLANDS LÄN</t>
        </is>
      </c>
      <c r="G88" t="inlineStr">
        <is>
          <t>FILIPSTAD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26599-2024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45469</v>
      </c>
      <c r="E89" s="1" t="n">
        <v>46258</v>
      </c>
      <c r="F89" t="inlineStr">
        <is>
          <t>VÄRMLANDS LÄN</t>
        </is>
      </c>
      <c r="G89" t="inlineStr">
        <is>
          <t>FILIPSTAD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46258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44980</v>
      </c>
      <c r="E91" s="1" t="n">
        <v>46258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46258</v>
      </c>
      <c r="F92" t="inlineStr">
        <is>
          <t>VÄRMLANDS LÄN</t>
        </is>
      </c>
      <c r="G92" t="inlineStr">
        <is>
          <t>FILIPSTAD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46258</v>
      </c>
      <c r="F93" t="inlineStr">
        <is>
          <t>VÄRMLANDS LÄN</t>
        </is>
      </c>
      <c r="G93" t="inlineStr">
        <is>
          <t>FILIPSTAD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46258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45769</v>
      </c>
      <c r="E95" s="1" t="n">
        <v>46258</v>
      </c>
      <c r="F95" t="inlineStr">
        <is>
          <t>VÄRMLANDS LÄN</t>
        </is>
      </c>
      <c r="G95" t="inlineStr">
        <is>
          <t>FILIPSTAD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44805</v>
      </c>
      <c r="E96" s="1" t="n">
        <v>46258</v>
      </c>
      <c r="F96" t="inlineStr">
        <is>
          <t>VÄRMLANDS LÄN</t>
        </is>
      </c>
      <c r="G96" t="inlineStr">
        <is>
          <t>FILIPSTAD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46258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41718-2025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45902</v>
      </c>
      <c r="E98" s="1" t="n">
        <v>46258</v>
      </c>
      <c r="F98" t="inlineStr">
        <is>
          <t>VÄRMLANDS LÄN</t>
        </is>
      </c>
      <c r="G98" t="inlineStr">
        <is>
          <t>FILIPSTAD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46258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45218</v>
      </c>
      <c r="E100" s="1" t="n">
        <v>46258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46258</v>
      </c>
      <c r="F101" t="inlineStr">
        <is>
          <t>VÄRMLANDS LÄN</t>
        </is>
      </c>
      <c r="G101" t="inlineStr">
        <is>
          <t>FILIPSTAD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46258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25737-2023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45090</v>
      </c>
      <c r="E103" s="1" t="n">
        <v>46258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45407</v>
      </c>
      <c r="E104" s="1" t="n">
        <v>46258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46258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46258</v>
      </c>
      <c r="F106" t="inlineStr">
        <is>
          <t>VÄRMLANDS LÄN</t>
        </is>
      </c>
      <c r="G106" t="inlineStr">
        <is>
          <t>FILIPSTAD</t>
        </is>
      </c>
      <c r="H106" t="inlineStr">
        <is>
          <t>Kyrkan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46258</v>
      </c>
      <c r="F107" t="inlineStr">
        <is>
          <t>VÄRMLANDS LÄN</t>
        </is>
      </c>
      <c r="G107" t="inlineStr">
        <is>
          <t>FILIPSTAD</t>
        </is>
      </c>
      <c r="I107" t="n">
        <v>23.3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46258</v>
      </c>
      <c r="F108" t="inlineStr">
        <is>
          <t>VÄRMLANDS LÄN</t>
        </is>
      </c>
      <c r="G108" t="inlineStr">
        <is>
          <t>FILIPSTAD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46258</v>
      </c>
      <c r="F109" t="inlineStr">
        <is>
          <t>VÄRMLANDS LÄN</t>
        </is>
      </c>
      <c r="G109" t="inlineStr">
        <is>
          <t>FILIPSTAD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46258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46258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46258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46258</v>
      </c>
      <c r="F113" t="inlineStr">
        <is>
          <t>VÄRMLANDS LÄN</t>
        </is>
      </c>
      <c r="G113" t="inlineStr">
        <is>
          <t>FILIPSTAD</t>
        </is>
      </c>
      <c r="H113" t="inlineStr">
        <is>
          <t>Kyrkan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44963</v>
      </c>
      <c r="E114" s="1" t="n">
        <v>46258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46258</v>
      </c>
      <c r="F115" t="inlineStr">
        <is>
          <t>VÄRMLANDS LÄN</t>
        </is>
      </c>
      <c r="G115" t="inlineStr">
        <is>
          <t>FILIPSTAD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46258</v>
      </c>
      <c r="F116" t="inlineStr">
        <is>
          <t>VÄRMLANDS LÄN</t>
        </is>
      </c>
      <c r="G116" t="inlineStr">
        <is>
          <t>FILIPSTAD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46258</v>
      </c>
      <c r="F117" t="inlineStr">
        <is>
          <t>VÄRMLANDS LÄN</t>
        </is>
      </c>
      <c r="G117" t="inlineStr">
        <is>
          <t>FILIPSTAD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31172-2025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45832</v>
      </c>
      <c r="E118" s="1" t="n">
        <v>46258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32032-2025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45835</v>
      </c>
      <c r="E119" s="1" t="n">
        <v>46258</v>
      </c>
      <c r="F119" t="inlineStr">
        <is>
          <t>VÄRMLANDS LÄN</t>
        </is>
      </c>
      <c r="G119" t="inlineStr">
        <is>
          <t>FILIPSTAD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45578</v>
      </c>
      <c r="E120" s="1" t="n">
        <v>46258</v>
      </c>
      <c r="F120" t="inlineStr">
        <is>
          <t>VÄRMLANDS LÄN</t>
        </is>
      </c>
      <c r="G120" t="inlineStr">
        <is>
          <t>FILIPSTAD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46258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46258</v>
      </c>
      <c r="F122" t="inlineStr">
        <is>
          <t>VÄRMLANDS LÄN</t>
        </is>
      </c>
      <c r="G122" t="inlineStr">
        <is>
          <t>FILIPSTAD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45744</v>
      </c>
      <c r="E123" s="1" t="n">
        <v>46258</v>
      </c>
      <c r="F123" t="inlineStr">
        <is>
          <t>VÄRMLANDS LÄN</t>
        </is>
      </c>
      <c r="G123" t="inlineStr">
        <is>
          <t>FILIPSTAD</t>
        </is>
      </c>
      <c r="H123" t="inlineStr">
        <is>
          <t>Kommuner</t>
        </is>
      </c>
      <c r="I123" t="n">
        <v>17.7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46258</v>
      </c>
      <c r="F124" t="inlineStr">
        <is>
          <t>VÄRMLANDS LÄN</t>
        </is>
      </c>
      <c r="G124" t="inlineStr">
        <is>
          <t>FILIPSTAD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56840-2024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45628</v>
      </c>
      <c r="E125" s="1" t="n">
        <v>46258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46258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46258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46258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46258</v>
      </c>
      <c r="F129" t="inlineStr">
        <is>
          <t>VÄRMLANDS LÄN</t>
        </is>
      </c>
      <c r="G129" t="inlineStr">
        <is>
          <t>FILIPSTAD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46258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45087</v>
      </c>
      <c r="E131" s="1" t="n">
        <v>46258</v>
      </c>
      <c r="F131" t="inlineStr">
        <is>
          <t>VÄRMLANDS LÄN</t>
        </is>
      </c>
      <c r="G131" t="inlineStr">
        <is>
          <t>FILIPSTAD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45088</v>
      </c>
      <c r="E132" s="1" t="n">
        <v>46258</v>
      </c>
      <c r="F132" t="inlineStr">
        <is>
          <t>VÄRMLANDS LÄN</t>
        </is>
      </c>
      <c r="G132" t="inlineStr">
        <is>
          <t>FILIPSTAD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46258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46258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46258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14582-2025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45742</v>
      </c>
      <c r="E136" s="1" t="n">
        <v>46258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46258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46258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46258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46258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46258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46258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46258</v>
      </c>
      <c r="F143" t="inlineStr">
        <is>
          <t>VÄRMLANDS LÄN</t>
        </is>
      </c>
      <c r="G143" t="inlineStr">
        <is>
          <t>FILIPSTAD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45933</v>
      </c>
      <c r="E144" s="1" t="n">
        <v>46258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46258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46258</v>
      </c>
      <c r="F146" t="inlineStr">
        <is>
          <t>VÄRMLANDS LÄN</t>
        </is>
      </c>
      <c r="G146" t="inlineStr">
        <is>
          <t>FILIPSTAD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46258</v>
      </c>
      <c r="F147" t="inlineStr">
        <is>
          <t>VÄRMLANDS LÄN</t>
        </is>
      </c>
      <c r="G147" t="inlineStr">
        <is>
          <t>FILIPSTAD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28161-2023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45093</v>
      </c>
      <c r="E148" s="1" t="n">
        <v>46258</v>
      </c>
      <c r="F148" t="inlineStr">
        <is>
          <t>VÄRMLANDS LÄN</t>
        </is>
      </c>
      <c r="G148" t="inlineStr">
        <is>
          <t>FILIPSTAD</t>
        </is>
      </c>
      <c r="H148" t="inlineStr">
        <is>
          <t>Kommuner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46258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46258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46258</v>
      </c>
      <c r="F151" t="inlineStr">
        <is>
          <t>VÄRMLANDS LÄN</t>
        </is>
      </c>
      <c r="G151" t="inlineStr">
        <is>
          <t>FILIPSTAD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44384-2021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46258</v>
      </c>
      <c r="F152" t="inlineStr">
        <is>
          <t>VÄRMLANDS LÄN</t>
        </is>
      </c>
      <c r="G152" t="inlineStr">
        <is>
          <t>FILIPSTAD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46258</v>
      </c>
      <c r="F153" t="inlineStr">
        <is>
          <t>VÄRMLANDS LÄN</t>
        </is>
      </c>
      <c r="G153" t="inlineStr">
        <is>
          <t>FILIPSTAD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44889</v>
      </c>
      <c r="E154" s="1" t="n">
        <v>46258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46258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46258</v>
      </c>
      <c r="F156" t="inlineStr">
        <is>
          <t>VÄRMLANDS LÄN</t>
        </is>
      </c>
      <c r="G156" t="inlineStr">
        <is>
          <t>FILIPSTAD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46258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45841</v>
      </c>
      <c r="E158" s="1" t="n">
        <v>46258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45223</v>
      </c>
      <c r="E159" s="1" t="n">
        <v>46258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46258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46258</v>
      </c>
      <c r="F161" t="inlineStr">
        <is>
          <t>VÄRMLANDS LÄN</t>
        </is>
      </c>
      <c r="G161" t="inlineStr">
        <is>
          <t>FILIPSTAD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46258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46258</v>
      </c>
      <c r="F163" t="inlineStr">
        <is>
          <t>VÄRMLANDS LÄN</t>
        </is>
      </c>
      <c r="G163" t="inlineStr">
        <is>
          <t>FILIPSTAD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45750</v>
      </c>
      <c r="E164" s="1" t="n">
        <v>46258</v>
      </c>
      <c r="F164" t="inlineStr">
        <is>
          <t>VÄRMLANDS LÄN</t>
        </is>
      </c>
      <c r="G164" t="inlineStr">
        <is>
          <t>FILIPSTAD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46258</v>
      </c>
      <c r="F165" t="inlineStr">
        <is>
          <t>VÄRMLANDS LÄN</t>
        </is>
      </c>
      <c r="G165" t="inlineStr">
        <is>
          <t>FILIPSTAD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46258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46258</v>
      </c>
      <c r="F167" t="inlineStr">
        <is>
          <t>VÄRMLANDS LÄN</t>
        </is>
      </c>
      <c r="G167" t="inlineStr">
        <is>
          <t>FILIPSTAD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45428</v>
      </c>
      <c r="E168" s="1" t="n">
        <v>46258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46258</v>
      </c>
      <c r="F169" t="inlineStr">
        <is>
          <t>VÄRMLANDS LÄN</t>
        </is>
      </c>
      <c r="G169" t="inlineStr">
        <is>
          <t>FILIPSTAD</t>
        </is>
      </c>
      <c r="H169" t="inlineStr">
        <is>
          <t>Kyrkan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46258</v>
      </c>
      <c r="F170" t="inlineStr">
        <is>
          <t>VÄRMLANDS LÄN</t>
        </is>
      </c>
      <c r="G170" t="inlineStr">
        <is>
          <t>FILIPSTAD</t>
        </is>
      </c>
      <c r="H170" t="inlineStr">
        <is>
          <t>Kyrkan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46258</v>
      </c>
      <c r="F171" t="inlineStr">
        <is>
          <t>VÄRMLANDS LÄN</t>
        </is>
      </c>
      <c r="G171" t="inlineStr">
        <is>
          <t>FILIPSTAD</t>
        </is>
      </c>
      <c r="H171" t="inlineStr">
        <is>
          <t>Kyrkan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46258</v>
      </c>
      <c r="F172" t="inlineStr">
        <is>
          <t>VÄRMLANDS LÄN</t>
        </is>
      </c>
      <c r="G172" t="inlineStr">
        <is>
          <t>FILIPSTAD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46258</v>
      </c>
      <c r="F173" t="inlineStr">
        <is>
          <t>VÄRMLANDS LÄN</t>
        </is>
      </c>
      <c r="G173" t="inlineStr">
        <is>
          <t>FILIPSTAD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36251-2022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44803</v>
      </c>
      <c r="E174" s="1" t="n">
        <v>46258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46258</v>
      </c>
      <c r="F175" t="inlineStr">
        <is>
          <t>VÄRMLANDS LÄN</t>
        </is>
      </c>
      <c r="G175" t="inlineStr">
        <is>
          <t>FILIPSTAD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46258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45658</v>
      </c>
      <c r="E177" s="1" t="n">
        <v>46258</v>
      </c>
      <c r="F177" t="inlineStr">
        <is>
          <t>VÄRMLANDS LÄN</t>
        </is>
      </c>
      <c r="G177" t="inlineStr">
        <is>
          <t>FILIPSTAD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46258</v>
      </c>
      <c r="F178" t="inlineStr">
        <is>
          <t>VÄRMLANDS LÄN</t>
        </is>
      </c>
      <c r="G178" t="inlineStr">
        <is>
          <t>FILIPSTAD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46258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46258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46258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45453</v>
      </c>
      <c r="E182" s="1" t="n">
        <v>46258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46258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46258</v>
      </c>
      <c r="F184" t="inlineStr">
        <is>
          <t>VÄRMLANDS LÄN</t>
        </is>
      </c>
      <c r="G184" t="inlineStr">
        <is>
          <t>FILIPSTAD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46258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46258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46258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46258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46258</v>
      </c>
      <c r="F190" t="inlineStr">
        <is>
          <t>VÄRMLANDS LÄN</t>
        </is>
      </c>
      <c r="G190" t="inlineStr">
        <is>
          <t>FILIPSTAD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46258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46258</v>
      </c>
      <c r="F192" t="inlineStr">
        <is>
          <t>VÄRMLANDS LÄN</t>
        </is>
      </c>
      <c r="G192" t="inlineStr">
        <is>
          <t>FILIPSTAD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46258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46258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36680-2023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45153</v>
      </c>
      <c r="E195" s="1" t="n">
        <v>46258</v>
      </c>
      <c r="F195" t="inlineStr">
        <is>
          <t>VÄRMLANDS LÄN</t>
        </is>
      </c>
      <c r="G195" t="inlineStr">
        <is>
          <t>FILIPSTAD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46258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46258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46258</v>
      </c>
      <c r="F200" t="inlineStr">
        <is>
          <t>VÄRMLANDS LÄN</t>
        </is>
      </c>
      <c r="G200" t="inlineStr">
        <is>
          <t>FILIPSTAD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46258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46258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46258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46258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46258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46258</v>
      </c>
      <c r="F206" t="inlineStr">
        <is>
          <t>VÄRMLANDS LÄN</t>
        </is>
      </c>
      <c r="G206" t="inlineStr">
        <is>
          <t>FILIPSTAD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46258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46258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46258</v>
      </c>
      <c r="F209" t="inlineStr">
        <is>
          <t>VÄRMLANDS LÄN</t>
        </is>
      </c>
      <c r="G209" t="inlineStr">
        <is>
          <t>FILIPSTAD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46258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46258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46258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46258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45177</v>
      </c>
      <c r="E214" s="1" t="n">
        <v>46258</v>
      </c>
      <c r="F214" t="inlineStr">
        <is>
          <t>VÄRMLANDS LÄN</t>
        </is>
      </c>
      <c r="G214" t="inlineStr">
        <is>
          <t>FILIPSTAD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46258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46258</v>
      </c>
      <c r="F216" t="inlineStr">
        <is>
          <t>VÄRMLANDS LÄN</t>
        </is>
      </c>
      <c r="G216" t="inlineStr">
        <is>
          <t>FILIPSTAD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45686</v>
      </c>
      <c r="E217" s="1" t="n">
        <v>46258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46258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46258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46258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46258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46258</v>
      </c>
      <c r="F223" t="inlineStr">
        <is>
          <t>VÄRMLANDS LÄN</t>
        </is>
      </c>
      <c r="G223" t="inlineStr">
        <is>
          <t>FILIPSTAD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13918-2024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45391</v>
      </c>
      <c r="E224" s="1" t="n">
        <v>46258</v>
      </c>
      <c r="F224" t="inlineStr">
        <is>
          <t>VÄRMLANDS LÄN</t>
        </is>
      </c>
      <c r="G224" t="inlineStr">
        <is>
          <t>FILIPSTAD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70405-2021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46258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46258</v>
      </c>
      <c r="F226" t="inlineStr">
        <is>
          <t>VÄRMLANDS LÄN</t>
        </is>
      </c>
      <c r="G226" t="inlineStr">
        <is>
          <t>FILIPSTAD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44579</v>
      </c>
      <c r="E227" s="1" t="n">
        <v>46258</v>
      </c>
      <c r="F227" t="inlineStr">
        <is>
          <t>VÄRMLANDS LÄN</t>
        </is>
      </c>
      <c r="G227" t="inlineStr">
        <is>
          <t>FILIPSTAD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46258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46258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46258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46258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50856-2022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44867</v>
      </c>
      <c r="E232" s="1" t="n">
        <v>46258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46258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46258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44911</v>
      </c>
      <c r="E235" s="1" t="n">
        <v>46258</v>
      </c>
      <c r="F235" t="inlineStr">
        <is>
          <t>VÄRMLANDS LÄN</t>
        </is>
      </c>
      <c r="G235" t="inlineStr">
        <is>
          <t>FILIPSTAD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46258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46258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46258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46258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46258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46258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46258</v>
      </c>
      <c r="F242" t="inlineStr">
        <is>
          <t>VÄRMLANDS LÄN</t>
        </is>
      </c>
      <c r="G242" t="inlineStr">
        <is>
          <t>FILIPSTAD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71971-2021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44544</v>
      </c>
      <c r="E243" s="1" t="n">
        <v>46258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46258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46258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46258</v>
      </c>
      <c r="F246" t="inlineStr">
        <is>
          <t>VÄRMLANDS LÄN</t>
        </is>
      </c>
      <c r="G246" t="inlineStr">
        <is>
          <t>FILIPSTAD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46001</v>
      </c>
      <c r="E247" s="1" t="n">
        <v>46258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46258</v>
      </c>
      <c r="F248" t="inlineStr">
        <is>
          <t>VÄRMLANDS LÄN</t>
        </is>
      </c>
      <c r="G248" t="inlineStr">
        <is>
          <t>FILIPSTAD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44439</v>
      </c>
      <c r="E249" s="1" t="n">
        <v>46258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46258</v>
      </c>
      <c r="F250" t="inlineStr">
        <is>
          <t>VÄRMLANDS LÄN</t>
        </is>
      </c>
      <c r="G250" t="inlineStr">
        <is>
          <t>FILIPSTAD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46258</v>
      </c>
      <c r="F251" t="inlineStr">
        <is>
          <t>VÄRMLANDS LÄN</t>
        </is>
      </c>
      <c r="G251" t="inlineStr">
        <is>
          <t>FILIPSTAD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44789</v>
      </c>
      <c r="E252" s="1" t="n">
        <v>46258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46258</v>
      </c>
      <c r="F253" t="inlineStr">
        <is>
          <t>VÄRMLANDS LÄN</t>
        </is>
      </c>
      <c r="G253" t="inlineStr">
        <is>
          <t>FILIPSTAD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61417-2025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46001</v>
      </c>
      <c r="E254" s="1" t="n">
        <v>46258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46258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46258</v>
      </c>
      <c r="F256" t="inlineStr">
        <is>
          <t>VÄRMLANDS LÄN</t>
        </is>
      </c>
      <c r="G256" t="inlineStr">
        <is>
          <t>FILIPSTAD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61327-2025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46258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46258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61823-2025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46003</v>
      </c>
      <c r="E259" s="1" t="n">
        <v>46258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46258</v>
      </c>
      <c r="F260" t="inlineStr">
        <is>
          <t>VÄRMLANDS LÄN</t>
        </is>
      </c>
      <c r="G260" t="inlineStr">
        <is>
          <t>FILIPSTAD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46258</v>
      </c>
      <c r="F261" t="inlineStr">
        <is>
          <t>VÄRMLANDS LÄN</t>
        </is>
      </c>
      <c r="G261" t="inlineStr">
        <is>
          <t>FILIPSTAD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46258</v>
      </c>
      <c r="F262" t="inlineStr">
        <is>
          <t>VÄRMLANDS LÄN</t>
        </is>
      </c>
      <c r="G262" t="inlineStr">
        <is>
          <t>FILIPSTAD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46258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46258</v>
      </c>
      <c r="F264" t="inlineStr">
        <is>
          <t>VÄRMLANDS LÄN</t>
        </is>
      </c>
      <c r="G264" t="inlineStr">
        <is>
          <t>FILIPSTAD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46258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46258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45456</v>
      </c>
      <c r="E267" s="1" t="n">
        <v>46258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46258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46258</v>
      </c>
      <c r="F269" t="inlineStr">
        <is>
          <t>VÄRMLANDS LÄN</t>
        </is>
      </c>
      <c r="G269" t="inlineStr">
        <is>
          <t>FILIPSTAD</t>
        </is>
      </c>
      <c r="I269" t="n">
        <v>15.5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46004</v>
      </c>
      <c r="E270" s="1" t="n">
        <v>46258</v>
      </c>
      <c r="F270" t="inlineStr">
        <is>
          <t>VÄRMLANDS LÄN</t>
        </is>
      </c>
      <c r="G270" t="inlineStr">
        <is>
          <t>FILIPSTAD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44470</v>
      </c>
      <c r="E271" s="1" t="n">
        <v>46258</v>
      </c>
      <c r="F271" t="inlineStr">
        <is>
          <t>VÄRMLANDS LÄN</t>
        </is>
      </c>
      <c r="G271" t="inlineStr">
        <is>
          <t>FILIPSTAD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46004</v>
      </c>
      <c r="E272" s="1" t="n">
        <v>46258</v>
      </c>
      <c r="F272" t="inlineStr">
        <is>
          <t>VÄRMLANDS LÄN</t>
        </is>
      </c>
      <c r="G272" t="inlineStr">
        <is>
          <t>FILIPSTAD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46258</v>
      </c>
      <c r="F273" t="inlineStr">
        <is>
          <t>VÄRMLANDS LÄN</t>
        </is>
      </c>
      <c r="G273" t="inlineStr">
        <is>
          <t>FILIPSTAD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46258</v>
      </c>
      <c r="F274" t="inlineStr">
        <is>
          <t>VÄRMLANDS LÄN</t>
        </is>
      </c>
      <c r="G274" t="inlineStr">
        <is>
          <t>FILIPSTAD</t>
        </is>
      </c>
      <c r="H274" t="inlineStr">
        <is>
          <t>Kyrkan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46010</v>
      </c>
      <c r="E275" s="1" t="n">
        <v>46258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46257-2022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44847</v>
      </c>
      <c r="E276" s="1" t="n">
        <v>46258</v>
      </c>
      <c r="F276" t="inlineStr">
        <is>
          <t>VÄRMLANDS LÄN</t>
        </is>
      </c>
      <c r="G276" t="inlineStr">
        <is>
          <t>FILIPSTAD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46258</v>
      </c>
      <c r="F277" t="inlineStr">
        <is>
          <t>VÄRMLANDS LÄN</t>
        </is>
      </c>
      <c r="G277" t="inlineStr">
        <is>
          <t>FILIPSTAD</t>
        </is>
      </c>
      <c r="I277" t="n">
        <v>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45229</v>
      </c>
      <c r="E278" s="1" t="n">
        <v>46258</v>
      </c>
      <c r="F278" t="inlineStr">
        <is>
          <t>VÄRMLANDS LÄN</t>
        </is>
      </c>
      <c r="G278" t="inlineStr">
        <is>
          <t>FILIPSTAD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46258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46258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46258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45077</v>
      </c>
      <c r="E282" s="1" t="n">
        <v>46258</v>
      </c>
      <c r="F282" t="inlineStr">
        <is>
          <t>VÄRMLANDS LÄN</t>
        </is>
      </c>
      <c r="G282" t="inlineStr">
        <is>
          <t>FILIPSTAD</t>
        </is>
      </c>
      <c r="I282" t="n">
        <v>15.8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44788</v>
      </c>
      <c r="E283" s="1" t="n">
        <v>46258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46258</v>
      </c>
      <c r="F284" t="inlineStr">
        <is>
          <t>VÄRMLANDS LÄN</t>
        </is>
      </c>
      <c r="G284" t="inlineStr">
        <is>
          <t>FILIPSTAD</t>
        </is>
      </c>
      <c r="H284" t="inlineStr">
        <is>
          <t>Kommuner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45427</v>
      </c>
      <c r="E285" s="1" t="n">
        <v>46258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29473-2024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45484</v>
      </c>
      <c r="E286" s="1" t="n">
        <v>46258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45638</v>
      </c>
      <c r="E287" s="1" t="n">
        <v>46258</v>
      </c>
      <c r="F287" t="inlineStr">
        <is>
          <t>VÄRMLANDS LÄN</t>
        </is>
      </c>
      <c r="G287" t="inlineStr">
        <is>
          <t>FILIPSTAD</t>
        </is>
      </c>
      <c r="H287" t="inlineStr">
        <is>
          <t>Kyrkan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29825-2023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45107</v>
      </c>
      <c r="E288" s="1" t="n">
        <v>46258</v>
      </c>
      <c r="F288" t="inlineStr">
        <is>
          <t>VÄRMLANDS LÄN</t>
        </is>
      </c>
      <c r="G288" t="inlineStr">
        <is>
          <t>FILIPSTAD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45870</v>
      </c>
      <c r="E289" s="1" t="n">
        <v>46258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46258</v>
      </c>
      <c r="F290" t="inlineStr">
        <is>
          <t>VÄRMLANDS LÄN</t>
        </is>
      </c>
      <c r="G290" t="inlineStr">
        <is>
          <t>FILIPSTAD</t>
        </is>
      </c>
      <c r="H290" t="inlineStr">
        <is>
          <t>Kommuner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58611-2025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45986</v>
      </c>
      <c r="E291" s="1" t="n">
        <v>46258</v>
      </c>
      <c r="F291" t="inlineStr">
        <is>
          <t>VÄRMLANDS LÄN</t>
        </is>
      </c>
      <c r="G291" t="inlineStr">
        <is>
          <t>FILIPSTAD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46258</v>
      </c>
      <c r="F292" t="inlineStr">
        <is>
          <t>VÄRMLANDS LÄN</t>
        </is>
      </c>
      <c r="G292" t="inlineStr">
        <is>
          <t>FILIPSTAD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46258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46258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46040</v>
      </c>
      <c r="E295" s="1" t="n">
        <v>46258</v>
      </c>
      <c r="F295" t="inlineStr">
        <is>
          <t>VÄRMLANDS LÄN</t>
        </is>
      </c>
      <c r="G295" t="inlineStr">
        <is>
          <t>FILIPSTAD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45463</v>
      </c>
      <c r="E296" s="1" t="n">
        <v>46258</v>
      </c>
      <c r="F296" t="inlineStr">
        <is>
          <t>VÄRMLANDS LÄN</t>
        </is>
      </c>
      <c r="G296" t="inlineStr">
        <is>
          <t>FILIPSTAD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44579</v>
      </c>
      <c r="E297" s="1" t="n">
        <v>46258</v>
      </c>
      <c r="F297" t="inlineStr">
        <is>
          <t>VÄRMLANDS LÄN</t>
        </is>
      </c>
      <c r="G297" t="inlineStr">
        <is>
          <t>FILIPSTAD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46258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46258</v>
      </c>
      <c r="F299" t="inlineStr">
        <is>
          <t>VÄRMLANDS LÄN</t>
        </is>
      </c>
      <c r="G299" t="inlineStr">
        <is>
          <t>FILIPSTAD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46258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46258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46258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46258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46258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46258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46258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46258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46258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46258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46258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46258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46258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46258</v>
      </c>
      <c r="F313" t="inlineStr">
        <is>
          <t>VÄRMLANDS LÄN</t>
        </is>
      </c>
      <c r="G313" t="inlineStr">
        <is>
          <t>FILIPSTAD</t>
        </is>
      </c>
      <c r="I313" t="n">
        <v>27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46258</v>
      </c>
      <c r="F314" t="inlineStr">
        <is>
          <t>VÄRMLANDS LÄN</t>
        </is>
      </c>
      <c r="G314" t="inlineStr">
        <is>
          <t>FILIPSTAD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46258</v>
      </c>
      <c r="F315" t="inlineStr">
        <is>
          <t>VÄRMLANDS LÄN</t>
        </is>
      </c>
      <c r="G315" t="inlineStr">
        <is>
          <t>FILIPSTAD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46258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46258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24288-2026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46258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49935-2025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45940</v>
      </c>
      <c r="E319" s="1" t="n">
        <v>46258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46258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46258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46258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46258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46258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46258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46258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46258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46258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46258</v>
      </c>
      <c r="F329" t="inlineStr">
        <is>
          <t>VÄRMLANDS LÄN</t>
        </is>
      </c>
      <c r="G329" t="inlineStr">
        <is>
          <t>FILIPSTAD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46258</v>
      </c>
      <c r="F330" t="inlineStr">
        <is>
          <t>VÄRMLANDS LÄN</t>
        </is>
      </c>
      <c r="G330" t="inlineStr">
        <is>
          <t>FILIPSTAD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45418</v>
      </c>
      <c r="E331" s="1" t="n">
        <v>46258</v>
      </c>
      <c r="F331" t="inlineStr">
        <is>
          <t>VÄRMLANDS LÄN</t>
        </is>
      </c>
      <c r="G331" t="inlineStr">
        <is>
          <t>FILIPSTAD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46258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46258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24886-2026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46258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45749</v>
      </c>
      <c r="E335" s="1" t="n">
        <v>46258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44994</v>
      </c>
      <c r="E336" s="1" t="n">
        <v>46258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46258</v>
      </c>
      <c r="F337" t="inlineStr">
        <is>
          <t>VÄRMLANDS LÄN</t>
        </is>
      </c>
      <c r="G337" t="inlineStr">
        <is>
          <t>FILIPSTAD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46258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46258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44887</v>
      </c>
      <c r="E340" s="1" t="n">
        <v>46258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46258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46258</v>
      </c>
      <c r="F342" t="inlineStr">
        <is>
          <t>VÄRMLANDS LÄN</t>
        </is>
      </c>
      <c r="G342" t="inlineStr">
        <is>
          <t>FILIPSTAD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46258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46219</v>
      </c>
      <c r="E344" s="1" t="n">
        <v>46258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46258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46258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46258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25869-2026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46258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46258</v>
      </c>
      <c r="F349" t="inlineStr">
        <is>
          <t>VÄRMLANDS LÄN</t>
        </is>
      </c>
      <c r="G349" t="inlineStr">
        <is>
          <t>FILIPSTAD</t>
        </is>
      </c>
      <c r="H349" t="inlineStr">
        <is>
          <t>Kyrkan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31537-2026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46223</v>
      </c>
      <c r="E350" s="1" t="n">
        <v>46258</v>
      </c>
      <c r="F350" t="inlineStr">
        <is>
          <t>VÄRMLANDS LÄN</t>
        </is>
      </c>
      <c r="G350" t="inlineStr">
        <is>
          <t>FILIPSTAD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4819-2023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44957</v>
      </c>
      <c r="E351" s="1" t="n">
        <v>46258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46223</v>
      </c>
      <c r="E352" s="1" t="n">
        <v>46258</v>
      </c>
      <c r="F352" t="inlineStr">
        <is>
          <t>VÄRMLANDS LÄN</t>
        </is>
      </c>
      <c r="G352" t="inlineStr">
        <is>
          <t>FILIPSTAD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46258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46258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46225</v>
      </c>
      <c r="E355" s="1" t="n">
        <v>46258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45474</v>
      </c>
      <c r="E356" s="1" t="n">
        <v>46258</v>
      </c>
      <c r="F356" t="inlineStr">
        <is>
          <t>VÄRMLANDS LÄN</t>
        </is>
      </c>
      <c r="G356" t="inlineStr">
        <is>
          <t>FILIPSTAD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46258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46258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46258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46258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46258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46258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46258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44596</v>
      </c>
      <c r="E364" s="1" t="n">
        <v>46258</v>
      </c>
      <c r="F364" t="inlineStr">
        <is>
          <t>VÄRMLANDS LÄN</t>
        </is>
      </c>
      <c r="G364" t="inlineStr">
        <is>
          <t>FILIPSTAD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45186</v>
      </c>
      <c r="E365" s="1" t="n">
        <v>46258</v>
      </c>
      <c r="F365" t="inlineStr">
        <is>
          <t>VÄRMLANDS LÄN</t>
        </is>
      </c>
      <c r="G365" t="inlineStr">
        <is>
          <t>FILIPSTAD</t>
        </is>
      </c>
      <c r="I365" t="n">
        <v>15.3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46226</v>
      </c>
      <c r="E367" s="1" t="n">
        <v>46258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46226</v>
      </c>
      <c r="E368" s="1" t="n">
        <v>46258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46183</v>
      </c>
      <c r="E369" s="1" t="n">
        <v>46258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25786-2026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46178</v>
      </c>
      <c r="E370" s="1" t="n">
        <v>46258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46258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46227</v>
      </c>
      <c r="E372" s="1" t="n">
        <v>46258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43633-2024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45569</v>
      </c>
      <c r="E373" s="1" t="n">
        <v>46258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46258</v>
      </c>
      <c r="F374" t="inlineStr">
        <is>
          <t>VÄRMLANDS LÄN</t>
        </is>
      </c>
      <c r="G374" t="inlineStr">
        <is>
          <t>FILIPSTAD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46226</v>
      </c>
      <c r="E375" s="1" t="n">
        <v>46258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31726-2026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46227</v>
      </c>
      <c r="E376" s="1" t="n">
        <v>46258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46258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46258</v>
      </c>
      <c r="F378" t="inlineStr">
        <is>
          <t>VÄRMLANDS LÄN</t>
        </is>
      </c>
      <c r="G378" t="inlineStr">
        <is>
          <t>FILIPSTAD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46258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46258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46258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46258</v>
      </c>
      <c r="F382" t="inlineStr">
        <is>
          <t>VÄRMLANDS LÄN</t>
        </is>
      </c>
      <c r="G382" t="inlineStr">
        <is>
          <t>FILIPSTAD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46258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46187</v>
      </c>
      <c r="E384" s="1" t="n">
        <v>46258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46258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46258</v>
      </c>
      <c r="F386" t="inlineStr">
        <is>
          <t>VÄRMLANDS LÄN</t>
        </is>
      </c>
      <c r="G386" t="inlineStr">
        <is>
          <t>FILIPSTAD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46258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46231</v>
      </c>
      <c r="E388" s="1" t="n">
        <v>46258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46258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46258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46258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46186</v>
      </c>
      <c r="E393" s="1" t="n">
        <v>46258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46186</v>
      </c>
      <c r="E394" s="1" t="n">
        <v>46258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46258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46258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46258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46233</v>
      </c>
      <c r="E398" s="1" t="n">
        <v>46258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46233</v>
      </c>
      <c r="E399" s="1" t="n">
        <v>46258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46232</v>
      </c>
      <c r="E400" s="1" t="n">
        <v>46258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46258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45655</v>
      </c>
      <c r="E403" s="1" t="n">
        <v>46258</v>
      </c>
      <c r="F403" t="inlineStr">
        <is>
          <t>VÄRMLANDS LÄN</t>
        </is>
      </c>
      <c r="G403" t="inlineStr">
        <is>
          <t>FILIPSTAD</t>
        </is>
      </c>
      <c r="I403" t="n">
        <v>26.5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45655</v>
      </c>
      <c r="E404" s="1" t="n">
        <v>46258</v>
      </c>
      <c r="F404" t="inlineStr">
        <is>
          <t>VÄRMLANDS LÄN</t>
        </is>
      </c>
      <c r="G404" t="inlineStr">
        <is>
          <t>FILIPSTAD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46258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46258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46232</v>
      </c>
      <c r="E407" s="1" t="n">
        <v>46258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46233</v>
      </c>
      <c r="E408" s="1" t="n">
        <v>46258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46232</v>
      </c>
      <c r="E409" s="1" t="n">
        <v>46258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46258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44935</v>
      </c>
      <c r="E411" s="1" t="n">
        <v>46258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46258</v>
      </c>
      <c r="F412" t="inlineStr">
        <is>
          <t>VÄRMLANDS LÄN</t>
        </is>
      </c>
      <c r="G412" t="inlineStr">
        <is>
          <t>FILIPSTAD</t>
        </is>
      </c>
      <c r="H412" t="inlineStr">
        <is>
          <t>Kommuner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46258</v>
      </c>
      <c r="F413" t="inlineStr">
        <is>
          <t>VÄRMLANDS LÄN</t>
        </is>
      </c>
      <c r="G413" t="inlineStr">
        <is>
          <t>FILIPSTAD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46234</v>
      </c>
      <c r="E415" s="1" t="n">
        <v>46258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5992-2023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44959</v>
      </c>
      <c r="E416" s="1" t="n">
        <v>46258</v>
      </c>
      <c r="F416" t="inlineStr">
        <is>
          <t>VÄRMLANDS LÄN</t>
        </is>
      </c>
      <c r="G416" t="inlineStr">
        <is>
          <t>FILIPSTAD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46258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46258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46258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46237</v>
      </c>
      <c r="E420" s="1" t="n">
        <v>46258</v>
      </c>
      <c r="F420" t="inlineStr">
        <is>
          <t>VÄRMLANDS LÄN</t>
        </is>
      </c>
      <c r="G420" t="inlineStr">
        <is>
          <t>FILIPSTAD</t>
        </is>
      </c>
      <c r="I420" t="n">
        <v>13.4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46108</v>
      </c>
      <c r="E422" s="1" t="n">
        <v>46258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46258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46258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46258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46258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46258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46108</v>
      </c>
      <c r="E428" s="1" t="n">
        <v>46258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16040-2026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46108</v>
      </c>
      <c r="E429" s="1" t="n">
        <v>46258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46258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46258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46258</v>
      </c>
      <c r="F432" t="inlineStr">
        <is>
          <t>VÄRMLANDS LÄN</t>
        </is>
      </c>
      <c r="G432" t="inlineStr">
        <is>
          <t>FILIPSTAD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46258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46258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46258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46258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46258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46258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46258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46258</v>
      </c>
      <c r="F440" t="inlineStr">
        <is>
          <t>VÄRMLANDS LÄN</t>
        </is>
      </c>
      <c r="G440" t="inlineStr">
        <is>
          <t>FILIPSTAD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46240</v>
      </c>
      <c r="E441" s="1" t="n">
        <v>46258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46258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46258</v>
      </c>
      <c r="F443" t="inlineStr">
        <is>
          <t>VÄRMLANDS LÄN</t>
        </is>
      </c>
      <c r="G443" t="inlineStr">
        <is>
          <t>FILIPSTAD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46258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46258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46258</v>
      </c>
      <c r="F446" t="inlineStr">
        <is>
          <t>VÄRMLANDS LÄN</t>
        </is>
      </c>
      <c r="G446" t="inlineStr">
        <is>
          <t>FILIPSTAD</t>
        </is>
      </c>
      <c r="H446" t="inlineStr">
        <is>
          <t>Kommuner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46258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46258</v>
      </c>
      <c r="F448" t="inlineStr">
        <is>
          <t>VÄRMLANDS LÄN</t>
        </is>
      </c>
      <c r="G448" t="inlineStr">
        <is>
          <t>FILIPSTAD</t>
        </is>
      </c>
      <c r="H448" t="inlineStr">
        <is>
          <t>Kommuner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46258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46258</v>
      </c>
      <c r="F450" t="inlineStr">
        <is>
          <t>VÄRMLANDS LÄN</t>
        </is>
      </c>
      <c r="G450" t="inlineStr">
        <is>
          <t>FILIPSTAD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46258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45124</v>
      </c>
      <c r="E453" s="1" t="n">
        <v>46258</v>
      </c>
      <c r="F453" t="inlineStr">
        <is>
          <t>VÄRMLANDS LÄN</t>
        </is>
      </c>
      <c r="G453" t="inlineStr">
        <is>
          <t>FILIPSTAD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46258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46258</v>
      </c>
      <c r="F455" t="inlineStr">
        <is>
          <t>VÄRMLANDS LÄN</t>
        </is>
      </c>
      <c r="G455" t="inlineStr">
        <is>
          <t>FILIPSTAD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46258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46258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46258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46258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45152</v>
      </c>
      <c r="E460" s="1" t="n">
        <v>46258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46258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46258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46258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46128</v>
      </c>
      <c r="E464" s="1" t="n">
        <v>46258</v>
      </c>
      <c r="F464" t="inlineStr">
        <is>
          <t>VÄRMLANDS LÄN</t>
        </is>
      </c>
      <c r="G464" t="inlineStr">
        <is>
          <t>FILIPSTAD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46258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46258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46258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46258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46258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45579</v>
      </c>
      <c r="E471" s="1" t="n">
        <v>46258</v>
      </c>
      <c r="F471" t="inlineStr">
        <is>
          <t>VÄRMLANDS LÄN</t>
        </is>
      </c>
      <c r="G471" t="inlineStr">
        <is>
          <t>FILIPSTAD</t>
        </is>
      </c>
      <c r="H471" t="inlineStr">
        <is>
          <t>Kyrkan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46258</v>
      </c>
      <c r="F472" t="inlineStr">
        <is>
          <t>VÄRMLANDS LÄN</t>
        </is>
      </c>
      <c r="G472" t="inlineStr">
        <is>
          <t>FILIPSTAD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46258</v>
      </c>
      <c r="F473" t="inlineStr">
        <is>
          <t>VÄRMLANDS LÄN</t>
        </is>
      </c>
      <c r="G473" t="inlineStr">
        <is>
          <t>FILIPSTAD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46258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46258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46258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46258</v>
      </c>
      <c r="F478" t="inlineStr">
        <is>
          <t>VÄRMLANDS LÄN</t>
        </is>
      </c>
      <c r="G478" t="inlineStr">
        <is>
          <t>FILIPSTAD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46258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46258</v>
      </c>
      <c r="F480" t="inlineStr">
        <is>
          <t>VÄRMLANDS LÄN</t>
        </is>
      </c>
      <c r="G480" t="inlineStr">
        <is>
          <t>FILIPSTAD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46258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45342</v>
      </c>
      <c r="E482" s="1" t="n">
        <v>46258</v>
      </c>
      <c r="F482" t="inlineStr">
        <is>
          <t>VÄRMLANDS LÄN</t>
        </is>
      </c>
      <c r="G482" t="inlineStr">
        <is>
          <t>FILIPSTAD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46258</v>
      </c>
      <c r="F483" t="inlineStr">
        <is>
          <t>VÄRMLANDS LÄN</t>
        </is>
      </c>
      <c r="G483" t="inlineStr">
        <is>
          <t>FILIPSTAD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46258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46258</v>
      </c>
      <c r="F485" t="inlineStr">
        <is>
          <t>VÄRMLANDS LÄN</t>
        </is>
      </c>
      <c r="G485" t="inlineStr">
        <is>
          <t>FILIPSTAD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46258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46258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46258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12509-2026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46258</v>
      </c>
      <c r="F490" t="inlineStr">
        <is>
          <t>VÄRMLANDS LÄN</t>
        </is>
      </c>
      <c r="G490" t="inlineStr">
        <is>
          <t>FILIPSTAD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46258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46258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46258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46258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46258</v>
      </c>
      <c r="F495" t="inlineStr">
        <is>
          <t>VÄRMLANDS LÄN</t>
        </is>
      </c>
      <c r="G495" t="inlineStr">
        <is>
          <t>FILIPSTAD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46258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46258</v>
      </c>
      <c r="F497" t="inlineStr">
        <is>
          <t>VÄRMLANDS LÄN</t>
        </is>
      </c>
      <c r="G497" t="inlineStr">
        <is>
          <t>FILIPSTAD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46258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46258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46258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44896</v>
      </c>
      <c r="E501" s="1" t="n">
        <v>46258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45896</v>
      </c>
      <c r="E503" s="1" t="n">
        <v>46258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46258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46258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30074-2026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46258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46258</v>
      </c>
      <c r="F507" t="inlineStr">
        <is>
          <t>VÄRMLANDS LÄN</t>
        </is>
      </c>
      <c r="G507" t="inlineStr">
        <is>
          <t>FILIPSTAD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46258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46258</v>
      </c>
      <c r="F509" t="inlineStr">
        <is>
          <t>VÄRMLANDS LÄN</t>
        </is>
      </c>
      <c r="G509" t="inlineStr">
        <is>
          <t>FILIPSTAD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46258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46258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43634-2021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44433</v>
      </c>
      <c r="E512" s="1" t="n">
        <v>46258</v>
      </c>
      <c r="F512" t="inlineStr">
        <is>
          <t>VÄRMLANDS LÄN</t>
        </is>
      </c>
      <c r="G512" t="inlineStr">
        <is>
          <t>FILIPSTAD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45420</v>
      </c>
      <c r="E513" s="1" t="n">
        <v>46258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46252</v>
      </c>
      <c r="E514" s="1" t="n">
        <v>46258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46258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43045-2024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45567</v>
      </c>
      <c r="E516" s="1" t="n">
        <v>46258</v>
      </c>
      <c r="F516" t="inlineStr">
        <is>
          <t>VÄRMLANDS LÄN</t>
        </is>
      </c>
      <c r="G516" t="inlineStr">
        <is>
          <t>FILIPSTAD</t>
        </is>
      </c>
      <c r="H516" t="inlineStr">
        <is>
          <t>Kyrkan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46258</v>
      </c>
      <c r="F517" t="inlineStr">
        <is>
          <t>VÄRMLANDS LÄN</t>
        </is>
      </c>
      <c r="G517" t="inlineStr">
        <is>
          <t>FILIPSTAD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45841</v>
      </c>
      <c r="E518" s="1" t="n">
        <v>46258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46258</v>
      </c>
      <c r="F519" t="inlineStr">
        <is>
          <t>VÄRMLANDS LÄN</t>
        </is>
      </c>
      <c r="G519" t="inlineStr">
        <is>
          <t>FILIPSTAD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45901</v>
      </c>
      <c r="E520" s="1" t="n">
        <v>46258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45835</v>
      </c>
      <c r="E521" s="1" t="n">
        <v>46258</v>
      </c>
      <c r="F521" t="inlineStr">
        <is>
          <t>VÄRMLANDS LÄN</t>
        </is>
      </c>
      <c r="G521" t="inlineStr">
        <is>
          <t>FILIPSTAD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46258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46136</v>
      </c>
      <c r="E523" s="1" t="n">
        <v>46258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46252</v>
      </c>
      <c r="E524" s="1" t="n">
        <v>46258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25376-2023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45088</v>
      </c>
      <c r="E525" s="1" t="n">
        <v>46258</v>
      </c>
      <c r="F525" t="inlineStr">
        <is>
          <t>VÄRMLANDS LÄN</t>
        </is>
      </c>
      <c r="G525" t="inlineStr">
        <is>
          <t>FILIPSTAD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46136</v>
      </c>
      <c r="E526" s="1" t="n">
        <v>46258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46258</v>
      </c>
      <c r="F527" t="inlineStr">
        <is>
          <t>VÄRMLANDS LÄN</t>
        </is>
      </c>
      <c r="G527" t="inlineStr">
        <is>
          <t>FILIPSTAD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46258</v>
      </c>
      <c r="F528" t="inlineStr">
        <is>
          <t>VÄRMLANDS LÄN</t>
        </is>
      </c>
      <c r="G528" t="inlineStr">
        <is>
          <t>FILIPSTAD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69015-2021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44530</v>
      </c>
      <c r="E529" s="1" t="n">
        <v>46258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45439</v>
      </c>
      <c r="E530" s="1" t="n">
        <v>46258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46258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19.2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45841</v>
      </c>
      <c r="E532" s="1" t="n">
        <v>46258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46258</v>
      </c>
      <c r="F533" t="inlineStr">
        <is>
          <t>VÄRMLANDS LÄN</t>
        </is>
      </c>
      <c r="G533" t="inlineStr">
        <is>
          <t>FILIPSTAD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45891</v>
      </c>
      <c r="E534" s="1" t="n">
        <v>46258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46258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45819</v>
      </c>
      <c r="E536" s="1" t="n">
        <v>46258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46258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46258</v>
      </c>
      <c r="F539" t="inlineStr">
        <is>
          <t>VÄRMLANDS LÄN</t>
        </is>
      </c>
      <c r="G539" t="inlineStr">
        <is>
          <t>FILIPSTAD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46258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45939</v>
      </c>
      <c r="E541" s="1" t="n">
        <v>46258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45834</v>
      </c>
      <c r="E542" s="1" t="n">
        <v>46258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53690-2022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44880</v>
      </c>
      <c r="E543" s="1" t="n">
        <v>46258</v>
      </c>
      <c r="F543" t="inlineStr">
        <is>
          <t>VÄRMLANDS LÄN</t>
        </is>
      </c>
      <c r="G543" t="inlineStr">
        <is>
          <t>FILIPSTAD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46258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46108</v>
      </c>
      <c r="E545" s="1" t="n">
        <v>46258</v>
      </c>
      <c r="F545" t="inlineStr">
        <is>
          <t>VÄRMLANDS LÄN</t>
        </is>
      </c>
      <c r="G545" t="inlineStr">
        <is>
          <t>FILIPSTAD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45700</v>
      </c>
      <c r="E546" s="1" t="n">
        <v>46258</v>
      </c>
      <c r="F546" t="inlineStr">
        <is>
          <t>VÄRMLANDS LÄN</t>
        </is>
      </c>
      <c r="G546" t="inlineStr">
        <is>
          <t>FILIPSTAD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46258</v>
      </c>
      <c r="F547" t="inlineStr">
        <is>
          <t>VÄRMLANDS LÄN</t>
        </is>
      </c>
      <c r="G547" t="inlineStr">
        <is>
          <t>FILIPSTAD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45867</v>
      </c>
      <c r="E548" s="1" t="n">
        <v>46258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52981-2021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44467</v>
      </c>
      <c r="E549" s="1" t="n">
        <v>46258</v>
      </c>
      <c r="F549" t="inlineStr">
        <is>
          <t>VÄRMLANDS LÄN</t>
        </is>
      </c>
      <c r="G549" t="inlineStr">
        <is>
          <t>FILIPSTAD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46141</v>
      </c>
      <c r="E550" s="1" t="n">
        <v>46258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46258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46258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7.6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10306-2025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46258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20554-2025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45775</v>
      </c>
      <c r="E554" s="1" t="n">
        <v>46258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46258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51266-2021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44461</v>
      </c>
      <c r="E556" s="1" t="n">
        <v>46258</v>
      </c>
      <c r="F556" t="inlineStr">
        <is>
          <t>VÄRMLANDS LÄN</t>
        </is>
      </c>
      <c r="G556" t="inlineStr">
        <is>
          <t>FILIPSTAD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44872</v>
      </c>
      <c r="E557" s="1" t="n">
        <v>46258</v>
      </c>
      <c r="F557" t="inlineStr">
        <is>
          <t>VÄRMLANDS LÄN</t>
        </is>
      </c>
      <c r="G557" t="inlineStr">
        <is>
          <t>FILIPSTAD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46258</v>
      </c>
      <c r="F558" t="inlineStr">
        <is>
          <t>VÄRMLANDS LÄN</t>
        </is>
      </c>
      <c r="G558" t="inlineStr">
        <is>
          <t>FILIPSTAD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45516</v>
      </c>
      <c r="E559" s="1" t="n">
        <v>46258</v>
      </c>
      <c r="F559" t="inlineStr">
        <is>
          <t>VÄRMLANDS LÄN</t>
        </is>
      </c>
      <c r="G559" t="inlineStr">
        <is>
          <t>FILIPSTAD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46258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46258</v>
      </c>
      <c r="F561" t="inlineStr">
        <is>
          <t>VÄRMLANDS LÄN</t>
        </is>
      </c>
      <c r="G561" t="inlineStr">
        <is>
          <t>FILIPSTAD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44672</v>
      </c>
      <c r="E562" s="1" t="n">
        <v>46258</v>
      </c>
      <c r="F562" t="inlineStr">
        <is>
          <t>VÄRMLANDS LÄN</t>
        </is>
      </c>
      <c r="G562" t="inlineStr">
        <is>
          <t>FILIPSTAD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44998</v>
      </c>
      <c r="E563" s="1" t="n">
        <v>46258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46978-2023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46258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46258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46258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46258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45741</v>
      </c>
      <c r="E568" s="1" t="n">
        <v>46258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46258</v>
      </c>
      <c r="F569" t="inlineStr">
        <is>
          <t>VÄRMLANDS LÄN</t>
        </is>
      </c>
      <c r="G569" t="inlineStr">
        <is>
          <t>FILIPSTAD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46258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46258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46258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46258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46258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46258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46258</v>
      </c>
      <c r="F576" t="inlineStr">
        <is>
          <t>VÄRMLANDS LÄN</t>
        </is>
      </c>
      <c r="G576" t="inlineStr">
        <is>
          <t>FILIPSTAD</t>
        </is>
      </c>
      <c r="I576" t="n">
        <v>10.8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46258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46258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46258</v>
      </c>
      <c r="F579" t="inlineStr">
        <is>
          <t>VÄRMLANDS LÄN</t>
        </is>
      </c>
      <c r="G579" t="inlineStr">
        <is>
          <t>FILIPSTAD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46258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46258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45471</v>
      </c>
      <c r="E582" s="1" t="n">
        <v>46258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17244-2024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45414</v>
      </c>
      <c r="E583" s="1" t="n">
        <v>46258</v>
      </c>
      <c r="F583" t="inlineStr">
        <is>
          <t>VÄRMLANDS LÄN</t>
        </is>
      </c>
      <c r="G583" t="inlineStr">
        <is>
          <t>FILIPSTAD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47002-2024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45586</v>
      </c>
      <c r="E584" s="1" t="n">
        <v>46258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45495</v>
      </c>
      <c r="E585" s="1" t="n">
        <v>46258</v>
      </c>
      <c r="F585" t="inlineStr">
        <is>
          <t>VÄRMLANDS LÄN</t>
        </is>
      </c>
      <c r="G585" t="inlineStr">
        <is>
          <t>FILIPSTAD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45667</v>
      </c>
      <c r="E586" s="1" t="n">
        <v>46258</v>
      </c>
      <c r="F586" t="inlineStr">
        <is>
          <t>VÄRMLANDS LÄN</t>
        </is>
      </c>
      <c r="G586" t="inlineStr">
        <is>
          <t>FILIPSTAD</t>
        </is>
      </c>
      <c r="H586" t="inlineStr">
        <is>
          <t>Kommuner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20875-2024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45439</v>
      </c>
      <c r="E587" s="1" t="n">
        <v>46258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46163</v>
      </c>
      <c r="E588" s="1" t="n">
        <v>46258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46258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65167-2021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44515</v>
      </c>
      <c r="E590" s="1" t="n">
        <v>46258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23514-2026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46258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46258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46258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46258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45530</v>
      </c>
      <c r="E595" s="1" t="n">
        <v>46258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46258</v>
      </c>
      <c r="F596" t="inlineStr">
        <is>
          <t>VÄRMLANDS LÄN</t>
        </is>
      </c>
      <c r="G596" t="inlineStr">
        <is>
          <t>FILIPSTAD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46258</v>
      </c>
      <c r="F597" t="inlineStr">
        <is>
          <t>VÄRMLANDS LÄN</t>
        </is>
      </c>
      <c r="G597" t="inlineStr">
        <is>
          <t>FILIPSTAD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46258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46258</v>
      </c>
      <c r="F599" t="inlineStr">
        <is>
          <t>VÄRMLANDS LÄN</t>
        </is>
      </c>
      <c r="G599" t="inlineStr">
        <is>
          <t>FILIPSTAD</t>
        </is>
      </c>
      <c r="H599" t="inlineStr">
        <is>
          <t>Kyrkan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46258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17.9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45667</v>
      </c>
      <c r="E601" s="1" t="n">
        <v>46258</v>
      </c>
      <c r="F601" t="inlineStr">
        <is>
          <t>VÄRMLANDS LÄN</t>
        </is>
      </c>
      <c r="G601" t="inlineStr">
        <is>
          <t>FILIPSTAD</t>
        </is>
      </c>
      <c r="H601" t="inlineStr">
        <is>
          <t>Kommuner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46258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23399-2025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45792</v>
      </c>
      <c r="E603" s="1" t="n">
        <v>46258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23475-2025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45792</v>
      </c>
      <c r="E604" s="1" t="n">
        <v>46258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45355</v>
      </c>
      <c r="E605" s="1" t="n">
        <v>46258</v>
      </c>
      <c r="F605" t="inlineStr">
        <is>
          <t>VÄRMLANDS LÄN</t>
        </is>
      </c>
      <c r="G605" t="inlineStr">
        <is>
          <t>FILIPSTAD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72118-2021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44543</v>
      </c>
      <c r="E606" s="1" t="n">
        <v>46258</v>
      </c>
      <c r="F606" t="inlineStr">
        <is>
          <t>VÄRMLANDS LÄN</t>
        </is>
      </c>
      <c r="G606" t="inlineStr">
        <is>
          <t>FILIPSTAD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46258</v>
      </c>
      <c r="F607" t="inlineStr">
        <is>
          <t>VÄRMLANDS LÄN</t>
        </is>
      </c>
      <c r="G607" t="inlineStr">
        <is>
          <t>FILIPSTAD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23529-2026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46258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65174-2021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44515</v>
      </c>
      <c r="E609" s="1" t="n">
        <v>46258</v>
      </c>
      <c r="F609" t="inlineStr">
        <is>
          <t>VÄRMLANDS LÄN</t>
        </is>
      </c>
      <c r="G609" t="inlineStr">
        <is>
          <t>FILIPSTAD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45796</v>
      </c>
      <c r="E610" s="1" t="n">
        <v>46258</v>
      </c>
      <c r="F610" t="inlineStr">
        <is>
          <t>VÄRMLANDS LÄN</t>
        </is>
      </c>
      <c r="G610" t="inlineStr">
        <is>
          <t>FILIPSTAD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46258</v>
      </c>
      <c r="F611" t="inlineStr">
        <is>
          <t>VÄRMLANDS LÄN</t>
        </is>
      </c>
      <c r="G611" t="inlineStr">
        <is>
          <t>FILIPSTAD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45322</v>
      </c>
      <c r="E612" s="1" t="n">
        <v>46258</v>
      </c>
      <c r="F612" t="inlineStr">
        <is>
          <t>VÄRMLANDS LÄN</t>
        </is>
      </c>
      <c r="G612" t="inlineStr">
        <is>
          <t>FILIPSTAD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15406-2025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45747</v>
      </c>
      <c r="E613" s="1" t="n">
        <v>46258</v>
      </c>
      <c r="F613" t="inlineStr">
        <is>
          <t>VÄRMLANDS LÄN</t>
        </is>
      </c>
      <c r="G613" t="inlineStr">
        <is>
          <t>FILIPSTAD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5757-2021</t>
        </is>
      </c>
      <c r="B614" t="inlineStr">
        <is>
          <t>samrådsanmälan</t>
        </is>
      </c>
      <c r="C614" t="inlineStr">
        <is>
          <t>Basväg</t>
        </is>
      </c>
      <c r="D614" s="1" t="n">
        <v>44438</v>
      </c>
      <c r="E614" s="1" t="n">
        <v>46258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1191-2021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44328</v>
      </c>
      <c r="E615" s="1" t="n">
        <v>46258</v>
      </c>
      <c r="F615" t="inlineStr">
        <is>
          <t>VÄRMLANDS LÄN</t>
        </is>
      </c>
      <c r="G615" t="inlineStr">
        <is>
          <t>FILIPSTAD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4134-2023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46258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4115-2023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45246</v>
      </c>
      <c r="E617" s="1" t="n">
        <v>46258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4137-2023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46258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4132-2023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46258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4130-2023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46258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4127-2023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46258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56.4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837-2023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44991</v>
      </c>
      <c r="E622" s="1" t="n">
        <v>46258</v>
      </c>
      <c r="F622" t="inlineStr">
        <is>
          <t>VÄRMLANDS LÄN</t>
        </is>
      </c>
      <c r="G622" t="inlineStr">
        <is>
          <t>FILIPSTAD</t>
        </is>
      </c>
      <c r="I622" t="n">
        <v>19.3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46258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3919-2023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45233</v>
      </c>
      <c r="E624" s="1" t="n">
        <v>46258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4135-2023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46258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18.9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6078-2021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44442</v>
      </c>
      <c r="E626" s="1" t="n">
        <v>46258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46258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294-2025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45687</v>
      </c>
      <c r="E628" s="1" t="n">
        <v>46258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186.4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4116-2023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46258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661-2025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45716</v>
      </c>
      <c r="E630" s="1" t="n">
        <v>46258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3429-2025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45995</v>
      </c>
      <c r="E631" s="1" t="n">
        <v>46258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3576-2025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46010</v>
      </c>
      <c r="E632" s="1" t="n">
        <v>46258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105-2026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46036</v>
      </c>
      <c r="E633" s="1" t="n">
        <v>46258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238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2026-08-24T01:53:23Z</dcterms:created>
  <dcterms:modified xmlns:dcterms="http://purl.org/dc/terms/" xmlns:xsi="http://www.w3.org/2001/XMLSchema-instance" xsi:type="dcterms:W3CDTF">2026-08-24T01:53:24Z</dcterms:modified>
</cp:coreProperties>
</file>