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46295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46295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46295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46295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46295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46295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46295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46295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46295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46295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46295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46295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46295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46295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46295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46295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29469-2026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46203</v>
      </c>
      <c r="E27" s="1" t="n">
        <v>46295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21.6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Igelkott
Fläcknycklar</t>
        </is>
      </c>
      <c r="W27">
        <f>HYPERLINK("https://klasma.github.io/Logging_1782/artfynd/A 29469-2026 artfynd.xlsx", "A 29469-2026")</f>
        <v/>
      </c>
      <c r="X27">
        <f>HYPERLINK("https://klasma.github.io/Logging_1782/kartor/A 29469-2026 karta.png", "A 29469-2026")</f>
        <v/>
      </c>
      <c r="Y27">
        <f>HYPERLINK("https://klasma.github.io/Logging_1782/kartor_geotiff/A 29469-2026 georefererad karta.tif", "A 29469-2026")</f>
        <v/>
      </c>
      <c r="AA27">
        <f>HYPERLINK("https://klasma.github.io/Logging_1782/klagomål/A 29469-2026 FSC-klagomål.docx", "A 29469-2026")</f>
        <v/>
      </c>
      <c r="AB27">
        <f>HYPERLINK("https://klasma.github.io/Logging_1782/klagomålsmail/A 29469-2026 FSC-klagomål mail.docx", "A 29469-2026")</f>
        <v/>
      </c>
      <c r="AC27">
        <f>HYPERLINK("https://klasma.github.io/Logging_1782/tillsyn/A 29469-2026 tillsynsbegäran.docx", "A 29469-2026")</f>
        <v/>
      </c>
      <c r="AD27">
        <f>HYPERLINK("https://klasma.github.io/Logging_1782/tillsynsmail/A 29469-2026 tillsynsbegäran mail.docx", "A 29469-2026")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46295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32438-2026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46239</v>
      </c>
      <c r="E29" s="1" t="n">
        <v>46295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Dubbelnycklar
Ängsnycklar</t>
        </is>
      </c>
      <c r="W29">
        <f>HYPERLINK("https://klasma.github.io/Logging_1782/artfynd/A 32438-2026 artfynd.xlsx", "A 32438-2026")</f>
        <v/>
      </c>
      <c r="X29">
        <f>HYPERLINK("https://klasma.github.io/Logging_1782/kartor/A 32438-2026 karta.png", "A 32438-2026")</f>
        <v/>
      </c>
      <c r="Y29">
        <f>HYPERLINK("https://klasma.github.io/Logging_1782/kartor_geotiff/A 32438-2026 georefererad karta.tif", "A 32438-2026")</f>
        <v/>
      </c>
      <c r="AA29">
        <f>HYPERLINK("https://klasma.github.io/Logging_1782/klagomål/A 32438-2026 FSC-klagomål.docx", "A 32438-2026")</f>
        <v/>
      </c>
      <c r="AB29">
        <f>HYPERLINK("https://klasma.github.io/Logging_1782/klagomålsmail/A 32438-2026 FSC-klagomål mail.docx", "A 32438-2026")</f>
        <v/>
      </c>
      <c r="AC29">
        <f>HYPERLINK("https://klasma.github.io/Logging_1782/tillsyn/A 32438-2026 tillsynsbegäran.docx", "A 32438-2026")</f>
        <v/>
      </c>
      <c r="AD29">
        <f>HYPERLINK("https://klasma.github.io/Logging_1782/tillsynsmail/A 32438-2026 tillsynsbegäran mail.docx", "A 32438-2026")</f>
        <v/>
      </c>
    </row>
    <row r="30" ht="15" customHeight="1">
      <c r="A30" t="inlineStr">
        <is>
          <t>A 16139-2025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45750</v>
      </c>
      <c r="E30" s="1" t="n">
        <v>46295</v>
      </c>
      <c r="F30" t="inlineStr">
        <is>
          <t>VÄRMLANDS LÄN</t>
        </is>
      </c>
      <c r="G30" t="inlineStr">
        <is>
          <t>FILIPSTAD</t>
        </is>
      </c>
      <c r="I30" t="n">
        <v>18.2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Bronshjon</t>
        </is>
      </c>
      <c r="W30">
        <f>HYPERLINK("https://klasma.github.io/Logging_1782/artfynd/A 16139-2025 artfynd.xlsx", "A 16139-2025")</f>
        <v/>
      </c>
      <c r="X30">
        <f>HYPERLINK("https://klasma.github.io/Logging_1782/kartor/A 16139-2025 karta.png", "A 16139-2025")</f>
        <v/>
      </c>
      <c r="Y30">
        <f>HYPERLINK("https://klasma.github.io/Logging_1782/kartor_geotiff/A 16139-2025 georefererad karta.tif", "A 16139-2025")</f>
        <v/>
      </c>
      <c r="AA30">
        <f>HYPERLINK("https://klasma.github.io/Logging_1782/klagomål/A 16139-2025 FSC-klagomål.docx", "A 16139-2025")</f>
        <v/>
      </c>
      <c r="AB30">
        <f>HYPERLINK("https://klasma.github.io/Logging_1782/klagomålsmail/A 16139-2025 FSC-klagomål mail.docx", "A 16139-2025")</f>
        <v/>
      </c>
      <c r="AC30">
        <f>HYPERLINK("https://klasma.github.io/Logging_1782/tillsyn/A 16139-2025 tillsynsbegäran.docx", "A 16139-2025")</f>
        <v/>
      </c>
      <c r="AD30">
        <f>HYPERLINK("https://klasma.github.io/Logging_1782/tillsynsmail/A 16139-2025 tillsynsbegäran mail.docx", "A 16139-2025")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46295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46295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46295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11453-2025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46295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Purpurknipprot</t>
        </is>
      </c>
      <c r="W36">
        <f>HYPERLINK("https://klasma.github.io/Logging_1782/artfynd/A 11453-2025 artfynd.xlsx", "A 11453-2025")</f>
        <v/>
      </c>
      <c r="X36">
        <f>HYPERLINK("https://klasma.github.io/Logging_1782/kartor/A 11453-2025 karta.png", "A 11453-2025")</f>
        <v/>
      </c>
      <c r="Y36">
        <f>HYPERLINK("https://klasma.github.io/Logging_1782/kartor_geotiff/A 11453-2025 georefererad karta.tif", "A 11453-2025")</f>
        <v/>
      </c>
      <c r="AA36">
        <f>HYPERLINK("https://klasma.github.io/Logging_1782/klagomål/A 11453-2025 FSC-klagomål.docx", "A 11453-2025")</f>
        <v/>
      </c>
      <c r="AB36">
        <f>HYPERLINK("https://klasma.github.io/Logging_1782/klagomålsmail/A 11453-2025 FSC-klagomål mail.docx", "A 11453-2025")</f>
        <v/>
      </c>
      <c r="AC36">
        <f>HYPERLINK("https://klasma.github.io/Logging_1782/tillsyn/A 11453-2025 tillsynsbegäran.docx", "A 11453-2025")</f>
        <v/>
      </c>
      <c r="AD36">
        <f>HYPERLINK("https://klasma.github.io/Logging_1782/tillsynsmail/A 11453-2025 tillsynsbegäran mail.docx", "A 11453-2025")</f>
        <v/>
      </c>
    </row>
    <row r="37" ht="15" customHeight="1">
      <c r="A37" t="inlineStr">
        <is>
          <t>A 38140-2024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46295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HYPERLINK("https://klasma.github.io/Logging_1782/artfynd/A 38140-2024 artfynd.xlsx", "A 38140-2024")</f>
        <v/>
      </c>
      <c r="X37">
        <f>HYPERLINK("https://klasma.github.io/Logging_1782/kartor/A 38140-2024 karta.png", "A 38140-2024")</f>
        <v/>
      </c>
      <c r="Y37">
        <f>HYPERLINK("https://klasma.github.io/Logging_1782/kartor_geotiff/A 38140-2024 georefererad karta.tif", "A 38140-2024")</f>
        <v/>
      </c>
      <c r="AA37">
        <f>HYPERLINK("https://klasma.github.io/Logging_1782/klagomål/A 38140-2024 FSC-klagomål.docx", "A 38140-2024")</f>
        <v/>
      </c>
      <c r="AB37">
        <f>HYPERLINK("https://klasma.github.io/Logging_1782/klagomålsmail/A 38140-2024 FSC-klagomål mail.docx", "A 38140-2024")</f>
        <v/>
      </c>
      <c r="AC37">
        <f>HYPERLINK("https://klasma.github.io/Logging_1782/tillsyn/A 38140-2024 tillsynsbegäran.docx", "A 38140-2024")</f>
        <v/>
      </c>
      <c r="AD37">
        <f>HYPERLINK("https://klasma.github.io/Logging_1782/tillsynsmail/A 38140-2024 tillsynsbegäran mail.docx", "A 38140-2024")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46295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25916-2025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45804</v>
      </c>
      <c r="E39" s="1" t="n">
        <v>46295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26.4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HYPERLINK("https://klasma.github.io/Logging_1782/artfynd/A 25916-2025 artfynd.xlsx", "A 25916-2025")</f>
        <v/>
      </c>
      <c r="X39">
        <f>HYPERLINK("https://klasma.github.io/Logging_1782/kartor/A 25916-2025 karta.png", "A 25916-2025")</f>
        <v/>
      </c>
      <c r="Y39">
        <f>HYPERLINK("https://klasma.github.io/Logging_1782/kartor_geotiff/A 25916-2025 georefererad karta.tif", "A 25916-2025")</f>
        <v/>
      </c>
      <c r="AA39">
        <f>HYPERLINK("https://klasma.github.io/Logging_1782/klagomål/A 25916-2025 FSC-klagomål.docx", "A 25916-2025")</f>
        <v/>
      </c>
      <c r="AB39">
        <f>HYPERLINK("https://klasma.github.io/Logging_1782/klagomålsmail/A 25916-2025 FSC-klagomål mail.docx", "A 25916-2025")</f>
        <v/>
      </c>
      <c r="AC39">
        <f>HYPERLINK("https://klasma.github.io/Logging_1782/tillsyn/A 25916-2025 tillsynsbegäran.docx", "A 25916-2025")</f>
        <v/>
      </c>
      <c r="AD39">
        <f>HYPERLINK("https://klasma.github.io/Logging_1782/tillsynsmail/A 25916-2025 tillsynsbegäran mail.docx", "A 25916-2025")</f>
        <v/>
      </c>
    </row>
    <row r="40" ht="15" customHeight="1">
      <c r="A40" t="inlineStr">
        <is>
          <t>A 23046-2023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45075</v>
      </c>
      <c r="E40" s="1" t="n">
        <v>46295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HYPERLINK("https://klasma.github.io/Logging_1782/artfynd/A 23046-2023 artfynd.xlsx", "A 23046-2023")</f>
        <v/>
      </c>
      <c r="X40">
        <f>HYPERLINK("https://klasma.github.io/Logging_1782/kartor/A 23046-2023 karta.png", "A 23046-2023")</f>
        <v/>
      </c>
      <c r="Y40">
        <f>HYPERLINK("https://klasma.github.io/Logging_1782/kartor_geotiff/A 23046-2023 georefererad karta.tif", "A 23046-2023")</f>
        <v/>
      </c>
      <c r="Z40">
        <f>HYPERLINK("https://klasma.github.io/Logging_1782/knärot/A 23046-2023 karta knärot.png", "A 23046-2023")</f>
        <v/>
      </c>
      <c r="AA40">
        <f>HYPERLINK("https://klasma.github.io/Logging_1782/klagomål/A 23046-2023 FSC-klagomål.docx", "A 23046-2023")</f>
        <v/>
      </c>
      <c r="AB40">
        <f>HYPERLINK("https://klasma.github.io/Logging_1782/klagomålsmail/A 23046-2023 FSC-klagomål mail.docx", "A 23046-2023")</f>
        <v/>
      </c>
      <c r="AC40">
        <f>HYPERLINK("https://klasma.github.io/Logging_1782/tillsyn/A 23046-2023 tillsynsbegäran.docx", "A 23046-2023")</f>
        <v/>
      </c>
      <c r="AD40">
        <f>HYPERLINK("https://klasma.github.io/Logging_1782/tillsynsmail/A 23046-2023 tillsynsbegäran mail.docx", "A 23046-2023")</f>
        <v/>
      </c>
    </row>
    <row r="41" ht="15" customHeight="1">
      <c r="A41" t="inlineStr">
        <is>
          <t>A 30652-2025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45831</v>
      </c>
      <c r="E41" s="1" t="n">
        <v>46295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4.3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HYPERLINK("https://klasma.github.io/Logging_1782/artfynd/A 30652-2025 artfynd.xlsx", "A 30652-2025")</f>
        <v/>
      </c>
      <c r="X41">
        <f>HYPERLINK("https://klasma.github.io/Logging_1782/kartor/A 30652-2025 karta.png", "A 30652-2025")</f>
        <v/>
      </c>
      <c r="Y41">
        <f>HYPERLINK("https://klasma.github.io/Logging_1782/kartor_geotiff/A 30652-2025 georefererad karta.tif", "A 30652-2025")</f>
        <v/>
      </c>
      <c r="AA41">
        <f>HYPERLINK("https://klasma.github.io/Logging_1782/klagomål/A 30652-2025 FSC-klagomål.docx", "A 30652-2025")</f>
        <v/>
      </c>
      <c r="AB41">
        <f>HYPERLINK("https://klasma.github.io/Logging_1782/klagomålsmail/A 30652-2025 FSC-klagomål mail.docx", "A 30652-2025")</f>
        <v/>
      </c>
      <c r="AC41">
        <f>HYPERLINK("https://klasma.github.io/Logging_1782/tillsyn/A 30652-2025 tillsynsbegäran.docx", "A 30652-2025")</f>
        <v/>
      </c>
      <c r="AD41">
        <f>HYPERLINK("https://klasma.github.io/Logging_1782/tillsynsmail/A 30652-2025 tillsynsbegäran mail.docx", "A 30652-2025")</f>
        <v/>
      </c>
      <c r="AE41">
        <f>HYPERLINK("https://klasma.github.io/Logging_1782/fåglar/A 30652-2025 prioriterade fågelarter.docx", "A 30652-2025")</f>
        <v/>
      </c>
    </row>
    <row r="42" ht="15" customHeight="1">
      <c r="A42" t="inlineStr">
        <is>
          <t>A 45781-2025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45923</v>
      </c>
      <c r="E42" s="1" t="n">
        <v>46295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Brunklöver</t>
        </is>
      </c>
      <c r="W42">
        <f>HYPERLINK("https://klasma.github.io/Logging_1782/artfynd/A 45781-2025 artfynd.xlsx", "A 45781-2025")</f>
        <v/>
      </c>
      <c r="X42">
        <f>HYPERLINK("https://klasma.github.io/Logging_1782/kartor/A 45781-2025 karta.png", "A 45781-2025")</f>
        <v/>
      </c>
      <c r="Y42">
        <f>HYPERLINK("https://klasma.github.io/Logging_1782/kartor_geotiff/A 45781-2025 georefererad karta.tif", "A 45781-2025")</f>
        <v/>
      </c>
      <c r="AA42">
        <f>HYPERLINK("https://klasma.github.io/Logging_1782/klagomål/A 45781-2025 FSC-klagomål.docx", "A 45781-2025")</f>
        <v/>
      </c>
      <c r="AB42">
        <f>HYPERLINK("https://klasma.github.io/Logging_1782/klagomålsmail/A 45781-2025 FSC-klagomål mail.docx", "A 45781-2025")</f>
        <v/>
      </c>
      <c r="AC42">
        <f>HYPERLINK("https://klasma.github.io/Logging_1782/tillsyn/A 45781-2025 tillsynsbegäran.docx", "A 45781-2025")</f>
        <v/>
      </c>
      <c r="AD42">
        <f>HYPERLINK("https://klasma.github.io/Logging_1782/tillsynsmail/A 45781-2025 tillsynsbegäran mail.docx", "A 45781-2025")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46295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46978-2023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45195</v>
      </c>
      <c r="E44" s="1" t="n">
        <v>46295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HYPERLINK("https://klasma.github.io/Logging_1782/artfynd/A 46978-2023 artfynd.xlsx", "A 46978-2023")</f>
        <v/>
      </c>
      <c r="X44">
        <f>HYPERLINK("https://klasma.github.io/Logging_1782/kartor/A 46978-2023 karta.png", "A 46978-2023")</f>
        <v/>
      </c>
      <c r="Y44">
        <f>HYPERLINK("https://klasma.github.io/Logging_1782/kartor_geotiff/A 46978-2023 georefererad karta.tif", "A 46978-2023")</f>
        <v/>
      </c>
      <c r="AA44">
        <f>HYPERLINK("https://klasma.github.io/Logging_1782/klagomål/A 46978-2023 FSC-klagomål.docx", "A 46978-2023")</f>
        <v/>
      </c>
      <c r="AB44">
        <f>HYPERLINK("https://klasma.github.io/Logging_1782/klagomålsmail/A 46978-2023 FSC-klagomål mail.docx", "A 46978-2023")</f>
        <v/>
      </c>
      <c r="AC44">
        <f>HYPERLINK("https://klasma.github.io/Logging_1782/tillsyn/A 46978-2023 tillsynsbegäran.docx", "A 46978-2023")</f>
        <v/>
      </c>
      <c r="AD44">
        <f>HYPERLINK("https://klasma.github.io/Logging_1782/tillsynsmail/A 46978-2023 tillsynsbegäran mail.docx", "A 46978-2023")</f>
        <v/>
      </c>
    </row>
    <row r="45" ht="15" customHeight="1">
      <c r="A45" t="inlineStr">
        <is>
          <t>A 18138-2022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46295</v>
      </c>
      <c r="F45" t="inlineStr">
        <is>
          <t>VÄRMLANDS LÄN</t>
        </is>
      </c>
      <c r="G45" t="inlineStr">
        <is>
          <t>FILIPSTAD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18138-2022 artfynd.xlsx", "A 18138-2022")</f>
        <v/>
      </c>
      <c r="X45">
        <f>HYPERLINK("https://klasma.github.io/Logging_1782/kartor/A 18138-2022 karta.png", "A 18138-2022")</f>
        <v/>
      </c>
      <c r="Y45">
        <f>HYPERLINK("https://klasma.github.io/Logging_1782/kartor_geotiff/A 18138-2022 georefererad karta.tif", "A 18138-2022")</f>
        <v/>
      </c>
      <c r="AA45">
        <f>HYPERLINK("https://klasma.github.io/Logging_1782/klagomål/A 18138-2022 FSC-klagomål.docx", "A 18138-2022")</f>
        <v/>
      </c>
      <c r="AB45">
        <f>HYPERLINK("https://klasma.github.io/Logging_1782/klagomålsmail/A 18138-2022 FSC-klagomål mail.docx", "A 18138-2022")</f>
        <v/>
      </c>
      <c r="AC45">
        <f>HYPERLINK("https://klasma.github.io/Logging_1782/tillsyn/A 18138-2022 tillsynsbegäran.docx", "A 18138-2022")</f>
        <v/>
      </c>
      <c r="AD45">
        <f>HYPERLINK("https://klasma.github.io/Logging_1782/tillsynsmail/A 18138-2022 tillsynsbegäran mail.docx", "A 18138-2022")</f>
        <v/>
      </c>
    </row>
    <row r="46" ht="15" customHeight="1">
      <c r="A46" t="inlineStr">
        <is>
          <t>A 17529-2026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46295</v>
      </c>
      <c r="F46" t="inlineStr">
        <is>
          <t>VÄRMLANDS LÄN</t>
        </is>
      </c>
      <c r="G46" t="inlineStr">
        <is>
          <t>FILIPSTAD</t>
        </is>
      </c>
      <c r="I46" t="n">
        <v>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Ädellav</t>
        </is>
      </c>
      <c r="W46">
        <f>HYPERLINK("https://klasma.github.io/Logging_1782/artfynd/A 17529-2026 artfynd.xlsx", "A 17529-2026")</f>
        <v/>
      </c>
      <c r="X46">
        <f>HYPERLINK("https://klasma.github.io/Logging_1782/kartor/A 17529-2026 karta.png", "A 17529-2026")</f>
        <v/>
      </c>
      <c r="Y46">
        <f>HYPERLINK("https://klasma.github.io/Logging_1782/kartor_geotiff/A 17529-2026 georefererad karta.tif", "A 17529-2026")</f>
        <v/>
      </c>
      <c r="AA46">
        <f>HYPERLINK("https://klasma.github.io/Logging_1782/klagomål/A 17529-2026 FSC-klagomål.docx", "A 17529-2026")</f>
        <v/>
      </c>
      <c r="AB46">
        <f>HYPERLINK("https://klasma.github.io/Logging_1782/klagomålsmail/A 17529-2026 FSC-klagomål mail.docx", "A 17529-2026")</f>
        <v/>
      </c>
      <c r="AC46">
        <f>HYPERLINK("https://klasma.github.io/Logging_1782/tillsyn/A 17529-2026 tillsynsbegäran.docx", "A 17529-2026")</f>
        <v/>
      </c>
      <c r="AD46">
        <f>HYPERLINK("https://klasma.github.io/Logging_1782/tillsynsmail/A 17529-2026 tillsynsbegäran mail.docx", "A 17529-2026")</f>
        <v/>
      </c>
    </row>
    <row r="47" ht="15" customHeight="1">
      <c r="A47" t="inlineStr">
        <is>
          <t>A 874-2025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45665</v>
      </c>
      <c r="E47" s="1" t="n">
        <v>46295</v>
      </c>
      <c r="F47" t="inlineStr">
        <is>
          <t>VÄRMLANDS LÄN</t>
        </is>
      </c>
      <c r="G47" t="inlineStr">
        <is>
          <t>FILIPSTAD</t>
        </is>
      </c>
      <c r="H47" t="inlineStr">
        <is>
          <t>Kyrkan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Kamjordstjärna</t>
        </is>
      </c>
      <c r="W47">
        <f>HYPERLINK("https://klasma.github.io/Logging_1782/artfynd/A 874-2025 artfynd.xlsx", "A 874-2025")</f>
        <v/>
      </c>
      <c r="X47">
        <f>HYPERLINK("https://klasma.github.io/Logging_1782/kartor/A 874-2025 karta.png", "A 874-2025")</f>
        <v/>
      </c>
      <c r="Y47">
        <f>HYPERLINK("https://klasma.github.io/Logging_1782/kartor_geotiff/A 874-2025 georefererad karta.tif", "A 874-2025")</f>
        <v/>
      </c>
      <c r="AA47">
        <f>HYPERLINK("https://klasma.github.io/Logging_1782/klagomål/A 874-2025 FSC-klagomål.docx", "A 874-2025")</f>
        <v/>
      </c>
      <c r="AB47">
        <f>HYPERLINK("https://klasma.github.io/Logging_1782/klagomålsmail/A 874-2025 FSC-klagomål mail.docx", "A 874-2025")</f>
        <v/>
      </c>
      <c r="AC47">
        <f>HYPERLINK("https://klasma.github.io/Logging_1782/tillsyn/A 874-2025 tillsynsbegäran.docx", "A 874-2025")</f>
        <v/>
      </c>
      <c r="AD47">
        <f>HYPERLINK("https://klasma.github.io/Logging_1782/tillsynsmail/A 874-2025 tillsynsbegäran mail.docx", "A 874-2025")</f>
        <v/>
      </c>
    </row>
    <row r="48" ht="15" customHeight="1">
      <c r="A48" t="inlineStr">
        <is>
          <t>A 25862-2026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46295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3.5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Talltaggsvamp</t>
        </is>
      </c>
      <c r="W48">
        <f>HYPERLINK("https://klasma.github.io/Logging_1782/artfynd/A 25862-2026 artfynd.xlsx", "A 25862-2026")</f>
        <v/>
      </c>
      <c r="X48">
        <f>HYPERLINK("https://klasma.github.io/Logging_1782/kartor/A 25862-2026 karta.png", "A 25862-2026")</f>
        <v/>
      </c>
      <c r="Y48">
        <f>HYPERLINK("https://klasma.github.io/Logging_1782/kartor_geotiff/A 25862-2026 georefererad karta.tif", "A 25862-2026")</f>
        <v/>
      </c>
      <c r="AA48">
        <f>HYPERLINK("https://klasma.github.io/Logging_1782/klagomål/A 25862-2026 FSC-klagomål.docx", "A 25862-2026")</f>
        <v/>
      </c>
      <c r="AB48">
        <f>HYPERLINK("https://klasma.github.io/Logging_1782/klagomålsmail/A 25862-2026 FSC-klagomål mail.docx", "A 25862-2026")</f>
        <v/>
      </c>
      <c r="AC48">
        <f>HYPERLINK("https://klasma.github.io/Logging_1782/tillsyn/A 25862-2026 tillsynsbegäran.docx", "A 25862-2026")</f>
        <v/>
      </c>
      <c r="AD48">
        <f>HYPERLINK("https://klasma.github.io/Logging_1782/tillsynsmail/A 25862-2026 tillsynsbegäran mail.docx", "A 25862-2026")</f>
        <v/>
      </c>
    </row>
    <row r="49" ht="15" customHeight="1">
      <c r="A49" t="inlineStr">
        <is>
          <t>A 28989-2026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46295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7.2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HYPERLINK("https://klasma.github.io/Logging_1782/artfynd/A 28989-2026 artfynd.xlsx", "A 28989-2026")</f>
        <v/>
      </c>
      <c r="X49">
        <f>HYPERLINK("https://klasma.github.io/Logging_1782/kartor/A 28989-2026 karta.png", "A 28989-2026")</f>
        <v/>
      </c>
      <c r="Y49">
        <f>HYPERLINK("https://klasma.github.io/Logging_1782/kartor_geotiff/A 28989-2026 georefererad karta.tif", "A 28989-2026")</f>
        <v/>
      </c>
      <c r="AA49">
        <f>HYPERLINK("https://klasma.github.io/Logging_1782/klagomål/A 28989-2026 FSC-klagomål.docx", "A 28989-2026")</f>
        <v/>
      </c>
      <c r="AB49">
        <f>HYPERLINK("https://klasma.github.io/Logging_1782/klagomålsmail/A 28989-2026 FSC-klagomål mail.docx", "A 28989-2026")</f>
        <v/>
      </c>
      <c r="AC49">
        <f>HYPERLINK("https://klasma.github.io/Logging_1782/tillsyn/A 28989-2026 tillsynsbegäran.docx", "A 28989-2026")</f>
        <v/>
      </c>
      <c r="AD49">
        <f>HYPERLINK("https://klasma.github.io/Logging_1782/tillsynsmail/A 28989-2026 tillsynsbegäran mail.docx", "A 28989-2026")</f>
        <v/>
      </c>
    </row>
    <row r="50" ht="15" customHeight="1">
      <c r="A50" t="inlineStr">
        <is>
          <t>A 51522-2022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46295</v>
      </c>
      <c r="F50" t="inlineStr">
        <is>
          <t>VÄRMLANDS LÄN</t>
        </is>
      </c>
      <c r="G50" t="inlineStr">
        <is>
          <t>FILIPSTAD</t>
        </is>
      </c>
      <c r="I50" t="n">
        <v>4.1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HYPERLINK("https://klasma.github.io/Logging_1782/artfynd/A 51522-2022 artfynd.xlsx", "A 51522-2022")</f>
        <v/>
      </c>
      <c r="X50">
        <f>HYPERLINK("https://klasma.github.io/Logging_1782/kartor/A 51522-2022 karta.png", "A 51522-2022")</f>
        <v/>
      </c>
      <c r="Y50">
        <f>HYPERLINK("https://klasma.github.io/Logging_1782/kartor_geotiff/A 51522-2022 georefererad karta.tif", "A 51522-2022")</f>
        <v/>
      </c>
      <c r="AA50">
        <f>HYPERLINK("https://klasma.github.io/Logging_1782/klagomål/A 51522-2022 FSC-klagomål.docx", "A 51522-2022")</f>
        <v/>
      </c>
      <c r="AB50">
        <f>HYPERLINK("https://klasma.github.io/Logging_1782/klagomålsmail/A 51522-2022 FSC-klagomål mail.docx", "A 51522-2022")</f>
        <v/>
      </c>
      <c r="AC50">
        <f>HYPERLINK("https://klasma.github.io/Logging_1782/tillsyn/A 51522-2022 tillsynsbegäran.docx", "A 51522-2022")</f>
        <v/>
      </c>
      <c r="AD50">
        <f>HYPERLINK("https://klasma.github.io/Logging_1782/tillsynsmail/A 51522-2022 tillsynsbegäran mail.docx", "A 51522-2022")</f>
        <v/>
      </c>
    </row>
    <row r="51" ht="15" customHeight="1">
      <c r="A51" t="inlineStr">
        <is>
          <t>A 50776-2024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45602</v>
      </c>
      <c r="E51" s="1" t="n">
        <v>46295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15.5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50776-2024 artfynd.xlsx", "A 50776-2024")</f>
        <v/>
      </c>
      <c r="X51">
        <f>HYPERLINK("https://klasma.github.io/Logging_1782/kartor/A 50776-2024 karta.png", "A 50776-2024")</f>
        <v/>
      </c>
      <c r="Y51">
        <f>HYPERLINK("https://klasma.github.io/Logging_1782/kartor_geotiff/A 50776-2024 georefererad karta.tif", "A 50776-2024")</f>
        <v/>
      </c>
      <c r="AA51">
        <f>HYPERLINK("https://klasma.github.io/Logging_1782/klagomål/A 50776-2024 FSC-klagomål.docx", "A 50776-2024")</f>
        <v/>
      </c>
      <c r="AB51">
        <f>HYPERLINK("https://klasma.github.io/Logging_1782/klagomålsmail/A 50776-2024 FSC-klagomål mail.docx", "A 50776-2024")</f>
        <v/>
      </c>
      <c r="AC51">
        <f>HYPERLINK("https://klasma.github.io/Logging_1782/tillsyn/A 50776-2024 tillsynsbegäran.docx", "A 50776-2024")</f>
        <v/>
      </c>
      <c r="AD51">
        <f>HYPERLINK("https://klasma.github.io/Logging_1782/tillsynsmail/A 50776-2024 tillsynsbegäran mail.docx", "A 50776-2024")</f>
        <v/>
      </c>
    </row>
    <row r="52" ht="15" customHeight="1">
      <c r="A52" t="inlineStr">
        <is>
          <t>A 31257-2026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46218</v>
      </c>
      <c r="E52" s="1" t="n">
        <v>46295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10.2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Gräsull</t>
        </is>
      </c>
      <c r="W52">
        <f>HYPERLINK("https://klasma.github.io/Logging_1782/artfynd/A 31257-2026 artfynd.xlsx", "A 31257-2026")</f>
        <v/>
      </c>
      <c r="X52">
        <f>HYPERLINK("https://klasma.github.io/Logging_1782/kartor/A 31257-2026 karta.png", "A 31257-2026")</f>
        <v/>
      </c>
      <c r="Y52">
        <f>HYPERLINK("https://klasma.github.io/Logging_1782/kartor_geotiff/A 31257-2026 georefererad karta.tif", "A 31257-2026")</f>
        <v/>
      </c>
      <c r="AA52">
        <f>HYPERLINK("https://klasma.github.io/Logging_1782/klagomål/A 31257-2026 FSC-klagomål.docx", "A 31257-2026")</f>
        <v/>
      </c>
      <c r="AB52">
        <f>HYPERLINK("https://klasma.github.io/Logging_1782/klagomålsmail/A 31257-2026 FSC-klagomål mail.docx", "A 31257-2026")</f>
        <v/>
      </c>
      <c r="AC52">
        <f>HYPERLINK("https://klasma.github.io/Logging_1782/tillsyn/A 31257-2026 tillsynsbegäran.docx", "A 31257-2026")</f>
        <v/>
      </c>
      <c r="AD52">
        <f>HYPERLINK("https://klasma.github.io/Logging_1782/tillsynsmail/A 31257-2026 tillsynsbegäran mail.docx", "A 31257-2026")</f>
        <v/>
      </c>
    </row>
    <row r="53" ht="15" customHeight="1">
      <c r="A53" t="inlineStr">
        <is>
          <t>A 5992-2023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44959</v>
      </c>
      <c r="E53" s="1" t="n">
        <v>46295</v>
      </c>
      <c r="F53" t="inlineStr">
        <is>
          <t>VÄRMLANDS LÄN</t>
        </is>
      </c>
      <c r="G53" t="inlineStr">
        <is>
          <t>FILIPSTAD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5992-2023 artfynd.xlsx", "A 5992-2023")</f>
        <v/>
      </c>
      <c r="X53">
        <f>HYPERLINK("https://klasma.github.io/Logging_1782/kartor/A 5992-2023 karta.png", "A 5992-2023")</f>
        <v/>
      </c>
      <c r="Y53">
        <f>HYPERLINK("https://klasma.github.io/Logging_1782/kartor_geotiff/A 5992-2023 georefererad karta.tif", "A 5992-2023")</f>
        <v/>
      </c>
      <c r="AA53">
        <f>HYPERLINK("https://klasma.github.io/Logging_1782/klagomål/A 5992-2023 FSC-klagomål.docx", "A 5992-2023")</f>
        <v/>
      </c>
      <c r="AB53">
        <f>HYPERLINK("https://klasma.github.io/Logging_1782/klagomålsmail/A 5992-2023 FSC-klagomål mail.docx", "A 5992-2023")</f>
        <v/>
      </c>
      <c r="AC53">
        <f>HYPERLINK("https://klasma.github.io/Logging_1782/tillsyn/A 5992-2023 tillsynsbegäran.docx", "A 5992-2023")</f>
        <v/>
      </c>
      <c r="AD53">
        <f>HYPERLINK("https://klasma.github.io/Logging_1782/tillsynsmail/A 5992-2023 tillsynsbegäran mail.docx", "A 5992-2023")</f>
        <v/>
      </c>
    </row>
    <row r="54" ht="15" customHeight="1">
      <c r="A54" t="inlineStr">
        <is>
          <t>A 1346-2025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45667</v>
      </c>
      <c r="E54" s="1" t="n">
        <v>46295</v>
      </c>
      <c r="F54" t="inlineStr">
        <is>
          <t>VÄRMLANDS LÄN</t>
        </is>
      </c>
      <c r="G54" t="inlineStr">
        <is>
          <t>FILIPSTAD</t>
        </is>
      </c>
      <c r="H54" t="inlineStr">
        <is>
          <t>Kommuner</t>
        </is>
      </c>
      <c r="I54" t="n">
        <v>6.9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Fläcknycklar</t>
        </is>
      </c>
      <c r="W54">
        <f>HYPERLINK("https://klasma.github.io/Logging_1782/artfynd/A 1346-2025 artfynd.xlsx", "A 1346-2025")</f>
        <v/>
      </c>
      <c r="X54">
        <f>HYPERLINK("https://klasma.github.io/Logging_1782/kartor/A 1346-2025 karta.png", "A 1346-2025")</f>
        <v/>
      </c>
      <c r="Y54">
        <f>HYPERLINK("https://klasma.github.io/Logging_1782/kartor_geotiff/A 1346-2025 georefererad karta.tif", "A 1346-2025")</f>
        <v/>
      </c>
      <c r="AA54">
        <f>HYPERLINK("https://klasma.github.io/Logging_1782/klagomål/A 1346-2025 FSC-klagomål.docx", "A 1346-2025")</f>
        <v/>
      </c>
      <c r="AB54">
        <f>HYPERLINK("https://klasma.github.io/Logging_1782/klagomålsmail/A 1346-2025 FSC-klagomål mail.docx", "A 1346-2025")</f>
        <v/>
      </c>
      <c r="AC54">
        <f>HYPERLINK("https://klasma.github.io/Logging_1782/tillsyn/A 1346-2025 tillsynsbegäran.docx", "A 1346-2025")</f>
        <v/>
      </c>
      <c r="AD54">
        <f>HYPERLINK("https://klasma.github.io/Logging_1782/tillsynsmail/A 1346-2025 tillsynsbegäran mail.docx", "A 1346-2025")</f>
        <v/>
      </c>
    </row>
    <row r="55" ht="15" customHeight="1">
      <c r="A55" t="inlineStr">
        <is>
          <t>A 30988-2026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46213</v>
      </c>
      <c r="E55" s="1" t="n">
        <v>46295</v>
      </c>
      <c r="F55" t="inlineStr">
        <is>
          <t>VÄRMLANDS LÄN</t>
        </is>
      </c>
      <c r="G55" t="inlineStr">
        <is>
          <t>FILIPSTAD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Skuggblåslav</t>
        </is>
      </c>
      <c r="W55">
        <f>HYPERLINK("https://klasma.github.io/Logging_1782/artfynd/A 30988-2026 artfynd.xlsx", "A 30988-2026")</f>
        <v/>
      </c>
      <c r="X55">
        <f>HYPERLINK("https://klasma.github.io/Logging_1782/kartor/A 30988-2026 karta.png", "A 30988-2026")</f>
        <v/>
      </c>
      <c r="Y55">
        <f>HYPERLINK("https://klasma.github.io/Logging_1782/kartor_geotiff/A 30988-2026 georefererad karta.tif", "A 30988-2026")</f>
        <v/>
      </c>
      <c r="AA55">
        <f>HYPERLINK("https://klasma.github.io/Logging_1782/klagomål/A 30988-2026 FSC-klagomål.docx", "A 30988-2026")</f>
        <v/>
      </c>
      <c r="AB55">
        <f>HYPERLINK("https://klasma.github.io/Logging_1782/klagomålsmail/A 30988-2026 FSC-klagomål mail.docx", "A 30988-2026")</f>
        <v/>
      </c>
      <c r="AC55">
        <f>HYPERLINK("https://klasma.github.io/Logging_1782/tillsyn/A 30988-2026 tillsynsbegäran.docx", "A 30988-2026")</f>
        <v/>
      </c>
      <c r="AD55">
        <f>HYPERLINK("https://klasma.github.io/Logging_1782/tillsynsmail/A 30988-2026 tillsynsbegäran mail.docx", "A 30988-2026")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46295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46295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46295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46295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46295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46295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46295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46295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46295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46295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46295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46295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46295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46295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46295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46295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46295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46295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46295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46295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46295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46295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46295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45230</v>
      </c>
      <c r="E80" s="1" t="n">
        <v>46295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9.9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46295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46295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46295</v>
      </c>
      <c r="F83" t="inlineStr">
        <is>
          <t>VÄRMLANDS LÄN</t>
        </is>
      </c>
      <c r="G83" t="inlineStr">
        <is>
          <t>FILIPSTAD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46295</v>
      </c>
      <c r="F84" t="inlineStr">
        <is>
          <t>VÄRMLANDS LÄN</t>
        </is>
      </c>
      <c r="G84" t="inlineStr">
        <is>
          <t>FILIPSTAD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45391</v>
      </c>
      <c r="E85" s="1" t="n">
        <v>46295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46295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46295</v>
      </c>
      <c r="F87" t="inlineStr">
        <is>
          <t>VÄRMLANDS LÄN</t>
        </is>
      </c>
      <c r="G87" t="inlineStr">
        <is>
          <t>FILIPSTAD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46295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46295</v>
      </c>
      <c r="F89" t="inlineStr">
        <is>
          <t>VÄRMLANDS LÄN</t>
        </is>
      </c>
      <c r="G89" t="inlineStr">
        <is>
          <t>FILIPSTAD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45223</v>
      </c>
      <c r="E90" s="1" t="n">
        <v>46295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46295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46295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46295</v>
      </c>
      <c r="F93" t="inlineStr">
        <is>
          <t>VÄRMLANDS LÄN</t>
        </is>
      </c>
      <c r="G93" t="inlineStr">
        <is>
          <t>FILIPSTAD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45408</v>
      </c>
      <c r="E94" s="1" t="n">
        <v>46295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46295</v>
      </c>
      <c r="F95" t="inlineStr">
        <is>
          <t>VÄRMLANDS LÄN</t>
        </is>
      </c>
      <c r="G95" t="inlineStr">
        <is>
          <t>FILIPSTAD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46295</v>
      </c>
      <c r="F96" t="inlineStr">
        <is>
          <t>VÄRMLANDS LÄN</t>
        </is>
      </c>
      <c r="G96" t="inlineStr">
        <is>
          <t>FILIPSTAD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46295</v>
      </c>
      <c r="F97" t="inlineStr">
        <is>
          <t>VÄRMLANDS LÄN</t>
        </is>
      </c>
      <c r="G97" t="inlineStr">
        <is>
          <t>FILIPSTAD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46295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46295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45593</v>
      </c>
      <c r="E100" s="1" t="n">
        <v>46295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46295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23399-2025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45792</v>
      </c>
      <c r="E102" s="1" t="n">
        <v>46295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45667</v>
      </c>
      <c r="E103" s="1" t="n">
        <v>46295</v>
      </c>
      <c r="F103" t="inlineStr">
        <is>
          <t>VÄRMLANDS LÄN</t>
        </is>
      </c>
      <c r="G103" t="inlineStr">
        <is>
          <t>FILIPSTAD</t>
        </is>
      </c>
      <c r="H103" t="inlineStr">
        <is>
          <t>Kommuner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45439</v>
      </c>
      <c r="E104" s="1" t="n">
        <v>46295</v>
      </c>
      <c r="F104" t="inlineStr">
        <is>
          <t>VÄRMLANDS LÄN</t>
        </is>
      </c>
      <c r="G104" t="inlineStr">
        <is>
          <t>FILIPSTAD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46295</v>
      </c>
      <c r="F105" t="inlineStr">
        <is>
          <t>VÄRMLANDS LÄN</t>
        </is>
      </c>
      <c r="G105" t="inlineStr">
        <is>
          <t>FILIPSTAD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72118-2021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44543</v>
      </c>
      <c r="E106" s="1" t="n">
        <v>46295</v>
      </c>
      <c r="F106" t="inlineStr">
        <is>
          <t>VÄRMLANDS LÄN</t>
        </is>
      </c>
      <c r="G106" t="inlineStr">
        <is>
          <t>FILIPSTAD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45796</v>
      </c>
      <c r="E107" s="1" t="n">
        <v>46295</v>
      </c>
      <c r="F107" t="inlineStr">
        <is>
          <t>VÄRMLANDS LÄN</t>
        </is>
      </c>
      <c r="G107" t="inlineStr">
        <is>
          <t>FILIPSTAD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46295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46295</v>
      </c>
      <c r="F109" t="inlineStr">
        <is>
          <t>VÄRMLANDS LÄN</t>
        </is>
      </c>
      <c r="G109" t="inlineStr">
        <is>
          <t>FILIPSTAD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46295</v>
      </c>
      <c r="F110" t="inlineStr">
        <is>
          <t>VÄRMLANDS LÄN</t>
        </is>
      </c>
      <c r="G110" t="inlineStr">
        <is>
          <t>FILIPSTAD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46295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45463</v>
      </c>
      <c r="E112" s="1" t="n">
        <v>46295</v>
      </c>
      <c r="F112" t="inlineStr">
        <is>
          <t>VÄRMLANDS LÄN</t>
        </is>
      </c>
      <c r="G112" t="inlineStr">
        <is>
          <t>FILIPSTAD</t>
        </is>
      </c>
      <c r="I112" t="n">
        <v>13.2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45355</v>
      </c>
      <c r="E113" s="1" t="n">
        <v>46295</v>
      </c>
      <c r="F113" t="inlineStr">
        <is>
          <t>VÄRMLANDS LÄN</t>
        </is>
      </c>
      <c r="G113" t="inlineStr">
        <is>
          <t>FILIPSTAD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65174-2021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44515</v>
      </c>
      <c r="E114" s="1" t="n">
        <v>46295</v>
      </c>
      <c r="F114" t="inlineStr">
        <is>
          <t>VÄRMLANDS LÄN</t>
        </is>
      </c>
      <c r="G114" t="inlineStr">
        <is>
          <t>FILIPSTAD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45511</v>
      </c>
      <c r="E115" s="1" t="n">
        <v>46295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46295</v>
      </c>
      <c r="F116" t="inlineStr">
        <is>
          <t>VÄRMLANDS LÄN</t>
        </is>
      </c>
      <c r="G116" t="inlineStr">
        <is>
          <t>FILIPSTAD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44801</v>
      </c>
      <c r="E117" s="1" t="n">
        <v>46295</v>
      </c>
      <c r="F117" t="inlineStr">
        <is>
          <t>VÄRMLANDS LÄN</t>
        </is>
      </c>
      <c r="G117" t="inlineStr">
        <is>
          <t>FILIPSTAD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45120</v>
      </c>
      <c r="E118" s="1" t="n">
        <v>46295</v>
      </c>
      <c r="F118" t="inlineStr">
        <is>
          <t>VÄRMLANDS LÄN</t>
        </is>
      </c>
      <c r="G118" t="inlineStr">
        <is>
          <t>FILIPSTAD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46295</v>
      </c>
      <c r="F119" t="inlineStr">
        <is>
          <t>VÄRMLANDS LÄN</t>
        </is>
      </c>
      <c r="G119" t="inlineStr">
        <is>
          <t>FILIPSTAD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45586</v>
      </c>
      <c r="E120" s="1" t="n">
        <v>46295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45393</v>
      </c>
      <c r="E121" s="1" t="n">
        <v>46295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26123-2025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45805</v>
      </c>
      <c r="E122" s="1" t="n">
        <v>46295</v>
      </c>
      <c r="F122" t="inlineStr">
        <is>
          <t>VÄRMLANDS LÄN</t>
        </is>
      </c>
      <c r="G122" t="inlineStr">
        <is>
          <t>FILIPSTAD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41718-2025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45902</v>
      </c>
      <c r="E123" s="1" t="n">
        <v>46295</v>
      </c>
      <c r="F123" t="inlineStr">
        <is>
          <t>VÄRMLANDS LÄN</t>
        </is>
      </c>
      <c r="G123" t="inlineStr">
        <is>
          <t>FILIPSTAD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26116-2025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45805</v>
      </c>
      <c r="E124" s="1" t="n">
        <v>46295</v>
      </c>
      <c r="F124" t="inlineStr">
        <is>
          <t>VÄRMLANDS LÄN</t>
        </is>
      </c>
      <c r="G124" t="inlineStr">
        <is>
          <t>FILIPSTAD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46295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45470</v>
      </c>
      <c r="E126" s="1" t="n">
        <v>46295</v>
      </c>
      <c r="F126" t="inlineStr">
        <is>
          <t>VÄRMLANDS LÄN</t>
        </is>
      </c>
      <c r="G126" t="inlineStr">
        <is>
          <t>FILIPSTAD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46295</v>
      </c>
      <c r="F127" t="inlineStr">
        <is>
          <t>VÄRMLANDS LÄN</t>
        </is>
      </c>
      <c r="G127" t="inlineStr">
        <is>
          <t>FILIPSTAD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45674</v>
      </c>
      <c r="E128" s="1" t="n">
        <v>46295</v>
      </c>
      <c r="F128" t="inlineStr">
        <is>
          <t>VÄRMLANDS LÄN</t>
        </is>
      </c>
      <c r="G128" t="inlineStr">
        <is>
          <t>FILIPSTAD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46295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26599-2024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45469</v>
      </c>
      <c r="E130" s="1" t="n">
        <v>46295</v>
      </c>
      <c r="F130" t="inlineStr">
        <is>
          <t>VÄRMLANDS LÄN</t>
        </is>
      </c>
      <c r="G130" t="inlineStr">
        <is>
          <t>FILIPSTAD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58611-2025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45986</v>
      </c>
      <c r="E131" s="1" t="n">
        <v>46295</v>
      </c>
      <c r="F131" t="inlineStr">
        <is>
          <t>VÄRMLANDS LÄN</t>
        </is>
      </c>
      <c r="G131" t="inlineStr">
        <is>
          <t>FILIPSTAD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46295</v>
      </c>
      <c r="F132" t="inlineStr">
        <is>
          <t>VÄRMLANDS LÄN</t>
        </is>
      </c>
      <c r="G132" t="inlineStr">
        <is>
          <t>FILIPSTAD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46295</v>
      </c>
      <c r="F133" t="inlineStr">
        <is>
          <t>VÄRMLANDS LÄN</t>
        </is>
      </c>
      <c r="G133" t="inlineStr">
        <is>
          <t>FILIPSTAD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45418</v>
      </c>
      <c r="E134" s="1" t="n">
        <v>46295</v>
      </c>
      <c r="F134" t="inlineStr">
        <is>
          <t>VÄRMLANDS LÄN</t>
        </is>
      </c>
      <c r="G134" t="inlineStr">
        <is>
          <t>FILIPSTAD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46295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46295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46295</v>
      </c>
      <c r="F137" t="inlineStr">
        <is>
          <t>VÄRMLANDS LÄN</t>
        </is>
      </c>
      <c r="G137" t="inlineStr">
        <is>
          <t>FILIPSTAD</t>
        </is>
      </c>
      <c r="I137" t="n">
        <v>23.3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46295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46295</v>
      </c>
      <c r="F139" t="inlineStr">
        <is>
          <t>VÄRMLANDS LÄN</t>
        </is>
      </c>
      <c r="G139" t="inlineStr">
        <is>
          <t>FILIPSTAD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45578</v>
      </c>
      <c r="E140" s="1" t="n">
        <v>46295</v>
      </c>
      <c r="F140" t="inlineStr">
        <is>
          <t>VÄRMLANDS LÄN</t>
        </is>
      </c>
      <c r="G140" t="inlineStr">
        <is>
          <t>FILIPSTAD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45240</v>
      </c>
      <c r="E141" s="1" t="n">
        <v>46295</v>
      </c>
      <c r="F141" t="inlineStr">
        <is>
          <t>VÄRMLANDS LÄN</t>
        </is>
      </c>
      <c r="G141" t="inlineStr">
        <is>
          <t>FILIPSTAD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46295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31172-2025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45832</v>
      </c>
      <c r="E143" s="1" t="n">
        <v>46295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45924</v>
      </c>
      <c r="E144" s="1" t="n">
        <v>46295</v>
      </c>
      <c r="F144" t="inlineStr">
        <is>
          <t>VÄRMLANDS LÄN</t>
        </is>
      </c>
      <c r="G144" t="inlineStr">
        <is>
          <t>FILIPSTAD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46040</v>
      </c>
      <c r="E145" s="1" t="n">
        <v>46295</v>
      </c>
      <c r="F145" t="inlineStr">
        <is>
          <t>VÄRMLANDS LÄN</t>
        </is>
      </c>
      <c r="G145" t="inlineStr">
        <is>
          <t>FILIPSTAD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46295</v>
      </c>
      <c r="F146" t="inlineStr">
        <is>
          <t>VÄRMLANDS LÄN</t>
        </is>
      </c>
      <c r="G146" t="inlineStr">
        <is>
          <t>FILIPSTAD</t>
        </is>
      </c>
      <c r="I146" t="n">
        <v>18.7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69015-2021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46295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12.7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46295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32032-2025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45835</v>
      </c>
      <c r="E149" s="1" t="n">
        <v>46295</v>
      </c>
      <c r="F149" t="inlineStr">
        <is>
          <t>VÄRMLANDS LÄN</t>
        </is>
      </c>
      <c r="G149" t="inlineStr">
        <is>
          <t>FILIPSTAD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46295</v>
      </c>
      <c r="F150" t="inlineStr">
        <is>
          <t>VÄRMLANDS LÄN</t>
        </is>
      </c>
      <c r="G150" t="inlineStr">
        <is>
          <t>FILIPSTAD</t>
        </is>
      </c>
      <c r="H150" t="inlineStr">
        <is>
          <t>Kyrkan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46295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45688</v>
      </c>
      <c r="E152" s="1" t="n">
        <v>46295</v>
      </c>
      <c r="F152" t="inlineStr">
        <is>
          <t>VÄRMLANDS LÄN</t>
        </is>
      </c>
      <c r="G152" t="inlineStr">
        <is>
          <t>FILIPSTAD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45202</v>
      </c>
      <c r="E153" s="1" t="n">
        <v>46295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46295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46295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33407-2025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45841</v>
      </c>
      <c r="E156" s="1" t="n">
        <v>46295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46295</v>
      </c>
      <c r="F157" t="inlineStr">
        <is>
          <t>VÄRMLANDS LÄN</t>
        </is>
      </c>
      <c r="G157" t="inlineStr">
        <is>
          <t>FILIPSTAD</t>
        </is>
      </c>
      <c r="H157" t="inlineStr">
        <is>
          <t>Kyrkan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48103-2025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45933</v>
      </c>
      <c r="E158" s="1" t="n">
        <v>46295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44935</v>
      </c>
      <c r="E159" s="1" t="n">
        <v>46295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46295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45364</v>
      </c>
      <c r="E161" s="1" t="n">
        <v>46295</v>
      </c>
      <c r="F161" t="inlineStr">
        <is>
          <t>VÄRMLANDS LÄN</t>
        </is>
      </c>
      <c r="G161" t="inlineStr">
        <is>
          <t>FILIPSTAD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45870</v>
      </c>
      <c r="E162" s="1" t="n">
        <v>46295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46295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46295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46295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46295</v>
      </c>
      <c r="F166" t="inlineStr">
        <is>
          <t>VÄRMLANDS LÄN</t>
        </is>
      </c>
      <c r="G166" t="inlineStr">
        <is>
          <t>FILIPSTAD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46295</v>
      </c>
      <c r="F167" t="inlineStr">
        <is>
          <t>VÄRMLANDS LÄN</t>
        </is>
      </c>
      <c r="G167" t="inlineStr">
        <is>
          <t>FILIPSTAD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46056</v>
      </c>
      <c r="E168" s="1" t="n">
        <v>46295</v>
      </c>
      <c r="F168" t="inlineStr">
        <is>
          <t>VÄRMLANDS LÄN</t>
        </is>
      </c>
      <c r="G168" t="inlineStr">
        <is>
          <t>FILIPSTAD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46295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54398-2024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46295</v>
      </c>
      <c r="F170" t="inlineStr">
        <is>
          <t>VÄRMLANDS LÄN</t>
        </is>
      </c>
      <c r="G170" t="inlineStr">
        <is>
          <t>FILIPSTAD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46295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46295</v>
      </c>
      <c r="F172" t="inlineStr">
        <is>
          <t>VÄRMLANDS LÄN</t>
        </is>
      </c>
      <c r="G172" t="inlineStr">
        <is>
          <t>FILIPSTAD</t>
        </is>
      </c>
      <c r="H172" t="inlineStr">
        <is>
          <t>Kyrkan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45959</v>
      </c>
      <c r="E173" s="1" t="n">
        <v>46295</v>
      </c>
      <c r="F173" t="inlineStr">
        <is>
          <t>VÄRMLANDS LÄN</t>
        </is>
      </c>
      <c r="G173" t="inlineStr">
        <is>
          <t>FILIPSTAD</t>
        </is>
      </c>
      <c r="H173" t="inlineStr">
        <is>
          <t>Kyrkan</t>
        </is>
      </c>
      <c r="I173" t="n">
        <v>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46295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46295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46295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46295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46295</v>
      </c>
      <c r="F178" t="inlineStr">
        <is>
          <t>VÄRMLANDS LÄN</t>
        </is>
      </c>
      <c r="G178" t="inlineStr">
        <is>
          <t>FILIPSTAD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46295</v>
      </c>
      <c r="F179" t="inlineStr">
        <is>
          <t>VÄRMLANDS LÄN</t>
        </is>
      </c>
      <c r="G179" t="inlineStr">
        <is>
          <t>FILIPSTAD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46064</v>
      </c>
      <c r="E180" s="1" t="n">
        <v>46295</v>
      </c>
      <c r="F180" t="inlineStr">
        <is>
          <t>VÄRMLANDS LÄN</t>
        </is>
      </c>
      <c r="G180" t="inlineStr">
        <is>
          <t>FILIPSTAD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46295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46295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46295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46295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46295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46295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46295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46295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46295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46295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9.199999999999999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46295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46295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46295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46295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44998</v>
      </c>
      <c r="E195" s="1" t="n">
        <v>46295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46295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45982</v>
      </c>
      <c r="E197" s="1" t="n">
        <v>46295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46295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45985</v>
      </c>
      <c r="E199" s="1" t="n">
        <v>46295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46295</v>
      </c>
      <c r="F200" t="inlineStr">
        <is>
          <t>VÄRMLANDS LÄN</t>
        </is>
      </c>
      <c r="G200" t="inlineStr">
        <is>
          <t>FILIPSTAD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46295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46295</v>
      </c>
      <c r="F202" t="inlineStr">
        <is>
          <t>VÄRMLANDS LÄN</t>
        </is>
      </c>
      <c r="G202" t="inlineStr">
        <is>
          <t>FILIPSTAD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46295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46295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46295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46295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46295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45989</v>
      </c>
      <c r="E208" s="1" t="n">
        <v>46295</v>
      </c>
      <c r="F208" t="inlineStr">
        <is>
          <t>VÄRMLANDS LÄN</t>
        </is>
      </c>
      <c r="G208" t="inlineStr">
        <is>
          <t>FILIPSTAD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46295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46295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45993</v>
      </c>
      <c r="E211" s="1" t="n">
        <v>46295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22866-2023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45072</v>
      </c>
      <c r="E212" s="1" t="n">
        <v>46295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46295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29473-2024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45484</v>
      </c>
      <c r="E214" s="1" t="n">
        <v>46295</v>
      </c>
      <c r="F214" t="inlineStr">
        <is>
          <t>VÄRMLANDS LÄN</t>
        </is>
      </c>
      <c r="G214" t="inlineStr">
        <is>
          <t>FILIPSTAD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45995</v>
      </c>
      <c r="E215" s="1" t="n">
        <v>46295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45995</v>
      </c>
      <c r="E216" s="1" t="n">
        <v>46295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45995</v>
      </c>
      <c r="E217" s="1" t="n">
        <v>46295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46295</v>
      </c>
      <c r="F218" t="inlineStr">
        <is>
          <t>VÄRMLANDS LÄN</t>
        </is>
      </c>
      <c r="G218" t="inlineStr">
        <is>
          <t>FILIPSTAD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46295</v>
      </c>
      <c r="F219" t="inlineStr">
        <is>
          <t>VÄRMLANDS LÄN</t>
        </is>
      </c>
      <c r="G219" t="inlineStr">
        <is>
          <t>FILIPSTAD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61327-2025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46001</v>
      </c>
      <c r="E220" s="1" t="n">
        <v>46295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46295</v>
      </c>
      <c r="F221" t="inlineStr">
        <is>
          <t>VÄRMLANDS LÄN</t>
        </is>
      </c>
      <c r="G221" t="inlineStr">
        <is>
          <t>FILIPSTAD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46295</v>
      </c>
      <c r="F222" t="inlineStr">
        <is>
          <t>VÄRMLANDS LÄN</t>
        </is>
      </c>
      <c r="G222" t="inlineStr">
        <is>
          <t>FILIPSTAD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46295</v>
      </c>
      <c r="F223" t="inlineStr">
        <is>
          <t>VÄRMLANDS LÄN</t>
        </is>
      </c>
      <c r="G223" t="inlineStr">
        <is>
          <t>FILIPSTAD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61417-2025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46001</v>
      </c>
      <c r="E224" s="1" t="n">
        <v>46295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45720</v>
      </c>
      <c r="E225" s="1" t="n">
        <v>46295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46295</v>
      </c>
      <c r="F226" t="inlineStr">
        <is>
          <t>VÄRMLANDS LÄN</t>
        </is>
      </c>
      <c r="G226" t="inlineStr">
        <is>
          <t>FILIPSTAD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46295</v>
      </c>
      <c r="F227" t="inlineStr">
        <is>
          <t>VÄRMLANDS LÄN</t>
        </is>
      </c>
      <c r="G227" t="inlineStr">
        <is>
          <t>FILIPSTAD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46295</v>
      </c>
      <c r="F228" t="inlineStr">
        <is>
          <t>VÄRMLANDS LÄN</t>
        </is>
      </c>
      <c r="G228" t="inlineStr">
        <is>
          <t>FILIPSTAD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61492-2025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46001</v>
      </c>
      <c r="E229" s="1" t="n">
        <v>46295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46087</v>
      </c>
      <c r="E230" s="1" t="n">
        <v>46295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46295</v>
      </c>
      <c r="F231" t="inlineStr">
        <is>
          <t>VÄRMLANDS LÄN</t>
        </is>
      </c>
      <c r="G231" t="inlineStr">
        <is>
          <t>FILIPSTAD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46004</v>
      </c>
      <c r="E232" s="1" t="n">
        <v>46295</v>
      </c>
      <c r="F232" t="inlineStr">
        <is>
          <t>VÄRMLANDS LÄN</t>
        </is>
      </c>
      <c r="G232" t="inlineStr">
        <is>
          <t>FILIPSTAD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46295</v>
      </c>
      <c r="F233" t="inlineStr">
        <is>
          <t>VÄRMLANDS LÄN</t>
        </is>
      </c>
      <c r="G233" t="inlineStr">
        <is>
          <t>FILIPSTAD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46004</v>
      </c>
      <c r="E234" s="1" t="n">
        <v>46295</v>
      </c>
      <c r="F234" t="inlineStr">
        <is>
          <t>VÄRMLANDS LÄN</t>
        </is>
      </c>
      <c r="G234" t="inlineStr">
        <is>
          <t>FILIPSTAD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61823-2025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46003</v>
      </c>
      <c r="E235" s="1" t="n">
        <v>46295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46006</v>
      </c>
      <c r="E236" s="1" t="n">
        <v>46295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46295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46295</v>
      </c>
      <c r="F238" t="inlineStr">
        <is>
          <t>VÄRMLANDS LÄN</t>
        </is>
      </c>
      <c r="G238" t="inlineStr">
        <is>
          <t>FILIPSTAD</t>
        </is>
      </c>
      <c r="I238" t="n">
        <v>15.5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12943-2026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46295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46295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46295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46295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63186-2025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46295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46295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46295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8.9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46295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46295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46295</v>
      </c>
      <c r="F248" t="inlineStr">
        <is>
          <t>VÄRMLANDS LÄN</t>
        </is>
      </c>
      <c r="G248" t="inlineStr">
        <is>
          <t>FILIPSTAD</t>
        </is>
      </c>
      <c r="I248" t="n">
        <v>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46295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46295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44579</v>
      </c>
      <c r="E251" s="1" t="n">
        <v>46295</v>
      </c>
      <c r="F251" t="inlineStr">
        <is>
          <t>VÄRMLANDS LÄN</t>
        </is>
      </c>
      <c r="G251" t="inlineStr">
        <is>
          <t>FILIPSTAD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46295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46295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45771</v>
      </c>
      <c r="E254" s="1" t="n">
        <v>46295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46295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45229</v>
      </c>
      <c r="E256" s="1" t="n">
        <v>46295</v>
      </c>
      <c r="F256" t="inlineStr">
        <is>
          <t>VÄRMLANDS LÄN</t>
        </is>
      </c>
      <c r="G256" t="inlineStr">
        <is>
          <t>FILIPSTAD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46295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46295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46295</v>
      </c>
      <c r="F259" t="inlineStr">
        <is>
          <t>VÄRMLANDS LÄN</t>
        </is>
      </c>
      <c r="G259" t="inlineStr">
        <is>
          <t>FILIPSTAD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45700</v>
      </c>
      <c r="E260" s="1" t="n">
        <v>46295</v>
      </c>
      <c r="F260" t="inlineStr">
        <is>
          <t>VÄRMLANDS LÄN</t>
        </is>
      </c>
      <c r="G260" t="inlineStr">
        <is>
          <t>FILIPSTAD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46295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46295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46295</v>
      </c>
      <c r="F263" t="inlineStr">
        <is>
          <t>VÄRMLANDS LÄN</t>
        </is>
      </c>
      <c r="G263" t="inlineStr">
        <is>
          <t>FILIPSTAD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46295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16040-2026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46108</v>
      </c>
      <c r="E265" s="1" t="n">
        <v>46295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16050-2026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46295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45012</v>
      </c>
      <c r="E267" s="1" t="n">
        <v>46295</v>
      </c>
      <c r="F267" t="inlineStr">
        <is>
          <t>VÄRMLANDS LÄN</t>
        </is>
      </c>
      <c r="G267" t="inlineStr">
        <is>
          <t>FILIPSTAD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46114</v>
      </c>
      <c r="E268" s="1" t="n">
        <v>46295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46295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46295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46295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46295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46295</v>
      </c>
      <c r="F273" t="inlineStr">
        <is>
          <t>VÄRMLANDS LÄN</t>
        </is>
      </c>
      <c r="G273" t="inlineStr">
        <is>
          <t>FILIPSTAD</t>
        </is>
      </c>
      <c r="I273" t="n">
        <v>9.699999999999999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46122</v>
      </c>
      <c r="E274" s="1" t="n">
        <v>46295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17931-2026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46295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46295</v>
      </c>
      <c r="F276" t="inlineStr">
        <is>
          <t>VÄRMLANDS LÄN</t>
        </is>
      </c>
      <c r="G276" t="inlineStr">
        <is>
          <t>FILIPSTAD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45014</v>
      </c>
      <c r="E277" s="1" t="n">
        <v>46295</v>
      </c>
      <c r="F277" t="inlineStr">
        <is>
          <t>VÄRMLANDS LÄN</t>
        </is>
      </c>
      <c r="G277" t="inlineStr">
        <is>
          <t>FILIPSTAD</t>
        </is>
      </c>
      <c r="H277" t="inlineStr">
        <is>
          <t>Kyrkan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18999-2024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45427</v>
      </c>
      <c r="E278" s="1" t="n">
        <v>46295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45088</v>
      </c>
      <c r="E279" s="1" t="n">
        <v>46295</v>
      </c>
      <c r="F279" t="inlineStr">
        <is>
          <t>VÄRMLANDS LÄN</t>
        </is>
      </c>
      <c r="G279" t="inlineStr">
        <is>
          <t>FILIPSTAD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18507-2026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46295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46295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19351-2025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45769</v>
      </c>
      <c r="E282" s="1" t="n">
        <v>46295</v>
      </c>
      <c r="F282" t="inlineStr">
        <is>
          <t>VÄRMLANDS LÄN</t>
        </is>
      </c>
      <c r="G282" t="inlineStr">
        <is>
          <t>FILIPSTAD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46295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46295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18443-2026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46295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46295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46127</v>
      </c>
      <c r="E287" s="1" t="n">
        <v>46295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46295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45152</v>
      </c>
      <c r="E289" s="1" t="n">
        <v>46295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46129</v>
      </c>
      <c r="E290" s="1" t="n">
        <v>46295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45088</v>
      </c>
      <c r="E291" s="1" t="n">
        <v>46295</v>
      </c>
      <c r="F291" t="inlineStr">
        <is>
          <t>VÄRMLANDS LÄN</t>
        </is>
      </c>
      <c r="G291" t="inlineStr">
        <is>
          <t>FILIPSTAD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46128</v>
      </c>
      <c r="E292" s="1" t="n">
        <v>46295</v>
      </c>
      <c r="F292" t="inlineStr">
        <is>
          <t>VÄRMLANDS LÄN</t>
        </is>
      </c>
      <c r="G292" t="inlineStr">
        <is>
          <t>FILIPSTAD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45063</v>
      </c>
      <c r="E293" s="1" t="n">
        <v>46295</v>
      </c>
      <c r="F293" t="inlineStr">
        <is>
          <t>VÄRMLANDS LÄN</t>
        </is>
      </c>
      <c r="G293" t="inlineStr">
        <is>
          <t>FILIPSTAD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46133</v>
      </c>
      <c r="E294" s="1" t="n">
        <v>46295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46295</v>
      </c>
      <c r="F295" t="inlineStr">
        <is>
          <t>VÄRMLANDS LÄN</t>
        </is>
      </c>
      <c r="G295" t="inlineStr">
        <is>
          <t>FILIPSTAD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46295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46295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46134</v>
      </c>
      <c r="E298" s="1" t="n">
        <v>46295</v>
      </c>
      <c r="F298" t="inlineStr">
        <is>
          <t>VÄRMLANDS LÄN</t>
        </is>
      </c>
      <c r="G298" t="inlineStr">
        <is>
          <t>FILIPSTAD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46295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46295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46295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46295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46295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18210-2024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45420</v>
      </c>
      <c r="E304" s="1" t="n">
        <v>46295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46295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46295</v>
      </c>
      <c r="F306" t="inlineStr">
        <is>
          <t>VÄRMLANDS LÄN</t>
        </is>
      </c>
      <c r="G306" t="inlineStr">
        <is>
          <t>FILIPSTAD</t>
        </is>
      </c>
      <c r="H306" t="inlineStr">
        <is>
          <t>Kyrkan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46295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46295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45741</v>
      </c>
      <c r="E309" s="1" t="n">
        <v>46295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45790</v>
      </c>
      <c r="E310" s="1" t="n">
        <v>46295</v>
      </c>
      <c r="F310" t="inlineStr">
        <is>
          <t>VÄRMLANDS LÄN</t>
        </is>
      </c>
      <c r="G310" t="inlineStr">
        <is>
          <t>FILIPSTAD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45133</v>
      </c>
      <c r="E311" s="1" t="n">
        <v>46295</v>
      </c>
      <c r="F311" t="inlineStr">
        <is>
          <t>VÄRMLANDS LÄN</t>
        </is>
      </c>
      <c r="G311" t="inlineStr">
        <is>
          <t>FILIPSTAD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46295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44960</v>
      </c>
      <c r="E313" s="1" t="n">
        <v>46295</v>
      </c>
      <c r="F313" t="inlineStr">
        <is>
          <t>VÄRMLANDS LÄN</t>
        </is>
      </c>
      <c r="G313" t="inlineStr">
        <is>
          <t>FILIPSTAD</t>
        </is>
      </c>
      <c r="H313" t="inlineStr">
        <is>
          <t>Kommuner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4819-2023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44957</v>
      </c>
      <c r="E314" s="1" t="n">
        <v>46295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45393</v>
      </c>
      <c r="E315" s="1" t="n">
        <v>46295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9270-2023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44980</v>
      </c>
      <c r="E316" s="1" t="n">
        <v>46295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46295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45789</v>
      </c>
      <c r="E318" s="1" t="n">
        <v>46295</v>
      </c>
      <c r="F318" t="inlineStr">
        <is>
          <t>VÄRMLANDS LÄN</t>
        </is>
      </c>
      <c r="G318" t="inlineStr">
        <is>
          <t>FILIPSTAD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46295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45964</v>
      </c>
      <c r="E320" s="1" t="n">
        <v>46295</v>
      </c>
      <c r="F320" t="inlineStr">
        <is>
          <t>VÄRMLANDS LÄN</t>
        </is>
      </c>
      <c r="G320" t="inlineStr">
        <is>
          <t>FILIPSTAD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33379-2025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46295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46295</v>
      </c>
      <c r="F322" t="inlineStr">
        <is>
          <t>VÄRMLANDS LÄN</t>
        </is>
      </c>
      <c r="G322" t="inlineStr">
        <is>
          <t>FILIPSTAD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46295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33449-2025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46295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46295</v>
      </c>
      <c r="F325" t="inlineStr">
        <is>
          <t>VÄRMLANDS LÄN</t>
        </is>
      </c>
      <c r="G325" t="inlineStr">
        <is>
          <t>FILIPSTAD</t>
        </is>
      </c>
      <c r="H325" t="inlineStr">
        <is>
          <t>Kyrkan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46295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45418</v>
      </c>
      <c r="E327" s="1" t="n">
        <v>46295</v>
      </c>
      <c r="F327" t="inlineStr">
        <is>
          <t>VÄRMLANDS LÄN</t>
        </is>
      </c>
      <c r="G327" t="inlineStr">
        <is>
          <t>FILIPSTAD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46295</v>
      </c>
      <c r="F328" t="inlineStr">
        <is>
          <t>VÄRMLANDS LÄN</t>
        </is>
      </c>
      <c r="G328" t="inlineStr">
        <is>
          <t>FILIPSTAD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20489-2026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46295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12247-2022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44637</v>
      </c>
      <c r="E330" s="1" t="n">
        <v>46295</v>
      </c>
      <c r="F330" t="inlineStr">
        <is>
          <t>VÄRMLANDS LÄN</t>
        </is>
      </c>
      <c r="G330" t="inlineStr">
        <is>
          <t>FILIPSTAD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45439</v>
      </c>
      <c r="E331" s="1" t="n">
        <v>46295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45891</v>
      </c>
      <c r="E332" s="1" t="n">
        <v>46295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46295</v>
      </c>
      <c r="F333" t="inlineStr">
        <is>
          <t>VÄRMLANDS LÄN</t>
        </is>
      </c>
      <c r="G333" t="inlineStr">
        <is>
          <t>FILIPSTAD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45835</v>
      </c>
      <c r="E334" s="1" t="n">
        <v>46295</v>
      </c>
      <c r="F334" t="inlineStr">
        <is>
          <t>VÄRMLANDS LÄN</t>
        </is>
      </c>
      <c r="G334" t="inlineStr">
        <is>
          <t>FILIPSTAD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46295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46295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46295</v>
      </c>
      <c r="F337" t="inlineStr">
        <is>
          <t>VÄRMLANDS LÄN</t>
        </is>
      </c>
      <c r="G337" t="inlineStr">
        <is>
          <t>FILIPSTAD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20554-2025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45775</v>
      </c>
      <c r="E338" s="1" t="n">
        <v>46295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46295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46295</v>
      </c>
      <c r="F340" t="inlineStr">
        <is>
          <t>VÄRMLANDS LÄN</t>
        </is>
      </c>
      <c r="G340" t="inlineStr">
        <is>
          <t>FILIPSTAD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45867</v>
      </c>
      <c r="E341" s="1" t="n">
        <v>46295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46295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45484</v>
      </c>
      <c r="E343" s="1" t="n">
        <v>46295</v>
      </c>
      <c r="F343" t="inlineStr">
        <is>
          <t>VÄRMLANDS LÄN</t>
        </is>
      </c>
      <c r="G343" t="inlineStr">
        <is>
          <t>FILIPSTAD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20874-2026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46142</v>
      </c>
      <c r="E344" s="1" t="n">
        <v>46295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63482-2021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44508</v>
      </c>
      <c r="E345" s="1" t="n">
        <v>46295</v>
      </c>
      <c r="F345" t="inlineStr">
        <is>
          <t>VÄRMLANDS LÄN</t>
        </is>
      </c>
      <c r="G345" t="inlineStr">
        <is>
          <t>FILIPSTAD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45456</v>
      </c>
      <c r="E346" s="1" t="n">
        <v>46295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16067-2026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46295</v>
      </c>
      <c r="F347" t="inlineStr">
        <is>
          <t>VÄRMLANDS LÄN</t>
        </is>
      </c>
      <c r="G347" t="inlineStr">
        <is>
          <t>FILIPSTAD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45665</v>
      </c>
      <c r="E348" s="1" t="n">
        <v>46295</v>
      </c>
      <c r="F348" t="inlineStr">
        <is>
          <t>VÄRMLANDS LÄN</t>
        </is>
      </c>
      <c r="G348" t="inlineStr">
        <is>
          <t>FILIPSTAD</t>
        </is>
      </c>
      <c r="I348" t="n">
        <v>11.7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70405-2021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44536</v>
      </c>
      <c r="E349" s="1" t="n">
        <v>46295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5754-2022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44596</v>
      </c>
      <c r="E350" s="1" t="n">
        <v>46295</v>
      </c>
      <c r="F350" t="inlineStr">
        <is>
          <t>VÄRMLANDS LÄN</t>
        </is>
      </c>
      <c r="G350" t="inlineStr">
        <is>
          <t>FILIPSTAD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46295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46295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46295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46295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46295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46295</v>
      </c>
      <c r="F356" t="inlineStr">
        <is>
          <t>VÄRMLANDS LÄN</t>
        </is>
      </c>
      <c r="G356" t="inlineStr">
        <is>
          <t>FILIPSTAD</t>
        </is>
      </c>
      <c r="I356" t="n">
        <v>10.8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46295</v>
      </c>
      <c r="F357" t="inlineStr">
        <is>
          <t>VÄRMLANDS LÄN</t>
        </is>
      </c>
      <c r="G357" t="inlineStr">
        <is>
          <t>FILIPSTAD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46295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46295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22229-2026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46295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45658</v>
      </c>
      <c r="E361" s="1" t="n">
        <v>46295</v>
      </c>
      <c r="F361" t="inlineStr">
        <is>
          <t>VÄRMLANDS LÄN</t>
        </is>
      </c>
      <c r="G361" t="inlineStr">
        <is>
          <t>FILIPSTAD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46295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46295</v>
      </c>
      <c r="F363" t="inlineStr">
        <is>
          <t>VÄRMLANDS LÄN</t>
        </is>
      </c>
      <c r="G363" t="inlineStr">
        <is>
          <t>FILIPSTAD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46295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46295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46295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46295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45063</v>
      </c>
      <c r="E368" s="1" t="n">
        <v>46295</v>
      </c>
      <c r="F368" t="inlineStr">
        <is>
          <t>VÄRMLANDS LÄN</t>
        </is>
      </c>
      <c r="G368" t="inlineStr">
        <is>
          <t>FILIPSTAD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22152-2026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46295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45638</v>
      </c>
      <c r="E370" s="1" t="n">
        <v>46295</v>
      </c>
      <c r="F370" t="inlineStr">
        <is>
          <t>VÄRMLANDS LÄN</t>
        </is>
      </c>
      <c r="G370" t="inlineStr">
        <is>
          <t>FILIPSTAD</t>
        </is>
      </c>
      <c r="H370" t="inlineStr">
        <is>
          <t>Kyrkan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46295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45229</v>
      </c>
      <c r="E372" s="1" t="n">
        <v>46295</v>
      </c>
      <c r="F372" t="inlineStr">
        <is>
          <t>VÄRMLANDS LÄN</t>
        </is>
      </c>
      <c r="G372" t="inlineStr">
        <is>
          <t>FILIPSTAD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23620-2023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45077</v>
      </c>
      <c r="E373" s="1" t="n">
        <v>46295</v>
      </c>
      <c r="F373" t="inlineStr">
        <is>
          <t>VÄRMLANDS LÄN</t>
        </is>
      </c>
      <c r="G373" t="inlineStr">
        <is>
          <t>FILIPSTAD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23602-2026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46295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46295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46295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29825-2023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45107</v>
      </c>
      <c r="E377" s="1" t="n">
        <v>46295</v>
      </c>
      <c r="F377" t="inlineStr">
        <is>
          <t>VÄRMLANDS LÄN</t>
        </is>
      </c>
      <c r="G377" t="inlineStr">
        <is>
          <t>FILIPSTAD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23440-2026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46295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23555-2026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46295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46295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46295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45686</v>
      </c>
      <c r="E382" s="1" t="n">
        <v>46295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49935-2025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45940</v>
      </c>
      <c r="E383" s="1" t="n">
        <v>46295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44743</v>
      </c>
      <c r="E384" s="1" t="n">
        <v>46295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46295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46295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45184</v>
      </c>
      <c r="E387" s="1" t="n">
        <v>46295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46295</v>
      </c>
      <c r="F389" t="inlineStr">
        <is>
          <t>VÄRMLANDS LÄN</t>
        </is>
      </c>
      <c r="G389" t="inlineStr">
        <is>
          <t>FILIPSTAD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28161-2023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45093</v>
      </c>
      <c r="E390" s="1" t="n">
        <v>46295</v>
      </c>
      <c r="F390" t="inlineStr">
        <is>
          <t>VÄRMLANDS LÄN</t>
        </is>
      </c>
      <c r="G390" t="inlineStr">
        <is>
          <t>FILIPSTAD</t>
        </is>
      </c>
      <c r="H390" t="inlineStr">
        <is>
          <t>Kommuner</t>
        </is>
      </c>
      <c r="I390" t="n">
        <v>15.4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23952-2026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46295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23922-2026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46295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46295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46295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46295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46295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46295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45456</v>
      </c>
      <c r="E398" s="1" t="n">
        <v>46295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24008-2026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46295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46295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9.300000000000001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24288-2026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46295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46295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46295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46295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46295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46295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46295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46295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19030-2022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44691</v>
      </c>
      <c r="E409" s="1" t="n">
        <v>46295</v>
      </c>
      <c r="F409" t="inlineStr">
        <is>
          <t>VÄRMLANDS LÄN</t>
        </is>
      </c>
      <c r="G409" t="inlineStr">
        <is>
          <t>FILIPSTAD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46295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46295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46295</v>
      </c>
      <c r="F412" t="inlineStr">
        <is>
          <t>VÄRMLANDS LÄN</t>
        </is>
      </c>
      <c r="G412" t="inlineStr">
        <is>
          <t>FILIPSTAD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32183-2025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46295</v>
      </c>
      <c r="F413" t="inlineStr">
        <is>
          <t>VÄRMLANDS LÄN</t>
        </is>
      </c>
      <c r="G413" t="inlineStr">
        <is>
          <t>FILIPSTAD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16063-2025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45749</v>
      </c>
      <c r="E414" s="1" t="n">
        <v>46295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46295</v>
      </c>
      <c r="F415" t="inlineStr">
        <is>
          <t>VÄRMLANDS LÄN</t>
        </is>
      </c>
      <c r="G415" t="inlineStr">
        <is>
          <t>FILIPSTAD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43233-2023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46295</v>
      </c>
      <c r="F416" t="inlineStr">
        <is>
          <t>VÄRMLANDS LÄN</t>
        </is>
      </c>
      <c r="G416" t="inlineStr">
        <is>
          <t>FILIPSTAD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46295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46295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46295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8.9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46295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45222</v>
      </c>
      <c r="E421" s="1" t="n">
        <v>46295</v>
      </c>
      <c r="F421" t="inlineStr">
        <is>
          <t>VÄRMLANDS LÄN</t>
        </is>
      </c>
      <c r="G421" t="inlineStr">
        <is>
          <t>FILIPSTAD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39633-2023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45167</v>
      </c>
      <c r="E422" s="1" t="n">
        <v>46295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45186</v>
      </c>
      <c r="E423" s="1" t="n">
        <v>46295</v>
      </c>
      <c r="F423" t="inlineStr">
        <is>
          <t>VÄRMLANDS LÄN</t>
        </is>
      </c>
      <c r="G423" t="inlineStr">
        <is>
          <t>FILIPSTAD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16103-2025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45750</v>
      </c>
      <c r="E424" s="1" t="n">
        <v>46295</v>
      </c>
      <c r="F424" t="inlineStr">
        <is>
          <t>VÄRMLANDS LÄN</t>
        </is>
      </c>
      <c r="G424" t="inlineStr">
        <is>
          <t>FILIPSTAD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46295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36251-2022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44803</v>
      </c>
      <c r="E426" s="1" t="n">
        <v>46295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46295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46295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33671-2022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44789</v>
      </c>
      <c r="E429" s="1" t="n">
        <v>46295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46257-2022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44847</v>
      </c>
      <c r="E430" s="1" t="n">
        <v>46295</v>
      </c>
      <c r="F430" t="inlineStr">
        <is>
          <t>VÄRMLANDS LÄN</t>
        </is>
      </c>
      <c r="G430" t="inlineStr">
        <is>
          <t>FILIPSTAD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36827-2022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44805</v>
      </c>
      <c r="E431" s="1" t="n">
        <v>46295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44809</v>
      </c>
      <c r="E432" s="1" t="n">
        <v>46295</v>
      </c>
      <c r="F432" t="inlineStr">
        <is>
          <t>VÄRMLANDS LÄN</t>
        </is>
      </c>
      <c r="G432" t="inlineStr">
        <is>
          <t>FILIPSTAD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25786-2026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46295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46295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46295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46295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45245</v>
      </c>
      <c r="E437" s="1" t="n">
        <v>46295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46295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26501-2026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46183</v>
      </c>
      <c r="E439" s="1" t="n">
        <v>46295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46295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46295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46182</v>
      </c>
      <c r="E442" s="1" t="n">
        <v>46295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46295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46187</v>
      </c>
      <c r="E444" s="1" t="n">
        <v>46295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46295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27079-2026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46186</v>
      </c>
      <c r="E446" s="1" t="n">
        <v>46295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27300-2026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46295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46295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45087</v>
      </c>
      <c r="E449" s="1" t="n">
        <v>46295</v>
      </c>
      <c r="F449" t="inlineStr">
        <is>
          <t>VÄRMLANDS LÄN</t>
        </is>
      </c>
      <c r="G449" t="inlineStr">
        <is>
          <t>FILIPSTAD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27774-2026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46295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46295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46295</v>
      </c>
      <c r="F452" t="inlineStr">
        <is>
          <t>VÄRMLANDS LÄN</t>
        </is>
      </c>
      <c r="G452" t="inlineStr">
        <is>
          <t>FILIPSTAD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46295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46295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45947</v>
      </c>
      <c r="E455" s="1" t="n">
        <v>46295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46295</v>
      </c>
      <c r="F456" t="inlineStr">
        <is>
          <t>VÄRMLANDS LÄN</t>
        </is>
      </c>
      <c r="G456" t="inlineStr">
        <is>
          <t>FILIPSTAD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28419-2026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46295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41983-2023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45177</v>
      </c>
      <c r="E458" s="1" t="n">
        <v>46295</v>
      </c>
      <c r="F458" t="inlineStr">
        <is>
          <t>VÄRMLANDS LÄN</t>
        </is>
      </c>
      <c r="G458" t="inlineStr">
        <is>
          <t>FILIPSTAD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53034-2022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44876</v>
      </c>
      <c r="E459" s="1" t="n">
        <v>46295</v>
      </c>
      <c r="F459" t="inlineStr">
        <is>
          <t>VÄRMLANDS LÄN</t>
        </is>
      </c>
      <c r="G459" t="inlineStr">
        <is>
          <t>FILIPSTAD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46295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53348-2023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45229</v>
      </c>
      <c r="E461" s="1" t="n">
        <v>46295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46295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45223</v>
      </c>
      <c r="E463" s="1" t="n">
        <v>46295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45218</v>
      </c>
      <c r="E464" s="1" t="n">
        <v>46295</v>
      </c>
      <c r="F464" t="inlineStr">
        <is>
          <t>VÄRMLANDS LÄN</t>
        </is>
      </c>
      <c r="G464" t="inlineStr">
        <is>
          <t>FILIPSTAD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46295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46295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29328-2026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46295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55397-2022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44887</v>
      </c>
      <c r="E468" s="1" t="n">
        <v>46295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29010-2026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46295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46295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46295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46295</v>
      </c>
      <c r="F472" t="inlineStr">
        <is>
          <t>VÄRMLANDS LÄN</t>
        </is>
      </c>
      <c r="G472" t="inlineStr">
        <is>
          <t>FILIPSTAD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46295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46295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55978-2022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44889</v>
      </c>
      <c r="E475" s="1" t="n">
        <v>46295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50856-2022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44867</v>
      </c>
      <c r="E476" s="1" t="n">
        <v>46295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46295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26.6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46295</v>
      </c>
      <c r="F478" t="inlineStr">
        <is>
          <t>VÄRMLANDS LÄN</t>
        </is>
      </c>
      <c r="G478" t="inlineStr">
        <is>
          <t>FILIPSTAD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46090</v>
      </c>
      <c r="E479" s="1" t="n">
        <v>46295</v>
      </c>
      <c r="F479" t="inlineStr">
        <is>
          <t>VÄRMLANDS LÄN</t>
        </is>
      </c>
      <c r="G479" t="inlineStr">
        <is>
          <t>FILIPSTAD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43264-2024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46295</v>
      </c>
      <c r="F480" t="inlineStr">
        <is>
          <t>VÄRMLANDS LÄN</t>
        </is>
      </c>
      <c r="G480" t="inlineStr">
        <is>
          <t>FILIPSTAD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46295</v>
      </c>
      <c r="F481" t="inlineStr">
        <is>
          <t>VÄRMLANDS LÄN</t>
        </is>
      </c>
      <c r="G481" t="inlineStr">
        <is>
          <t>FILIPSTAD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46295</v>
      </c>
      <c r="F482" t="inlineStr">
        <is>
          <t>VÄRMLANDS LÄN</t>
        </is>
      </c>
      <c r="G482" t="inlineStr">
        <is>
          <t>FILIPSTAD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46295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44994</v>
      </c>
      <c r="E484" s="1" t="n">
        <v>46295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36680-2023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45153</v>
      </c>
      <c r="E485" s="1" t="n">
        <v>46295</v>
      </c>
      <c r="F485" t="inlineStr">
        <is>
          <t>VÄRMLANDS LÄN</t>
        </is>
      </c>
      <c r="G485" t="inlineStr">
        <is>
          <t>FILIPSTAD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5803-2023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44963</v>
      </c>
      <c r="E486" s="1" t="n">
        <v>46295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46295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51618-2022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44872</v>
      </c>
      <c r="E488" s="1" t="n">
        <v>46295</v>
      </c>
      <c r="F488" t="inlineStr">
        <is>
          <t>VÄRMLANDS LÄN</t>
        </is>
      </c>
      <c r="G488" t="inlineStr">
        <is>
          <t>FILIPSTAD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46295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19.2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34539-2026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46295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46295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71971-2021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46295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46212</v>
      </c>
      <c r="E493" s="1" t="n">
        <v>46295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45114</v>
      </c>
      <c r="E494" s="1" t="n">
        <v>46295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34982-2026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46259</v>
      </c>
      <c r="E495" s="1" t="n">
        <v>46295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9370-2023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44981</v>
      </c>
      <c r="E496" s="1" t="n">
        <v>46295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8.1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34916-2026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46259</v>
      </c>
      <c r="E497" s="1" t="n">
        <v>46295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54008-2021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44470</v>
      </c>
      <c r="E498" s="1" t="n">
        <v>46295</v>
      </c>
      <c r="F498" t="inlineStr">
        <is>
          <t>VÄRMLANDS LÄN</t>
        </is>
      </c>
      <c r="G498" t="inlineStr">
        <is>
          <t>FILIPSTAD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46261</v>
      </c>
      <c r="E499" s="1" t="n">
        <v>46295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35423-2026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46261</v>
      </c>
      <c r="E500" s="1" t="n">
        <v>46295</v>
      </c>
      <c r="F500" t="inlineStr">
        <is>
          <t>VÄRMLANDS LÄN</t>
        </is>
      </c>
      <c r="G500" t="inlineStr">
        <is>
          <t>FILIPSTAD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45602</v>
      </c>
      <c r="E501" s="1" t="n">
        <v>46295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46219</v>
      </c>
      <c r="E502" s="1" t="n">
        <v>46295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46261</v>
      </c>
      <c r="E503" s="1" t="n">
        <v>46295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44963</v>
      </c>
      <c r="E504" s="1" t="n">
        <v>46295</v>
      </c>
      <c r="F504" t="inlineStr">
        <is>
          <t>VÄRMLANDS LÄN</t>
        </is>
      </c>
      <c r="G504" t="inlineStr">
        <is>
          <t>FILIPSTAD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36809-2022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44805</v>
      </c>
      <c r="E505" s="1" t="n">
        <v>46295</v>
      </c>
      <c r="F505" t="inlineStr">
        <is>
          <t>VÄRMLANDS LÄN</t>
        </is>
      </c>
      <c r="G505" t="inlineStr">
        <is>
          <t>FILIPSTAD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46218</v>
      </c>
      <c r="E506" s="1" t="n">
        <v>46295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33967-2023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45124</v>
      </c>
      <c r="E507" s="1" t="n">
        <v>46295</v>
      </c>
      <c r="F507" t="inlineStr">
        <is>
          <t>VÄRMLANDS LÄN</t>
        </is>
      </c>
      <c r="G507" t="inlineStr">
        <is>
          <t>FILIPSTAD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45124</v>
      </c>
      <c r="E508" s="1" t="n">
        <v>46295</v>
      </c>
      <c r="F508" t="inlineStr">
        <is>
          <t>VÄRMLANDS LÄN</t>
        </is>
      </c>
      <c r="G508" t="inlineStr">
        <is>
          <t>FILIPSTAD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46261</v>
      </c>
      <c r="E509" s="1" t="n">
        <v>46295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8.4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61741-2022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44911</v>
      </c>
      <c r="E510" s="1" t="n">
        <v>46295</v>
      </c>
      <c r="F510" t="inlineStr">
        <is>
          <t>VÄRMLANDS LÄN</t>
        </is>
      </c>
      <c r="G510" t="inlineStr">
        <is>
          <t>FILIPSTAD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35927-2026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46266</v>
      </c>
      <c r="E511" s="1" t="n">
        <v>46295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46264</v>
      </c>
      <c r="E512" s="1" t="n">
        <v>46295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20.8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46295</v>
      </c>
      <c r="F513" t="inlineStr">
        <is>
          <t>VÄRMLANDS LÄN</t>
        </is>
      </c>
      <c r="G513" t="inlineStr">
        <is>
          <t>FILIPSTAD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31548-2026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46223</v>
      </c>
      <c r="E514" s="1" t="n">
        <v>46295</v>
      </c>
      <c r="F514" t="inlineStr">
        <is>
          <t>VÄRMLANDS LÄN</t>
        </is>
      </c>
      <c r="G514" t="inlineStr">
        <is>
          <t>FILIPSTAD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46295</v>
      </c>
      <c r="F515" t="inlineStr">
        <is>
          <t>VÄRMLANDS LÄN</t>
        </is>
      </c>
      <c r="G515" t="inlineStr">
        <is>
          <t>FILIPSTAD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25737-2023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45090</v>
      </c>
      <c r="E516" s="1" t="n">
        <v>46295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46266</v>
      </c>
      <c r="E517" s="1" t="n">
        <v>46295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35641-2026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46295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46264</v>
      </c>
      <c r="E519" s="1" t="n">
        <v>46295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46295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31537-2026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46223</v>
      </c>
      <c r="E521" s="1" t="n">
        <v>46295</v>
      </c>
      <c r="F521" t="inlineStr">
        <is>
          <t>VÄRMLANDS LÄN</t>
        </is>
      </c>
      <c r="G521" t="inlineStr">
        <is>
          <t>FILIPSTAD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46295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44579</v>
      </c>
      <c r="E523" s="1" t="n">
        <v>46295</v>
      </c>
      <c r="F523" t="inlineStr">
        <is>
          <t>VÄRMLANDS LÄN</t>
        </is>
      </c>
      <c r="G523" t="inlineStr">
        <is>
          <t>FILIPSTAD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31648-2026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46225</v>
      </c>
      <c r="E524" s="1" t="n">
        <v>46295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15471-2024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46295</v>
      </c>
      <c r="F525" t="inlineStr">
        <is>
          <t>VÄRMLANDS LÄN</t>
        </is>
      </c>
      <c r="G525" t="inlineStr">
        <is>
          <t>FILIPSTAD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36297-2026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46268</v>
      </c>
      <c r="E526" s="1" t="n">
        <v>46295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46226</v>
      </c>
      <c r="E527" s="1" t="n">
        <v>46295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46226</v>
      </c>
      <c r="E528" s="1" t="n">
        <v>46295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20.1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32786-2024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45516</v>
      </c>
      <c r="E529" s="1" t="n">
        <v>46295</v>
      </c>
      <c r="F529" t="inlineStr">
        <is>
          <t>VÄRMLANDS LÄN</t>
        </is>
      </c>
      <c r="G529" t="inlineStr">
        <is>
          <t>FILIPSTAD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46226</v>
      </c>
      <c r="E530" s="1" t="n">
        <v>46295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46227</v>
      </c>
      <c r="E531" s="1" t="n">
        <v>46295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46227</v>
      </c>
      <c r="E532" s="1" t="n">
        <v>46295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46295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62014-2024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45655</v>
      </c>
      <c r="E534" s="1" t="n">
        <v>46295</v>
      </c>
      <c r="F534" t="inlineStr">
        <is>
          <t>VÄRMLANDS LÄN</t>
        </is>
      </c>
      <c r="G534" t="inlineStr">
        <is>
          <t>FILIPSTAD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45037</v>
      </c>
      <c r="E535" s="1" t="n">
        <v>46295</v>
      </c>
      <c r="F535" t="inlineStr">
        <is>
          <t>VÄRMLANDS LÄN</t>
        </is>
      </c>
      <c r="G535" t="inlineStr">
        <is>
          <t>FILIPSTAD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46295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36456-2026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46269</v>
      </c>
      <c r="E537" s="1" t="n">
        <v>46295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46295</v>
      </c>
      <c r="F538" t="inlineStr">
        <is>
          <t>VÄRMLANDS LÄN</t>
        </is>
      </c>
      <c r="G538" t="inlineStr">
        <is>
          <t>FILIPSTAD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46269</v>
      </c>
      <c r="E539" s="1" t="n">
        <v>46295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46295</v>
      </c>
      <c r="F540" t="inlineStr">
        <is>
          <t>VÄRMLANDS LÄN</t>
        </is>
      </c>
      <c r="G540" t="inlineStr">
        <is>
          <t>FILIPSTAD</t>
        </is>
      </c>
      <c r="I540" t="n">
        <v>11.6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36455-2026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46269</v>
      </c>
      <c r="E541" s="1" t="n">
        <v>46295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36458-2026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46269</v>
      </c>
      <c r="E542" s="1" t="n">
        <v>46295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27078-2026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46186</v>
      </c>
      <c r="E543" s="1" t="n">
        <v>46295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31914-2026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46231</v>
      </c>
      <c r="E544" s="1" t="n">
        <v>46295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37249-2026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46274</v>
      </c>
      <c r="E545" s="1" t="n">
        <v>46295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45327</v>
      </c>
      <c r="E546" s="1" t="n">
        <v>46295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9.300000000000001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46295</v>
      </c>
      <c r="F547" t="inlineStr">
        <is>
          <t>VÄRMLANDS LÄN</t>
        </is>
      </c>
      <c r="G547" t="inlineStr">
        <is>
          <t>FILIPSTAD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46273</v>
      </c>
      <c r="E548" s="1" t="n">
        <v>46295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46269</v>
      </c>
      <c r="E549" s="1" t="n">
        <v>46295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46233</v>
      </c>
      <c r="E550" s="1" t="n">
        <v>46295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31950-2026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46232</v>
      </c>
      <c r="E551" s="1" t="n">
        <v>46295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31957-2026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46232</v>
      </c>
      <c r="E552" s="1" t="n">
        <v>46295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45516-2024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45578</v>
      </c>
      <c r="E553" s="1" t="n">
        <v>46295</v>
      </c>
      <c r="F553" t="inlineStr">
        <is>
          <t>VÄRMLANDS LÄN</t>
        </is>
      </c>
      <c r="G553" t="inlineStr">
        <is>
          <t>FILIPSTAD</t>
        </is>
      </c>
      <c r="I553" t="n">
        <v>27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46680-2024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45583</v>
      </c>
      <c r="E554" s="1" t="n">
        <v>46295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46232</v>
      </c>
      <c r="E555" s="1" t="n">
        <v>46295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8.699999999999999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22830-2023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45072</v>
      </c>
      <c r="E556" s="1" t="n">
        <v>46295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46233</v>
      </c>
      <c r="E557" s="1" t="n">
        <v>46295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37519-2026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46276</v>
      </c>
      <c r="E558" s="1" t="n">
        <v>46295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32249-2026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46237</v>
      </c>
      <c r="E559" s="1" t="n">
        <v>46295</v>
      </c>
      <c r="F559" t="inlineStr">
        <is>
          <t>VÄRMLANDS LÄN</t>
        </is>
      </c>
      <c r="G559" t="inlineStr">
        <is>
          <t>FILIPSTAD</t>
        </is>
      </c>
      <c r="H559" t="inlineStr">
        <is>
          <t>Kommuner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46234</v>
      </c>
      <c r="E560" s="1" t="n">
        <v>46295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62013-2024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45655</v>
      </c>
      <c r="E561" s="1" t="n">
        <v>46295</v>
      </c>
      <c r="F561" t="inlineStr">
        <is>
          <t>VÄRMLANDS LÄN</t>
        </is>
      </c>
      <c r="G561" t="inlineStr">
        <is>
          <t>FILIPSTAD</t>
        </is>
      </c>
      <c r="I561" t="n">
        <v>26.5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46279</v>
      </c>
      <c r="E562" s="1" t="n">
        <v>46295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32248-2026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46237</v>
      </c>
      <c r="E563" s="1" t="n">
        <v>46295</v>
      </c>
      <c r="F563" t="inlineStr">
        <is>
          <t>VÄRMLANDS LÄN</t>
        </is>
      </c>
      <c r="G563" t="inlineStr">
        <is>
          <t>FILIPSTAD</t>
        </is>
      </c>
      <c r="I563" t="n">
        <v>13.4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46233</v>
      </c>
      <c r="E564" s="1" t="n">
        <v>46295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48040-2023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46295</v>
      </c>
      <c r="F565" t="inlineStr">
        <is>
          <t>VÄRMLANDS LÄN</t>
        </is>
      </c>
      <c r="G565" t="inlineStr">
        <is>
          <t>FILIPSTAD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45195</v>
      </c>
      <c r="E566" s="1" t="n">
        <v>46295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1042-2023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44935</v>
      </c>
      <c r="E567" s="1" t="n">
        <v>46295</v>
      </c>
      <c r="F567" t="inlineStr">
        <is>
          <t>VÄRMLANDS LÄN</t>
        </is>
      </c>
      <c r="G567" t="inlineStr">
        <is>
          <t>FILIPSTAD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32563-2026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46239</v>
      </c>
      <c r="E568" s="1" t="n">
        <v>46295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46282</v>
      </c>
      <c r="E569" s="1" t="n">
        <v>46295</v>
      </c>
      <c r="F569" t="inlineStr">
        <is>
          <t>VÄRMLANDS LÄN</t>
        </is>
      </c>
      <c r="G569" t="inlineStr">
        <is>
          <t>FILIPSTAD</t>
        </is>
      </c>
      <c r="H569" t="inlineStr">
        <is>
          <t>Kyrkan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46295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10306-2025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45720</v>
      </c>
      <c r="E571" s="1" t="n">
        <v>46295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41075-2023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46295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46281</v>
      </c>
      <c r="E573" s="1" t="n">
        <v>46295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32442-2026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46295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32588-2026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46240</v>
      </c>
      <c r="E575" s="1" t="n">
        <v>46295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14582-2025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45742</v>
      </c>
      <c r="E576" s="1" t="n">
        <v>46295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32603-2026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46240</v>
      </c>
      <c r="E577" s="1" t="n">
        <v>46295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46240</v>
      </c>
      <c r="E578" s="1" t="n">
        <v>46295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56840-2024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45628</v>
      </c>
      <c r="E579" s="1" t="n">
        <v>46295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38820-2026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46286</v>
      </c>
      <c r="E580" s="1" t="n">
        <v>46295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38578-2026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46283</v>
      </c>
      <c r="E581" s="1" t="n">
        <v>46295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46295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8692-2025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46295</v>
      </c>
      <c r="F583" t="inlineStr">
        <is>
          <t>VÄRMLANDS LÄN</t>
        </is>
      </c>
      <c r="G583" t="inlineStr">
        <is>
          <t>FILIPSTAD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45077</v>
      </c>
      <c r="E584" s="1" t="n">
        <v>46295</v>
      </c>
      <c r="F584" t="inlineStr">
        <is>
          <t>VÄRMLANDS LÄN</t>
        </is>
      </c>
      <c r="G584" t="inlineStr">
        <is>
          <t>FILIPSTAD</t>
        </is>
      </c>
      <c r="I584" t="n">
        <v>15.8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46295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38575-2026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46283</v>
      </c>
      <c r="E586" s="1" t="n">
        <v>46295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60524-2024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46295</v>
      </c>
      <c r="F587" t="inlineStr">
        <is>
          <t>VÄRMLANDS LÄN</t>
        </is>
      </c>
      <c r="G587" t="inlineStr">
        <is>
          <t>FILIPSTAD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38664-2026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46283</v>
      </c>
      <c r="E588" s="1" t="n">
        <v>46295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46295</v>
      </c>
      <c r="F589" t="inlineStr">
        <is>
          <t>VÄRMLANDS LÄN</t>
        </is>
      </c>
      <c r="G589" t="inlineStr">
        <is>
          <t>FILIPSTAD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32852-2026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46244</v>
      </c>
      <c r="E590" s="1" t="n">
        <v>46295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39373-2026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46288</v>
      </c>
      <c r="E591" s="1" t="n">
        <v>46295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46245</v>
      </c>
      <c r="E592" s="1" t="n">
        <v>46295</v>
      </c>
      <c r="F592" t="inlineStr">
        <is>
          <t>VÄRMLANDS LÄN</t>
        </is>
      </c>
      <c r="G592" t="inlineStr">
        <is>
          <t>FILIPSTAD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46245</v>
      </c>
      <c r="E593" s="1" t="n">
        <v>46295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15228-2025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45744</v>
      </c>
      <c r="E594" s="1" t="n">
        <v>46295</v>
      </c>
      <c r="F594" t="inlineStr">
        <is>
          <t>VÄRMLANDS LÄN</t>
        </is>
      </c>
      <c r="G594" t="inlineStr">
        <is>
          <t>FILIPSTAD</t>
        </is>
      </c>
      <c r="H594" t="inlineStr">
        <is>
          <t>Kommuner</t>
        </is>
      </c>
      <c r="I594" t="n">
        <v>17.7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18892-2026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46129</v>
      </c>
      <c r="E595" s="1" t="n">
        <v>46295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32980-2026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46244</v>
      </c>
      <c r="E596" s="1" t="n">
        <v>46295</v>
      </c>
      <c r="F596" t="inlineStr">
        <is>
          <t>VÄRMLANDS LÄN</t>
        </is>
      </c>
      <c r="G596" t="inlineStr">
        <is>
          <t>FILIPSTAD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46287</v>
      </c>
      <c r="E597" s="1" t="n">
        <v>46295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46295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32978-2026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46295</v>
      </c>
      <c r="F599" t="inlineStr">
        <is>
          <t>VÄRMLANDS LÄN</t>
        </is>
      </c>
      <c r="G599" t="inlineStr">
        <is>
          <t>FILIPSTAD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20661-2024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45436</v>
      </c>
      <c r="E600" s="1" t="n">
        <v>46295</v>
      </c>
      <c r="F600" t="inlineStr">
        <is>
          <t>VÄRMLANDS LÄN</t>
        </is>
      </c>
      <c r="G600" t="inlineStr">
        <is>
          <t>FILIPSTAD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34262-2024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45524</v>
      </c>
      <c r="E601" s="1" t="n">
        <v>46295</v>
      </c>
      <c r="F601" t="inlineStr">
        <is>
          <t>VÄRMLANDS LÄN</t>
        </is>
      </c>
      <c r="G601" t="inlineStr">
        <is>
          <t>FILIPSTAD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45299</v>
      </c>
      <c r="E602" s="1" t="n">
        <v>46295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32972-2026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46244</v>
      </c>
      <c r="E603" s="1" t="n">
        <v>46295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46289</v>
      </c>
      <c r="E604" s="1" t="n">
        <v>46295</v>
      </c>
      <c r="F604" t="inlineStr">
        <is>
          <t>VÄRMLANDS LÄN</t>
        </is>
      </c>
      <c r="G604" t="inlineStr">
        <is>
          <t>FILIPSTAD</t>
        </is>
      </c>
      <c r="H604" t="inlineStr">
        <is>
          <t>Kyrkan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46266</v>
      </c>
      <c r="E605" s="1" t="n">
        <v>46295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46246</v>
      </c>
      <c r="E606" s="1" t="n">
        <v>46295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23.8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30646-2024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45495</v>
      </c>
      <c r="E607" s="1" t="n">
        <v>46295</v>
      </c>
      <c r="F607" t="inlineStr">
        <is>
          <t>VÄRMLANDS LÄN</t>
        </is>
      </c>
      <c r="G607" t="inlineStr">
        <is>
          <t>FILIPSTAD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45471</v>
      </c>
      <c r="E608" s="1" t="n">
        <v>46295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17244-2024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45414</v>
      </c>
      <c r="E609" s="1" t="n">
        <v>46295</v>
      </c>
      <c r="F609" t="inlineStr">
        <is>
          <t>VÄRMLANDS LÄN</t>
        </is>
      </c>
      <c r="G609" t="inlineStr">
        <is>
          <t>FILIPSTAD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20875-2024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45439</v>
      </c>
      <c r="E610" s="1" t="n">
        <v>46295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46247</v>
      </c>
      <c r="E611" s="1" t="n">
        <v>46295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47002-2024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45586</v>
      </c>
      <c r="E612" s="1" t="n">
        <v>46295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46290</v>
      </c>
      <c r="E613" s="1" t="n">
        <v>46295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33493-2026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46247</v>
      </c>
      <c r="E614" s="1" t="n">
        <v>46295</v>
      </c>
      <c r="F614" t="inlineStr">
        <is>
          <t>VÄRMLANDS LÄN</t>
        </is>
      </c>
      <c r="G614" t="inlineStr">
        <is>
          <t>FILIPSTAD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46293</v>
      </c>
      <c r="E615" s="1" t="n">
        <v>46295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40113-2026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46293</v>
      </c>
      <c r="E616" s="1" t="n">
        <v>46295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46251</v>
      </c>
      <c r="E617" s="1" t="n">
        <v>46295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46252</v>
      </c>
      <c r="E618" s="1" t="n">
        <v>46295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20.2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65167-2021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44515</v>
      </c>
      <c r="E619" s="1" t="n">
        <v>46295</v>
      </c>
      <c r="F619" t="inlineStr">
        <is>
          <t>VÄRMLANDS LÄN</t>
        </is>
      </c>
      <c r="G619" t="inlineStr">
        <is>
          <t>FILIPSTAD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46251</v>
      </c>
      <c r="E620" s="1" t="n">
        <v>46295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45790</v>
      </c>
      <c r="E621" s="1" t="n">
        <v>46295</v>
      </c>
      <c r="F621" t="inlineStr">
        <is>
          <t>VÄRMLANDS LÄN</t>
        </is>
      </c>
      <c r="G621" t="inlineStr">
        <is>
          <t>FILIPSTAD</t>
        </is>
      </c>
      <c r="H621" t="inlineStr">
        <is>
          <t>Kyrkan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33855-2026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46251</v>
      </c>
      <c r="E622" s="1" t="n">
        <v>46295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46293</v>
      </c>
      <c r="E623" s="1" t="n">
        <v>46295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33859-2026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46251</v>
      </c>
      <c r="E624" s="1" t="n">
        <v>46295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46251</v>
      </c>
      <c r="E625" s="1" t="n">
        <v>46295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30984-2026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46295</v>
      </c>
      <c r="F626" t="inlineStr">
        <is>
          <t>VÄRMLANDS LÄN</t>
        </is>
      </c>
      <c r="G626" t="inlineStr">
        <is>
          <t>FILIPSTAD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34054-2026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46252</v>
      </c>
      <c r="E627" s="1" t="n">
        <v>46295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5757-2021</t>
        </is>
      </c>
      <c r="B628" t="inlineStr">
        <is>
          <t>samrådsanmälan</t>
        </is>
      </c>
      <c r="C628" t="inlineStr">
        <is>
          <t>Basväg</t>
        </is>
      </c>
      <c r="D628" s="1" t="n">
        <v>44438</v>
      </c>
      <c r="E628" s="1" t="n">
        <v>46295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1191-2021</t>
        </is>
      </c>
      <c r="B629" t="inlineStr">
        <is>
          <t>samrådsanmälan</t>
        </is>
      </c>
      <c r="C629" t="inlineStr">
        <is>
          <t>Åtgärd i nyckelbiotop</t>
        </is>
      </c>
      <c r="D629" s="1" t="n">
        <v>44328</v>
      </c>
      <c r="E629" s="1" t="n">
        <v>46295</v>
      </c>
      <c r="F629" t="inlineStr">
        <is>
          <t>VÄRMLANDS LÄN</t>
        </is>
      </c>
      <c r="G629" t="inlineStr">
        <is>
          <t>FILIPSTAD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4134-2023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46295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4115-2023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45246</v>
      </c>
      <c r="E631" s="1" t="n">
        <v>46295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4137-2023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46295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4132-2023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46295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4130-2023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46295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4127-2023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46295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56.4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837-2023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44991</v>
      </c>
      <c r="E636" s="1" t="n">
        <v>46295</v>
      </c>
      <c r="F636" t="inlineStr">
        <is>
          <t>VÄRMLANDS LÄN</t>
        </is>
      </c>
      <c r="G636" t="inlineStr">
        <is>
          <t>FILIPSTAD</t>
        </is>
      </c>
      <c r="I636" t="n">
        <v>19.3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46295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3919-2023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45233</v>
      </c>
      <c r="E638" s="1" t="n">
        <v>46295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4135-2023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46295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46295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20.4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294-2025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45687</v>
      </c>
      <c r="E641" s="1" t="n">
        <v>46295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4116-2023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45246</v>
      </c>
      <c r="E642" s="1" t="n">
        <v>46295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661-2025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45716</v>
      </c>
      <c r="E643" s="1" t="n">
        <v>46295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161.7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3429-2025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45995</v>
      </c>
      <c r="E644" s="1" t="n">
        <v>46295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3576-2025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46010</v>
      </c>
      <c r="E645" s="1" t="n">
        <v>46295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105-2026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46036</v>
      </c>
      <c r="E646" s="1" t="n">
        <v>46295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238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2026-09-30T01:56:23Z</dcterms:created>
  <dcterms:modified xmlns:dcterms="http://purl.org/dc/terms/" xmlns:xsi="http://www.w3.org/2001/XMLSchema-instance" xsi:type="dcterms:W3CDTF">2026-09-30T01:56:24Z</dcterms:modified>
</cp:coreProperties>
</file>