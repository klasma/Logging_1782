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46299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46299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46299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62116-2025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46006</v>
      </c>
      <c r="E12" s="1" t="n">
        <v>46299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Tjäder
Orre
Fläcknycklar</t>
        </is>
      </c>
      <c r="W12">
        <f>HYPERLINK("https://klasma.github.io/Logging_1782/artfynd/A 62116-2025 artfynd.xlsx", "A 62116-2025")</f>
        <v/>
      </c>
      <c r="X12">
        <f>HYPERLINK("https://klasma.github.io/Logging_1782/kartor/A 62116-2025 karta.png", "A 62116-2025")</f>
        <v/>
      </c>
      <c r="Y12">
        <f>HYPERLINK("https://klasma.github.io/Logging_1782/kartor_geotiff/A 62116-2025 georefererad karta.tif", "A 62116-2025")</f>
        <v/>
      </c>
      <c r="AA12">
        <f>HYPERLINK("https://klasma.github.io/Logging_1782/klagomål/A 62116-2025 FSC-klagomål.docx", "A 62116-2025")</f>
        <v/>
      </c>
      <c r="AB12">
        <f>HYPERLINK("https://klasma.github.io/Logging_1782/klagomålsmail/A 62116-2025 FSC-klagomål mail.docx", "A 62116-2025")</f>
        <v/>
      </c>
      <c r="AC12">
        <f>HYPERLINK("https://klasma.github.io/Logging_1782/tillsyn/A 62116-2025 tillsynsbegäran.docx", "A 62116-2025")</f>
        <v/>
      </c>
      <c r="AD12">
        <f>HYPERLINK("https://klasma.github.io/Logging_1782/tillsynsmail/A 62116-2025 tillsynsbegäran mail.docx", "A 62116-2025")</f>
        <v/>
      </c>
      <c r="AE12">
        <f>HYPERLINK("https://klasma.github.io/Logging_1782/fåglar/A 62116-2025 prioriterade fågelarter.docx", "A 62116-2025")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46299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46299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46299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46299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46299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46299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46299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46299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46299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17274-2024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45414</v>
      </c>
      <c r="E22" s="1" t="n">
        <v>46299</v>
      </c>
      <c r="F22" t="inlineStr">
        <is>
          <t>VÄRMLANDS LÄN</t>
        </is>
      </c>
      <c r="G22" t="inlineStr">
        <is>
          <t>FILIPSTAD</t>
        </is>
      </c>
      <c r="H22" t="inlineStr">
        <is>
          <t>Kommuner</t>
        </is>
      </c>
      <c r="I22" t="n">
        <v>5.8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Dropptaggsvamp
Talltita</t>
        </is>
      </c>
      <c r="W22">
        <f>HYPERLINK("https://klasma.github.io/Logging_1782/artfynd/A 17274-2024 artfynd.xlsx", "A 17274-2024")</f>
        <v/>
      </c>
      <c r="X22">
        <f>HYPERLINK("https://klasma.github.io/Logging_1782/kartor/A 17274-2024 karta.png", "A 17274-2024")</f>
        <v/>
      </c>
      <c r="Y22">
        <f>HYPERLINK("https://klasma.github.io/Logging_1782/kartor_geotiff/A 17274-2024 georefererad karta.tif", "A 17274-2024")</f>
        <v/>
      </c>
      <c r="AA22">
        <f>HYPERLINK("https://klasma.github.io/Logging_1782/klagomål/A 17274-2024 FSC-klagomål.docx", "A 17274-2024")</f>
        <v/>
      </c>
      <c r="AB22">
        <f>HYPERLINK("https://klasma.github.io/Logging_1782/klagomålsmail/A 17274-2024 FSC-klagomål mail.docx", "A 17274-2024")</f>
        <v/>
      </c>
      <c r="AC22">
        <f>HYPERLINK("https://klasma.github.io/Logging_1782/tillsyn/A 17274-2024 tillsynsbegäran.docx", "A 17274-2024")</f>
        <v/>
      </c>
      <c r="AD22">
        <f>HYPERLINK("https://klasma.github.io/Logging_1782/tillsynsmail/A 17274-2024 tillsynsbegäran mail.docx", "A 17274-2024")</f>
        <v/>
      </c>
      <c r="AE22">
        <f>HYPERLINK("https://klasma.github.io/Logging_1782/fåglar/A 17274-2024 prioriterade fågelarter.docx", "A 17274-2024")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46299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45523-2022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46299</v>
      </c>
      <c r="F24" t="inlineStr">
        <is>
          <t>VÄRMLANDS LÄN</t>
        </is>
      </c>
      <c r="G24" t="inlineStr">
        <is>
          <t>FILIPSTAD</t>
        </is>
      </c>
      <c r="I24" t="n">
        <v>7.7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Bronshjon
Korallblylav</t>
        </is>
      </c>
      <c r="W24">
        <f>HYPERLINK("https://klasma.github.io/Logging_1782/artfynd/A 45523-2022 artfynd.xlsx", "A 45523-2022")</f>
        <v/>
      </c>
      <c r="X24">
        <f>HYPERLINK("https://klasma.github.io/Logging_1782/kartor/A 45523-2022 karta.png", "A 45523-2022")</f>
        <v/>
      </c>
      <c r="Y24">
        <f>HYPERLINK("https://klasma.github.io/Logging_1782/kartor_geotiff/A 45523-2022 georefererad karta.tif", "A 45523-2022")</f>
        <v/>
      </c>
      <c r="AA24">
        <f>HYPERLINK("https://klasma.github.io/Logging_1782/klagomål/A 45523-2022 FSC-klagomål.docx", "A 45523-2022")</f>
        <v/>
      </c>
      <c r="AB24">
        <f>HYPERLINK("https://klasma.github.io/Logging_1782/klagomålsmail/A 45523-2022 FSC-klagomål mail.docx", "A 45523-2022")</f>
        <v/>
      </c>
      <c r="AC24">
        <f>HYPERLINK("https://klasma.github.io/Logging_1782/tillsyn/A 45523-2022 tillsynsbegäran.docx", "A 45523-2022")</f>
        <v/>
      </c>
      <c r="AD24">
        <f>HYPERLINK("https://klasma.github.io/Logging_1782/tillsynsmail/A 45523-2022 tillsynsbegäran mail.docx", "A 45523-2022")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46299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A 4620-2024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45328</v>
      </c>
      <c r="E26" s="1" t="n">
        <v>46299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Tvåblad
Brudsporre</t>
        </is>
      </c>
      <c r="W26">
        <f>HYPERLINK("https://klasma.github.io/Logging_1782/artfynd/A 4620-2024 artfynd.xlsx", "A 4620-2024")</f>
        <v/>
      </c>
      <c r="X26">
        <f>HYPERLINK("https://klasma.github.io/Logging_1782/kartor/A 4620-2024 karta.png", "A 4620-2024")</f>
        <v/>
      </c>
      <c r="Y26">
        <f>HYPERLINK("https://klasma.github.io/Logging_1782/kartor_geotiff/A 4620-2024 georefererad karta.tif", "A 4620-2024")</f>
        <v/>
      </c>
      <c r="AA26">
        <f>HYPERLINK("https://klasma.github.io/Logging_1782/klagomål/A 4620-2024 FSC-klagomål.docx", "A 4620-2024")</f>
        <v/>
      </c>
      <c r="AB26">
        <f>HYPERLINK("https://klasma.github.io/Logging_1782/klagomålsmail/A 4620-2024 FSC-klagomål mail.docx", "A 4620-2024")</f>
        <v/>
      </c>
      <c r="AC26">
        <f>HYPERLINK("https://klasma.github.io/Logging_1782/tillsyn/A 4620-2024 tillsynsbegäran.docx", "A 4620-2024")</f>
        <v/>
      </c>
      <c r="AD26">
        <f>HYPERLINK("https://klasma.github.io/Logging_1782/tillsynsmail/A 4620-2024 tillsynsbegäran mail.docx", "A 4620-2024")</f>
        <v/>
      </c>
    </row>
    <row r="27" ht="15" customHeight="1">
      <c r="A27" t="inlineStr">
        <is>
          <t>A 16139-2025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45750</v>
      </c>
      <c r="E27" s="1" t="n">
        <v>46299</v>
      </c>
      <c r="F27" t="inlineStr">
        <is>
          <t>VÄRMLANDS LÄN</t>
        </is>
      </c>
      <c r="G27" t="inlineStr">
        <is>
          <t>FILIPSTAD</t>
        </is>
      </c>
      <c r="I27" t="n">
        <v>18.2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Bronshjon</t>
        </is>
      </c>
      <c r="W27">
        <f>HYPERLINK("https://klasma.github.io/Logging_1782/artfynd/A 16139-2025 artfynd.xlsx", "A 16139-2025")</f>
        <v/>
      </c>
      <c r="X27">
        <f>HYPERLINK("https://klasma.github.io/Logging_1782/kartor/A 16139-2025 karta.png", "A 16139-2025")</f>
        <v/>
      </c>
      <c r="Y27">
        <f>HYPERLINK("https://klasma.github.io/Logging_1782/kartor_geotiff/A 16139-2025 georefererad karta.tif", "A 16139-2025")</f>
        <v/>
      </c>
      <c r="AA27">
        <f>HYPERLINK("https://klasma.github.io/Logging_1782/klagomål/A 16139-2025 FSC-klagomål.docx", "A 16139-2025")</f>
        <v/>
      </c>
      <c r="AB27">
        <f>HYPERLINK("https://klasma.github.io/Logging_1782/klagomålsmail/A 16139-2025 FSC-klagomål mail.docx", "A 16139-2025")</f>
        <v/>
      </c>
      <c r="AC27">
        <f>HYPERLINK("https://klasma.github.io/Logging_1782/tillsyn/A 16139-2025 tillsynsbegäran.docx", "A 16139-2025")</f>
        <v/>
      </c>
      <c r="AD27">
        <f>HYPERLINK("https://klasma.github.io/Logging_1782/tillsynsmail/A 16139-2025 tillsynsbegäran mail.docx", "A 16139-2025")</f>
        <v/>
      </c>
    </row>
    <row r="28" ht="15" customHeight="1">
      <c r="A28" t="inlineStr">
        <is>
          <t>A 29469-2026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46203</v>
      </c>
      <c r="E28" s="1" t="n">
        <v>46299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21.6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Igelkott
Fläcknycklar</t>
        </is>
      </c>
      <c r="W28">
        <f>HYPERLINK("https://klasma.github.io/Logging_1782/artfynd/A 29469-2026 artfynd.xlsx", "A 29469-2026")</f>
        <v/>
      </c>
      <c r="X28">
        <f>HYPERLINK("https://klasma.github.io/Logging_1782/kartor/A 29469-2026 karta.png", "A 29469-2026")</f>
        <v/>
      </c>
      <c r="Y28">
        <f>HYPERLINK("https://klasma.github.io/Logging_1782/kartor_geotiff/A 29469-2026 georefererad karta.tif", "A 29469-2026")</f>
        <v/>
      </c>
      <c r="AA28">
        <f>HYPERLINK("https://klasma.github.io/Logging_1782/klagomål/A 29469-2026 FSC-klagomål.docx", "A 29469-2026")</f>
        <v/>
      </c>
      <c r="AB28">
        <f>HYPERLINK("https://klasma.github.io/Logging_1782/klagomålsmail/A 29469-2026 FSC-klagomål mail.docx", "A 29469-2026")</f>
        <v/>
      </c>
      <c r="AC28">
        <f>HYPERLINK("https://klasma.github.io/Logging_1782/tillsyn/A 29469-2026 tillsynsbegäran.docx", "A 29469-2026")</f>
        <v/>
      </c>
      <c r="AD28">
        <f>HYPERLINK("https://klasma.github.io/Logging_1782/tillsynsmail/A 29469-2026 tillsynsbegäran mail.docx", "A 29469-2026")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46299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32438-2026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46299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Dubbelnycklar
Ängsnycklar</t>
        </is>
      </c>
      <c r="W30">
        <f>HYPERLINK("https://klasma.github.io/Logging_1782/artfynd/A 32438-2026 artfynd.xlsx", "A 32438-2026")</f>
        <v/>
      </c>
      <c r="X30">
        <f>HYPERLINK("https://klasma.github.io/Logging_1782/kartor/A 32438-2026 karta.png", "A 32438-2026")</f>
        <v/>
      </c>
      <c r="Y30">
        <f>HYPERLINK("https://klasma.github.io/Logging_1782/kartor_geotiff/A 32438-2026 georefererad karta.tif", "A 32438-2026")</f>
        <v/>
      </c>
      <c r="AA30">
        <f>HYPERLINK("https://klasma.github.io/Logging_1782/klagomål/A 32438-2026 FSC-klagomål.docx", "A 32438-2026")</f>
        <v/>
      </c>
      <c r="AB30">
        <f>HYPERLINK("https://klasma.github.io/Logging_1782/klagomålsmail/A 32438-2026 FSC-klagomål mail.docx", "A 32438-2026")</f>
        <v/>
      </c>
      <c r="AC30">
        <f>HYPERLINK("https://klasma.github.io/Logging_1782/tillsyn/A 32438-2026 tillsynsbegäran.docx", "A 32438-2026")</f>
        <v/>
      </c>
      <c r="AD30">
        <f>HYPERLINK("https://klasma.github.io/Logging_1782/tillsynsmail/A 32438-2026 tillsynsbegäran mail.docx", "A 32438-2026")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46299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46299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46299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46299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4560-2025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46299</v>
      </c>
      <c r="F35" t="inlineStr">
        <is>
          <t>VÄRMLANDS LÄN</t>
        </is>
      </c>
      <c r="G35" t="inlineStr">
        <is>
          <t>FILIPSTAD</t>
        </is>
      </c>
      <c r="I35" t="n">
        <v>13.6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Skrovlig taggsvamp</t>
        </is>
      </c>
      <c r="W35">
        <f>HYPERLINK("https://klasma.github.io/Logging_1782/artfynd/A 4560-2025 artfynd.xlsx", "A 4560-2025")</f>
        <v/>
      </c>
      <c r="X35">
        <f>HYPERLINK("https://klasma.github.io/Logging_1782/kartor/A 4560-2025 karta.png", "A 4560-2025")</f>
        <v/>
      </c>
      <c r="Y35">
        <f>HYPERLINK("https://klasma.github.io/Logging_1782/kartor_geotiff/A 4560-2025 georefererad karta.tif", "A 4560-2025")</f>
        <v/>
      </c>
      <c r="AA35">
        <f>HYPERLINK("https://klasma.github.io/Logging_1782/klagomål/A 4560-2025 FSC-klagomål.docx", "A 4560-2025")</f>
        <v/>
      </c>
      <c r="AB35">
        <f>HYPERLINK("https://klasma.github.io/Logging_1782/klagomålsmail/A 4560-2025 FSC-klagomål mail.docx", "A 4560-2025")</f>
        <v/>
      </c>
      <c r="AC35">
        <f>HYPERLINK("https://klasma.github.io/Logging_1782/tillsyn/A 4560-2025 tillsynsbegäran.docx", "A 4560-2025")</f>
        <v/>
      </c>
      <c r="AD35">
        <f>HYPERLINK("https://klasma.github.io/Logging_1782/tillsynsmail/A 4560-2025 tillsynsbegäran mail.docx", "A 4560-2025")</f>
        <v/>
      </c>
    </row>
    <row r="36" ht="15" customHeight="1">
      <c r="A36" t="inlineStr">
        <is>
          <t>A 18138-2022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46299</v>
      </c>
      <c r="F36" t="inlineStr">
        <is>
          <t>VÄRMLANDS LÄN</t>
        </is>
      </c>
      <c r="G36" t="inlineStr">
        <is>
          <t>FILIPSTAD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HYPERLINK("https://klasma.github.io/Logging_1782/artfynd/A 18138-2022 artfynd.xlsx", "A 18138-2022")</f>
        <v/>
      </c>
      <c r="X36">
        <f>HYPERLINK("https://klasma.github.io/Logging_1782/kartor/A 18138-2022 karta.png", "A 18138-2022")</f>
        <v/>
      </c>
      <c r="Y36">
        <f>HYPERLINK("https://klasma.github.io/Logging_1782/kartor_geotiff/A 18138-2022 georefererad karta.tif", "A 18138-2022")</f>
        <v/>
      </c>
      <c r="AA36">
        <f>HYPERLINK("https://klasma.github.io/Logging_1782/klagomål/A 18138-2022 FSC-klagomål.docx", "A 18138-2022")</f>
        <v/>
      </c>
      <c r="AB36">
        <f>HYPERLINK("https://klasma.github.io/Logging_1782/klagomålsmail/A 18138-2022 FSC-klagomål mail.docx", "A 18138-2022")</f>
        <v/>
      </c>
      <c r="AC36">
        <f>HYPERLINK("https://klasma.github.io/Logging_1782/tillsyn/A 18138-2022 tillsynsbegäran.docx", "A 18138-2022")</f>
        <v/>
      </c>
      <c r="AD36">
        <f>HYPERLINK("https://klasma.github.io/Logging_1782/tillsynsmail/A 18138-2022 tillsynsbegäran mail.docx", "A 18138-2022")</f>
        <v/>
      </c>
    </row>
    <row r="37" ht="15" customHeight="1">
      <c r="A37" t="inlineStr">
        <is>
          <t>A 50776-2024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46299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15.5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Nattviol</t>
        </is>
      </c>
      <c r="W37">
        <f>HYPERLINK("https://klasma.github.io/Logging_1782/artfynd/A 50776-2024 artfynd.xlsx", "A 50776-2024")</f>
        <v/>
      </c>
      <c r="X37">
        <f>HYPERLINK("https://klasma.github.io/Logging_1782/kartor/A 50776-2024 karta.png", "A 50776-2024")</f>
        <v/>
      </c>
      <c r="Y37">
        <f>HYPERLINK("https://klasma.github.io/Logging_1782/kartor_geotiff/A 50776-2024 georefererad karta.tif", "A 50776-2024")</f>
        <v/>
      </c>
      <c r="AA37">
        <f>HYPERLINK("https://klasma.github.io/Logging_1782/klagomål/A 50776-2024 FSC-klagomål.docx", "A 50776-2024")</f>
        <v/>
      </c>
      <c r="AB37">
        <f>HYPERLINK("https://klasma.github.io/Logging_1782/klagomålsmail/A 50776-2024 FSC-klagomål mail.docx", "A 50776-2024")</f>
        <v/>
      </c>
      <c r="AC37">
        <f>HYPERLINK("https://klasma.github.io/Logging_1782/tillsyn/A 50776-2024 tillsynsbegäran.docx", "A 50776-2024")</f>
        <v/>
      </c>
      <c r="AD37">
        <f>HYPERLINK("https://klasma.github.io/Logging_1782/tillsynsmail/A 50776-2024 tillsynsbegäran mail.docx", "A 50776-2024")</f>
        <v/>
      </c>
    </row>
    <row r="38" ht="15" customHeight="1">
      <c r="A38" t="inlineStr">
        <is>
          <t>A 11453-2025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45726</v>
      </c>
      <c r="E38" s="1" t="n">
        <v>46299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Purpurknipprot</t>
        </is>
      </c>
      <c r="W38">
        <f>HYPERLINK("https://klasma.github.io/Logging_1782/artfynd/A 11453-2025 artfynd.xlsx", "A 11453-2025")</f>
        <v/>
      </c>
      <c r="X38">
        <f>HYPERLINK("https://klasma.github.io/Logging_1782/kartor/A 11453-2025 karta.png", "A 11453-2025")</f>
        <v/>
      </c>
      <c r="Y38">
        <f>HYPERLINK("https://klasma.github.io/Logging_1782/kartor_geotiff/A 11453-2025 georefererad karta.tif", "A 11453-2025")</f>
        <v/>
      </c>
      <c r="AA38">
        <f>HYPERLINK("https://klasma.github.io/Logging_1782/klagomål/A 11453-2025 FSC-klagomål.docx", "A 11453-2025")</f>
        <v/>
      </c>
      <c r="AB38">
        <f>HYPERLINK("https://klasma.github.io/Logging_1782/klagomålsmail/A 11453-2025 FSC-klagomål mail.docx", "A 11453-2025")</f>
        <v/>
      </c>
      <c r="AC38">
        <f>HYPERLINK("https://klasma.github.io/Logging_1782/tillsyn/A 11453-2025 tillsynsbegäran.docx", "A 11453-2025")</f>
        <v/>
      </c>
      <c r="AD38">
        <f>HYPERLINK("https://klasma.github.io/Logging_1782/tillsynsmail/A 11453-2025 tillsynsbegäran mail.docx", "A 11453-2025")</f>
        <v/>
      </c>
    </row>
    <row r="39" ht="15" customHeight="1">
      <c r="A39" t="inlineStr">
        <is>
          <t>A 25916-2025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45804</v>
      </c>
      <c r="E39" s="1" t="n">
        <v>46299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26.4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HYPERLINK("https://klasma.github.io/Logging_1782/artfynd/A 25916-2025 artfynd.xlsx", "A 25916-2025")</f>
        <v/>
      </c>
      <c r="X39">
        <f>HYPERLINK("https://klasma.github.io/Logging_1782/kartor/A 25916-2025 karta.png", "A 25916-2025")</f>
        <v/>
      </c>
      <c r="Y39">
        <f>HYPERLINK("https://klasma.github.io/Logging_1782/kartor_geotiff/A 25916-2025 georefererad karta.tif", "A 25916-2025")</f>
        <v/>
      </c>
      <c r="AA39">
        <f>HYPERLINK("https://klasma.github.io/Logging_1782/klagomål/A 25916-2025 FSC-klagomål.docx", "A 25916-2025")</f>
        <v/>
      </c>
      <c r="AB39">
        <f>HYPERLINK("https://klasma.github.io/Logging_1782/klagomålsmail/A 25916-2025 FSC-klagomål mail.docx", "A 25916-2025")</f>
        <v/>
      </c>
      <c r="AC39">
        <f>HYPERLINK("https://klasma.github.io/Logging_1782/tillsyn/A 25916-2025 tillsynsbegäran.docx", "A 25916-2025")</f>
        <v/>
      </c>
      <c r="AD39">
        <f>HYPERLINK("https://klasma.github.io/Logging_1782/tillsynsmail/A 25916-2025 tillsynsbegäran mail.docx", "A 25916-2025")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46299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46299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58734-2025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46299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Tretåig hackspett</t>
        </is>
      </c>
      <c r="W42">
        <f>HYPERLINK("https://klasma.github.io/Logging_1782/artfynd/A 58734-2025 artfynd.xlsx", "A 58734-2025")</f>
        <v/>
      </c>
      <c r="X42">
        <f>HYPERLINK("https://klasma.github.io/Logging_1782/kartor/A 58734-2025 karta.png", "A 58734-2025")</f>
        <v/>
      </c>
      <c r="Y42">
        <f>HYPERLINK("https://klasma.github.io/Logging_1782/kartor_geotiff/A 58734-2025 georefererad karta.tif", "A 58734-2025")</f>
        <v/>
      </c>
      <c r="AA42">
        <f>HYPERLINK("https://klasma.github.io/Logging_1782/klagomål/A 58734-2025 FSC-klagomål.docx", "A 58734-2025")</f>
        <v/>
      </c>
      <c r="AB42">
        <f>HYPERLINK("https://klasma.github.io/Logging_1782/klagomålsmail/A 58734-2025 FSC-klagomål mail.docx", "A 58734-2025")</f>
        <v/>
      </c>
      <c r="AC42">
        <f>HYPERLINK("https://klasma.github.io/Logging_1782/tillsyn/A 58734-2025 tillsynsbegäran.docx", "A 58734-2025")</f>
        <v/>
      </c>
      <c r="AD42">
        <f>HYPERLINK("https://klasma.github.io/Logging_1782/tillsynsmail/A 58734-2025 tillsynsbegäran mail.docx", "A 58734-2025")</f>
        <v/>
      </c>
      <c r="AE42">
        <f>HYPERLINK("https://klasma.github.io/Logging_1782/fåglar/A 58734-2025 prioriterade fågelarter.docx", "A 58734-2025")</f>
        <v/>
      </c>
    </row>
    <row r="43" ht="15" customHeight="1">
      <c r="A43" t="inlineStr">
        <is>
          <t>A 17529-2026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46299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Ädellav</t>
        </is>
      </c>
      <c r="W43">
        <f>HYPERLINK("https://klasma.github.io/Logging_1782/artfynd/A 17529-2026 artfynd.xlsx", "A 17529-2026")</f>
        <v/>
      </c>
      <c r="X43">
        <f>HYPERLINK("https://klasma.github.io/Logging_1782/kartor/A 17529-2026 karta.png", "A 17529-2026")</f>
        <v/>
      </c>
      <c r="Y43">
        <f>HYPERLINK("https://klasma.github.io/Logging_1782/kartor_geotiff/A 17529-2026 georefererad karta.tif", "A 17529-2026")</f>
        <v/>
      </c>
      <c r="AA43">
        <f>HYPERLINK("https://klasma.github.io/Logging_1782/klagomål/A 17529-2026 FSC-klagomål.docx", "A 17529-2026")</f>
        <v/>
      </c>
      <c r="AB43">
        <f>HYPERLINK("https://klasma.github.io/Logging_1782/klagomålsmail/A 17529-2026 FSC-klagomål mail.docx", "A 17529-2026")</f>
        <v/>
      </c>
      <c r="AC43">
        <f>HYPERLINK("https://klasma.github.io/Logging_1782/tillsyn/A 17529-2026 tillsynsbegäran.docx", "A 17529-2026")</f>
        <v/>
      </c>
      <c r="AD43">
        <f>HYPERLINK("https://klasma.github.io/Logging_1782/tillsynsmail/A 17529-2026 tillsynsbegäran mail.docx", "A 17529-2026")</f>
        <v/>
      </c>
    </row>
    <row r="44" ht="15" customHeight="1">
      <c r="A44" t="inlineStr">
        <is>
          <t>A 38140-2024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46299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HYPERLINK("https://klasma.github.io/Logging_1782/artfynd/A 38140-2024 artfynd.xlsx", "A 38140-2024")</f>
        <v/>
      </c>
      <c r="X44">
        <f>HYPERLINK("https://klasma.github.io/Logging_1782/kartor/A 38140-2024 karta.png", "A 38140-2024")</f>
        <v/>
      </c>
      <c r="Y44">
        <f>HYPERLINK("https://klasma.github.io/Logging_1782/kartor_geotiff/A 38140-2024 georefererad karta.tif", "A 38140-2024")</f>
        <v/>
      </c>
      <c r="AA44">
        <f>HYPERLINK("https://klasma.github.io/Logging_1782/klagomål/A 38140-2024 FSC-klagomål.docx", "A 38140-2024")</f>
        <v/>
      </c>
      <c r="AB44">
        <f>HYPERLINK("https://klasma.github.io/Logging_1782/klagomålsmail/A 38140-2024 FSC-klagomål mail.docx", "A 38140-2024")</f>
        <v/>
      </c>
      <c r="AC44">
        <f>HYPERLINK("https://klasma.github.io/Logging_1782/tillsyn/A 38140-2024 tillsynsbegäran.docx", "A 38140-2024")</f>
        <v/>
      </c>
      <c r="AD44">
        <f>HYPERLINK("https://klasma.github.io/Logging_1782/tillsynsmail/A 38140-2024 tillsynsbegäran mail.docx", "A 38140-2024")</f>
        <v/>
      </c>
    </row>
    <row r="45" ht="15" customHeight="1">
      <c r="A45" t="inlineStr">
        <is>
          <t>A 30652-2025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45831</v>
      </c>
      <c r="E45" s="1" t="n">
        <v>46299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4.3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HYPERLINK("https://klasma.github.io/Logging_1782/artfynd/A 30652-2025 artfynd.xlsx", "A 30652-2025")</f>
        <v/>
      </c>
      <c r="X45">
        <f>HYPERLINK("https://klasma.github.io/Logging_1782/kartor/A 30652-2025 karta.png", "A 30652-2025")</f>
        <v/>
      </c>
      <c r="Y45">
        <f>HYPERLINK("https://klasma.github.io/Logging_1782/kartor_geotiff/A 30652-2025 georefererad karta.tif", "A 30652-2025")</f>
        <v/>
      </c>
      <c r="AA45">
        <f>HYPERLINK("https://klasma.github.io/Logging_1782/klagomål/A 30652-2025 FSC-klagomål.docx", "A 30652-2025")</f>
        <v/>
      </c>
      <c r="AB45">
        <f>HYPERLINK("https://klasma.github.io/Logging_1782/klagomålsmail/A 30652-2025 FSC-klagomål mail.docx", "A 30652-2025")</f>
        <v/>
      </c>
      <c r="AC45">
        <f>HYPERLINK("https://klasma.github.io/Logging_1782/tillsyn/A 30652-2025 tillsynsbegäran.docx", "A 30652-2025")</f>
        <v/>
      </c>
      <c r="AD45">
        <f>HYPERLINK("https://klasma.github.io/Logging_1782/tillsynsmail/A 30652-2025 tillsynsbegäran mail.docx", "A 30652-2025")</f>
        <v/>
      </c>
      <c r="AE45">
        <f>HYPERLINK("https://klasma.github.io/Logging_1782/fåglar/A 30652-2025 prioriterade fågelarter.docx", "A 30652-2025")</f>
        <v/>
      </c>
    </row>
    <row r="46" ht="15" customHeight="1">
      <c r="A46" t="inlineStr">
        <is>
          <t>A 25862-2026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46299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Talltaggsvamp</t>
        </is>
      </c>
      <c r="W46">
        <f>HYPERLINK("https://klasma.github.io/Logging_1782/artfynd/A 25862-2026 artfynd.xlsx", "A 25862-2026")</f>
        <v/>
      </c>
      <c r="X46">
        <f>HYPERLINK("https://klasma.github.io/Logging_1782/kartor/A 25862-2026 karta.png", "A 25862-2026")</f>
        <v/>
      </c>
      <c r="Y46">
        <f>HYPERLINK("https://klasma.github.io/Logging_1782/kartor_geotiff/A 25862-2026 georefererad karta.tif", "A 25862-2026")</f>
        <v/>
      </c>
      <c r="AA46">
        <f>HYPERLINK("https://klasma.github.io/Logging_1782/klagomål/A 25862-2026 FSC-klagomål.docx", "A 25862-2026")</f>
        <v/>
      </c>
      <c r="AB46">
        <f>HYPERLINK("https://klasma.github.io/Logging_1782/klagomålsmail/A 25862-2026 FSC-klagomål mail.docx", "A 25862-2026")</f>
        <v/>
      </c>
      <c r="AC46">
        <f>HYPERLINK("https://klasma.github.io/Logging_1782/tillsyn/A 25862-2026 tillsynsbegäran.docx", "A 25862-2026")</f>
        <v/>
      </c>
      <c r="AD46">
        <f>HYPERLINK("https://klasma.github.io/Logging_1782/tillsynsmail/A 25862-2026 tillsynsbegäran mail.docx", "A 25862-2026")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46299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31257-2026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46299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10.2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Gräsull</t>
        </is>
      </c>
      <c r="W48">
        <f>HYPERLINK("https://klasma.github.io/Logging_1782/artfynd/A 31257-2026 artfynd.xlsx", "A 31257-2026")</f>
        <v/>
      </c>
      <c r="X48">
        <f>HYPERLINK("https://klasma.github.io/Logging_1782/kartor/A 31257-2026 karta.png", "A 31257-2026")</f>
        <v/>
      </c>
      <c r="Y48">
        <f>HYPERLINK("https://klasma.github.io/Logging_1782/kartor_geotiff/A 31257-2026 georefererad karta.tif", "A 31257-2026")</f>
        <v/>
      </c>
      <c r="AA48">
        <f>HYPERLINK("https://klasma.github.io/Logging_1782/klagomål/A 31257-2026 FSC-klagomål.docx", "A 31257-2026")</f>
        <v/>
      </c>
      <c r="AB48">
        <f>HYPERLINK("https://klasma.github.io/Logging_1782/klagomålsmail/A 31257-2026 FSC-klagomål mail.docx", "A 31257-2026")</f>
        <v/>
      </c>
      <c r="AC48">
        <f>HYPERLINK("https://klasma.github.io/Logging_1782/tillsyn/A 31257-2026 tillsynsbegäran.docx", "A 31257-2026")</f>
        <v/>
      </c>
      <c r="AD48">
        <f>HYPERLINK("https://klasma.github.io/Logging_1782/tillsynsmail/A 31257-2026 tillsynsbegäran mail.docx", "A 31257-2026")</f>
        <v/>
      </c>
    </row>
    <row r="49" ht="15" customHeight="1">
      <c r="A49" t="inlineStr">
        <is>
          <t>A 10138-2024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45364</v>
      </c>
      <c r="E49" s="1" t="n">
        <v>46299</v>
      </c>
      <c r="F49" t="inlineStr">
        <is>
          <t>VÄRMLANDS LÄN</t>
        </is>
      </c>
      <c r="G49" t="inlineStr">
        <is>
          <t>FILIPSTAD</t>
        </is>
      </c>
      <c r="H49" t="inlineStr">
        <is>
          <t>Kommuner</t>
        </is>
      </c>
      <c r="I49" t="n">
        <v>6.8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Purpurknipprot</t>
        </is>
      </c>
      <c r="W49">
        <f>HYPERLINK("https://klasma.github.io/Logging_1782/artfynd/A 10138-2024 artfynd.xlsx", "A 10138-2024")</f>
        <v/>
      </c>
      <c r="X49">
        <f>HYPERLINK("https://klasma.github.io/Logging_1782/kartor/A 10138-2024 karta.png", "A 10138-2024")</f>
        <v/>
      </c>
      <c r="Y49">
        <f>HYPERLINK("https://klasma.github.io/Logging_1782/kartor_geotiff/A 10138-2024 georefererad karta.tif", "A 10138-2024")</f>
        <v/>
      </c>
      <c r="AA49">
        <f>HYPERLINK("https://klasma.github.io/Logging_1782/klagomål/A 10138-2024 FSC-klagomål.docx", "A 10138-2024")</f>
        <v/>
      </c>
      <c r="AB49">
        <f>HYPERLINK("https://klasma.github.io/Logging_1782/klagomålsmail/A 10138-2024 FSC-klagomål mail.docx", "A 10138-2024")</f>
        <v/>
      </c>
      <c r="AC49">
        <f>HYPERLINK("https://klasma.github.io/Logging_1782/tillsyn/A 10138-2024 tillsynsbegäran.docx", "A 10138-2024")</f>
        <v/>
      </c>
      <c r="AD49">
        <f>HYPERLINK("https://klasma.github.io/Logging_1782/tillsynsmail/A 10138-2024 tillsynsbegäran mail.docx", "A 10138-2024")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46299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51522-2022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46299</v>
      </c>
      <c r="F51" t="inlineStr">
        <is>
          <t>VÄRMLANDS LÄN</t>
        </is>
      </c>
      <c r="G51" t="inlineStr">
        <is>
          <t>FILIPSTAD</t>
        </is>
      </c>
      <c r="I51" t="n">
        <v>4.1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HYPERLINK("https://klasma.github.io/Logging_1782/artfynd/A 51522-2022 artfynd.xlsx", "A 51522-2022")</f>
        <v/>
      </c>
      <c r="X51">
        <f>HYPERLINK("https://klasma.github.io/Logging_1782/kartor/A 51522-2022 karta.png", "A 51522-2022")</f>
        <v/>
      </c>
      <c r="Y51">
        <f>HYPERLINK("https://klasma.github.io/Logging_1782/kartor_geotiff/A 51522-2022 georefererad karta.tif", "A 51522-2022")</f>
        <v/>
      </c>
      <c r="AA51">
        <f>HYPERLINK("https://klasma.github.io/Logging_1782/klagomål/A 51522-2022 FSC-klagomål.docx", "A 51522-2022")</f>
        <v/>
      </c>
      <c r="AB51">
        <f>HYPERLINK("https://klasma.github.io/Logging_1782/klagomålsmail/A 51522-2022 FSC-klagomål mail.docx", "A 51522-2022")</f>
        <v/>
      </c>
      <c r="AC51">
        <f>HYPERLINK("https://klasma.github.io/Logging_1782/tillsyn/A 51522-2022 tillsynsbegäran.docx", "A 51522-2022")</f>
        <v/>
      </c>
      <c r="AD51">
        <f>HYPERLINK("https://klasma.github.io/Logging_1782/tillsynsmail/A 51522-2022 tillsynsbegäran mail.docx", "A 51522-2022")</f>
        <v/>
      </c>
    </row>
    <row r="52" ht="15" customHeight="1">
      <c r="A52" t="inlineStr">
        <is>
          <t>A 30988-2026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46213</v>
      </c>
      <c r="E52" s="1" t="n">
        <v>46299</v>
      </c>
      <c r="F52" t="inlineStr">
        <is>
          <t>VÄRMLANDS LÄN</t>
        </is>
      </c>
      <c r="G52" t="inlineStr">
        <is>
          <t>FILIPSTAD</t>
        </is>
      </c>
      <c r="I52" t="n">
        <v>2.4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Skuggblåslav</t>
        </is>
      </c>
      <c r="W52">
        <f>HYPERLINK("https://klasma.github.io/Logging_1782/artfynd/A 30988-2026 artfynd.xlsx", "A 30988-2026")</f>
        <v/>
      </c>
      <c r="X52">
        <f>HYPERLINK("https://klasma.github.io/Logging_1782/kartor/A 30988-2026 karta.png", "A 30988-2026")</f>
        <v/>
      </c>
      <c r="Y52">
        <f>HYPERLINK("https://klasma.github.io/Logging_1782/kartor_geotiff/A 30988-2026 georefererad karta.tif", "A 30988-2026")</f>
        <v/>
      </c>
      <c r="AA52">
        <f>HYPERLINK("https://klasma.github.io/Logging_1782/klagomål/A 30988-2026 FSC-klagomål.docx", "A 30988-2026")</f>
        <v/>
      </c>
      <c r="AB52">
        <f>HYPERLINK("https://klasma.github.io/Logging_1782/klagomålsmail/A 30988-2026 FSC-klagomål mail.docx", "A 30988-2026")</f>
        <v/>
      </c>
      <c r="AC52">
        <f>HYPERLINK("https://klasma.github.io/Logging_1782/tillsyn/A 30988-2026 tillsynsbegäran.docx", "A 30988-2026")</f>
        <v/>
      </c>
      <c r="AD52">
        <f>HYPERLINK("https://klasma.github.io/Logging_1782/tillsynsmail/A 30988-2026 tillsynsbegäran mail.docx", "A 30988-2026")</f>
        <v/>
      </c>
    </row>
    <row r="53" ht="15" customHeight="1">
      <c r="A53" t="inlineStr">
        <is>
          <t>A 23046-2023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46299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HYPERLINK("https://klasma.github.io/Logging_1782/artfynd/A 23046-2023 artfynd.xlsx", "A 23046-2023")</f>
        <v/>
      </c>
      <c r="X53">
        <f>HYPERLINK("https://klasma.github.io/Logging_1782/kartor/A 23046-2023 karta.png", "A 23046-2023")</f>
        <v/>
      </c>
      <c r="Y53">
        <f>HYPERLINK("https://klasma.github.io/Logging_1782/kartor_geotiff/A 23046-2023 georefererad karta.tif", "A 23046-2023")</f>
        <v/>
      </c>
      <c r="Z53">
        <f>HYPERLINK("https://klasma.github.io/Logging_1782/knärot/A 23046-2023 karta knärot.png", "A 23046-2023")</f>
        <v/>
      </c>
      <c r="AA53">
        <f>HYPERLINK("https://klasma.github.io/Logging_1782/klagomål/A 23046-2023 FSC-klagomål.docx", "A 23046-2023")</f>
        <v/>
      </c>
      <c r="AB53">
        <f>HYPERLINK("https://klasma.github.io/Logging_1782/klagomålsmail/A 23046-2023 FSC-klagomål mail.docx", "A 23046-2023")</f>
        <v/>
      </c>
      <c r="AC53">
        <f>HYPERLINK("https://klasma.github.io/Logging_1782/tillsyn/A 23046-2023 tillsynsbegäran.docx", "A 23046-2023")</f>
        <v/>
      </c>
      <c r="AD53">
        <f>HYPERLINK("https://klasma.github.io/Logging_1782/tillsynsmail/A 23046-2023 tillsynsbegäran mail.docx", "A 23046-2023")</f>
        <v/>
      </c>
    </row>
    <row r="54" ht="15" customHeight="1">
      <c r="A54" t="inlineStr">
        <is>
          <t>A 46978-2023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45195</v>
      </c>
      <c r="E54" s="1" t="n">
        <v>46299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11.2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HYPERLINK("https://klasma.github.io/Logging_1782/artfynd/A 46978-2023 artfynd.xlsx", "A 46978-2023")</f>
        <v/>
      </c>
      <c r="X54">
        <f>HYPERLINK("https://klasma.github.io/Logging_1782/kartor/A 46978-2023 karta.png", "A 46978-2023")</f>
        <v/>
      </c>
      <c r="Y54">
        <f>HYPERLINK("https://klasma.github.io/Logging_1782/kartor_geotiff/A 46978-2023 georefererad karta.tif", "A 46978-2023")</f>
        <v/>
      </c>
      <c r="AA54">
        <f>HYPERLINK("https://klasma.github.io/Logging_1782/klagomål/A 46978-2023 FSC-klagomål.docx", "A 46978-2023")</f>
        <v/>
      </c>
      <c r="AB54">
        <f>HYPERLINK("https://klasma.github.io/Logging_1782/klagomålsmail/A 46978-2023 FSC-klagomål mail.docx", "A 46978-2023")</f>
        <v/>
      </c>
      <c r="AC54">
        <f>HYPERLINK("https://klasma.github.io/Logging_1782/tillsyn/A 46978-2023 tillsynsbegäran.docx", "A 46978-2023")</f>
        <v/>
      </c>
      <c r="AD54">
        <f>HYPERLINK("https://klasma.github.io/Logging_1782/tillsynsmail/A 46978-2023 tillsynsbegäran mail.docx", "A 46978-2023")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46299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46299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46299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46299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46299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46299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46299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46299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46299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46299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46299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46299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46299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46299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46299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46299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46299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46299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46299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46299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66376-2021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46299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46299</v>
      </c>
      <c r="F76" t="inlineStr">
        <is>
          <t>VÄRMLANDS LÄN</t>
        </is>
      </c>
      <c r="G76" t="inlineStr">
        <is>
          <t>FILIPSTAD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46299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46299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46299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9270-2023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44980</v>
      </c>
      <c r="E80" s="1" t="n">
        <v>46299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45674</v>
      </c>
      <c r="E81" s="1" t="n">
        <v>46299</v>
      </c>
      <c r="F81" t="inlineStr">
        <is>
          <t>VÄRMLANDS LÄN</t>
        </is>
      </c>
      <c r="G81" t="inlineStr">
        <is>
          <t>FILIPSTAD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45617</v>
      </c>
      <c r="E82" s="1" t="n">
        <v>46299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46299</v>
      </c>
      <c r="F83" t="inlineStr">
        <is>
          <t>VÄRMLANDS LÄN</t>
        </is>
      </c>
      <c r="G83" t="inlineStr">
        <is>
          <t>FILIPSTAD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44637</v>
      </c>
      <c r="E84" s="1" t="n">
        <v>46299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25737-2023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45090</v>
      </c>
      <c r="E85" s="1" t="n">
        <v>46299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46299</v>
      </c>
      <c r="F86" t="inlineStr">
        <is>
          <t>VÄRMLANDS LÄN</t>
        </is>
      </c>
      <c r="G86" t="inlineStr">
        <is>
          <t>FILIPSTAD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44963</v>
      </c>
      <c r="E87" s="1" t="n">
        <v>46299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46299</v>
      </c>
      <c r="F88" t="inlineStr">
        <is>
          <t>VÄRMLANDS LÄN</t>
        </is>
      </c>
      <c r="G88" t="inlineStr">
        <is>
          <t>FILIPSTAD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45578</v>
      </c>
      <c r="E89" s="1" t="n">
        <v>46299</v>
      </c>
      <c r="F89" t="inlineStr">
        <is>
          <t>VÄRMLANDS LÄN</t>
        </is>
      </c>
      <c r="G89" t="inlineStr">
        <is>
          <t>FILIPSTAD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45159</v>
      </c>
      <c r="E90" s="1" t="n">
        <v>46299</v>
      </c>
      <c r="F90" t="inlineStr">
        <is>
          <t>VÄRMLANDS LÄN</t>
        </is>
      </c>
      <c r="G90" t="inlineStr">
        <is>
          <t>FILIPSTAD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46001</v>
      </c>
      <c r="E91" s="1" t="n">
        <v>46299</v>
      </c>
      <c r="F91" t="inlineStr">
        <is>
          <t>VÄRMLANDS LÄN</t>
        </is>
      </c>
      <c r="G91" t="inlineStr">
        <is>
          <t>FILIPSTAD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61327-2025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46001</v>
      </c>
      <c r="E92" s="1" t="n">
        <v>46299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61823-2025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46003</v>
      </c>
      <c r="E93" s="1" t="n">
        <v>46299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46003</v>
      </c>
      <c r="E94" s="1" t="n">
        <v>46299</v>
      </c>
      <c r="F94" t="inlineStr">
        <is>
          <t>VÄRMLANDS LÄN</t>
        </is>
      </c>
      <c r="G94" t="inlineStr">
        <is>
          <t>FILIPSTAD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46001</v>
      </c>
      <c r="E95" s="1" t="n">
        <v>46299</v>
      </c>
      <c r="F95" t="inlineStr">
        <is>
          <t>VÄRMLANDS LÄN</t>
        </is>
      </c>
      <c r="G95" t="inlineStr">
        <is>
          <t>FILIPSTAD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46299</v>
      </c>
      <c r="F96" t="inlineStr">
        <is>
          <t>VÄRMLANDS LÄN</t>
        </is>
      </c>
      <c r="G96" t="inlineStr">
        <is>
          <t>FILIPSTAD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46299</v>
      </c>
      <c r="F97" t="inlineStr">
        <is>
          <t>VÄRMLANDS LÄN</t>
        </is>
      </c>
      <c r="G97" t="inlineStr">
        <is>
          <t>FILIPSTAD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14582-2025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45742</v>
      </c>
      <c r="E98" s="1" t="n">
        <v>46299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46299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46299</v>
      </c>
      <c r="F100" t="inlineStr">
        <is>
          <t>VÄRMLANDS LÄN</t>
        </is>
      </c>
      <c r="G100" t="inlineStr">
        <is>
          <t>FILIPSTAD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28357-2024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46299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45471</v>
      </c>
      <c r="E102" s="1" t="n">
        <v>46299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45530</v>
      </c>
      <c r="E103" s="1" t="n">
        <v>46299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46299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46299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46299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46299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46299</v>
      </c>
      <c r="F108" t="inlineStr">
        <is>
          <t>VÄRMLANDS LÄN</t>
        </is>
      </c>
      <c r="G108" t="inlineStr">
        <is>
          <t>FILIPSTAD</t>
        </is>
      </c>
      <c r="I108" t="n">
        <v>15.5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45791</v>
      </c>
      <c r="E109" s="1" t="n">
        <v>46299</v>
      </c>
      <c r="F109" t="inlineStr">
        <is>
          <t>VÄRMLANDS LÄN</t>
        </is>
      </c>
      <c r="G109" t="inlineStr">
        <is>
          <t>FILIPSTAD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46299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46004</v>
      </c>
      <c r="E111" s="1" t="n">
        <v>46299</v>
      </c>
      <c r="F111" t="inlineStr">
        <is>
          <t>VÄRMLANDS LÄN</t>
        </is>
      </c>
      <c r="G111" t="inlineStr">
        <is>
          <t>FILIPSTAD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46299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46004</v>
      </c>
      <c r="E113" s="1" t="n">
        <v>46299</v>
      </c>
      <c r="F113" t="inlineStr">
        <is>
          <t>VÄRMLANDS LÄN</t>
        </is>
      </c>
      <c r="G113" t="inlineStr">
        <is>
          <t>FILIPSTAD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46299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45790</v>
      </c>
      <c r="E115" s="1" t="n">
        <v>46299</v>
      </c>
      <c r="F115" t="inlineStr">
        <is>
          <t>VÄRMLANDS LÄN</t>
        </is>
      </c>
      <c r="G115" t="inlineStr">
        <is>
          <t>FILIPSTAD</t>
        </is>
      </c>
      <c r="H115" t="inlineStr">
        <is>
          <t>Kyrkan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46014</v>
      </c>
      <c r="E116" s="1" t="n">
        <v>46299</v>
      </c>
      <c r="F116" t="inlineStr">
        <is>
          <t>VÄRMLANDS LÄN</t>
        </is>
      </c>
      <c r="G116" t="inlineStr">
        <is>
          <t>FILIPSTAD</t>
        </is>
      </c>
      <c r="I116" t="n">
        <v>9.9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45758</v>
      </c>
      <c r="E117" s="1" t="n">
        <v>46299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46299</v>
      </c>
      <c r="F118" t="inlineStr">
        <is>
          <t>VÄRMLANDS LÄN</t>
        </is>
      </c>
      <c r="G118" t="inlineStr">
        <is>
          <t>FILIPSTAD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55978-2022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44889</v>
      </c>
      <c r="E119" s="1" t="n">
        <v>46299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45223</v>
      </c>
      <c r="E120" s="1" t="n">
        <v>46299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16103-2025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45750</v>
      </c>
      <c r="E121" s="1" t="n">
        <v>46299</v>
      </c>
      <c r="F121" t="inlineStr">
        <is>
          <t>VÄRMLANDS LÄN</t>
        </is>
      </c>
      <c r="G121" t="inlineStr">
        <is>
          <t>FILIPSTAD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45667</v>
      </c>
      <c r="E122" s="1" t="n">
        <v>46299</v>
      </c>
      <c r="F122" t="inlineStr">
        <is>
          <t>VÄRMLANDS LÄN</t>
        </is>
      </c>
      <c r="G122" t="inlineStr">
        <is>
          <t>FILIPSTAD</t>
        </is>
      </c>
      <c r="H122" t="inlineStr">
        <is>
          <t>Kommuner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58611-2025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45986</v>
      </c>
      <c r="E123" s="1" t="n">
        <v>46299</v>
      </c>
      <c r="F123" t="inlineStr">
        <is>
          <t>VÄRMLANDS LÄN</t>
        </is>
      </c>
      <c r="G123" t="inlineStr">
        <is>
          <t>FILIPSTAD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41718-2025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45902</v>
      </c>
      <c r="E124" s="1" t="n">
        <v>46299</v>
      </c>
      <c r="F124" t="inlineStr">
        <is>
          <t>VÄRMLANDS LÄN</t>
        </is>
      </c>
      <c r="G124" t="inlineStr">
        <is>
          <t>FILIPSTAD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46299</v>
      </c>
      <c r="F125" t="inlineStr">
        <is>
          <t>VÄRMLANDS LÄN</t>
        </is>
      </c>
      <c r="G125" t="inlineStr">
        <is>
          <t>FILIPSTAD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46299</v>
      </c>
      <c r="F126" t="inlineStr">
        <is>
          <t>VÄRMLANDS LÄN</t>
        </is>
      </c>
      <c r="G126" t="inlineStr">
        <is>
          <t>FILIPSTAD</t>
        </is>
      </c>
      <c r="H126" t="inlineStr">
        <is>
          <t>Kyrkan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46040</v>
      </c>
      <c r="E127" s="1" t="n">
        <v>46299</v>
      </c>
      <c r="F127" t="inlineStr">
        <is>
          <t>VÄRMLANDS LÄN</t>
        </is>
      </c>
      <c r="G127" t="inlineStr">
        <is>
          <t>FILIPSTAD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45223</v>
      </c>
      <c r="E128" s="1" t="n">
        <v>46299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46299</v>
      </c>
      <c r="F129" t="inlineStr">
        <is>
          <t>VÄRMLANDS LÄN</t>
        </is>
      </c>
      <c r="G129" t="inlineStr">
        <is>
          <t>FILIPSTAD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45793</v>
      </c>
      <c r="E130" s="1" t="n">
        <v>46299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23399-2025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45792</v>
      </c>
      <c r="E131" s="1" t="n">
        <v>46299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45355</v>
      </c>
      <c r="E132" s="1" t="n">
        <v>46299</v>
      </c>
      <c r="F132" t="inlineStr">
        <is>
          <t>VÄRMLANDS LÄN</t>
        </is>
      </c>
      <c r="G132" t="inlineStr">
        <is>
          <t>FILIPSTAD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46299</v>
      </c>
      <c r="F133" t="inlineStr">
        <is>
          <t>VÄRMLANDS LÄN</t>
        </is>
      </c>
      <c r="G133" t="inlineStr">
        <is>
          <t>FILIPSTAD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72118-2021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46299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46299</v>
      </c>
      <c r="F135" t="inlineStr">
        <is>
          <t>VÄRMLANDS LÄN</t>
        </is>
      </c>
      <c r="G135" t="inlineStr">
        <is>
          <t>FILIPSTAD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65174-2021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46299</v>
      </c>
      <c r="F136" t="inlineStr">
        <is>
          <t>VÄRMLANDS LÄN</t>
        </is>
      </c>
      <c r="G136" t="inlineStr">
        <is>
          <t>FILIPSTAD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45796</v>
      </c>
      <c r="E137" s="1" t="n">
        <v>46299</v>
      </c>
      <c r="F137" t="inlineStr">
        <is>
          <t>VÄRMLANDS LÄN</t>
        </is>
      </c>
      <c r="G137" t="inlineStr">
        <is>
          <t>FILIPSTAD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46299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46299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45587</v>
      </c>
      <c r="E140" s="1" t="n">
        <v>46299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46299</v>
      </c>
      <c r="F141" t="inlineStr">
        <is>
          <t>VÄRMLANDS LÄN</t>
        </is>
      </c>
      <c r="G141" t="inlineStr">
        <is>
          <t>FILIPSTAD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46299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46299</v>
      </c>
      <c r="F143" t="inlineStr">
        <is>
          <t>VÄRMLANDS LÄN</t>
        </is>
      </c>
      <c r="G143" t="inlineStr">
        <is>
          <t>FILIPSTAD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35799-2022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44801</v>
      </c>
      <c r="E144" s="1" t="n">
        <v>46299</v>
      </c>
      <c r="F144" t="inlineStr">
        <is>
          <t>VÄRMLANDS LÄN</t>
        </is>
      </c>
      <c r="G144" t="inlineStr">
        <is>
          <t>FILIPSTAD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46299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45805</v>
      </c>
      <c r="E146" s="1" t="n">
        <v>46299</v>
      </c>
      <c r="F146" t="inlineStr">
        <is>
          <t>VÄRMLANDS LÄN</t>
        </is>
      </c>
      <c r="G146" t="inlineStr">
        <is>
          <t>FILIPSTAD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26123-2025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45805</v>
      </c>
      <c r="E147" s="1" t="n">
        <v>46299</v>
      </c>
      <c r="F147" t="inlineStr">
        <is>
          <t>VÄRMLANDS LÄN</t>
        </is>
      </c>
      <c r="G147" t="inlineStr">
        <is>
          <t>FILIPSTAD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36680-2023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45153</v>
      </c>
      <c r="E148" s="1" t="n">
        <v>46299</v>
      </c>
      <c r="F148" t="inlineStr">
        <is>
          <t>VÄRMLANDS LÄN</t>
        </is>
      </c>
      <c r="G148" t="inlineStr">
        <is>
          <t>FILIPSTAD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45208</v>
      </c>
      <c r="E149" s="1" t="n">
        <v>46299</v>
      </c>
      <c r="F149" t="inlineStr">
        <is>
          <t>VÄRMLANDS LÄN</t>
        </is>
      </c>
      <c r="G149" t="inlineStr">
        <is>
          <t>FILIPSTAD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46282-2025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46299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46299</v>
      </c>
      <c r="F151" t="inlineStr">
        <is>
          <t>VÄRMLANDS LÄN</t>
        </is>
      </c>
      <c r="G151" t="inlineStr">
        <is>
          <t>FILIPSTAD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46299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46056</v>
      </c>
      <c r="E153" s="1" t="n">
        <v>46299</v>
      </c>
      <c r="F153" t="inlineStr">
        <is>
          <t>VÄRMLANDS LÄN</t>
        </is>
      </c>
      <c r="G153" t="inlineStr">
        <is>
          <t>FILIPSTAD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46056</v>
      </c>
      <c r="E154" s="1" t="n">
        <v>46299</v>
      </c>
      <c r="F154" t="inlineStr">
        <is>
          <t>VÄRMLANDS LÄN</t>
        </is>
      </c>
      <c r="G154" t="inlineStr">
        <is>
          <t>FILIPSTAD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46059</v>
      </c>
      <c r="E155" s="1" t="n">
        <v>46299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45177</v>
      </c>
      <c r="E156" s="1" t="n">
        <v>46299</v>
      </c>
      <c r="F156" t="inlineStr">
        <is>
          <t>VÄRMLANDS LÄN</t>
        </is>
      </c>
      <c r="G156" t="inlineStr">
        <is>
          <t>FILIPSTAD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46299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44935</v>
      </c>
      <c r="E158" s="1" t="n">
        <v>46299</v>
      </c>
      <c r="F158" t="inlineStr">
        <is>
          <t>VÄRMLANDS LÄN</t>
        </is>
      </c>
      <c r="G158" t="inlineStr">
        <is>
          <t>FILIPSTAD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45686</v>
      </c>
      <c r="E159" s="1" t="n">
        <v>46299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48103-2025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45933</v>
      </c>
      <c r="E160" s="1" t="n">
        <v>46299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46299</v>
      </c>
      <c r="F161" t="inlineStr">
        <is>
          <t>VÄRMLANDS LÄN</t>
        </is>
      </c>
      <c r="G161" t="inlineStr">
        <is>
          <t>FILIPSTAD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50856-2022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44867</v>
      </c>
      <c r="E162" s="1" t="n">
        <v>46299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46299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46076</v>
      </c>
      <c r="E164" s="1" t="n">
        <v>46299</v>
      </c>
      <c r="F164" t="inlineStr">
        <is>
          <t>VÄRMLANDS LÄN</t>
        </is>
      </c>
      <c r="G164" t="inlineStr">
        <is>
          <t>FILIPSTAD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45470</v>
      </c>
      <c r="E165" s="1" t="n">
        <v>46299</v>
      </c>
      <c r="F165" t="inlineStr">
        <is>
          <t>VÄRMLANDS LÄN</t>
        </is>
      </c>
      <c r="G165" t="inlineStr">
        <is>
          <t>FILIPSTAD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46299</v>
      </c>
      <c r="F166" t="inlineStr">
        <is>
          <t>VÄRMLANDS LÄN</t>
        </is>
      </c>
      <c r="G166" t="inlineStr">
        <is>
          <t>FILIPSTAD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71971-2021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44544</v>
      </c>
      <c r="E167" s="1" t="n">
        <v>46299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46299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46299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46299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46299</v>
      </c>
      <c r="F171" t="inlineStr">
        <is>
          <t>VÄRMLANDS LÄN</t>
        </is>
      </c>
      <c r="G171" t="inlineStr">
        <is>
          <t>FILIPSTAD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46299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26599-2024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45469</v>
      </c>
      <c r="E173" s="1" t="n">
        <v>46299</v>
      </c>
      <c r="F173" t="inlineStr">
        <is>
          <t>VÄRMLANDS LÄN</t>
        </is>
      </c>
      <c r="G173" t="inlineStr">
        <is>
          <t>FILIPSTAD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46299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46299</v>
      </c>
      <c r="F175" t="inlineStr">
        <is>
          <t>VÄRMLANDS LÄN</t>
        </is>
      </c>
      <c r="G175" t="inlineStr">
        <is>
          <t>FILIPSTAD</t>
        </is>
      </c>
      <c r="H175" t="inlineStr">
        <is>
          <t>Kyrkan</t>
        </is>
      </c>
      <c r="I175" t="n">
        <v>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46087</v>
      </c>
      <c r="E176" s="1" t="n">
        <v>46299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46299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46299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46299</v>
      </c>
      <c r="F179" t="inlineStr">
        <is>
          <t>VÄRMLANDS LÄN</t>
        </is>
      </c>
      <c r="G179" t="inlineStr">
        <is>
          <t>FILIPSTAD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46299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46299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46299</v>
      </c>
      <c r="F182" t="inlineStr">
        <is>
          <t>VÄRMLANDS LÄN</t>
        </is>
      </c>
      <c r="G182" t="inlineStr">
        <is>
          <t>FILIPSTAD</t>
        </is>
      </c>
      <c r="H182" t="inlineStr">
        <is>
          <t>Kyrkan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46299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46299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46299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46299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46299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46299</v>
      </c>
      <c r="F188" t="inlineStr">
        <is>
          <t>VÄRMLANDS LÄN</t>
        </is>
      </c>
      <c r="G188" t="inlineStr">
        <is>
          <t>FILIPSTAD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46299</v>
      </c>
      <c r="F189" t="inlineStr">
        <is>
          <t>VÄRMLANDS LÄN</t>
        </is>
      </c>
      <c r="G189" t="inlineStr">
        <is>
          <t>FILIPSTAD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46098</v>
      </c>
      <c r="E190" s="1" t="n">
        <v>46299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46299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46299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46098</v>
      </c>
      <c r="E193" s="1" t="n">
        <v>46299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46299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46099</v>
      </c>
      <c r="E195" s="1" t="n">
        <v>46299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46299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46100</v>
      </c>
      <c r="E197" s="1" t="n">
        <v>46299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46299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46299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46299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46299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46299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46299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10338-2025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46299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44788</v>
      </c>
      <c r="E205" s="1" t="n">
        <v>46299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45427</v>
      </c>
      <c r="E206" s="1" t="n">
        <v>46299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46299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46299</v>
      </c>
      <c r="F208" t="inlineStr">
        <is>
          <t>VÄRMLANDS LÄN</t>
        </is>
      </c>
      <c r="G208" t="inlineStr">
        <is>
          <t>FILIPSTAD</t>
        </is>
      </c>
      <c r="H208" t="inlineStr">
        <is>
          <t>Kyrkan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29825-2023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45107</v>
      </c>
      <c r="E209" s="1" t="n">
        <v>46299</v>
      </c>
      <c r="F209" t="inlineStr">
        <is>
          <t>VÄRMLANDS LÄN</t>
        </is>
      </c>
      <c r="G209" t="inlineStr">
        <is>
          <t>FILIPSTAD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46299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46299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46299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46299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46299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15645-2026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46299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46299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16009-2026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46108</v>
      </c>
      <c r="E217" s="1" t="n">
        <v>46299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46299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46299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46299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15889-2026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46107</v>
      </c>
      <c r="E221" s="1" t="n">
        <v>46299</v>
      </c>
      <c r="F221" t="inlineStr">
        <is>
          <t>VÄRMLANDS LÄN</t>
        </is>
      </c>
      <c r="G221" t="inlineStr">
        <is>
          <t>FILIPSTAD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46299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46299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46299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16040-2026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46108</v>
      </c>
      <c r="E225" s="1" t="n">
        <v>46299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46299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46299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46114</v>
      </c>
      <c r="E228" s="1" t="n">
        <v>46299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46299</v>
      </c>
      <c r="F229" t="inlineStr">
        <is>
          <t>VÄRMLANDS LÄN</t>
        </is>
      </c>
      <c r="G229" t="inlineStr">
        <is>
          <t>FILIPSTAD</t>
        </is>
      </c>
      <c r="H229" t="inlineStr">
        <is>
          <t>Kyrkan</t>
        </is>
      </c>
      <c r="I229" t="n">
        <v>9.199999999999999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46299</v>
      </c>
      <c r="F230" t="inlineStr">
        <is>
          <t>VÄRMLANDS LÄN</t>
        </is>
      </c>
      <c r="G230" t="inlineStr">
        <is>
          <t>FILIPSTAD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29660-2025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46299</v>
      </c>
      <c r="F231" t="inlineStr">
        <is>
          <t>VÄRMLANDS LÄN</t>
        </is>
      </c>
      <c r="G231" t="inlineStr">
        <is>
          <t>FILIPSTAD</t>
        </is>
      </c>
      <c r="I231" t="n">
        <v>23.3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46299</v>
      </c>
      <c r="F232" t="inlineStr">
        <is>
          <t>VÄRMLANDS LÄN</t>
        </is>
      </c>
      <c r="G232" t="inlineStr">
        <is>
          <t>FILIPSTAD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46299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46299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17278-2026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46119</v>
      </c>
      <c r="E235" s="1" t="n">
        <v>46299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46299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46299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46119</v>
      </c>
      <c r="E238" s="1" t="n">
        <v>46299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45700</v>
      </c>
      <c r="E239" s="1" t="n">
        <v>46299</v>
      </c>
      <c r="F239" t="inlineStr">
        <is>
          <t>VÄRMLANDS LÄN</t>
        </is>
      </c>
      <c r="G239" t="inlineStr">
        <is>
          <t>FILIPSTAD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46120</v>
      </c>
      <c r="E240" s="1" t="n">
        <v>46299</v>
      </c>
      <c r="F240" t="inlineStr">
        <is>
          <t>VÄRMLANDS LÄN</t>
        </is>
      </c>
      <c r="G240" t="inlineStr">
        <is>
          <t>FILIPSTAD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45989</v>
      </c>
      <c r="E241" s="1" t="n">
        <v>46299</v>
      </c>
      <c r="F241" t="inlineStr">
        <is>
          <t>VÄRMLANDS LÄN</t>
        </is>
      </c>
      <c r="G241" t="inlineStr">
        <is>
          <t>FILIPSTAD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46299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45245</v>
      </c>
      <c r="E243" s="1" t="n">
        <v>46299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46299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46299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46299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46299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46299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46299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18022-2026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46299</v>
      </c>
      <c r="F250" t="inlineStr">
        <is>
          <t>VÄRMLANDS LÄN</t>
        </is>
      </c>
      <c r="G250" t="inlineStr">
        <is>
          <t>FILIPSTAD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45995</v>
      </c>
      <c r="E251" s="1" t="n">
        <v>46299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46126</v>
      </c>
      <c r="E252" s="1" t="n">
        <v>46299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46299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46299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46299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46299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18443-2026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46127</v>
      </c>
      <c r="E257" s="1" t="n">
        <v>46299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46299</v>
      </c>
      <c r="F258" t="inlineStr">
        <is>
          <t>VÄRMLANDS LÄN</t>
        </is>
      </c>
      <c r="G258" t="inlineStr">
        <is>
          <t>FILIPSTAD</t>
        </is>
      </c>
      <c r="H258" t="inlineStr">
        <is>
          <t>Kyrkan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45996</v>
      </c>
      <c r="E259" s="1" t="n">
        <v>46299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46299</v>
      </c>
      <c r="F260" t="inlineStr">
        <is>
          <t>VÄRMLANDS LÄN</t>
        </is>
      </c>
      <c r="G260" t="inlineStr">
        <is>
          <t>FILIPSTAD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61492-2025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46001</v>
      </c>
      <c r="E261" s="1" t="n">
        <v>46299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46127</v>
      </c>
      <c r="E262" s="1" t="n">
        <v>46299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46299</v>
      </c>
      <c r="F263" t="inlineStr">
        <is>
          <t>VÄRMLANDS LÄN</t>
        </is>
      </c>
      <c r="G263" t="inlineStr">
        <is>
          <t>FILIPSTAD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46299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46299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46127</v>
      </c>
      <c r="E266" s="1" t="n">
        <v>46299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46299</v>
      </c>
      <c r="F267" t="inlineStr">
        <is>
          <t>VÄRMLANDS LÄN</t>
        </is>
      </c>
      <c r="G267" t="inlineStr">
        <is>
          <t>FILIPSTAD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22830-2023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45072</v>
      </c>
      <c r="E268" s="1" t="n">
        <v>46299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22866-2023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45072</v>
      </c>
      <c r="E269" s="1" t="n">
        <v>46299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46127</v>
      </c>
      <c r="E270" s="1" t="n">
        <v>46299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46299</v>
      </c>
      <c r="F271" t="inlineStr">
        <is>
          <t>VÄRMLANDS LÄN</t>
        </is>
      </c>
      <c r="G271" t="inlineStr">
        <is>
          <t>FILIPSTAD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18507-2026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46299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46133</v>
      </c>
      <c r="E273" s="1" t="n">
        <v>46299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46299</v>
      </c>
      <c r="F274" t="inlineStr">
        <is>
          <t>VÄRMLANDS LÄN</t>
        </is>
      </c>
      <c r="G274" t="inlineStr">
        <is>
          <t>FILIPSTAD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46299</v>
      </c>
      <c r="F275" t="inlineStr">
        <is>
          <t>VÄRMLANDS LÄN</t>
        </is>
      </c>
      <c r="G275" t="inlineStr">
        <is>
          <t>FILIPSTAD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46001</v>
      </c>
      <c r="E276" s="1" t="n">
        <v>46299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46299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46299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46299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8.800000000000001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31172-2025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45832</v>
      </c>
      <c r="E280" s="1" t="n">
        <v>46299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46299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46299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19676-2026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46134</v>
      </c>
      <c r="E283" s="1" t="n">
        <v>46299</v>
      </c>
      <c r="F283" t="inlineStr">
        <is>
          <t>VÄRMLANDS LÄN</t>
        </is>
      </c>
      <c r="G283" t="inlineStr">
        <is>
          <t>FILIPSTAD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19669-2026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46299</v>
      </c>
      <c r="F284" t="inlineStr">
        <is>
          <t>VÄRMLANDS LÄN</t>
        </is>
      </c>
      <c r="G284" t="inlineStr">
        <is>
          <t>FILIPSTAD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32032-2025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45835</v>
      </c>
      <c r="E285" s="1" t="n">
        <v>46299</v>
      </c>
      <c r="F285" t="inlineStr">
        <is>
          <t>VÄRMLANDS LÄN</t>
        </is>
      </c>
      <c r="G285" t="inlineStr">
        <is>
          <t>FILIPSTAD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31883-2025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46299</v>
      </c>
      <c r="F286" t="inlineStr">
        <is>
          <t>VÄRMLANDS LÄN</t>
        </is>
      </c>
      <c r="G286" t="inlineStr">
        <is>
          <t>FILIPSTAD</t>
        </is>
      </c>
      <c r="I286" t="n">
        <v>18.7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45664</v>
      </c>
      <c r="E287" s="1" t="n">
        <v>46299</v>
      </c>
      <c r="F287" t="inlineStr">
        <is>
          <t>VÄRMLANDS LÄN</t>
        </is>
      </c>
      <c r="G287" t="inlineStr">
        <is>
          <t>FILIPSTAD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45827</v>
      </c>
      <c r="E288" s="1" t="n">
        <v>46299</v>
      </c>
      <c r="F288" t="inlineStr">
        <is>
          <t>VÄRMLANDS LÄN</t>
        </is>
      </c>
      <c r="G288" t="inlineStr">
        <is>
          <t>FILIPSTAD</t>
        </is>
      </c>
      <c r="H288" t="inlineStr">
        <is>
          <t>Kyrkan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45964</v>
      </c>
      <c r="E289" s="1" t="n">
        <v>46299</v>
      </c>
      <c r="F289" t="inlineStr">
        <is>
          <t>VÄRMLANDS LÄN</t>
        </is>
      </c>
      <c r="G289" t="inlineStr">
        <is>
          <t>FILIPSTAD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45688</v>
      </c>
      <c r="E290" s="1" t="n">
        <v>46299</v>
      </c>
      <c r="F290" t="inlineStr">
        <is>
          <t>VÄRMLANDS LÄN</t>
        </is>
      </c>
      <c r="G290" t="inlineStr">
        <is>
          <t>FILIPSTAD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33407-2025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45841</v>
      </c>
      <c r="E291" s="1" t="n">
        <v>46299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19351-2025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45769</v>
      </c>
      <c r="E292" s="1" t="n">
        <v>46299</v>
      </c>
      <c r="F292" t="inlineStr">
        <is>
          <t>VÄRMLANDS LÄN</t>
        </is>
      </c>
      <c r="G292" t="inlineStr">
        <is>
          <t>FILIPSTAD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46299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46299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45671</v>
      </c>
      <c r="E295" s="1" t="n">
        <v>46299</v>
      </c>
      <c r="F295" t="inlineStr">
        <is>
          <t>VÄRMLANDS LÄN</t>
        </is>
      </c>
      <c r="G295" t="inlineStr">
        <is>
          <t>FILIPSTAD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45299</v>
      </c>
      <c r="E296" s="1" t="n">
        <v>46299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46299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45665</v>
      </c>
      <c r="E298" s="1" t="n">
        <v>46299</v>
      </c>
      <c r="F298" t="inlineStr">
        <is>
          <t>VÄRMLANDS LÄN</t>
        </is>
      </c>
      <c r="G298" t="inlineStr">
        <is>
          <t>FILIPSTAD</t>
        </is>
      </c>
      <c r="I298" t="n">
        <v>11.7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45124</v>
      </c>
      <c r="E299" s="1" t="n">
        <v>46299</v>
      </c>
      <c r="F299" t="inlineStr">
        <is>
          <t>VÄRMLANDS LÄN</t>
        </is>
      </c>
      <c r="G299" t="inlineStr">
        <is>
          <t>FILIPSTAD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18210-2024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45420</v>
      </c>
      <c r="E300" s="1" t="n">
        <v>46299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46299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33449-2025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46299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45790</v>
      </c>
      <c r="E303" s="1" t="n">
        <v>46299</v>
      </c>
      <c r="F303" t="inlineStr">
        <is>
          <t>VÄRMLANDS LÄN</t>
        </is>
      </c>
      <c r="G303" t="inlineStr">
        <is>
          <t>FILIPSTAD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45901</v>
      </c>
      <c r="E304" s="1" t="n">
        <v>46299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46299</v>
      </c>
      <c r="F305" t="inlineStr">
        <is>
          <t>VÄRMLANDS LÄN</t>
        </is>
      </c>
      <c r="G305" t="inlineStr">
        <is>
          <t>FILIPSTAD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46299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46299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45267</v>
      </c>
      <c r="E308" s="1" t="n">
        <v>46299</v>
      </c>
      <c r="F308" t="inlineStr">
        <is>
          <t>VÄRMLANDS LÄN</t>
        </is>
      </c>
      <c r="G308" t="inlineStr">
        <is>
          <t>FILIPSTAD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63482-2021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44508</v>
      </c>
      <c r="E309" s="1" t="n">
        <v>46299</v>
      </c>
      <c r="F309" t="inlineStr">
        <is>
          <t>VÄRMLANDS LÄN</t>
        </is>
      </c>
      <c r="G309" t="inlineStr">
        <is>
          <t>FILIPSTAD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46299</v>
      </c>
      <c r="F310" t="inlineStr">
        <is>
          <t>VÄRMLANDS LÄN</t>
        </is>
      </c>
      <c r="G310" t="inlineStr">
        <is>
          <t>FILIPSTAD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15228-2025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45744</v>
      </c>
      <c r="E311" s="1" t="n">
        <v>46299</v>
      </c>
      <c r="F311" t="inlineStr">
        <is>
          <t>VÄRMLANDS LÄN</t>
        </is>
      </c>
      <c r="G311" t="inlineStr">
        <is>
          <t>FILIPSTAD</t>
        </is>
      </c>
      <c r="H311" t="inlineStr">
        <is>
          <t>Kommuner</t>
        </is>
      </c>
      <c r="I311" t="n">
        <v>17.7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46299</v>
      </c>
      <c r="F312" t="inlineStr">
        <is>
          <t>VÄRMLANDS LÄN</t>
        </is>
      </c>
      <c r="G312" t="inlineStr">
        <is>
          <t>FILIPSTAD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56840-2024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45628</v>
      </c>
      <c r="E313" s="1" t="n">
        <v>46299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46299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16584-2024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45408</v>
      </c>
      <c r="E315" s="1" t="n">
        <v>46299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46299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46299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20489-2026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46299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46299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25338-2023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45087</v>
      </c>
      <c r="E320" s="1" t="n">
        <v>46299</v>
      </c>
      <c r="F320" t="inlineStr">
        <is>
          <t>VÄRMLANDS LÄN</t>
        </is>
      </c>
      <c r="G320" t="inlineStr">
        <is>
          <t>FILIPSTAD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45088</v>
      </c>
      <c r="E321" s="1" t="n">
        <v>46299</v>
      </c>
      <c r="F321" t="inlineStr">
        <is>
          <t>VÄRMLANDS LÄN</t>
        </is>
      </c>
      <c r="G321" t="inlineStr">
        <is>
          <t>FILIPSTAD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46299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46299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46108</v>
      </c>
      <c r="E324" s="1" t="n">
        <v>46299</v>
      </c>
      <c r="F324" t="inlineStr">
        <is>
          <t>VÄRMLANDS LÄN</t>
        </is>
      </c>
      <c r="G324" t="inlineStr">
        <is>
          <t>FILIPSTAD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45867</v>
      </c>
      <c r="E325" s="1" t="n">
        <v>46299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20661-2026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46141</v>
      </c>
      <c r="E326" s="1" t="n">
        <v>46299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24139-2024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45456</v>
      </c>
      <c r="E327" s="1" t="n">
        <v>46299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45750</v>
      </c>
      <c r="E328" s="1" t="n">
        <v>46299</v>
      </c>
      <c r="F328" t="inlineStr">
        <is>
          <t>VÄRMLANDS LÄN</t>
        </is>
      </c>
      <c r="G328" t="inlineStr">
        <is>
          <t>FILIPSTAD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37733-2025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45880</v>
      </c>
      <c r="E329" s="1" t="n">
        <v>46299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45167</v>
      </c>
      <c r="E330" s="1" t="n">
        <v>46299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20554-2025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45775</v>
      </c>
      <c r="E331" s="1" t="n">
        <v>46299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61741-2022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46299</v>
      </c>
      <c r="F332" t="inlineStr">
        <is>
          <t>VÄRMLANDS LÄN</t>
        </is>
      </c>
      <c r="G332" t="inlineStr">
        <is>
          <t>FILIPSTAD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46299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45870</v>
      </c>
      <c r="E334" s="1" t="n">
        <v>46299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46299</v>
      </c>
      <c r="F335" t="inlineStr">
        <is>
          <t>VÄRMLANDS LÄN</t>
        </is>
      </c>
      <c r="G335" t="inlineStr">
        <is>
          <t>FILIPSTAD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28161-2023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45093</v>
      </c>
      <c r="E336" s="1" t="n">
        <v>46299</v>
      </c>
      <c r="F336" t="inlineStr">
        <is>
          <t>VÄRMLANDS LÄN</t>
        </is>
      </c>
      <c r="G336" t="inlineStr">
        <is>
          <t>FILIPSTAD</t>
        </is>
      </c>
      <c r="H336" t="inlineStr">
        <is>
          <t>Kommuner</t>
        </is>
      </c>
      <c r="I336" t="n">
        <v>15.4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46299</v>
      </c>
      <c r="F337" t="inlineStr">
        <is>
          <t>VÄRMLANDS LÄN</t>
        </is>
      </c>
      <c r="G337" t="inlineStr">
        <is>
          <t>FILIPSTAD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46299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45436</v>
      </c>
      <c r="E339" s="1" t="n">
        <v>46299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45418</v>
      </c>
      <c r="E340" s="1" t="n">
        <v>46299</v>
      </c>
      <c r="F340" t="inlineStr">
        <is>
          <t>VÄRMLANDS LÄN</t>
        </is>
      </c>
      <c r="G340" t="inlineStr">
        <is>
          <t>FILIPSTAD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46148</v>
      </c>
      <c r="E341" s="1" t="n">
        <v>46299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46299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46299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46299</v>
      </c>
      <c r="F344" t="inlineStr">
        <is>
          <t>VÄRMLANDS LÄN</t>
        </is>
      </c>
      <c r="G344" t="inlineStr">
        <is>
          <t>FILIPSTAD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46299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46299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22220-2026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46299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45229</v>
      </c>
      <c r="E348" s="1" t="n">
        <v>46299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46299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46299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22152-2026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46299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46299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46299</v>
      </c>
      <c r="F353" t="inlineStr">
        <is>
          <t>VÄRMLANDS LÄN</t>
        </is>
      </c>
      <c r="G353" t="inlineStr">
        <is>
          <t>FILIPSTAD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46299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46299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46299</v>
      </c>
      <c r="F356" t="inlineStr">
        <is>
          <t>VÄRMLANDS LÄN</t>
        </is>
      </c>
      <c r="G356" t="inlineStr">
        <is>
          <t>FILIPSTAD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46299</v>
      </c>
      <c r="F357" t="inlineStr">
        <is>
          <t>VÄRMLANDS LÄN</t>
        </is>
      </c>
      <c r="G357" t="inlineStr">
        <is>
          <t>FILIPSTAD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46299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46299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45428</v>
      </c>
      <c r="E360" s="1" t="n">
        <v>46299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36251-2022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44803</v>
      </c>
      <c r="E361" s="1" t="n">
        <v>46299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46299</v>
      </c>
      <c r="F362" t="inlineStr">
        <is>
          <t>VÄRMLANDS LÄN</t>
        </is>
      </c>
      <c r="G362" t="inlineStr">
        <is>
          <t>FILIPSTAD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45658</v>
      </c>
      <c r="E363" s="1" t="n">
        <v>46299</v>
      </c>
      <c r="F363" t="inlineStr">
        <is>
          <t>VÄRMLANDS LÄN</t>
        </is>
      </c>
      <c r="G363" t="inlineStr">
        <is>
          <t>FILIPSTAD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23440-2026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46299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46299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45401</v>
      </c>
      <c r="E366" s="1" t="n">
        <v>46299</v>
      </c>
      <c r="F366" t="inlineStr">
        <is>
          <t>VÄRMLANDS LÄN</t>
        </is>
      </c>
      <c r="G366" t="inlineStr">
        <is>
          <t>FILIPSTAD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54735-2024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45618</v>
      </c>
      <c r="E367" s="1" t="n">
        <v>46299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45384</v>
      </c>
      <c r="E368" s="1" t="n">
        <v>46299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46299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46299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23620-2023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45077</v>
      </c>
      <c r="E371" s="1" t="n">
        <v>46299</v>
      </c>
      <c r="F371" t="inlineStr">
        <is>
          <t>VÄRMLANDS LÄN</t>
        </is>
      </c>
      <c r="G371" t="inlineStr">
        <is>
          <t>FILIPSTAD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46299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17.9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46299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45229</v>
      </c>
      <c r="E374" s="1" t="n">
        <v>46299</v>
      </c>
      <c r="F374" t="inlineStr">
        <is>
          <t>VÄRMLANDS LÄN</t>
        </is>
      </c>
      <c r="G374" t="inlineStr">
        <is>
          <t>FILIPSTAD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29474-2024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45484</v>
      </c>
      <c r="E375" s="1" t="n">
        <v>46299</v>
      </c>
      <c r="F375" t="inlineStr">
        <is>
          <t>VÄRMLANDS LÄN</t>
        </is>
      </c>
      <c r="G375" t="inlineStr">
        <is>
          <t>FILIPSTAD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45327</v>
      </c>
      <c r="E376" s="1" t="n">
        <v>46299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23943-2026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46299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23952-2026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46299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46299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46299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46299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46299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23970-2026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46299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46299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46299</v>
      </c>
      <c r="F385" t="inlineStr">
        <is>
          <t>VÄRMLANDS LÄN</t>
        </is>
      </c>
      <c r="G385" t="inlineStr">
        <is>
          <t>FILIPSTAD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46299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46299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46299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46299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23959-2026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46299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46299</v>
      </c>
      <c r="F391" t="inlineStr">
        <is>
          <t>VÄRMLANDS LÄN</t>
        </is>
      </c>
      <c r="G391" t="inlineStr">
        <is>
          <t>FILIPSTAD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46299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24291-2026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46169</v>
      </c>
      <c r="E393" s="1" t="n">
        <v>46299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46299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49935-2025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45940</v>
      </c>
      <c r="E395" s="1" t="n">
        <v>46299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46299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46299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24529-2026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46299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46299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24537-2026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46299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24452-2026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46299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24453-2026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46299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46299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46299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45749</v>
      </c>
      <c r="E405" s="1" t="n">
        <v>46299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46299</v>
      </c>
      <c r="F406" t="inlineStr">
        <is>
          <t>VÄRMLANDS LÄN</t>
        </is>
      </c>
      <c r="G406" t="inlineStr">
        <is>
          <t>FILIPSTAD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50786-2024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45602</v>
      </c>
      <c r="E407" s="1" t="n">
        <v>46299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32183-2025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45835</v>
      </c>
      <c r="E408" s="1" t="n">
        <v>46299</v>
      </c>
      <c r="F408" t="inlineStr">
        <is>
          <t>VÄRMLANDS LÄN</t>
        </is>
      </c>
      <c r="G408" t="inlineStr">
        <is>
          <t>FILIPSTAD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38175-2025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45882</v>
      </c>
      <c r="E409" s="1" t="n">
        <v>46299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46299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46299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46299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46299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47890-2024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45588</v>
      </c>
      <c r="E414" s="1" t="n">
        <v>46299</v>
      </c>
      <c r="F414" t="inlineStr">
        <is>
          <t>VÄRMLANDS LÄN</t>
        </is>
      </c>
      <c r="G414" t="inlineStr">
        <is>
          <t>FILIPSTAD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45391</v>
      </c>
      <c r="E415" s="1" t="n">
        <v>46299</v>
      </c>
      <c r="F415" t="inlineStr">
        <is>
          <t>VÄRMLANDS LÄN</t>
        </is>
      </c>
      <c r="G415" t="inlineStr">
        <is>
          <t>FILIPSTAD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70405-2021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44536</v>
      </c>
      <c r="E416" s="1" t="n">
        <v>46299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44579</v>
      </c>
      <c r="E417" s="1" t="n">
        <v>46299</v>
      </c>
      <c r="F417" t="inlineStr">
        <is>
          <t>VÄRMLANDS LÄN</t>
        </is>
      </c>
      <c r="G417" t="inlineStr">
        <is>
          <t>FILIPSTAD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46299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46299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46299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46299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46299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46299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46299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61628-2022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44911</v>
      </c>
      <c r="E425" s="1" t="n">
        <v>46299</v>
      </c>
      <c r="F425" t="inlineStr">
        <is>
          <t>VÄRMLANDS LÄN</t>
        </is>
      </c>
      <c r="G425" t="inlineStr">
        <is>
          <t>FILIPSTAD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46299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46299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25786-2026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46299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46299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46299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46187</v>
      </c>
      <c r="E431" s="1" t="n">
        <v>46299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46185</v>
      </c>
      <c r="E432" s="1" t="n">
        <v>46299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46299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46186</v>
      </c>
      <c r="E434" s="1" t="n">
        <v>46299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46299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45037</v>
      </c>
      <c r="E436" s="1" t="n">
        <v>46299</v>
      </c>
      <c r="F436" t="inlineStr">
        <is>
          <t>VÄRMLANDS LÄN</t>
        </is>
      </c>
      <c r="G436" t="inlineStr">
        <is>
          <t>FILIPSTAD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33671-2022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44789</v>
      </c>
      <c r="E437" s="1" t="n">
        <v>46299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36827-2022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44805</v>
      </c>
      <c r="E438" s="1" t="n">
        <v>46299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45202</v>
      </c>
      <c r="E439" s="1" t="n">
        <v>46299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27774-2026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46299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45133</v>
      </c>
      <c r="E441" s="1" t="n">
        <v>46299</v>
      </c>
      <c r="F441" t="inlineStr">
        <is>
          <t>VÄRMLANDS LÄN</t>
        </is>
      </c>
      <c r="G441" t="inlineStr">
        <is>
          <t>FILIPSTAD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46299</v>
      </c>
      <c r="F442" t="inlineStr">
        <is>
          <t>VÄRMLANDS LÄN</t>
        </is>
      </c>
      <c r="G442" t="inlineStr">
        <is>
          <t>FILIPSTAD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45947</v>
      </c>
      <c r="E443" s="1" t="n">
        <v>46299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45456</v>
      </c>
      <c r="E444" s="1" t="n">
        <v>46299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46299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46299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28516-2026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46299</v>
      </c>
      <c r="F447" t="inlineStr">
        <is>
          <t>VÄRMLANDS LÄN</t>
        </is>
      </c>
      <c r="G447" t="inlineStr">
        <is>
          <t>FILIPSTAD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28419-2026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46299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46257-2022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44847</v>
      </c>
      <c r="E449" s="1" t="n">
        <v>46299</v>
      </c>
      <c r="F449" t="inlineStr">
        <is>
          <t>VÄRMLANDS LÄN</t>
        </is>
      </c>
      <c r="G449" t="inlineStr">
        <is>
          <t>FILIPSTAD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54836-2023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45229</v>
      </c>
      <c r="E450" s="1" t="n">
        <v>46299</v>
      </c>
      <c r="F450" t="inlineStr">
        <is>
          <t>VÄRMLANDS LÄN</t>
        </is>
      </c>
      <c r="G450" t="inlineStr">
        <is>
          <t>FILIPSTAD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46299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46299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46202</v>
      </c>
      <c r="E453" s="1" t="n">
        <v>46299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46299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46299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46203</v>
      </c>
      <c r="E456" s="1" t="n">
        <v>46299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23618-2023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45077</v>
      </c>
      <c r="E457" s="1" t="n">
        <v>46299</v>
      </c>
      <c r="F457" t="inlineStr">
        <is>
          <t>VÄRMLANDS LÄN</t>
        </is>
      </c>
      <c r="G457" t="inlineStr">
        <is>
          <t>FILIPSTAD</t>
        </is>
      </c>
      <c r="I457" t="n">
        <v>15.8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46090</v>
      </c>
      <c r="E458" s="1" t="n">
        <v>46299</v>
      </c>
      <c r="F458" t="inlineStr">
        <is>
          <t>VÄRMLANDS LÄN</t>
        </is>
      </c>
      <c r="G458" t="inlineStr">
        <is>
          <t>FILIPSTAD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44960</v>
      </c>
      <c r="E459" s="1" t="n">
        <v>46299</v>
      </c>
      <c r="F459" t="inlineStr">
        <is>
          <t>VÄRMLANDS LÄN</t>
        </is>
      </c>
      <c r="G459" t="inlineStr">
        <is>
          <t>FILIPSTAD</t>
        </is>
      </c>
      <c r="H459" t="inlineStr">
        <is>
          <t>Kommuner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29473-2024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45484</v>
      </c>
      <c r="E460" s="1" t="n">
        <v>46299</v>
      </c>
      <c r="F460" t="inlineStr">
        <is>
          <t>VÄRMLANDS LÄN</t>
        </is>
      </c>
      <c r="G460" t="inlineStr">
        <is>
          <t>FILIPSTAD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46203</v>
      </c>
      <c r="E461" s="1" t="n">
        <v>46299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46299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46299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44588</v>
      </c>
      <c r="E464" s="1" t="n">
        <v>46299</v>
      </c>
      <c r="F464" t="inlineStr">
        <is>
          <t>VÄRMLANDS LÄN</t>
        </is>
      </c>
      <c r="G464" t="inlineStr">
        <is>
          <t>FILIPSTAD</t>
        </is>
      </c>
      <c r="H464" t="inlineStr">
        <is>
          <t>Kommuner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46299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46299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21593-2023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45063</v>
      </c>
      <c r="E467" s="1" t="n">
        <v>46299</v>
      </c>
      <c r="F467" t="inlineStr">
        <is>
          <t>VÄRMLANDS LÄN</t>
        </is>
      </c>
      <c r="G467" t="inlineStr">
        <is>
          <t>FILIPSTAD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46299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44981</v>
      </c>
      <c r="E469" s="1" t="n">
        <v>46299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46299</v>
      </c>
      <c r="F470" t="inlineStr">
        <is>
          <t>VÄRMLANDS LÄN</t>
        </is>
      </c>
      <c r="G470" t="inlineStr">
        <is>
          <t>FILIPSTAD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47536-2023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45203</v>
      </c>
      <c r="E471" s="1" t="n">
        <v>46299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45463</v>
      </c>
      <c r="E472" s="1" t="n">
        <v>46299</v>
      </c>
      <c r="F472" t="inlineStr">
        <is>
          <t>VÄRMLANDS LÄN</t>
        </is>
      </c>
      <c r="G472" t="inlineStr">
        <is>
          <t>FILIPSTAD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46299</v>
      </c>
      <c r="F473" t="inlineStr">
        <is>
          <t>VÄRMLANDS LÄN</t>
        </is>
      </c>
      <c r="G473" t="inlineStr">
        <is>
          <t>FILIPSTAD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46210</v>
      </c>
      <c r="E474" s="1" t="n">
        <v>46299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46212</v>
      </c>
      <c r="E475" s="1" t="n">
        <v>46299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46259</v>
      </c>
      <c r="E476" s="1" t="n">
        <v>46299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34916-2026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46259</v>
      </c>
      <c r="E477" s="1" t="n">
        <v>46299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45516-2024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45578</v>
      </c>
      <c r="E478" s="1" t="n">
        <v>46299</v>
      </c>
      <c r="F478" t="inlineStr">
        <is>
          <t>VÄRMLANDS LÄN</t>
        </is>
      </c>
      <c r="G478" t="inlineStr">
        <is>
          <t>FILIPSTAD</t>
        </is>
      </c>
      <c r="I478" t="n">
        <v>27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32262-2023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45120</v>
      </c>
      <c r="E479" s="1" t="n">
        <v>46299</v>
      </c>
      <c r="F479" t="inlineStr">
        <is>
          <t>VÄRMLANDS LÄN</t>
        </is>
      </c>
      <c r="G479" t="inlineStr">
        <is>
          <t>FILIPSTAD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31283-2026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46218</v>
      </c>
      <c r="E480" s="1" t="n">
        <v>46299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46261</v>
      </c>
      <c r="E481" s="1" t="n">
        <v>46299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56151-2023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45240</v>
      </c>
      <c r="E482" s="1" t="n">
        <v>46299</v>
      </c>
      <c r="F482" t="inlineStr">
        <is>
          <t>VÄRMLANDS LÄN</t>
        </is>
      </c>
      <c r="G482" t="inlineStr">
        <is>
          <t>FILIPSTAD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46261</v>
      </c>
      <c r="E483" s="1" t="n">
        <v>46299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8.4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46261</v>
      </c>
      <c r="E484" s="1" t="n">
        <v>46299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35423-2026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46261</v>
      </c>
      <c r="E485" s="1" t="n">
        <v>46299</v>
      </c>
      <c r="F485" t="inlineStr">
        <is>
          <t>VÄRMLANDS LÄN</t>
        </is>
      </c>
      <c r="G485" t="inlineStr">
        <is>
          <t>FILIPSTAD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46299</v>
      </c>
      <c r="F486" t="inlineStr">
        <is>
          <t>VÄRMLANDS LÄN</t>
        </is>
      </c>
      <c r="G486" t="inlineStr">
        <is>
          <t>FILIPSTAD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47344-2023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45202</v>
      </c>
      <c r="E487" s="1" t="n">
        <v>46299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31548-2026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46223</v>
      </c>
      <c r="E488" s="1" t="n">
        <v>46299</v>
      </c>
      <c r="F488" t="inlineStr">
        <is>
          <t>VÄRMLANDS LÄN</t>
        </is>
      </c>
      <c r="G488" t="inlineStr">
        <is>
          <t>FILIPSTAD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46264</v>
      </c>
      <c r="E489" s="1" t="n">
        <v>46299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46265</v>
      </c>
      <c r="E490" s="1" t="n">
        <v>46299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46264</v>
      </c>
      <c r="E491" s="1" t="n">
        <v>46299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31537-2026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46223</v>
      </c>
      <c r="E492" s="1" t="n">
        <v>46299</v>
      </c>
      <c r="F492" t="inlineStr">
        <is>
          <t>VÄRMLANDS LÄN</t>
        </is>
      </c>
      <c r="G492" t="inlineStr">
        <is>
          <t>FILIPSTAD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46299</v>
      </c>
      <c r="F493" t="inlineStr">
        <is>
          <t>VÄRMLANDS LÄN</t>
        </is>
      </c>
      <c r="G493" t="inlineStr">
        <is>
          <t>FILIPSTAD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46219</v>
      </c>
      <c r="E494" s="1" t="n">
        <v>46299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45418</v>
      </c>
      <c r="E495" s="1" t="n">
        <v>46299</v>
      </c>
      <c r="F495" t="inlineStr">
        <is>
          <t>VÄRMLANDS LÄN</t>
        </is>
      </c>
      <c r="G495" t="inlineStr">
        <is>
          <t>FILIPSTAD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35927-2026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46266</v>
      </c>
      <c r="E496" s="1" t="n">
        <v>46299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46299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46267</v>
      </c>
      <c r="E498" s="1" t="n">
        <v>46299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54145-2024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46299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46266</v>
      </c>
      <c r="E500" s="1" t="n">
        <v>46299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46266</v>
      </c>
      <c r="E501" s="1" t="n">
        <v>46299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36297-2026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46268</v>
      </c>
      <c r="E502" s="1" t="n">
        <v>46299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36508-2026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46269</v>
      </c>
      <c r="E503" s="1" t="n">
        <v>46299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55397-2022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44887</v>
      </c>
      <c r="E504" s="1" t="n">
        <v>46299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46299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46269</v>
      </c>
      <c r="E506" s="1" t="n">
        <v>46299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36456-2026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46269</v>
      </c>
      <c r="E507" s="1" t="n">
        <v>46299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46225</v>
      </c>
      <c r="E508" s="1" t="n">
        <v>46299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41075-2023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45173</v>
      </c>
      <c r="E509" s="1" t="n">
        <v>46299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31688-2026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46226</v>
      </c>
      <c r="E510" s="1" t="n">
        <v>46299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31699-2026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46299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46226</v>
      </c>
      <c r="E512" s="1" t="n">
        <v>46299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46227</v>
      </c>
      <c r="E513" s="1" t="n">
        <v>46299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46272</v>
      </c>
      <c r="E514" s="1" t="n">
        <v>46299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46227</v>
      </c>
      <c r="E515" s="1" t="n">
        <v>46299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36955-2026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46273</v>
      </c>
      <c r="E516" s="1" t="n">
        <v>46299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46299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46299</v>
      </c>
      <c r="F518" t="inlineStr">
        <is>
          <t>VÄRMLANDS LÄN</t>
        </is>
      </c>
      <c r="G518" t="inlineStr">
        <is>
          <t>FILIPSTAD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46299</v>
      </c>
      <c r="F519" t="inlineStr">
        <is>
          <t>VÄRMLANDS LÄN</t>
        </is>
      </c>
      <c r="G519" t="inlineStr">
        <is>
          <t>FILIPSTAD</t>
        </is>
      </c>
      <c r="H519" t="inlineStr">
        <is>
          <t>Kyrkan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46299</v>
      </c>
      <c r="F520" t="inlineStr">
        <is>
          <t>VÄRMLANDS LÄN</t>
        </is>
      </c>
      <c r="G520" t="inlineStr">
        <is>
          <t>FILIPSTAD</t>
        </is>
      </c>
      <c r="I520" t="n">
        <v>11.6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4819-2023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44957</v>
      </c>
      <c r="E521" s="1" t="n">
        <v>46299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46186</v>
      </c>
      <c r="E522" s="1" t="n">
        <v>46299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46232</v>
      </c>
      <c r="E523" s="1" t="n">
        <v>46299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46274</v>
      </c>
      <c r="E524" s="1" t="n">
        <v>46299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46231</v>
      </c>
      <c r="E525" s="1" t="n">
        <v>46299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46232</v>
      </c>
      <c r="E526" s="1" t="n">
        <v>46299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31963-2026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46232</v>
      </c>
      <c r="E527" s="1" t="n">
        <v>46299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8.699999999999999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46233</v>
      </c>
      <c r="E528" s="1" t="n">
        <v>46299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37519-2026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46276</v>
      </c>
      <c r="E529" s="1" t="n">
        <v>46299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46299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32141-2026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46234</v>
      </c>
      <c r="E531" s="1" t="n">
        <v>46299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16.5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46269</v>
      </c>
      <c r="E532" s="1" t="n">
        <v>46299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46299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32248-2026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46237</v>
      </c>
      <c r="E534" s="1" t="n">
        <v>46299</v>
      </c>
      <c r="F534" t="inlineStr">
        <is>
          <t>VÄRMLANDS LÄN</t>
        </is>
      </c>
      <c r="G534" t="inlineStr">
        <is>
          <t>FILIPSTAD</t>
        </is>
      </c>
      <c r="I534" t="n">
        <v>13.4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32249-2026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46237</v>
      </c>
      <c r="E535" s="1" t="n">
        <v>46299</v>
      </c>
      <c r="F535" t="inlineStr">
        <is>
          <t>VÄRMLANDS LÄN</t>
        </is>
      </c>
      <c r="G535" t="inlineStr">
        <is>
          <t>FILIPSTAD</t>
        </is>
      </c>
      <c r="H535" t="inlineStr">
        <is>
          <t>Kommuner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46233</v>
      </c>
      <c r="E536" s="1" t="n">
        <v>46299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46299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45474</v>
      </c>
      <c r="E538" s="1" t="n">
        <v>46299</v>
      </c>
      <c r="F538" t="inlineStr">
        <is>
          <t>VÄRMLANDS LÄN</t>
        </is>
      </c>
      <c r="G538" t="inlineStr">
        <is>
          <t>FILIPSTAD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32185-2024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45511</v>
      </c>
      <c r="E539" s="1" t="n">
        <v>46299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5754-2022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44596</v>
      </c>
      <c r="E540" s="1" t="n">
        <v>46299</v>
      </c>
      <c r="F540" t="inlineStr">
        <is>
          <t>VÄRMLANDS LÄN</t>
        </is>
      </c>
      <c r="G540" t="inlineStr">
        <is>
          <t>FILIPSTAD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43635-2023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45186</v>
      </c>
      <c r="E541" s="1" t="n">
        <v>46299</v>
      </c>
      <c r="F541" t="inlineStr">
        <is>
          <t>VÄRMLANDS LÄN</t>
        </is>
      </c>
      <c r="G541" t="inlineStr">
        <is>
          <t>FILIPSTAD</t>
        </is>
      </c>
      <c r="I541" t="n">
        <v>15.3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46299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38578-2026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46283</v>
      </c>
      <c r="E543" s="1" t="n">
        <v>46299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46282</v>
      </c>
      <c r="E544" s="1" t="n">
        <v>46299</v>
      </c>
      <c r="F544" t="inlineStr">
        <is>
          <t>VÄRMLANDS LÄN</t>
        </is>
      </c>
      <c r="G544" t="inlineStr">
        <is>
          <t>FILIPSTAD</t>
        </is>
      </c>
      <c r="H544" t="inlineStr">
        <is>
          <t>Kyrkan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46239</v>
      </c>
      <c r="E545" s="1" t="n">
        <v>46299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45569</v>
      </c>
      <c r="E546" s="1" t="n">
        <v>46299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31358-2023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45114</v>
      </c>
      <c r="E547" s="1" t="n">
        <v>46299</v>
      </c>
      <c r="F547" t="inlineStr">
        <is>
          <t>VÄRMLANDS LÄN</t>
        </is>
      </c>
      <c r="G547" t="inlineStr">
        <is>
          <t>FILIPSTAD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57026-2023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46299</v>
      </c>
      <c r="F548" t="inlineStr">
        <is>
          <t>VÄRMLANDS LÄN</t>
        </is>
      </c>
      <c r="G548" t="inlineStr">
        <is>
          <t>FILIPSTAD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46239</v>
      </c>
      <c r="E549" s="1" t="n">
        <v>46299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32601-2026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46240</v>
      </c>
      <c r="E550" s="1" t="n">
        <v>46299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46680-2024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45583</v>
      </c>
      <c r="E551" s="1" t="n">
        <v>46299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46239</v>
      </c>
      <c r="E552" s="1" t="n">
        <v>46299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46299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19030-2022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44691</v>
      </c>
      <c r="E554" s="1" t="n">
        <v>46299</v>
      </c>
      <c r="F554" t="inlineStr">
        <is>
          <t>VÄRMLANDS LÄN</t>
        </is>
      </c>
      <c r="G554" t="inlineStr">
        <is>
          <t>FILIPSTAD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46240</v>
      </c>
      <c r="E555" s="1" t="n">
        <v>46299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32603-2026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46240</v>
      </c>
      <c r="E556" s="1" t="n">
        <v>46299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27080-2023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45096</v>
      </c>
      <c r="E557" s="1" t="n">
        <v>46299</v>
      </c>
      <c r="F557" t="inlineStr">
        <is>
          <t>VÄRMLANDS LÄN</t>
        </is>
      </c>
      <c r="G557" t="inlineStr">
        <is>
          <t>FILIPSTAD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46287</v>
      </c>
      <c r="E558" s="1" t="n">
        <v>46299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48908-2023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46299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38820-2026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46286</v>
      </c>
      <c r="E560" s="1" t="n">
        <v>46299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18892-2026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46129</v>
      </c>
      <c r="E561" s="1" t="n">
        <v>46299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62013-2024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45655</v>
      </c>
      <c r="E562" s="1" t="n">
        <v>46299</v>
      </c>
      <c r="F562" t="inlineStr">
        <is>
          <t>VÄRMLANDS LÄN</t>
        </is>
      </c>
      <c r="G562" t="inlineStr">
        <is>
          <t>FILIPSTAD</t>
        </is>
      </c>
      <c r="I562" t="n">
        <v>26.5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62014-2024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45655</v>
      </c>
      <c r="E563" s="1" t="n">
        <v>46299</v>
      </c>
      <c r="F563" t="inlineStr">
        <is>
          <t>VÄRMLANDS LÄN</t>
        </is>
      </c>
      <c r="G563" t="inlineStr">
        <is>
          <t>FILIPSTAD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46299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46299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46245</v>
      </c>
      <c r="E566" s="1" t="n">
        <v>46299</v>
      </c>
      <c r="F566" t="inlineStr">
        <is>
          <t>VÄRMLANDS LÄN</t>
        </is>
      </c>
      <c r="G566" t="inlineStr">
        <is>
          <t>FILIPSTAD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46241</v>
      </c>
      <c r="E567" s="1" t="n">
        <v>46299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1170-2023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44935</v>
      </c>
      <c r="E568" s="1" t="n">
        <v>46299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32980-2026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46244</v>
      </c>
      <c r="E569" s="1" t="n">
        <v>46299</v>
      </c>
      <c r="F569" t="inlineStr">
        <is>
          <t>VÄRMLANDS LÄN</t>
        </is>
      </c>
      <c r="G569" t="inlineStr">
        <is>
          <t>FILIPSTAD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46299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39591-2026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46299</v>
      </c>
      <c r="F571" t="inlineStr">
        <is>
          <t>VÄRMLANDS LÄN</t>
        </is>
      </c>
      <c r="G571" t="inlineStr">
        <is>
          <t>FILIPSTAD</t>
        </is>
      </c>
      <c r="H571" t="inlineStr">
        <is>
          <t>Kyrkan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46299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46299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46288</v>
      </c>
      <c r="E574" s="1" t="n">
        <v>46299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33324-2026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46246</v>
      </c>
      <c r="E575" s="1" t="n">
        <v>46299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39333-2026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46288</v>
      </c>
      <c r="E576" s="1" t="n">
        <v>46299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53562-2023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45230</v>
      </c>
      <c r="E577" s="1" t="n">
        <v>46299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39893-2026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46290</v>
      </c>
      <c r="E578" s="1" t="n">
        <v>46299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63411-2023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45274</v>
      </c>
      <c r="E579" s="1" t="n">
        <v>46299</v>
      </c>
      <c r="F579" t="inlineStr">
        <is>
          <t>VÄRMLANDS LÄN</t>
        </is>
      </c>
      <c r="G579" t="inlineStr">
        <is>
          <t>FILIPSTAD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46247</v>
      </c>
      <c r="E580" s="1" t="n">
        <v>46299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46299</v>
      </c>
      <c r="F581" t="inlineStr">
        <is>
          <t>VÄRMLANDS LÄN</t>
        </is>
      </c>
      <c r="G581" t="inlineStr">
        <is>
          <t>FILIPSTAD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43484-2023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45184</v>
      </c>
      <c r="E582" s="1" t="n">
        <v>46299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33973-2023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45124</v>
      </c>
      <c r="E583" s="1" t="n">
        <v>46299</v>
      </c>
      <c r="F583" t="inlineStr">
        <is>
          <t>VÄRMLANDS LÄN</t>
        </is>
      </c>
      <c r="G583" t="inlineStr">
        <is>
          <t>FILIPSTAD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40092-2026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46293</v>
      </c>
      <c r="E584" s="1" t="n">
        <v>46299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40121-2026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46293</v>
      </c>
      <c r="E585" s="1" t="n">
        <v>46299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34262-2024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45524</v>
      </c>
      <c r="E586" s="1" t="n">
        <v>46299</v>
      </c>
      <c r="F586" t="inlineStr">
        <is>
          <t>VÄRMLANDS LÄN</t>
        </is>
      </c>
      <c r="G586" t="inlineStr">
        <is>
          <t>FILIPSTAD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46293</v>
      </c>
      <c r="E587" s="1" t="n">
        <v>46299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46252</v>
      </c>
      <c r="E588" s="1" t="n">
        <v>46299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46299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45579</v>
      </c>
      <c r="E590" s="1" t="n">
        <v>46299</v>
      </c>
      <c r="F590" t="inlineStr">
        <is>
          <t>VÄRMLANDS LÄN</t>
        </is>
      </c>
      <c r="G590" t="inlineStr">
        <is>
          <t>FILIPSTAD</t>
        </is>
      </c>
      <c r="H590" t="inlineStr">
        <is>
          <t>Kyrkan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43264-2024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45568</v>
      </c>
      <c r="E591" s="1" t="n">
        <v>46299</v>
      </c>
      <c r="F591" t="inlineStr">
        <is>
          <t>VÄRMLANDS LÄN</t>
        </is>
      </c>
      <c r="G591" t="inlineStr">
        <is>
          <t>FILIPSTAD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34054-2026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46252</v>
      </c>
      <c r="E592" s="1" t="n">
        <v>46299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46299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33837-2026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46251</v>
      </c>
      <c r="E594" s="1" t="n">
        <v>46299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6860-2024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45342</v>
      </c>
      <c r="E595" s="1" t="n">
        <v>46299</v>
      </c>
      <c r="F595" t="inlineStr">
        <is>
          <t>VÄRMLANDS LÄN</t>
        </is>
      </c>
      <c r="G595" t="inlineStr">
        <is>
          <t>FILIPSTAD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40386-2026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46294</v>
      </c>
      <c r="E596" s="1" t="n">
        <v>46299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46299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33859-2026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46251</v>
      </c>
      <c r="E598" s="1" t="n">
        <v>46299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33866-2026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46251</v>
      </c>
      <c r="E599" s="1" t="n">
        <v>46299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46272</v>
      </c>
      <c r="E600" s="1" t="n">
        <v>46299</v>
      </c>
      <c r="F600" t="inlineStr">
        <is>
          <t>VÄRMLANDS LÄN</t>
        </is>
      </c>
      <c r="G600" t="inlineStr">
        <is>
          <t>FILIPSTAD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46299</v>
      </c>
      <c r="F601" t="inlineStr">
        <is>
          <t>VÄRMLANDS LÄN</t>
        </is>
      </c>
      <c r="G601" t="inlineStr">
        <is>
          <t>FILIPSTAD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34442-2026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46254</v>
      </c>
      <c r="E602" s="1" t="n">
        <v>46299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46299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46213</v>
      </c>
      <c r="E604" s="1" t="n">
        <v>46299</v>
      </c>
      <c r="F604" t="inlineStr">
        <is>
          <t>VÄRMLANDS LÄN</t>
        </is>
      </c>
      <c r="G604" t="inlineStr">
        <is>
          <t>FILIPSTAD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46299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19.2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45567</v>
      </c>
      <c r="E606" s="1" t="n">
        <v>46299</v>
      </c>
      <c r="F606" t="inlineStr">
        <is>
          <t>VÄRMLANDS LÄN</t>
        </is>
      </c>
      <c r="G606" t="inlineStr">
        <is>
          <t>FILIPSTAD</t>
        </is>
      </c>
      <c r="H606" t="inlineStr">
        <is>
          <t>Kyrkan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6683-2025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45700</v>
      </c>
      <c r="E607" s="1" t="n">
        <v>46299</v>
      </c>
      <c r="F607" t="inlineStr">
        <is>
          <t>VÄRMLANDS LÄN</t>
        </is>
      </c>
      <c r="G607" t="inlineStr">
        <is>
          <t>FILIPSTAD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25376-2023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45088</v>
      </c>
      <c r="E608" s="1" t="n">
        <v>46299</v>
      </c>
      <c r="F608" t="inlineStr">
        <is>
          <t>VÄRMLANDS LÄN</t>
        </is>
      </c>
      <c r="G608" t="inlineStr">
        <is>
          <t>FILIPSTAD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69015-2021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44530</v>
      </c>
      <c r="E609" s="1" t="n">
        <v>46299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20966-2024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45439</v>
      </c>
      <c r="E610" s="1" t="n">
        <v>46299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6520-2023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44960</v>
      </c>
      <c r="E611" s="1" t="n">
        <v>46299</v>
      </c>
      <c r="F611" t="inlineStr">
        <is>
          <t>VÄRMLANDS LÄN</t>
        </is>
      </c>
      <c r="G611" t="inlineStr">
        <is>
          <t>FILIPSTAD</t>
        </is>
      </c>
      <c r="H611" t="inlineStr">
        <is>
          <t>Kommuner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20661-2024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46299</v>
      </c>
      <c r="F612" t="inlineStr">
        <is>
          <t>VÄRMLANDS LÄN</t>
        </is>
      </c>
      <c r="G612" t="inlineStr">
        <is>
          <t>FILIPSTAD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53690-2022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44880</v>
      </c>
      <c r="E613" s="1" t="n">
        <v>46299</v>
      </c>
      <c r="F613" t="inlineStr">
        <is>
          <t>VÄRMLANDS LÄN</t>
        </is>
      </c>
      <c r="G613" t="inlineStr">
        <is>
          <t>FILIPSTAD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6728-2025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45700</v>
      </c>
      <c r="E614" s="1" t="n">
        <v>46299</v>
      </c>
      <c r="F614" t="inlineStr">
        <is>
          <t>VÄRMLANDS LÄN</t>
        </is>
      </c>
      <c r="G614" t="inlineStr">
        <is>
          <t>FILIPSTAD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48040-2023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45204</v>
      </c>
      <c r="E615" s="1" t="n">
        <v>46299</v>
      </c>
      <c r="F615" t="inlineStr">
        <is>
          <t>VÄRMLANDS LÄN</t>
        </is>
      </c>
      <c r="G615" t="inlineStr">
        <is>
          <t>FILIPSTAD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45720</v>
      </c>
      <c r="E616" s="1" t="n">
        <v>46299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51618-2022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44872</v>
      </c>
      <c r="E617" s="1" t="n">
        <v>46299</v>
      </c>
      <c r="F617" t="inlineStr">
        <is>
          <t>VÄRMLANDS LÄN</t>
        </is>
      </c>
      <c r="G617" t="inlineStr">
        <is>
          <t>FILIPSTAD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32786-2024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45516</v>
      </c>
      <c r="E618" s="1" t="n">
        <v>46299</v>
      </c>
      <c r="F618" t="inlineStr">
        <is>
          <t>VÄRMLANDS LÄN</t>
        </is>
      </c>
      <c r="G618" t="inlineStr">
        <is>
          <t>FILIPSTAD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37611-2022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44809</v>
      </c>
      <c r="E619" s="1" t="n">
        <v>46299</v>
      </c>
      <c r="F619" t="inlineStr">
        <is>
          <t>VÄRMLANDS LÄN</t>
        </is>
      </c>
      <c r="G619" t="inlineStr">
        <is>
          <t>FILIPSTAD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16591-2022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44672</v>
      </c>
      <c r="E620" s="1" t="n">
        <v>46299</v>
      </c>
      <c r="F620" t="inlineStr">
        <is>
          <t>VÄRMLANDS LÄN</t>
        </is>
      </c>
      <c r="G620" t="inlineStr">
        <is>
          <t>FILIPSTAD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12160-2023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44998</v>
      </c>
      <c r="E621" s="1" t="n">
        <v>46299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14432-2025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45741</v>
      </c>
      <c r="E622" s="1" t="n">
        <v>46299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27139-2024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45471</v>
      </c>
      <c r="E623" s="1" t="n">
        <v>46299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17244-2024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45414</v>
      </c>
      <c r="E624" s="1" t="n">
        <v>46299</v>
      </c>
      <c r="F624" t="inlineStr">
        <is>
          <t>VÄRMLANDS LÄN</t>
        </is>
      </c>
      <c r="G624" t="inlineStr">
        <is>
          <t>FILIPSTAD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47002-2024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45586</v>
      </c>
      <c r="E625" s="1" t="n">
        <v>46299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30646-2024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45495</v>
      </c>
      <c r="E626" s="1" t="n">
        <v>46299</v>
      </c>
      <c r="F626" t="inlineStr">
        <is>
          <t>VÄRMLANDS LÄN</t>
        </is>
      </c>
      <c r="G626" t="inlineStr">
        <is>
          <t>FILIPSTAD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20875-2024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45439</v>
      </c>
      <c r="E627" s="1" t="n">
        <v>46299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65167-2021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44515</v>
      </c>
      <c r="E628" s="1" t="n">
        <v>46299</v>
      </c>
      <c r="F628" t="inlineStr">
        <is>
          <t>VÄRMLANDS LÄN</t>
        </is>
      </c>
      <c r="G628" t="inlineStr">
        <is>
          <t>FILIPSTAD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5757-2021</t>
        </is>
      </c>
      <c r="B629" t="inlineStr">
        <is>
          <t>samrådsanmälan</t>
        </is>
      </c>
      <c r="C629" t="inlineStr">
        <is>
          <t>Basväg</t>
        </is>
      </c>
      <c r="D629" s="1" t="n">
        <v>44438</v>
      </c>
      <c r="E629" s="1" t="n">
        <v>46299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1191-2021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44328</v>
      </c>
      <c r="E630" s="1" t="n">
        <v>46299</v>
      </c>
      <c r="F630" t="inlineStr">
        <is>
          <t>VÄRMLANDS LÄN</t>
        </is>
      </c>
      <c r="G630" t="inlineStr">
        <is>
          <t>FILIPSTAD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4134-2023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46299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4115-2023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45246</v>
      </c>
      <c r="E632" s="1" t="n">
        <v>46299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46299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4132-2023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46299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4130-2023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46299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4127-2023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46299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56.4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837-2023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44991</v>
      </c>
      <c r="E637" s="1" t="n">
        <v>46299</v>
      </c>
      <c r="F637" t="inlineStr">
        <is>
          <t>VÄRMLANDS LÄN</t>
        </is>
      </c>
      <c r="G637" t="inlineStr">
        <is>
          <t>FILIPSTAD</t>
        </is>
      </c>
      <c r="I637" t="n">
        <v>19.3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46299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3919-2023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45233</v>
      </c>
      <c r="E639" s="1" t="n">
        <v>46299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4135-2023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46299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4126-2023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46299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294-2025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45687</v>
      </c>
      <c r="E642" s="1" t="n">
        <v>46299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186.4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4116-2023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45246</v>
      </c>
      <c r="E643" s="1" t="n">
        <v>46299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661-2025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45716</v>
      </c>
      <c r="E644" s="1" t="n">
        <v>46299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161.7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3429-2025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45995</v>
      </c>
      <c r="E645" s="1" t="n">
        <v>46299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3576-2025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46010</v>
      </c>
      <c r="E646" s="1" t="n">
        <v>46299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105-2026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46036</v>
      </c>
      <c r="E647" s="1" t="n">
        <v>46299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238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2026-10-04T01:57:31Z</dcterms:created>
  <dcterms:modified xmlns:dcterms="http://purl.org/dc/terms/" xmlns:xsi="http://www.w3.org/2001/XMLSchema-instance" xsi:type="dcterms:W3CDTF">2026-10-04T01:57:32Z</dcterms:modified>
</cp:coreProperties>
</file>