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46259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57471-2025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45980</v>
      </c>
      <c r="E8" s="1" t="n">
        <v>46259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14.4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36</v>
      </c>
      <c r="U8" t="n">
        <v>0</v>
      </c>
      <c r="V8" s="2" t="inlineStr">
        <is>
          <t>Garnlav
Kattfotslav
Bollvitmossa
Vågbandad barkbock
Fläcknycklar</t>
        </is>
      </c>
      <c r="W8">
        <f>HYPERLINK("https://klasma.github.io/Logging_1782/artfynd/A 57471-2025 artfynd.xlsx", "A 57471-2025")</f>
        <v/>
      </c>
      <c r="X8">
        <f>HYPERLINK("https://klasma.github.io/Logging_1782/kartor/A 57471-2025 karta.png", "A 57471-2025")</f>
        <v/>
      </c>
      <c r="Y8">
        <f>HYPERLINK("https://klasma.github.io/Logging_1782/kartor_geotiff/A 57471-2025 georefererad karta.tif", "A 57471-2025")</f>
        <v/>
      </c>
      <c r="AA8">
        <f>HYPERLINK("https://klasma.github.io/Logging_1782/klagomål/A 57471-2025 FSC-klagomål.docx", "A 57471-2025")</f>
        <v/>
      </c>
      <c r="AB8">
        <f>HYPERLINK("https://klasma.github.io/Logging_1782/klagomålsmail/A 57471-2025 FSC-klagomål mail.docx", "A 57471-2025")</f>
        <v/>
      </c>
      <c r="AC8">
        <f>HYPERLINK("https://klasma.github.io/Logging_1782/tillsyn/A 57471-2025 tillsynsbegäran.docx", "A 57471-2025")</f>
        <v/>
      </c>
      <c r="AD8">
        <f>HYPERLINK("https://klasma.github.io/Logging_1782/tillsynsmail/A 57471-2025 tillsynsbegäran mail.docx", "A 57471-2025")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46259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46259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46259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46259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46259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46259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46259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51922-2024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46259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Läderlappslav
Tjäder</t>
        </is>
      </c>
      <c r="W19">
        <f>HYPERLINK("https://klasma.github.io/Logging_1782/artfynd/A 51922-2024 artfynd.xlsx", "A 51922-2024")</f>
        <v/>
      </c>
      <c r="X19">
        <f>HYPERLINK("https://klasma.github.io/Logging_1782/kartor/A 51922-2024 karta.png", "A 51922-2024")</f>
        <v/>
      </c>
      <c r="Y19">
        <f>HYPERLINK("https://klasma.github.io/Logging_1782/kartor_geotiff/A 51922-2024 georefererad karta.tif", "A 51922-2024")</f>
        <v/>
      </c>
      <c r="AA19">
        <f>HYPERLINK("https://klasma.github.io/Logging_1782/klagomål/A 51922-2024 FSC-klagomål.docx", "A 51922-2024")</f>
        <v/>
      </c>
      <c r="AB19">
        <f>HYPERLINK("https://klasma.github.io/Logging_1782/klagomålsmail/A 51922-2024 FSC-klagomål mail.docx", "A 51922-2024")</f>
        <v/>
      </c>
      <c r="AC19">
        <f>HYPERLINK("https://klasma.github.io/Logging_1782/tillsyn/A 51922-2024 tillsynsbegäran.docx", "A 51922-2024")</f>
        <v/>
      </c>
      <c r="AD19">
        <f>HYPERLINK("https://klasma.github.io/Logging_1782/tillsynsmail/A 51922-2024 tillsynsbegäran mail.docx", "A 51922-2024")</f>
        <v/>
      </c>
      <c r="AE19">
        <f>HYPERLINK("https://klasma.github.io/Logging_1782/fåglar/A 51922-2024 prioriterade fågelarter.docx", "A 51922-2024")</f>
        <v/>
      </c>
    </row>
    <row r="20" ht="15" customHeight="1">
      <c r="A20" t="inlineStr">
        <is>
          <t>A 32438-2026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46259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Dubbelnycklar
Ängsnycklar</t>
        </is>
      </c>
      <c r="W20">
        <f>HYPERLINK("https://klasma.github.io/Logging_1782/artfynd/A 32438-2026 artfynd.xlsx", "A 32438-2026")</f>
        <v/>
      </c>
      <c r="X20">
        <f>HYPERLINK("https://klasma.github.io/Logging_1782/kartor/A 32438-2026 karta.png", "A 32438-2026")</f>
        <v/>
      </c>
      <c r="Y20">
        <f>HYPERLINK("https://klasma.github.io/Logging_1782/kartor_geotiff/A 32438-2026 georefererad karta.tif", "A 32438-2026")</f>
        <v/>
      </c>
      <c r="AA20">
        <f>HYPERLINK("https://klasma.github.io/Logging_1782/klagomål/A 32438-2026 FSC-klagomål.docx", "A 32438-2026")</f>
        <v/>
      </c>
      <c r="AB20">
        <f>HYPERLINK("https://klasma.github.io/Logging_1782/klagomålsmail/A 32438-2026 FSC-klagomål mail.docx", "A 32438-2026")</f>
        <v/>
      </c>
      <c r="AC20">
        <f>HYPERLINK("https://klasma.github.io/Logging_1782/tillsyn/A 32438-2026 tillsynsbegäran.docx", "A 32438-2026")</f>
        <v/>
      </c>
      <c r="AD20">
        <f>HYPERLINK("https://klasma.github.io/Logging_1782/tillsynsmail/A 32438-2026 tillsynsbegäran mail.docx", "A 32438-2026")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46259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46259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46259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46259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46259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46259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46259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46259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46259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46259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46259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46259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38140-2024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46259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HYPERLINK("https://klasma.github.io/Logging_1782/artfynd/A 38140-2024 artfynd.xlsx", "A 38140-2024")</f>
        <v/>
      </c>
      <c r="X33">
        <f>HYPERLINK("https://klasma.github.io/Logging_1782/kartor/A 38140-2024 karta.png", "A 38140-2024")</f>
        <v/>
      </c>
      <c r="Y33">
        <f>HYPERLINK("https://klasma.github.io/Logging_1782/kartor_geotiff/A 38140-2024 georefererad karta.tif", "A 38140-2024")</f>
        <v/>
      </c>
      <c r="AA33">
        <f>HYPERLINK("https://klasma.github.io/Logging_1782/klagomål/A 38140-2024 FSC-klagomål.docx", "A 38140-2024")</f>
        <v/>
      </c>
      <c r="AB33">
        <f>HYPERLINK("https://klasma.github.io/Logging_1782/klagomålsmail/A 38140-2024 FSC-klagomål mail.docx", "A 38140-2024")</f>
        <v/>
      </c>
      <c r="AC33">
        <f>HYPERLINK("https://klasma.github.io/Logging_1782/tillsyn/A 38140-2024 tillsynsbegäran.docx", "A 38140-2024")</f>
        <v/>
      </c>
      <c r="AD33">
        <f>HYPERLINK("https://klasma.github.io/Logging_1782/tillsynsmail/A 38140-2024 tillsynsbegäran mail.docx", "A 38140-2024")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46259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17529-2026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46259</v>
      </c>
      <c r="F35" t="inlineStr">
        <is>
          <t>VÄRMLANDS LÄN</t>
        </is>
      </c>
      <c r="G35" t="inlineStr">
        <is>
          <t>FILIPSTAD</t>
        </is>
      </c>
      <c r="I35" t="n">
        <v>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Ädellav</t>
        </is>
      </c>
      <c r="W35">
        <f>HYPERLINK("https://klasma.github.io/Logging_1782/artfynd/A 17529-2026 artfynd.xlsx", "A 17529-2026")</f>
        <v/>
      </c>
      <c r="X35">
        <f>HYPERLINK("https://klasma.github.io/Logging_1782/kartor/A 17529-2026 karta.png", "A 17529-2026")</f>
        <v/>
      </c>
      <c r="Y35">
        <f>HYPERLINK("https://klasma.github.io/Logging_1782/kartor_geotiff/A 17529-2026 georefererad karta.tif", "A 17529-2026")</f>
        <v/>
      </c>
      <c r="AA35">
        <f>HYPERLINK("https://klasma.github.io/Logging_1782/klagomål/A 17529-2026 FSC-klagomål.docx", "A 17529-2026")</f>
        <v/>
      </c>
      <c r="AB35">
        <f>HYPERLINK("https://klasma.github.io/Logging_1782/klagomålsmail/A 17529-2026 FSC-klagomål mail.docx", "A 17529-2026")</f>
        <v/>
      </c>
      <c r="AC35">
        <f>HYPERLINK("https://klasma.github.io/Logging_1782/tillsyn/A 17529-2026 tillsynsbegäran.docx", "A 17529-2026")</f>
        <v/>
      </c>
      <c r="AD35">
        <f>HYPERLINK("https://klasma.github.io/Logging_1782/tillsynsmail/A 17529-2026 tillsynsbegäran mail.docx", "A 17529-2026")</f>
        <v/>
      </c>
    </row>
    <row r="36" ht="15" customHeight="1">
      <c r="A36" t="inlineStr">
        <is>
          <t>A 45781-2025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45923</v>
      </c>
      <c r="E36" s="1" t="n">
        <v>46259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Brunklöver</t>
        </is>
      </c>
      <c r="W36">
        <f>HYPERLINK("https://klasma.github.io/Logging_1782/artfynd/A 45781-2025 artfynd.xlsx", "A 45781-2025")</f>
        <v/>
      </c>
      <c r="X36">
        <f>HYPERLINK("https://klasma.github.io/Logging_1782/kartor/A 45781-2025 karta.png", "A 45781-2025")</f>
        <v/>
      </c>
      <c r="Y36">
        <f>HYPERLINK("https://klasma.github.io/Logging_1782/kartor_geotiff/A 45781-2025 georefererad karta.tif", "A 45781-2025")</f>
        <v/>
      </c>
      <c r="AA36">
        <f>HYPERLINK("https://klasma.github.io/Logging_1782/klagomål/A 45781-2025 FSC-klagomål.docx", "A 45781-2025")</f>
        <v/>
      </c>
      <c r="AB36">
        <f>HYPERLINK("https://klasma.github.io/Logging_1782/klagomålsmail/A 45781-2025 FSC-klagomål mail.docx", "A 45781-2025")</f>
        <v/>
      </c>
      <c r="AC36">
        <f>HYPERLINK("https://klasma.github.io/Logging_1782/tillsyn/A 45781-2025 tillsynsbegäran.docx", "A 45781-2025")</f>
        <v/>
      </c>
      <c r="AD36">
        <f>HYPERLINK("https://klasma.github.io/Logging_1782/tillsynsmail/A 45781-2025 tillsynsbegäran mail.docx", "A 45781-2025")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46259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51522-2022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44869</v>
      </c>
      <c r="E38" s="1" t="n">
        <v>46259</v>
      </c>
      <c r="F38" t="inlineStr">
        <is>
          <t>VÄRMLANDS LÄN</t>
        </is>
      </c>
      <c r="G38" t="inlineStr">
        <is>
          <t>FILIPSTAD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HYPERLINK("https://klasma.github.io/Logging_1782/artfynd/A 51522-2022 artfynd.xlsx", "A 51522-2022")</f>
        <v/>
      </c>
      <c r="X38">
        <f>HYPERLINK("https://klasma.github.io/Logging_1782/kartor/A 51522-2022 karta.png", "A 51522-2022")</f>
        <v/>
      </c>
      <c r="Y38">
        <f>HYPERLINK("https://klasma.github.io/Logging_1782/kartor_geotiff/A 51522-2022 georefererad karta.tif", "A 51522-2022")</f>
        <v/>
      </c>
      <c r="AA38">
        <f>HYPERLINK("https://klasma.github.io/Logging_1782/klagomål/A 51522-2022 FSC-klagomål.docx", "A 51522-2022")</f>
        <v/>
      </c>
      <c r="AB38">
        <f>HYPERLINK("https://klasma.github.io/Logging_1782/klagomålsmail/A 51522-2022 FSC-klagomål mail.docx", "A 51522-2022")</f>
        <v/>
      </c>
      <c r="AC38">
        <f>HYPERLINK("https://klasma.github.io/Logging_1782/tillsyn/A 51522-2022 tillsynsbegäran.docx", "A 51522-2022")</f>
        <v/>
      </c>
      <c r="AD38">
        <f>HYPERLINK("https://klasma.github.io/Logging_1782/tillsynsmail/A 51522-2022 tillsynsbegäran mail.docx", "A 51522-2022")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46259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46259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4560-2025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45687</v>
      </c>
      <c r="E42" s="1" t="n">
        <v>46259</v>
      </c>
      <c r="F42" t="inlineStr">
        <is>
          <t>VÄRMLANDS LÄN</t>
        </is>
      </c>
      <c r="G42" t="inlineStr">
        <is>
          <t>FILIPSTAD</t>
        </is>
      </c>
      <c r="I42" t="n">
        <v>13.6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HYPERLINK("https://klasma.github.io/Logging_1782/artfynd/A 4560-2025 artfynd.xlsx", "A 4560-2025")</f>
        <v/>
      </c>
      <c r="X42">
        <f>HYPERLINK("https://klasma.github.io/Logging_1782/kartor/A 4560-2025 karta.png", "A 4560-2025")</f>
        <v/>
      </c>
      <c r="Y42">
        <f>HYPERLINK("https://klasma.github.io/Logging_1782/kartor_geotiff/A 4560-2025 georefererad karta.tif", "A 4560-2025")</f>
        <v/>
      </c>
      <c r="AA42">
        <f>HYPERLINK("https://klasma.github.io/Logging_1782/klagomål/A 4560-2025 FSC-klagomål.docx", "A 4560-2025")</f>
        <v/>
      </c>
      <c r="AB42">
        <f>HYPERLINK("https://klasma.github.io/Logging_1782/klagomålsmail/A 4560-2025 FSC-klagomål mail.docx", "A 4560-2025")</f>
        <v/>
      </c>
      <c r="AC42">
        <f>HYPERLINK("https://klasma.github.io/Logging_1782/tillsyn/A 4560-2025 tillsynsbegäran.docx", "A 4560-2025")</f>
        <v/>
      </c>
      <c r="AD42">
        <f>HYPERLINK("https://klasma.github.io/Logging_1782/tillsynsmail/A 4560-2025 tillsynsbegäran mail.docx", "A 4560-2025")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46259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46259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46259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46259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46259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46259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46259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46259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46259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46259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46259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46259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46259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46259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46259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46259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46259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46259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46259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46259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46259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46259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46259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46259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46259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46259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46259</v>
      </c>
      <c r="F73" t="inlineStr">
        <is>
          <t>VÄRMLANDS LÄN</t>
        </is>
      </c>
      <c r="G73" t="inlineStr">
        <is>
          <t>FILIPSTAD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45586</v>
      </c>
      <c r="E74" s="1" t="n">
        <v>46259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45700</v>
      </c>
      <c r="E75" s="1" t="n">
        <v>46259</v>
      </c>
      <c r="F75" t="inlineStr">
        <is>
          <t>VÄRMLANDS LÄN</t>
        </is>
      </c>
      <c r="G75" t="inlineStr">
        <is>
          <t>FILIPSTAD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46259</v>
      </c>
      <c r="F76" t="inlineStr">
        <is>
          <t>VÄRMLANDS LÄN</t>
        </is>
      </c>
      <c r="G76" t="inlineStr">
        <is>
          <t>FILIPSTAD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46259</v>
      </c>
      <c r="F77" t="inlineStr">
        <is>
          <t>VÄRMLANDS LÄN</t>
        </is>
      </c>
      <c r="G77" t="inlineStr">
        <is>
          <t>FILIPSTAD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45805</v>
      </c>
      <c r="E78" s="1" t="n">
        <v>46259</v>
      </c>
      <c r="F78" t="inlineStr">
        <is>
          <t>VÄRMLANDS LÄN</t>
        </is>
      </c>
      <c r="G78" t="inlineStr">
        <is>
          <t>FILIPSTAD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26116-2025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46259</v>
      </c>
      <c r="F79" t="inlineStr">
        <is>
          <t>VÄRMLANDS LÄN</t>
        </is>
      </c>
      <c r="G79" t="inlineStr">
        <is>
          <t>FILIPSTAD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44684</v>
      </c>
      <c r="E80" s="1" t="n">
        <v>46259</v>
      </c>
      <c r="F80" t="inlineStr">
        <is>
          <t>VÄRMLANDS LÄN</t>
        </is>
      </c>
      <c r="G80" t="inlineStr">
        <is>
          <t>FILIPSTAD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46259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46259</v>
      </c>
      <c r="F82" t="inlineStr">
        <is>
          <t>VÄRMLANDS LÄN</t>
        </is>
      </c>
      <c r="G82" t="inlineStr">
        <is>
          <t>FILIPSTAD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46259</v>
      </c>
      <c r="F83" t="inlineStr">
        <is>
          <t>VÄRMLANDS LÄN</t>
        </is>
      </c>
      <c r="G83" t="inlineStr">
        <is>
          <t>FILIPSTAD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46259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45230</v>
      </c>
      <c r="E85" s="1" t="n">
        <v>46259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45202</v>
      </c>
      <c r="E86" s="1" t="n">
        <v>46259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26599-2024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45469</v>
      </c>
      <c r="E87" s="1" t="n">
        <v>46259</v>
      </c>
      <c r="F87" t="inlineStr">
        <is>
          <t>VÄRMLANDS LÄN</t>
        </is>
      </c>
      <c r="G87" t="inlineStr">
        <is>
          <t>FILIPSTAD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44445</v>
      </c>
      <c r="E88" s="1" t="n">
        <v>46259</v>
      </c>
      <c r="F88" t="inlineStr">
        <is>
          <t>VÄRMLANDS LÄN</t>
        </is>
      </c>
      <c r="G88" t="inlineStr">
        <is>
          <t>FILIPSTAD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46259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45014</v>
      </c>
      <c r="E90" s="1" t="n">
        <v>46259</v>
      </c>
      <c r="F90" t="inlineStr">
        <is>
          <t>VÄRMLANDS LÄN</t>
        </is>
      </c>
      <c r="G90" t="inlineStr">
        <is>
          <t>FILIPSTAD</t>
        </is>
      </c>
      <c r="H90" t="inlineStr">
        <is>
          <t>Kyrkan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46259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45088</v>
      </c>
      <c r="E92" s="1" t="n">
        <v>46259</v>
      </c>
      <c r="F92" t="inlineStr">
        <is>
          <t>VÄRMLANDS LÄN</t>
        </is>
      </c>
      <c r="G92" t="inlineStr">
        <is>
          <t>FILIPSTAD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46259</v>
      </c>
      <c r="F93" t="inlineStr">
        <is>
          <t>VÄRMLANDS LÄN</t>
        </is>
      </c>
      <c r="G93" t="inlineStr">
        <is>
          <t>FILIPSTAD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46259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45769</v>
      </c>
      <c r="E95" s="1" t="n">
        <v>46259</v>
      </c>
      <c r="F95" t="inlineStr">
        <is>
          <t>VÄRMLANDS LÄN</t>
        </is>
      </c>
      <c r="G95" t="inlineStr">
        <is>
          <t>FILIPSTAD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46259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46259</v>
      </c>
      <c r="F97" t="inlineStr">
        <is>
          <t>VÄRMLANDS LÄN</t>
        </is>
      </c>
      <c r="G97" t="inlineStr">
        <is>
          <t>FILIPSTAD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46259</v>
      </c>
      <c r="F98" t="inlineStr">
        <is>
          <t>VÄRMLANDS LÄN</t>
        </is>
      </c>
      <c r="G98" t="inlineStr">
        <is>
          <t>FILIPSTAD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44598</v>
      </c>
      <c r="E99" s="1" t="n">
        <v>46259</v>
      </c>
      <c r="F99" t="inlineStr">
        <is>
          <t>VÄRMLANDS LÄN</t>
        </is>
      </c>
      <c r="G99" t="inlineStr">
        <is>
          <t>FILIPSTAD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46259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46259</v>
      </c>
      <c r="F101" t="inlineStr">
        <is>
          <t>VÄRMLANDS LÄN</t>
        </is>
      </c>
      <c r="G101" t="inlineStr">
        <is>
          <t>FILIPSTAD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46259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45088</v>
      </c>
      <c r="E103" s="1" t="n">
        <v>46259</v>
      </c>
      <c r="F103" t="inlineStr">
        <is>
          <t>VÄRMLANDS LÄN</t>
        </is>
      </c>
      <c r="G103" t="inlineStr">
        <is>
          <t>FILIPSTAD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46259</v>
      </c>
      <c r="F104" t="inlineStr">
        <is>
          <t>VÄRMLANDS LÄN</t>
        </is>
      </c>
      <c r="G104" t="inlineStr">
        <is>
          <t>FILIPSTAD</t>
        </is>
      </c>
      <c r="I104" t="n">
        <v>23.3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46259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45063</v>
      </c>
      <c r="E106" s="1" t="n">
        <v>46259</v>
      </c>
      <c r="F106" t="inlineStr">
        <is>
          <t>VÄRMLANDS LÄN</t>
        </is>
      </c>
      <c r="G106" t="inlineStr">
        <is>
          <t>FILIPSTAD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30169-2025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45827</v>
      </c>
      <c r="E107" s="1" t="n">
        <v>46259</v>
      </c>
      <c r="F107" t="inlineStr">
        <is>
          <t>VÄRMLANDS LÄN</t>
        </is>
      </c>
      <c r="G107" t="inlineStr">
        <is>
          <t>FILIPSTAD</t>
        </is>
      </c>
      <c r="H107" t="inlineStr">
        <is>
          <t>Kyrkan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31172-2025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45832</v>
      </c>
      <c r="E108" s="1" t="n">
        <v>46259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45391</v>
      </c>
      <c r="E109" s="1" t="n">
        <v>46259</v>
      </c>
      <c r="F109" t="inlineStr">
        <is>
          <t>VÄRMLANDS LÄN</t>
        </is>
      </c>
      <c r="G109" t="inlineStr">
        <is>
          <t>FILIPSTAD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46259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46259</v>
      </c>
      <c r="F111" t="inlineStr">
        <is>
          <t>VÄRMLANDS LÄN</t>
        </is>
      </c>
      <c r="G111" t="inlineStr">
        <is>
          <t>FILIPSTAD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45834</v>
      </c>
      <c r="E112" s="1" t="n">
        <v>46259</v>
      </c>
      <c r="F112" t="inlineStr">
        <is>
          <t>VÄRMLANDS LÄN</t>
        </is>
      </c>
      <c r="G112" t="inlineStr">
        <is>
          <t>FILIPSTAD</t>
        </is>
      </c>
      <c r="I112" t="n">
        <v>18.7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45428</v>
      </c>
      <c r="E113" s="1" t="n">
        <v>46259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46259</v>
      </c>
      <c r="F114" t="inlineStr">
        <is>
          <t>VÄRMLANDS LÄN</t>
        </is>
      </c>
      <c r="G114" t="inlineStr">
        <is>
          <t>FILIPSTAD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32032-2025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45835</v>
      </c>
      <c r="E115" s="1" t="n">
        <v>46259</v>
      </c>
      <c r="F115" t="inlineStr">
        <is>
          <t>VÄRMLANDS LÄN</t>
        </is>
      </c>
      <c r="G115" t="inlineStr">
        <is>
          <t>FILIPSTAD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46259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46259</v>
      </c>
      <c r="F117" t="inlineStr">
        <is>
          <t>VÄRMLANDS LÄN</t>
        </is>
      </c>
      <c r="G117" t="inlineStr">
        <is>
          <t>FILIPSTAD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46259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45471</v>
      </c>
      <c r="E119" s="1" t="n">
        <v>46259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33407-2025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45841</v>
      </c>
      <c r="E120" s="1" t="n">
        <v>46259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46259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46259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46259</v>
      </c>
      <c r="F123" t="inlineStr">
        <is>
          <t>VÄRMLANDS LÄN</t>
        </is>
      </c>
      <c r="G123" t="inlineStr">
        <is>
          <t>FILIPSTAD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46259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46259</v>
      </c>
      <c r="F125" t="inlineStr">
        <is>
          <t>VÄRMLANDS LÄN</t>
        </is>
      </c>
      <c r="G125" t="inlineStr">
        <is>
          <t>FILIPSTAD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46259</v>
      </c>
      <c r="F126" t="inlineStr">
        <is>
          <t>VÄRMLANDS LÄN</t>
        </is>
      </c>
      <c r="G126" t="inlineStr">
        <is>
          <t>FILIPSTAD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46259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46259</v>
      </c>
      <c r="F128" t="inlineStr">
        <is>
          <t>VÄRMLANDS LÄN</t>
        </is>
      </c>
      <c r="G128" t="inlineStr">
        <is>
          <t>FILIPSTAD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46259</v>
      </c>
      <c r="F129" t="inlineStr">
        <is>
          <t>VÄRMLANDS LÄN</t>
        </is>
      </c>
      <c r="G129" t="inlineStr">
        <is>
          <t>FILIPSTAD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45106</v>
      </c>
      <c r="E130" s="1" t="n">
        <v>46259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46259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46259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46259</v>
      </c>
      <c r="F133" t="inlineStr">
        <is>
          <t>VÄRMLANDS LÄN</t>
        </is>
      </c>
      <c r="G133" t="inlineStr">
        <is>
          <t>FILIPSTAD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46259</v>
      </c>
      <c r="F134" t="inlineStr">
        <is>
          <t>VÄRMLANDS LÄN</t>
        </is>
      </c>
      <c r="G134" t="inlineStr">
        <is>
          <t>FILIPSTAD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45870</v>
      </c>
      <c r="E135" s="1" t="n">
        <v>46259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45463</v>
      </c>
      <c r="E136" s="1" t="n">
        <v>46259</v>
      </c>
      <c r="F136" t="inlineStr">
        <is>
          <t>VÄRMLANDS LÄN</t>
        </is>
      </c>
      <c r="G136" t="inlineStr">
        <is>
          <t>FILIPSTAD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44960</v>
      </c>
      <c r="E137" s="1" t="n">
        <v>46259</v>
      </c>
      <c r="F137" t="inlineStr">
        <is>
          <t>VÄRMLANDS LÄN</t>
        </is>
      </c>
      <c r="G137" t="inlineStr">
        <is>
          <t>FILIPSTAD</t>
        </is>
      </c>
      <c r="H137" t="inlineStr">
        <is>
          <t>Kommuner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4819-2023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44957</v>
      </c>
      <c r="E138" s="1" t="n">
        <v>46259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45393</v>
      </c>
      <c r="E139" s="1" t="n">
        <v>46259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9270-2023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44980</v>
      </c>
      <c r="E140" s="1" t="n">
        <v>46259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46259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46259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45120</v>
      </c>
      <c r="E143" s="1" t="n">
        <v>46259</v>
      </c>
      <c r="F143" t="inlineStr">
        <is>
          <t>VÄRMLANDS LÄN</t>
        </is>
      </c>
      <c r="G143" t="inlineStr">
        <is>
          <t>FILIPSTAD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46259</v>
      </c>
      <c r="F144" t="inlineStr">
        <is>
          <t>VÄRMLANDS LÄN</t>
        </is>
      </c>
      <c r="G144" t="inlineStr">
        <is>
          <t>FILIPSTAD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46259</v>
      </c>
      <c r="F145" t="inlineStr">
        <is>
          <t>VÄRMLANDS LÄN</t>
        </is>
      </c>
      <c r="G145" t="inlineStr">
        <is>
          <t>FILIPSTAD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46259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46259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46259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45418</v>
      </c>
      <c r="E149" s="1" t="n">
        <v>46259</v>
      </c>
      <c r="F149" t="inlineStr">
        <is>
          <t>VÄRMLANDS LÄN</t>
        </is>
      </c>
      <c r="G149" t="inlineStr">
        <is>
          <t>FILIPSTAD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46259</v>
      </c>
      <c r="F150" t="inlineStr">
        <is>
          <t>VÄRMLANDS LÄN</t>
        </is>
      </c>
      <c r="G150" t="inlineStr">
        <is>
          <t>FILIPSTAD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46259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44637</v>
      </c>
      <c r="E152" s="1" t="n">
        <v>46259</v>
      </c>
      <c r="F152" t="inlineStr">
        <is>
          <t>VÄRMLANDS LÄN</t>
        </is>
      </c>
      <c r="G152" t="inlineStr">
        <is>
          <t>FILIPSTAD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46259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41718-2025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45902</v>
      </c>
      <c r="E154" s="1" t="n">
        <v>46259</v>
      </c>
      <c r="F154" t="inlineStr">
        <is>
          <t>VÄRMLANDS LÄN</t>
        </is>
      </c>
      <c r="G154" t="inlineStr">
        <is>
          <t>FILIPSTAD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46259</v>
      </c>
      <c r="F155" t="inlineStr">
        <is>
          <t>VÄRMLANDS LÄN</t>
        </is>
      </c>
      <c r="G155" t="inlineStr">
        <is>
          <t>FILIPSTAD</t>
        </is>
      </c>
      <c r="H155" t="inlineStr">
        <is>
          <t>Kommuner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46259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46259</v>
      </c>
      <c r="F157" t="inlineStr">
        <is>
          <t>VÄRMLANDS LÄN</t>
        </is>
      </c>
      <c r="G157" t="inlineStr">
        <is>
          <t>FILIPSTAD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46259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46259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45674</v>
      </c>
      <c r="E160" s="1" t="n">
        <v>46259</v>
      </c>
      <c r="F160" t="inlineStr">
        <is>
          <t>VÄRMLANDS LÄN</t>
        </is>
      </c>
      <c r="G160" t="inlineStr">
        <is>
          <t>FILIPSTAD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46259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46259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45274</v>
      </c>
      <c r="E163" s="1" t="n">
        <v>46259</v>
      </c>
      <c r="F163" t="inlineStr">
        <is>
          <t>VÄRMLANDS LÄN</t>
        </is>
      </c>
      <c r="G163" t="inlineStr">
        <is>
          <t>FILIPSTAD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46259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46259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46259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46259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46259</v>
      </c>
      <c r="F168" t="inlineStr">
        <is>
          <t>VÄRMLANDS LÄN</t>
        </is>
      </c>
      <c r="G168" t="inlineStr">
        <is>
          <t>FILIPSTAD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46099</v>
      </c>
      <c r="E169" s="1" t="n">
        <v>46259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46259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46259</v>
      </c>
      <c r="F171" t="inlineStr">
        <is>
          <t>VÄRMLANDS LÄN</t>
        </is>
      </c>
      <c r="G171" t="inlineStr">
        <is>
          <t>FILIPSTAD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45665</v>
      </c>
      <c r="E172" s="1" t="n">
        <v>46259</v>
      </c>
      <c r="F172" t="inlineStr">
        <is>
          <t>VÄRMLANDS LÄN</t>
        </is>
      </c>
      <c r="G172" t="inlineStr">
        <is>
          <t>FILIPSTAD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46107</v>
      </c>
      <c r="E173" s="1" t="n">
        <v>46259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46259</v>
      </c>
      <c r="F174" t="inlineStr">
        <is>
          <t>VÄRMLANDS LÄN</t>
        </is>
      </c>
      <c r="G174" t="inlineStr">
        <is>
          <t>FILIPSTAD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46259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46259</v>
      </c>
      <c r="F176" t="inlineStr">
        <is>
          <t>VÄRMLANDS LÄN</t>
        </is>
      </c>
      <c r="G176" t="inlineStr">
        <is>
          <t>FILIPSTAD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46259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46107</v>
      </c>
      <c r="E178" s="1" t="n">
        <v>46259</v>
      </c>
      <c r="F178" t="inlineStr">
        <is>
          <t>VÄRMLANDS LÄN</t>
        </is>
      </c>
      <c r="G178" t="inlineStr">
        <is>
          <t>FILIPSTAD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46259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46259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46259</v>
      </c>
      <c r="F181" t="inlineStr">
        <is>
          <t>VÄRMLANDS LÄN</t>
        </is>
      </c>
      <c r="G181" t="inlineStr">
        <is>
          <t>FILIPSTAD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46259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16040-2026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46108</v>
      </c>
      <c r="E183" s="1" t="n">
        <v>46259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46108</v>
      </c>
      <c r="E184" s="1" t="n">
        <v>46259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44536</v>
      </c>
      <c r="E185" s="1" t="n">
        <v>46259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46259</v>
      </c>
      <c r="F186" t="inlineStr">
        <is>
          <t>VÄRMLANDS LÄN</t>
        </is>
      </c>
      <c r="G186" t="inlineStr">
        <is>
          <t>FILIPSTAD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46259</v>
      </c>
      <c r="F187" t="inlineStr">
        <is>
          <t>VÄRMLANDS LÄN</t>
        </is>
      </c>
      <c r="G187" t="inlineStr">
        <is>
          <t>FILIPSTAD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45578</v>
      </c>
      <c r="E188" s="1" t="n">
        <v>46259</v>
      </c>
      <c r="F188" t="inlineStr">
        <is>
          <t>VÄRMLANDS LÄN</t>
        </is>
      </c>
      <c r="G188" t="inlineStr">
        <is>
          <t>FILIPSTAD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45618</v>
      </c>
      <c r="E189" s="1" t="n">
        <v>46259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46259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46259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46259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46259</v>
      </c>
      <c r="F193" t="inlineStr">
        <is>
          <t>VÄRMLANDS LÄN</t>
        </is>
      </c>
      <c r="G193" t="inlineStr">
        <is>
          <t>FILIPSTAD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46259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46259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46259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46259</v>
      </c>
      <c r="F197" t="inlineStr">
        <is>
          <t>VÄRMLANDS LÄN</t>
        </is>
      </c>
      <c r="G197" t="inlineStr">
        <is>
          <t>FILIPSTAD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69015-2021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46259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46122</v>
      </c>
      <c r="E200" s="1" t="n">
        <v>46259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46259</v>
      </c>
      <c r="F201" t="inlineStr">
        <is>
          <t>VÄRMLANDS LÄN</t>
        </is>
      </c>
      <c r="G201" t="inlineStr">
        <is>
          <t>FILIPSTAD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46122</v>
      </c>
      <c r="E202" s="1" t="n">
        <v>46259</v>
      </c>
      <c r="F202" t="inlineStr">
        <is>
          <t>VÄRMLANDS LÄN</t>
        </is>
      </c>
      <c r="G202" t="inlineStr">
        <is>
          <t>FILIPSTAD</t>
        </is>
      </c>
      <c r="H202" t="inlineStr">
        <is>
          <t>Kommuner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45658</v>
      </c>
      <c r="E203" s="1" t="n">
        <v>46259</v>
      </c>
      <c r="F203" t="inlineStr">
        <is>
          <t>VÄRMLANDS LÄN</t>
        </is>
      </c>
      <c r="G203" t="inlineStr">
        <is>
          <t>FILIPSTAD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46259</v>
      </c>
      <c r="F204" t="inlineStr">
        <is>
          <t>VÄRMLANDS LÄN</t>
        </is>
      </c>
      <c r="G204" t="inlineStr">
        <is>
          <t>FILIPSTAD</t>
        </is>
      </c>
      <c r="H204" t="inlineStr">
        <is>
          <t>Kommuner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46259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46259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46259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46259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44951</v>
      </c>
      <c r="E209" s="1" t="n">
        <v>46259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46259</v>
      </c>
      <c r="F210" t="inlineStr">
        <is>
          <t>VÄRMLANDS LÄN</t>
        </is>
      </c>
      <c r="G210" t="inlineStr">
        <is>
          <t>FILIPSTAD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45638</v>
      </c>
      <c r="E211" s="1" t="n">
        <v>46259</v>
      </c>
      <c r="F211" t="inlineStr">
        <is>
          <t>VÄRMLANDS LÄN</t>
        </is>
      </c>
      <c r="G211" t="inlineStr">
        <is>
          <t>FILIPSTAD</t>
        </is>
      </c>
      <c r="H211" t="inlineStr">
        <is>
          <t>Kyrkan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46259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46259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46259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46259</v>
      </c>
      <c r="F215" t="inlineStr">
        <is>
          <t>VÄRMLANDS LÄN</t>
        </is>
      </c>
      <c r="G215" t="inlineStr">
        <is>
          <t>FILIPSTAD</t>
        </is>
      </c>
      <c r="H215" t="inlineStr">
        <is>
          <t>Kyrkan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46259</v>
      </c>
      <c r="F216" t="inlineStr">
        <is>
          <t>VÄRMLANDS LÄN</t>
        </is>
      </c>
      <c r="G216" t="inlineStr">
        <is>
          <t>FILIPSTAD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46259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46259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46259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46259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46259</v>
      </c>
      <c r="F221" t="inlineStr">
        <is>
          <t>VÄRMLANDS LÄN</t>
        </is>
      </c>
      <c r="G221" t="inlineStr">
        <is>
          <t>FILIPSTAD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44935</v>
      </c>
      <c r="E222" s="1" t="n">
        <v>46259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46259</v>
      </c>
      <c r="F223" t="inlineStr">
        <is>
          <t>VÄRMLANDS LÄN</t>
        </is>
      </c>
      <c r="G223" t="inlineStr">
        <is>
          <t>FILIPSTAD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46259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46259</v>
      </c>
      <c r="F225" t="inlineStr">
        <is>
          <t>VÄRMLANDS LÄN</t>
        </is>
      </c>
      <c r="G225" t="inlineStr">
        <is>
          <t>FILIPSTAD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46259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46259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46259</v>
      </c>
      <c r="F228" t="inlineStr">
        <is>
          <t>VÄRMLANDS LÄN</t>
        </is>
      </c>
      <c r="G228" t="inlineStr">
        <is>
          <t>FILIPSTAD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45364</v>
      </c>
      <c r="E229" s="1" t="n">
        <v>46259</v>
      </c>
      <c r="F229" t="inlineStr">
        <is>
          <t>VÄRMLANDS LÄN</t>
        </is>
      </c>
      <c r="G229" t="inlineStr">
        <is>
          <t>FILIPSTAD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46259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46259</v>
      </c>
      <c r="F231" t="inlineStr">
        <is>
          <t>VÄRMLANDS LÄN</t>
        </is>
      </c>
      <c r="G231" t="inlineStr">
        <is>
          <t>FILIPSTAD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46259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46259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46259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29825-2023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45107</v>
      </c>
      <c r="E235" s="1" t="n">
        <v>46259</v>
      </c>
      <c r="F235" t="inlineStr">
        <is>
          <t>VÄRMLANDS LÄN</t>
        </is>
      </c>
      <c r="G235" t="inlineStr">
        <is>
          <t>FILIPSTAD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44433</v>
      </c>
      <c r="E236" s="1" t="n">
        <v>46259</v>
      </c>
      <c r="F236" t="inlineStr">
        <is>
          <t>VÄRMLANDS LÄN</t>
        </is>
      </c>
      <c r="G236" t="inlineStr">
        <is>
          <t>FILIPSTAD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44788</v>
      </c>
      <c r="E237" s="1" t="n">
        <v>46259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46135</v>
      </c>
      <c r="E238" s="1" t="n">
        <v>46259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46259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45686</v>
      </c>
      <c r="E240" s="1" t="n">
        <v>46259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46259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44743</v>
      </c>
      <c r="E242" s="1" t="n">
        <v>46259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46259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46259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45700</v>
      </c>
      <c r="E245" s="1" t="n">
        <v>46259</v>
      </c>
      <c r="F245" t="inlineStr">
        <is>
          <t>VÄRMLANDS LÄN</t>
        </is>
      </c>
      <c r="G245" t="inlineStr">
        <is>
          <t>FILIPSTAD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28161-2023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45093</v>
      </c>
      <c r="E246" s="1" t="n">
        <v>46259</v>
      </c>
      <c r="F246" t="inlineStr">
        <is>
          <t>VÄRMLANDS LÄN</t>
        </is>
      </c>
      <c r="G246" t="inlineStr">
        <is>
          <t>FILIPSTAD</t>
        </is>
      </c>
      <c r="H246" t="inlineStr">
        <is>
          <t>Kommuner</t>
        </is>
      </c>
      <c r="I246" t="n">
        <v>15.4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46259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46259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45456</v>
      </c>
      <c r="E249" s="1" t="n">
        <v>46259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46259</v>
      </c>
      <c r="F250" t="inlineStr">
        <is>
          <t>VÄRMLANDS LÄN</t>
        </is>
      </c>
      <c r="G250" t="inlineStr">
        <is>
          <t>FILIPSTAD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46259</v>
      </c>
      <c r="F251" t="inlineStr">
        <is>
          <t>VÄRMLANDS LÄN</t>
        </is>
      </c>
      <c r="G251" t="inlineStr">
        <is>
          <t>FILIPSTAD</t>
        </is>
      </c>
      <c r="H251" t="inlineStr">
        <is>
          <t>Kyrkan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46259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46259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46259</v>
      </c>
      <c r="F254" t="inlineStr">
        <is>
          <t>VÄRMLANDS LÄN</t>
        </is>
      </c>
      <c r="G254" t="inlineStr">
        <is>
          <t>FILIPSTAD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44691</v>
      </c>
      <c r="E255" s="1" t="n">
        <v>46259</v>
      </c>
      <c r="F255" t="inlineStr">
        <is>
          <t>VÄRMLANDS LÄN</t>
        </is>
      </c>
      <c r="G255" t="inlineStr">
        <is>
          <t>FILIPSTAD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46259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46259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46259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46259</v>
      </c>
      <c r="F259" t="inlineStr">
        <is>
          <t>VÄRMLANDS LÄN</t>
        </is>
      </c>
      <c r="G259" t="inlineStr">
        <is>
          <t>FILIPSTAD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46259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45407</v>
      </c>
      <c r="E261" s="1" t="n">
        <v>46259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46259</v>
      </c>
      <c r="F262" t="inlineStr">
        <is>
          <t>VÄRMLANDS LÄN</t>
        </is>
      </c>
      <c r="G262" t="inlineStr">
        <is>
          <t>FILIPSTAD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46259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46259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46259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48103-2025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45933</v>
      </c>
      <c r="E266" s="1" t="n">
        <v>46259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54080-2025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46259</v>
      </c>
      <c r="F267" t="inlineStr">
        <is>
          <t>VÄRMLANDS LÄN</t>
        </is>
      </c>
      <c r="G267" t="inlineStr">
        <is>
          <t>FILIPSTAD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46259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46259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44998</v>
      </c>
      <c r="E270" s="1" t="n">
        <v>46259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46259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45222</v>
      </c>
      <c r="E272" s="1" t="n">
        <v>46259</v>
      </c>
      <c r="F272" t="inlineStr">
        <is>
          <t>VÄRMLANDS LÄN</t>
        </is>
      </c>
      <c r="G272" t="inlineStr">
        <is>
          <t>FILIPSTAD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46259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46259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45186</v>
      </c>
      <c r="E275" s="1" t="n">
        <v>46259</v>
      </c>
      <c r="F275" t="inlineStr">
        <is>
          <t>VÄRMLANDS LÄN</t>
        </is>
      </c>
      <c r="G275" t="inlineStr">
        <is>
          <t>FILIPSTAD</t>
        </is>
      </c>
      <c r="I275" t="n">
        <v>15.3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46259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16103-2025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45750</v>
      </c>
      <c r="E277" s="1" t="n">
        <v>46259</v>
      </c>
      <c r="F277" t="inlineStr">
        <is>
          <t>VÄRMLANDS LÄN</t>
        </is>
      </c>
      <c r="G277" t="inlineStr">
        <is>
          <t>FILIPSTAD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46259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46259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36251-2022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44803</v>
      </c>
      <c r="E280" s="1" t="n">
        <v>46259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44789</v>
      </c>
      <c r="E281" s="1" t="n">
        <v>46259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46259</v>
      </c>
      <c r="F282" t="inlineStr">
        <is>
          <t>VÄRMLANDS LÄN</t>
        </is>
      </c>
      <c r="G282" t="inlineStr">
        <is>
          <t>FILIPSTAD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46259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45569</v>
      </c>
      <c r="E284" s="1" t="n">
        <v>46259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46259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46257-2022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44847</v>
      </c>
      <c r="E286" s="1" t="n">
        <v>46259</v>
      </c>
      <c r="F286" t="inlineStr">
        <is>
          <t>VÄRMLANDS LÄN</t>
        </is>
      </c>
      <c r="G286" t="inlineStr">
        <is>
          <t>FILIPSTAD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36827-2022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44805</v>
      </c>
      <c r="E287" s="1" t="n">
        <v>46259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44809</v>
      </c>
      <c r="E288" s="1" t="n">
        <v>46259</v>
      </c>
      <c r="F288" t="inlineStr">
        <is>
          <t>VÄRMLANDS LÄN</t>
        </is>
      </c>
      <c r="G288" t="inlineStr">
        <is>
          <t>FILIPSTAD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46259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20554-2025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45775</v>
      </c>
      <c r="E290" s="1" t="n">
        <v>46259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46259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20919-2026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46259</v>
      </c>
      <c r="F292" t="inlineStr">
        <is>
          <t>VÄRMLANDS LÄN</t>
        </is>
      </c>
      <c r="G292" t="inlineStr">
        <is>
          <t>FILIPSTAD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45867</v>
      </c>
      <c r="E293" s="1" t="n">
        <v>46259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31676-2025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46259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46259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45456</v>
      </c>
      <c r="E296" s="1" t="n">
        <v>46259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46259</v>
      </c>
      <c r="F297" t="inlineStr">
        <is>
          <t>VÄRMLANDS LÄN</t>
        </is>
      </c>
      <c r="G297" t="inlineStr">
        <is>
          <t>FILIPSTAD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22866-2023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45072</v>
      </c>
      <c r="E298" s="1" t="n">
        <v>46259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29473-2024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45484</v>
      </c>
      <c r="E299" s="1" t="n">
        <v>46259</v>
      </c>
      <c r="F299" t="inlineStr">
        <is>
          <t>VÄRMLANDS LÄN</t>
        </is>
      </c>
      <c r="G299" t="inlineStr">
        <is>
          <t>FILIPSTAD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45087</v>
      </c>
      <c r="E300" s="1" t="n">
        <v>46259</v>
      </c>
      <c r="F300" t="inlineStr">
        <is>
          <t>VÄRMLANDS LÄN</t>
        </is>
      </c>
      <c r="G300" t="inlineStr">
        <is>
          <t>FILIPSTAD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46259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46259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45195</v>
      </c>
      <c r="E303" s="1" t="n">
        <v>46259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45177</v>
      </c>
      <c r="E304" s="1" t="n">
        <v>46259</v>
      </c>
      <c r="F304" t="inlineStr">
        <is>
          <t>VÄRMLANDS LÄN</t>
        </is>
      </c>
      <c r="G304" t="inlineStr">
        <is>
          <t>FILIPSTAD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46259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46153</v>
      </c>
      <c r="E306" s="1" t="n">
        <v>46259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46259</v>
      </c>
      <c r="F307" t="inlineStr">
        <is>
          <t>VÄRMLANDS LÄN</t>
        </is>
      </c>
      <c r="G307" t="inlineStr">
        <is>
          <t>FILIPSTAD</t>
        </is>
      </c>
      <c r="I307" t="n">
        <v>10.8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45139-2021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44439</v>
      </c>
      <c r="E308" s="1" t="n">
        <v>46259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46259</v>
      </c>
      <c r="F309" t="inlineStr">
        <is>
          <t>VÄRMLANDS LÄN</t>
        </is>
      </c>
      <c r="G309" t="inlineStr">
        <is>
          <t>FILIPSTAD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46259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46259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46259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44876</v>
      </c>
      <c r="E313" s="1" t="n">
        <v>46259</v>
      </c>
      <c r="F313" t="inlineStr">
        <is>
          <t>VÄRMLANDS LÄN</t>
        </is>
      </c>
      <c r="G313" t="inlineStr">
        <is>
          <t>FILIPSTAD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44579</v>
      </c>
      <c r="E314" s="1" t="n">
        <v>46259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46259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46259</v>
      </c>
      <c r="F316" t="inlineStr">
        <is>
          <t>VÄRMLANDS LÄN</t>
        </is>
      </c>
      <c r="G316" t="inlineStr">
        <is>
          <t>FILIPSTAD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46259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46259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46259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46259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46259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45229</v>
      </c>
      <c r="E322" s="1" t="n">
        <v>46259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46259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46259</v>
      </c>
      <c r="F324" t="inlineStr">
        <is>
          <t>VÄRMLANDS LÄN</t>
        </is>
      </c>
      <c r="G324" t="inlineStr">
        <is>
          <t>FILIPSTAD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46259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46259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44960</v>
      </c>
      <c r="E327" s="1" t="n">
        <v>46259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55978-2022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44889</v>
      </c>
      <c r="E328" s="1" t="n">
        <v>46259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50856-2022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44867</v>
      </c>
      <c r="E329" s="1" t="n">
        <v>46259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44911</v>
      </c>
      <c r="E330" s="1" t="n">
        <v>46259</v>
      </c>
      <c r="F330" t="inlineStr">
        <is>
          <t>VÄRMLANDS LÄN</t>
        </is>
      </c>
      <c r="G330" t="inlineStr">
        <is>
          <t>FILIPSTAD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45568</v>
      </c>
      <c r="E331" s="1" t="n">
        <v>46259</v>
      </c>
      <c r="F331" t="inlineStr">
        <is>
          <t>VÄRMLANDS LÄN</t>
        </is>
      </c>
      <c r="G331" t="inlineStr">
        <is>
          <t>FILIPSTAD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46259</v>
      </c>
      <c r="F332" t="inlineStr">
        <is>
          <t>VÄRMLANDS LÄN</t>
        </is>
      </c>
      <c r="G332" t="inlineStr">
        <is>
          <t>FILIPSTAD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59296-2023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45253</v>
      </c>
      <c r="E333" s="1" t="n">
        <v>46259</v>
      </c>
      <c r="F333" t="inlineStr">
        <is>
          <t>VÄRMLANDS LÄN</t>
        </is>
      </c>
      <c r="G333" t="inlineStr">
        <is>
          <t>FILIPSTAD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46259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46259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46259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46259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46259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46259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46259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46259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52329-2025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46259</v>
      </c>
      <c r="F342" t="inlineStr">
        <is>
          <t>VÄRMLANDS LÄN</t>
        </is>
      </c>
      <c r="G342" t="inlineStr">
        <is>
          <t>FILIPSTAD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46259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46259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46259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46259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46259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44994</v>
      </c>
      <c r="E348" s="1" t="n">
        <v>46259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44384-2021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44435</v>
      </c>
      <c r="E349" s="1" t="n">
        <v>46259</v>
      </c>
      <c r="F349" t="inlineStr">
        <is>
          <t>VÄRMLANDS LÄN</t>
        </is>
      </c>
      <c r="G349" t="inlineStr">
        <is>
          <t>FILIPSTAD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46259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46259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46259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46259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36680-2023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45153</v>
      </c>
      <c r="E355" s="1" t="n">
        <v>46259</v>
      </c>
      <c r="F355" t="inlineStr">
        <is>
          <t>VÄRMLANDS LÄN</t>
        </is>
      </c>
      <c r="G355" t="inlineStr">
        <is>
          <t>FILIPSTAD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46259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46259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46259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46259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46259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46259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46259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5803-2023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44963</v>
      </c>
      <c r="E363" s="1" t="n">
        <v>46259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46259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46259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46259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46259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46259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46259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46259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45602</v>
      </c>
      <c r="E371" s="1" t="n">
        <v>46259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46259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46259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46259</v>
      </c>
      <c r="F374" t="inlineStr">
        <is>
          <t>VÄRMLANDS LÄN</t>
        </is>
      </c>
      <c r="G374" t="inlineStr">
        <is>
          <t>FILIPSTAD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45835</v>
      </c>
      <c r="E375" s="1" t="n">
        <v>46259</v>
      </c>
      <c r="F375" t="inlineStr">
        <is>
          <t>VÄRMLANDS LÄN</t>
        </is>
      </c>
      <c r="G375" t="inlineStr">
        <is>
          <t>FILIPSTAD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46259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53649-2025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46259</v>
      </c>
      <c r="F377" t="inlineStr">
        <is>
          <t>VÄRMLANDS LÄN</t>
        </is>
      </c>
      <c r="G377" t="inlineStr">
        <is>
          <t>FILIPSTAD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46259</v>
      </c>
      <c r="F378" t="inlineStr">
        <is>
          <t>VÄRMLANDS LÄN</t>
        </is>
      </c>
      <c r="G378" t="inlineStr">
        <is>
          <t>FILIPSTAD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51618-2022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44872</v>
      </c>
      <c r="E379" s="1" t="n">
        <v>46259</v>
      </c>
      <c r="F379" t="inlineStr">
        <is>
          <t>VÄRMLANDS LÄN</t>
        </is>
      </c>
      <c r="G379" t="inlineStr">
        <is>
          <t>FILIPSTAD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46259</v>
      </c>
      <c r="F380" t="inlineStr">
        <is>
          <t>VÄRMLANDS LÄN</t>
        </is>
      </c>
      <c r="G380" t="inlineStr">
        <is>
          <t>FILIPSTAD</t>
        </is>
      </c>
      <c r="H380" t="inlineStr">
        <is>
          <t>Kyrkan</t>
        </is>
      </c>
      <c r="I380" t="n">
        <v>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46259</v>
      </c>
      <c r="F381" t="inlineStr">
        <is>
          <t>VÄRMLANDS LÄN</t>
        </is>
      </c>
      <c r="G381" t="inlineStr">
        <is>
          <t>FILIPSTAD</t>
        </is>
      </c>
      <c r="H381" t="inlineStr">
        <is>
          <t>Kyrkan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46259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46218</v>
      </c>
      <c r="E383" s="1" t="n">
        <v>46259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46259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46259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71971-2021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44544</v>
      </c>
      <c r="E386" s="1" t="n">
        <v>46259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46259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46219</v>
      </c>
      <c r="E389" s="1" t="n">
        <v>46259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45114</v>
      </c>
      <c r="E390" s="1" t="n">
        <v>46259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46259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46259</v>
      </c>
      <c r="F392" t="inlineStr">
        <is>
          <t>VÄRMLANDS LÄN</t>
        </is>
      </c>
      <c r="G392" t="inlineStr">
        <is>
          <t>FILIPSTAD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46259</v>
      </c>
      <c r="F393" t="inlineStr">
        <is>
          <t>VÄRMLANDS LÄN</t>
        </is>
      </c>
      <c r="G393" t="inlineStr">
        <is>
          <t>FILIPSTAD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46259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9370-2023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44981</v>
      </c>
      <c r="E395" s="1" t="n">
        <v>46259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46259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46259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54008-2021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44470</v>
      </c>
      <c r="E399" s="1" t="n">
        <v>46259</v>
      </c>
      <c r="F399" t="inlineStr">
        <is>
          <t>VÄRMLANDS LÄN</t>
        </is>
      </c>
      <c r="G399" t="inlineStr">
        <is>
          <t>FILIPSTAD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55579-2025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46259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8.699999999999999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31537-2026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46223</v>
      </c>
      <c r="E401" s="1" t="n">
        <v>46259</v>
      </c>
      <c r="F401" t="inlineStr">
        <is>
          <t>VÄRMLANDS LÄN</t>
        </is>
      </c>
      <c r="G401" t="inlineStr">
        <is>
          <t>FILIPSTAD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45972</v>
      </c>
      <c r="E402" s="1" t="n">
        <v>46259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46223</v>
      </c>
      <c r="E403" s="1" t="n">
        <v>46259</v>
      </c>
      <c r="F403" t="inlineStr">
        <is>
          <t>VÄRMLANDS LÄN</t>
        </is>
      </c>
      <c r="G403" t="inlineStr">
        <is>
          <t>FILIPSTAD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45602</v>
      </c>
      <c r="E404" s="1" t="n">
        <v>46259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46259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46259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46226</v>
      </c>
      <c r="E407" s="1" t="n">
        <v>46259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56180-2025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46259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46259</v>
      </c>
      <c r="F409" t="inlineStr">
        <is>
          <t>VÄRMLANDS LÄN</t>
        </is>
      </c>
      <c r="G409" t="inlineStr">
        <is>
          <t>FILIPSTAD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46259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46259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36809-2022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44805</v>
      </c>
      <c r="E412" s="1" t="n">
        <v>46259</v>
      </c>
      <c r="F412" t="inlineStr">
        <is>
          <t>VÄRMLANDS LÄN</t>
        </is>
      </c>
      <c r="G412" t="inlineStr">
        <is>
          <t>FILIPSTAD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46259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46226</v>
      </c>
      <c r="E414" s="1" t="n">
        <v>46259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46259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46259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45124</v>
      </c>
      <c r="E417" s="1" t="n">
        <v>46259</v>
      </c>
      <c r="F417" t="inlineStr">
        <is>
          <t>VÄRMLANDS LÄN</t>
        </is>
      </c>
      <c r="G417" t="inlineStr">
        <is>
          <t>FILIPSTAD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33973-2023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45124</v>
      </c>
      <c r="E418" s="1" t="n">
        <v>46259</v>
      </c>
      <c r="F418" t="inlineStr">
        <is>
          <t>VÄRMLANDS LÄN</t>
        </is>
      </c>
      <c r="G418" t="inlineStr">
        <is>
          <t>FILIPSTAD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46259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46259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46259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46259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46259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46226</v>
      </c>
      <c r="E424" s="1" t="n">
        <v>46259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46259</v>
      </c>
      <c r="F425" t="inlineStr">
        <is>
          <t>VÄRMLANDS LÄN</t>
        </is>
      </c>
      <c r="G425" t="inlineStr">
        <is>
          <t>FILIPSTAD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46259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46259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46259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46259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46259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46259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46259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46259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46259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46259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46259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46259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46227</v>
      </c>
      <c r="E438" s="1" t="n">
        <v>46259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46227</v>
      </c>
      <c r="E439" s="1" t="n">
        <v>46259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46187</v>
      </c>
      <c r="E440" s="1" t="n">
        <v>46259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46259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18.8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25737-2023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45090</v>
      </c>
      <c r="E442" s="1" t="n">
        <v>46259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46259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46186</v>
      </c>
      <c r="E444" s="1" t="n">
        <v>46259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46186</v>
      </c>
      <c r="E445" s="1" t="n">
        <v>46259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46259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46259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44579</v>
      </c>
      <c r="E448" s="1" t="n">
        <v>46259</v>
      </c>
      <c r="F448" t="inlineStr">
        <is>
          <t>VÄRMLANDS LÄN</t>
        </is>
      </c>
      <c r="G448" t="inlineStr">
        <is>
          <t>FILIPSTAD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45982</v>
      </c>
      <c r="E449" s="1" t="n">
        <v>46259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28.4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46259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46259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46231</v>
      </c>
      <c r="E452" s="1" t="n">
        <v>46259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46232</v>
      </c>
      <c r="E453" s="1" t="n">
        <v>46259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46232</v>
      </c>
      <c r="E454" s="1" t="n">
        <v>46259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58211-2025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46259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46259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45401</v>
      </c>
      <c r="E457" s="1" t="n">
        <v>46259</v>
      </c>
      <c r="F457" t="inlineStr">
        <is>
          <t>VÄRMLANDS LÄN</t>
        </is>
      </c>
      <c r="G457" t="inlineStr">
        <is>
          <t>FILIPSTAD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46259</v>
      </c>
      <c r="F458" t="inlineStr">
        <is>
          <t>VÄRMLANDS LÄN</t>
        </is>
      </c>
      <c r="G458" t="inlineStr">
        <is>
          <t>FILIPSTAD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45516</v>
      </c>
      <c r="E459" s="1" t="n">
        <v>46259</v>
      </c>
      <c r="F459" t="inlineStr">
        <is>
          <t>VÄRMLANDS LÄN</t>
        </is>
      </c>
      <c r="G459" t="inlineStr">
        <is>
          <t>FILIPSTAD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46259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59712-2025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46259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59707-2025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45992</v>
      </c>
      <c r="E462" s="1" t="n">
        <v>46259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59709-2025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45992</v>
      </c>
      <c r="E463" s="1" t="n">
        <v>46259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46259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46233</v>
      </c>
      <c r="E465" s="1" t="n">
        <v>46259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5992-2023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44959</v>
      </c>
      <c r="E466" s="1" t="n">
        <v>46259</v>
      </c>
      <c r="F466" t="inlineStr">
        <is>
          <t>VÄRMLANDS LÄN</t>
        </is>
      </c>
      <c r="G466" t="inlineStr">
        <is>
          <t>FILIPSTAD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45655</v>
      </c>
      <c r="E467" s="1" t="n">
        <v>46259</v>
      </c>
      <c r="F467" t="inlineStr">
        <is>
          <t>VÄRMLANDS LÄN</t>
        </is>
      </c>
      <c r="G467" t="inlineStr">
        <is>
          <t>FILIPSTAD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59423-2025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45989</v>
      </c>
      <c r="E468" s="1" t="n">
        <v>46259</v>
      </c>
      <c r="F468" t="inlineStr">
        <is>
          <t>VÄRMLANDS LÄN</t>
        </is>
      </c>
      <c r="G468" t="inlineStr">
        <is>
          <t>FILIPSTAD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17686-2023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45037</v>
      </c>
      <c r="E469" s="1" t="n">
        <v>46259</v>
      </c>
      <c r="F469" t="inlineStr">
        <is>
          <t>VÄRMLANDS LÄN</t>
        </is>
      </c>
      <c r="G469" t="inlineStr">
        <is>
          <t>FILIPSTAD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46259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46259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46259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46259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60653-2025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45996</v>
      </c>
      <c r="E474" s="1" t="n">
        <v>46259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46259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60550-2025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46259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46259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46234</v>
      </c>
      <c r="E479" s="1" t="n">
        <v>46259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46259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45327</v>
      </c>
      <c r="E481" s="1" t="n">
        <v>46259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46259</v>
      </c>
      <c r="F482" t="inlineStr">
        <is>
          <t>VÄRMLANDS LÄN</t>
        </is>
      </c>
      <c r="G482" t="inlineStr">
        <is>
          <t>FILIPSTAD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46259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46259</v>
      </c>
      <c r="F484" t="inlineStr">
        <is>
          <t>VÄRMLANDS LÄN</t>
        </is>
      </c>
      <c r="G484" t="inlineStr">
        <is>
          <t>FILIPSTAD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46259</v>
      </c>
      <c r="F485" t="inlineStr">
        <is>
          <t>VÄRMLANDS LÄN</t>
        </is>
      </c>
      <c r="G485" t="inlineStr">
        <is>
          <t>FILIPSTAD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46259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46259</v>
      </c>
      <c r="F487" t="inlineStr">
        <is>
          <t>VÄRMLANDS LÄN</t>
        </is>
      </c>
      <c r="G487" t="inlineStr">
        <is>
          <t>FILIPSTAD</t>
        </is>
      </c>
      <c r="H487" t="inlineStr">
        <is>
          <t>Kommuner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46000</v>
      </c>
      <c r="E488" s="1" t="n">
        <v>46259</v>
      </c>
      <c r="F488" t="inlineStr">
        <is>
          <t>VÄRMLANDS LÄN</t>
        </is>
      </c>
      <c r="G488" t="inlineStr">
        <is>
          <t>FILIPSTAD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61327-2025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46001</v>
      </c>
      <c r="E489" s="1" t="n">
        <v>46259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46001</v>
      </c>
      <c r="E490" s="1" t="n">
        <v>46259</v>
      </c>
      <c r="F490" t="inlineStr">
        <is>
          <t>VÄRMLANDS LÄN</t>
        </is>
      </c>
      <c r="G490" t="inlineStr">
        <is>
          <t>FILIPSTAD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46259</v>
      </c>
      <c r="F491" t="inlineStr">
        <is>
          <t>VÄRMLANDS LÄN</t>
        </is>
      </c>
      <c r="G491" t="inlineStr">
        <is>
          <t>FILIPSTAD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45578</v>
      </c>
      <c r="E492" s="1" t="n">
        <v>46259</v>
      </c>
      <c r="F492" t="inlineStr">
        <is>
          <t>VÄRMLANDS LÄN</t>
        </is>
      </c>
      <c r="G492" t="inlineStr">
        <is>
          <t>FILIPSTAD</t>
        </is>
      </c>
      <c r="I492" t="n">
        <v>27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61717-2025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46259</v>
      </c>
      <c r="F493" t="inlineStr">
        <is>
          <t>VÄRMLANDS LÄN</t>
        </is>
      </c>
      <c r="G493" t="inlineStr">
        <is>
          <t>FILIPSTAD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46259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22830-2023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45072</v>
      </c>
      <c r="E495" s="1" t="n">
        <v>46259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51031-2025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45947</v>
      </c>
      <c r="E496" s="1" t="n">
        <v>46259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46259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46239</v>
      </c>
      <c r="E498" s="1" t="n">
        <v>46259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46259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46259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61417-2025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46001</v>
      </c>
      <c r="E501" s="1" t="n">
        <v>46259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61719-2025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46259</v>
      </c>
      <c r="F502" t="inlineStr">
        <is>
          <t>VÄRMLANDS LÄN</t>
        </is>
      </c>
      <c r="G502" t="inlineStr">
        <is>
          <t>FILIPSTAD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46259</v>
      </c>
      <c r="F503" t="inlineStr">
        <is>
          <t>VÄRMLANDS LÄN</t>
        </is>
      </c>
      <c r="G503" t="inlineStr">
        <is>
          <t>FILIPSTAD</t>
        </is>
      </c>
      <c r="I503" t="n">
        <v>7.7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46259</v>
      </c>
      <c r="F504" t="inlineStr">
        <is>
          <t>VÄRMLANDS LÄN</t>
        </is>
      </c>
      <c r="G504" t="inlineStr">
        <is>
          <t>FILIPSTAD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46259</v>
      </c>
      <c r="F505" t="inlineStr">
        <is>
          <t>VÄRMLANDS LÄN</t>
        </is>
      </c>
      <c r="G505" t="inlineStr">
        <is>
          <t>FILIPSTAD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61492-2025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46001</v>
      </c>
      <c r="E506" s="1" t="n">
        <v>46259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46259</v>
      </c>
      <c r="F507" t="inlineStr">
        <is>
          <t>VÄRMLANDS LÄN</t>
        </is>
      </c>
      <c r="G507" t="inlineStr">
        <is>
          <t>FILIPSTAD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46004</v>
      </c>
      <c r="E509" s="1" t="n">
        <v>46259</v>
      </c>
      <c r="F509" t="inlineStr">
        <is>
          <t>VÄRMLANDS LÄN</t>
        </is>
      </c>
      <c r="G509" t="inlineStr">
        <is>
          <t>FILIPSTAD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46197</v>
      </c>
      <c r="E510" s="1" t="n">
        <v>46259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62021-2025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46259</v>
      </c>
      <c r="F511" t="inlineStr">
        <is>
          <t>VÄRMLANDS LÄN</t>
        </is>
      </c>
      <c r="G511" t="inlineStr">
        <is>
          <t>FILIPSTAD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46004</v>
      </c>
      <c r="E512" s="1" t="n">
        <v>46259</v>
      </c>
      <c r="F512" t="inlineStr">
        <is>
          <t>VÄRMLANDS LÄN</t>
        </is>
      </c>
      <c r="G512" t="inlineStr">
        <is>
          <t>FILIPSTAD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46259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61823-2025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46003</v>
      </c>
      <c r="E514" s="1" t="n">
        <v>46259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46259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62243-2025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46259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45232</v>
      </c>
      <c r="E517" s="1" t="n">
        <v>46259</v>
      </c>
      <c r="F517" t="inlineStr">
        <is>
          <t>VÄRMLANDS LÄN</t>
        </is>
      </c>
      <c r="G517" t="inlineStr">
        <is>
          <t>FILIPSTAD</t>
        </is>
      </c>
      <c r="I517" t="n">
        <v>15.5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62013-2024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45655</v>
      </c>
      <c r="E518" s="1" t="n">
        <v>46259</v>
      </c>
      <c r="F518" t="inlineStr">
        <is>
          <t>VÄRMLANDS LÄN</t>
        </is>
      </c>
      <c r="G518" t="inlineStr">
        <is>
          <t>FILIPSTAD</t>
        </is>
      </c>
      <c r="I518" t="n">
        <v>26.5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46239</v>
      </c>
      <c r="E519" s="1" t="n">
        <v>46259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46259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48040-2023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46259</v>
      </c>
      <c r="F521" t="inlineStr">
        <is>
          <t>VÄRMLANDS LÄN</t>
        </is>
      </c>
      <c r="G521" t="inlineStr">
        <is>
          <t>FILIPSTAD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46259</v>
      </c>
      <c r="F522" t="inlineStr">
        <is>
          <t>VÄRMLANDS LÄN</t>
        </is>
      </c>
      <c r="G522" t="inlineStr">
        <is>
          <t>FILIPSTAD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48908-2023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45195</v>
      </c>
      <c r="E523" s="1" t="n">
        <v>46259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63678-2025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46014</v>
      </c>
      <c r="E524" s="1" t="n">
        <v>46259</v>
      </c>
      <c r="F524" t="inlineStr">
        <is>
          <t>VÄRMLANDS LÄN</t>
        </is>
      </c>
      <c r="G524" t="inlineStr">
        <is>
          <t>FILIPSTAD</t>
        </is>
      </c>
      <c r="I524" t="n">
        <v>9.9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44935</v>
      </c>
      <c r="E525" s="1" t="n">
        <v>46259</v>
      </c>
      <c r="F525" t="inlineStr">
        <is>
          <t>VÄRMLANDS LÄN</t>
        </is>
      </c>
      <c r="G525" t="inlineStr">
        <is>
          <t>FILIPSTAD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46259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10306-2025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45720</v>
      </c>
      <c r="E527" s="1" t="n">
        <v>46259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46241</v>
      </c>
      <c r="E528" s="1" t="n">
        <v>46259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46259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17763-2025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45758</v>
      </c>
      <c r="E530" s="1" t="n">
        <v>46259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41075-2023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46259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46259</v>
      </c>
      <c r="F532" t="inlineStr">
        <is>
          <t>VÄRMLANDS LÄN</t>
        </is>
      </c>
      <c r="G532" t="inlineStr">
        <is>
          <t>FILIPSTAD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46259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51639-2025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45951</v>
      </c>
      <c r="E534" s="1" t="n">
        <v>46259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46259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46259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14582-2025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45742</v>
      </c>
      <c r="E537" s="1" t="n">
        <v>46259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46259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56840-2024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45628</v>
      </c>
      <c r="E539" s="1" t="n">
        <v>46259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46259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46259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46259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45712</v>
      </c>
      <c r="E543" s="1" t="n">
        <v>46259</v>
      </c>
      <c r="F543" t="inlineStr">
        <is>
          <t>VÄRMLANDS LÄN</t>
        </is>
      </c>
      <c r="G543" t="inlineStr">
        <is>
          <t>FILIPSTAD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46259</v>
      </c>
      <c r="F544" t="inlineStr">
        <is>
          <t>VÄRMLANDS LÄN</t>
        </is>
      </c>
      <c r="G544" t="inlineStr">
        <is>
          <t>FILIPSTAD</t>
        </is>
      </c>
      <c r="I544" t="n">
        <v>15.8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46259</v>
      </c>
      <c r="F545" t="inlineStr">
        <is>
          <t>VÄRMLANDS LÄN</t>
        </is>
      </c>
      <c r="G545" t="inlineStr">
        <is>
          <t>FILIPSTAD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46259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46259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46259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46247</v>
      </c>
      <c r="E549" s="1" t="n">
        <v>46259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46259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45643</v>
      </c>
      <c r="E551" s="1" t="n">
        <v>46259</v>
      </c>
      <c r="F551" t="inlineStr">
        <is>
          <t>VÄRMLANDS LÄN</t>
        </is>
      </c>
      <c r="G551" t="inlineStr">
        <is>
          <t>FILIPSTAD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45740</v>
      </c>
      <c r="E552" s="1" t="n">
        <v>46259</v>
      </c>
      <c r="F552" t="inlineStr">
        <is>
          <t>VÄRMLANDS LÄN</t>
        </is>
      </c>
      <c r="G552" t="inlineStr">
        <is>
          <t>FILIPSTAD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46259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46259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8.199999999999999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45744</v>
      </c>
      <c r="E555" s="1" t="n">
        <v>46259</v>
      </c>
      <c r="F555" t="inlineStr">
        <is>
          <t>VÄRMLANDS LÄN</t>
        </is>
      </c>
      <c r="G555" t="inlineStr">
        <is>
          <t>FILIPSTAD</t>
        </is>
      </c>
      <c r="H555" t="inlineStr">
        <is>
          <t>Kommuner</t>
        </is>
      </c>
      <c r="I555" t="n">
        <v>17.7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58611-2025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45986</v>
      </c>
      <c r="E556" s="1" t="n">
        <v>46259</v>
      </c>
      <c r="F556" t="inlineStr">
        <is>
          <t>VÄRMLANDS LÄN</t>
        </is>
      </c>
      <c r="G556" t="inlineStr">
        <is>
          <t>FILIPSTAD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46247</v>
      </c>
      <c r="E557" s="1" t="n">
        <v>46259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46040</v>
      </c>
      <c r="E558" s="1" t="n">
        <v>46259</v>
      </c>
      <c r="F558" t="inlineStr">
        <is>
          <t>VÄRMLANDS LÄN</t>
        </is>
      </c>
      <c r="G558" t="inlineStr">
        <is>
          <t>FILIPSTAD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46205</v>
      </c>
      <c r="E559" s="1" t="n">
        <v>46259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46259</v>
      </c>
      <c r="F560" t="inlineStr">
        <is>
          <t>VÄRMLANDS LÄN</t>
        </is>
      </c>
      <c r="G560" t="inlineStr">
        <is>
          <t>FILIPSTAD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29814-2026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46259</v>
      </c>
      <c r="F561" t="inlineStr">
        <is>
          <t>VÄRMLANDS LÄN</t>
        </is>
      </c>
      <c r="G561" t="inlineStr">
        <is>
          <t>FILIPSTAD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46259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46251</v>
      </c>
      <c r="E563" s="1" t="n">
        <v>46259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46259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46259</v>
      </c>
      <c r="F565" t="inlineStr">
        <is>
          <t>VÄRMLANDS LÄN</t>
        </is>
      </c>
      <c r="G565" t="inlineStr">
        <is>
          <t>FILIPSTAD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46259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45299</v>
      </c>
      <c r="E567" s="1" t="n">
        <v>46259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46259</v>
      </c>
      <c r="F568" t="inlineStr">
        <is>
          <t>VÄRMLANDS LÄN</t>
        </is>
      </c>
      <c r="G568" t="inlineStr">
        <is>
          <t>FILIPSTAD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46213</v>
      </c>
      <c r="E569" s="1" t="n">
        <v>46259</v>
      </c>
      <c r="F569" t="inlineStr">
        <is>
          <t>VÄRMLANDS LÄN</t>
        </is>
      </c>
      <c r="G569" t="inlineStr">
        <is>
          <t>FILIPSTAD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46259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46259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46259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46259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30074-2026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46259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30646-2024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45495</v>
      </c>
      <c r="E575" s="1" t="n">
        <v>46259</v>
      </c>
      <c r="F575" t="inlineStr">
        <is>
          <t>VÄRMLANDS LÄN</t>
        </is>
      </c>
      <c r="G575" t="inlineStr">
        <is>
          <t>FILIPSTAD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46259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17244-2024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45414</v>
      </c>
      <c r="E577" s="1" t="n">
        <v>46259</v>
      </c>
      <c r="F577" t="inlineStr">
        <is>
          <t>VÄRMLANDS LÄN</t>
        </is>
      </c>
      <c r="G577" t="inlineStr">
        <is>
          <t>FILIPSTAD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46259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30540-2026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46210</v>
      </c>
      <c r="E579" s="1" t="n">
        <v>46259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46259</v>
      </c>
      <c r="F580" t="inlineStr">
        <is>
          <t>VÄRMLANDS LÄN</t>
        </is>
      </c>
      <c r="G580" t="inlineStr">
        <is>
          <t>FILIPSTAD</t>
        </is>
      </c>
      <c r="H580" t="inlineStr">
        <is>
          <t>Kommuner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47002-2024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46259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46259</v>
      </c>
      <c r="F582" t="inlineStr">
        <is>
          <t>VÄRMLANDS LÄN</t>
        </is>
      </c>
      <c r="G582" t="inlineStr">
        <is>
          <t>FILIPSTAD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46056</v>
      </c>
      <c r="E583" s="1" t="n">
        <v>46259</v>
      </c>
      <c r="F583" t="inlineStr">
        <is>
          <t>VÄRMLANDS LÄN</t>
        </is>
      </c>
      <c r="G583" t="inlineStr">
        <is>
          <t>FILIPSTAD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65167-2021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44515</v>
      </c>
      <c r="E584" s="1" t="n">
        <v>46259</v>
      </c>
      <c r="F584" t="inlineStr">
        <is>
          <t>VÄRMLANDS LÄN</t>
        </is>
      </c>
      <c r="G584" t="inlineStr">
        <is>
          <t>FILIPSTAD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46259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19.2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46259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46259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46254</v>
      </c>
      <c r="E588" s="1" t="n">
        <v>46259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46259</v>
      </c>
      <c r="F589" t="inlineStr">
        <is>
          <t>VÄRMLANDS LÄN</t>
        </is>
      </c>
      <c r="G589" t="inlineStr">
        <is>
          <t>FILIPSTAD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23475-2025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45792</v>
      </c>
      <c r="E590" s="1" t="n">
        <v>46259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45477</v>
      </c>
      <c r="E591" s="1" t="n">
        <v>46259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48702-2024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45593</v>
      </c>
      <c r="E592" s="1" t="n">
        <v>46259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45530</v>
      </c>
      <c r="E593" s="1" t="n">
        <v>46259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23399-2025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45792</v>
      </c>
      <c r="E594" s="1" t="n">
        <v>46259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46259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45667</v>
      </c>
      <c r="E596" s="1" t="n">
        <v>46259</v>
      </c>
      <c r="F596" t="inlineStr">
        <is>
          <t>VÄRMLANDS LÄN</t>
        </is>
      </c>
      <c r="G596" t="inlineStr">
        <is>
          <t>FILIPSTAD</t>
        </is>
      </c>
      <c r="H596" t="inlineStr">
        <is>
          <t>Kommuner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20844-2024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45439</v>
      </c>
      <c r="E597" s="1" t="n">
        <v>46259</v>
      </c>
      <c r="F597" t="inlineStr">
        <is>
          <t>VÄRMLANDS LÄN</t>
        </is>
      </c>
      <c r="G597" t="inlineStr">
        <is>
          <t>FILIPSTAD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3979-2024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45322</v>
      </c>
      <c r="E598" s="1" t="n">
        <v>46259</v>
      </c>
      <c r="F598" t="inlineStr">
        <is>
          <t>VÄRMLANDS LÄN</t>
        </is>
      </c>
      <c r="G598" t="inlineStr">
        <is>
          <t>FILIPSTAD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72118-2021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44543</v>
      </c>
      <c r="E599" s="1" t="n">
        <v>46259</v>
      </c>
      <c r="F599" t="inlineStr">
        <is>
          <t>VÄRMLANDS LÄN</t>
        </is>
      </c>
      <c r="G599" t="inlineStr">
        <is>
          <t>FILIPSTAD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46259</v>
      </c>
      <c r="F600" t="inlineStr">
        <is>
          <t>VÄRMLANDS LÄN</t>
        </is>
      </c>
      <c r="G600" t="inlineStr">
        <is>
          <t>FILIPSTAD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46259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46059</v>
      </c>
      <c r="E602" s="1" t="n">
        <v>46259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45793</v>
      </c>
      <c r="E603" s="1" t="n">
        <v>46259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8712-2024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45355</v>
      </c>
      <c r="E604" s="1" t="n">
        <v>46259</v>
      </c>
      <c r="F604" t="inlineStr">
        <is>
          <t>VÄRMLANDS LÄN</t>
        </is>
      </c>
      <c r="G604" t="inlineStr">
        <is>
          <t>FILIPSTAD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65174-2021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44515</v>
      </c>
      <c r="E605" s="1" t="n">
        <v>46259</v>
      </c>
      <c r="F605" t="inlineStr">
        <is>
          <t>VÄRMLANDS LÄN</t>
        </is>
      </c>
      <c r="G605" t="inlineStr">
        <is>
          <t>FILIPSTAD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46259</v>
      </c>
      <c r="F606" t="inlineStr">
        <is>
          <t>VÄRMLANDS LÄN</t>
        </is>
      </c>
      <c r="G606" t="inlineStr">
        <is>
          <t>FILIPSTAD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15406-2025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46259</v>
      </c>
      <c r="F607" t="inlineStr">
        <is>
          <t>VÄRMLANDS LÄN</t>
        </is>
      </c>
      <c r="G607" t="inlineStr">
        <is>
          <t>FILIPSTAD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35799-2022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44801</v>
      </c>
      <c r="E608" s="1" t="n">
        <v>46259</v>
      </c>
      <c r="F608" t="inlineStr">
        <is>
          <t>VÄRMLANDS LÄN</t>
        </is>
      </c>
      <c r="G608" t="inlineStr">
        <is>
          <t>FILIPSTAD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46259</v>
      </c>
      <c r="F609" t="inlineStr">
        <is>
          <t>VÄRMLANDS LÄN</t>
        </is>
      </c>
      <c r="G609" t="inlineStr">
        <is>
          <t>FILIPSTAD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46087</v>
      </c>
      <c r="E610" s="1" t="n">
        <v>46259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46259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5757-2021</t>
        </is>
      </c>
      <c r="B612" t="inlineStr">
        <is>
          <t>samrådsanmälan</t>
        </is>
      </c>
      <c r="C612" t="inlineStr">
        <is>
          <t>Basväg</t>
        </is>
      </c>
      <c r="D612" s="1" t="n">
        <v>44438</v>
      </c>
      <c r="E612" s="1" t="n">
        <v>46259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1191-2021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44328</v>
      </c>
      <c r="E613" s="1" t="n">
        <v>46259</v>
      </c>
      <c r="F613" t="inlineStr">
        <is>
          <t>VÄRMLANDS LÄN</t>
        </is>
      </c>
      <c r="G613" t="inlineStr">
        <is>
          <t>FILIPSTAD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4134-2023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46259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4115-2023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45246</v>
      </c>
      <c r="E615" s="1" t="n">
        <v>46259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4137-2023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4132-2023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46259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8.300000000000001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4130-2023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46259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4127-2023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837-2023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46259</v>
      </c>
      <c r="F620" t="inlineStr">
        <is>
          <t>VÄRMLANDS LÄN</t>
        </is>
      </c>
      <c r="G620" t="inlineStr">
        <is>
          <t>FILIPSTAD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4129-2023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46259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3919-2023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45233</v>
      </c>
      <c r="E622" s="1" t="n">
        <v>46259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4135-2023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6078-2021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44442</v>
      </c>
      <c r="E624" s="1" t="n">
        <v>46259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4126-2023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46259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294-2025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45687</v>
      </c>
      <c r="E626" s="1" t="n">
        <v>46259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186.4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46259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661-2025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45716</v>
      </c>
      <c r="E628" s="1" t="n">
        <v>46259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3429-2025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45995</v>
      </c>
      <c r="E629" s="1" t="n">
        <v>46259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3576-2025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46010</v>
      </c>
      <c r="E630" s="1" t="n">
        <v>46259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27.1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105-2026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46036</v>
      </c>
      <c r="E631" s="1" t="n">
        <v>46259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238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2026-08-25T01:50:22Z</dcterms:created>
  <dcterms:modified xmlns:dcterms="http://purl.org/dc/terms/" xmlns:xsi="http://www.w3.org/2001/XMLSchema-instance" xsi:type="dcterms:W3CDTF">2026-08-25T01:50:23Z</dcterms:modified>
</cp:coreProperties>
</file>